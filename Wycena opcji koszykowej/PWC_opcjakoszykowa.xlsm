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Romek\Desktop\"/>
    </mc:Choice>
  </mc:AlternateContent>
  <xr:revisionPtr revIDLastSave="0" documentId="13_ncr:1_{B0282A6A-BBF3-4DE7-A7E3-AC3057D0AFBF}" xr6:coauthVersionLast="47" xr6:coauthVersionMax="47" xr10:uidLastSave="{00000000-0000-0000-0000-000000000000}"/>
  <bookViews>
    <workbookView xWindow="-120" yWindow="-120" windowWidth="29040" windowHeight="15840" xr2:uid="{E511893A-F3C9-4C01-8253-2D81E7322151}"/>
  </bookViews>
  <sheets>
    <sheet name="Instructions" sheetId="23" r:id="rId1"/>
    <sheet name="Inputs --&gt;" sheetId="36" r:id="rId2"/>
    <sheet name="Input data" sheetId="42" r:id="rId3"/>
    <sheet name="Outputs --&gt;" sheetId="41" r:id="rId4"/>
    <sheet name="Results" sheetId="40" r:id="rId5"/>
    <sheet name="Calculations --&gt;" sheetId="38" state="hidden" r:id="rId6"/>
    <sheet name="Correlation matrices" sheetId="9" state="hidden" r:id="rId7"/>
    <sheet name="Market data" sheetId="2" state="hidden" r:id="rId8"/>
    <sheet name="NFLX" sheetId="19" state="hidden" r:id="rId9"/>
    <sheet name="META" sheetId="18" state="hidden" r:id="rId10"/>
    <sheet name="GOOG" sheetId="17" state="hidden" r:id="rId11"/>
    <sheet name="EBAY" sheetId="16" state="hidden" r:id="rId12"/>
    <sheet name="AMZN" sheetId="15" state="hidden" r:id="rId13"/>
    <sheet name="volatility meta call" sheetId="20" state="hidden" r:id="rId14"/>
    <sheet name="volatility netflix call" sheetId="31" state="hidden" r:id="rId15"/>
    <sheet name="volatility amazon call" sheetId="32" state="hidden" r:id="rId16"/>
    <sheet name="volatility alphabet call" sheetId="33" state="hidden" r:id="rId17"/>
    <sheet name="volatility ebay call" sheetId="34" state="hidden" r:id="rId18"/>
    <sheet name="volatility wszystko" sheetId="35" state="hidden" r:id="rId19"/>
    <sheet name="IR data" sheetId="22" state="hidden" r:id="rId20"/>
    <sheet name="IR interpolation" sheetId="24" state="hidden" r:id="rId21"/>
    <sheet name="Is_weekend" sheetId="25" state="hidden" r:id="rId22"/>
  </sheets>
  <functionGroups builtInGroupCount="19"/>
  <definedNames>
    <definedName name="ExternalData_1" localSheetId="12" hidden="1">AMZN!$A$1:$G$570</definedName>
    <definedName name="ExternalData_2" localSheetId="11" hidden="1">EBAY!$A$1:$G$570</definedName>
    <definedName name="ExternalData_3" localSheetId="10" hidden="1">GOOG!$A$1:$G$570</definedName>
    <definedName name="ExternalData_4" localSheetId="9" hidden="1">META!$A$1:$G$570</definedName>
    <definedName name="ExternalData_5" localSheetId="8" hidden="1">NFLX!$A$1:$G$570</definedName>
    <definedName name="solver_adj" localSheetId="16" hidden="1">'volatility alphabet call'!$H$6:$L$6</definedName>
    <definedName name="solver_adj" localSheetId="15" hidden="1">'volatility amazon call'!$H$6:$L$6</definedName>
    <definedName name="solver_adj" localSheetId="17" hidden="1">'volatility ebay call'!$H$6:$L$6</definedName>
    <definedName name="solver_adj" localSheetId="13" hidden="1">'volatility meta call'!$H$6:$L$6</definedName>
    <definedName name="solver_adj" localSheetId="14" hidden="1">'volatility netflix call'!$H$6:$L$6</definedName>
    <definedName name="solver_cvg" localSheetId="16" hidden="1">0.0001</definedName>
    <definedName name="solver_cvg" localSheetId="15" hidden="1">0.0001</definedName>
    <definedName name="solver_cvg" localSheetId="17" hidden="1">0.0001</definedName>
    <definedName name="solver_cvg" localSheetId="13" hidden="1">0.0001</definedName>
    <definedName name="solver_cvg" localSheetId="14" hidden="1">0.0001</definedName>
    <definedName name="solver_drv" localSheetId="16" hidden="1">1</definedName>
    <definedName name="solver_drv" localSheetId="15" hidden="1">1</definedName>
    <definedName name="solver_drv" localSheetId="17" hidden="1">1</definedName>
    <definedName name="solver_drv" localSheetId="13" hidden="1">1</definedName>
    <definedName name="solver_drv" localSheetId="14" hidden="1">1</definedName>
    <definedName name="solver_eng" localSheetId="16" hidden="1">1</definedName>
    <definedName name="solver_eng" localSheetId="15" hidden="1">1</definedName>
    <definedName name="solver_eng" localSheetId="17" hidden="1">1</definedName>
    <definedName name="solver_eng" localSheetId="13" hidden="1">1</definedName>
    <definedName name="solver_eng" localSheetId="14" hidden="1">1</definedName>
    <definedName name="solver_est" localSheetId="16" hidden="1">1</definedName>
    <definedName name="solver_est" localSheetId="15" hidden="1">1</definedName>
    <definedName name="solver_est" localSheetId="17" hidden="1">1</definedName>
    <definedName name="solver_est" localSheetId="13" hidden="1">1</definedName>
    <definedName name="solver_est" localSheetId="14" hidden="1">1</definedName>
    <definedName name="solver_itr" localSheetId="16" hidden="1">2147483647</definedName>
    <definedName name="solver_itr" localSheetId="15" hidden="1">2147483647</definedName>
    <definedName name="solver_itr" localSheetId="17" hidden="1">2147483647</definedName>
    <definedName name="solver_itr" localSheetId="13" hidden="1">2147483647</definedName>
    <definedName name="solver_itr" localSheetId="14" hidden="1">2147483647</definedName>
    <definedName name="solver_mip" localSheetId="16" hidden="1">2147483647</definedName>
    <definedName name="solver_mip" localSheetId="15" hidden="1">2147483647</definedName>
    <definedName name="solver_mip" localSheetId="17" hidden="1">2147483647</definedName>
    <definedName name="solver_mip" localSheetId="13" hidden="1">2147483647</definedName>
    <definedName name="solver_mip" localSheetId="14" hidden="1">2147483647</definedName>
    <definedName name="solver_mni" localSheetId="16" hidden="1">30</definedName>
    <definedName name="solver_mni" localSheetId="15" hidden="1">30</definedName>
    <definedName name="solver_mni" localSheetId="17" hidden="1">30</definedName>
    <definedName name="solver_mni" localSheetId="13" hidden="1">30</definedName>
    <definedName name="solver_mni" localSheetId="14" hidden="1">30</definedName>
    <definedName name="solver_mrt" localSheetId="16" hidden="1">0.075</definedName>
    <definedName name="solver_mrt" localSheetId="15" hidden="1">0.075</definedName>
    <definedName name="solver_mrt" localSheetId="17" hidden="1">0.075</definedName>
    <definedName name="solver_mrt" localSheetId="13" hidden="1">0.075</definedName>
    <definedName name="solver_mrt" localSheetId="14" hidden="1">0.075</definedName>
    <definedName name="solver_msl" localSheetId="16" hidden="1">2</definedName>
    <definedName name="solver_msl" localSheetId="15" hidden="1">2</definedName>
    <definedName name="solver_msl" localSheetId="17" hidden="1">2</definedName>
    <definedName name="solver_msl" localSheetId="13" hidden="1">2</definedName>
    <definedName name="solver_msl" localSheetId="14" hidden="1">2</definedName>
    <definedName name="solver_neg" localSheetId="16" hidden="1">2</definedName>
    <definedName name="solver_neg" localSheetId="15" hidden="1">2</definedName>
    <definedName name="solver_neg" localSheetId="17" hidden="1">2</definedName>
    <definedName name="solver_neg" localSheetId="13" hidden="1">2</definedName>
    <definedName name="solver_neg" localSheetId="14" hidden="1">2</definedName>
    <definedName name="solver_nod" localSheetId="16" hidden="1">2147483647</definedName>
    <definedName name="solver_nod" localSheetId="15" hidden="1">2147483647</definedName>
    <definedName name="solver_nod" localSheetId="17" hidden="1">2147483647</definedName>
    <definedName name="solver_nod" localSheetId="13" hidden="1">2147483647</definedName>
    <definedName name="solver_nod" localSheetId="14" hidden="1">2147483647</definedName>
    <definedName name="solver_num" localSheetId="16" hidden="1">0</definedName>
    <definedName name="solver_num" localSheetId="15" hidden="1">0</definedName>
    <definedName name="solver_num" localSheetId="17" hidden="1">0</definedName>
    <definedName name="solver_num" localSheetId="13" hidden="1">0</definedName>
    <definedName name="solver_num" localSheetId="14" hidden="1">0</definedName>
    <definedName name="solver_nwt" localSheetId="16" hidden="1">1</definedName>
    <definedName name="solver_nwt" localSheetId="15" hidden="1">1</definedName>
    <definedName name="solver_nwt" localSheetId="17" hidden="1">1</definedName>
    <definedName name="solver_nwt" localSheetId="13" hidden="1">1</definedName>
    <definedName name="solver_nwt" localSheetId="14" hidden="1">1</definedName>
    <definedName name="solver_opt" localSheetId="16" hidden="1">'volatility alphabet call'!#REF!</definedName>
    <definedName name="solver_opt" localSheetId="15" hidden="1">'volatility amazon call'!#REF!</definedName>
    <definedName name="solver_opt" localSheetId="17" hidden="1">'volatility ebay call'!#REF!</definedName>
    <definedName name="solver_opt" localSheetId="13" hidden="1">'volatility meta call'!#REF!</definedName>
    <definedName name="solver_opt" localSheetId="14" hidden="1">'volatility netflix call'!#REF!</definedName>
    <definedName name="solver_pre" localSheetId="16" hidden="1">0.000001</definedName>
    <definedName name="solver_pre" localSheetId="15" hidden="1">0.000001</definedName>
    <definedName name="solver_pre" localSheetId="17" hidden="1">0.000001</definedName>
    <definedName name="solver_pre" localSheetId="13" hidden="1">0.000001</definedName>
    <definedName name="solver_pre" localSheetId="14" hidden="1">0.000001</definedName>
    <definedName name="solver_rbv" localSheetId="16" hidden="1">1</definedName>
    <definedName name="solver_rbv" localSheetId="15" hidden="1">1</definedName>
    <definedName name="solver_rbv" localSheetId="17" hidden="1">1</definedName>
    <definedName name="solver_rbv" localSheetId="13" hidden="1">1</definedName>
    <definedName name="solver_rbv" localSheetId="14" hidden="1">1</definedName>
    <definedName name="solver_rlx" localSheetId="16" hidden="1">2</definedName>
    <definedName name="solver_rlx" localSheetId="15" hidden="1">2</definedName>
    <definedName name="solver_rlx" localSheetId="17" hidden="1">2</definedName>
    <definedName name="solver_rlx" localSheetId="13" hidden="1">2</definedName>
    <definedName name="solver_rlx" localSheetId="14" hidden="1">2</definedName>
    <definedName name="solver_rsd" localSheetId="16" hidden="1">0</definedName>
    <definedName name="solver_rsd" localSheetId="15" hidden="1">0</definedName>
    <definedName name="solver_rsd" localSheetId="17" hidden="1">0</definedName>
    <definedName name="solver_rsd" localSheetId="13" hidden="1">0</definedName>
    <definedName name="solver_rsd" localSheetId="14" hidden="1">0</definedName>
    <definedName name="solver_scl" localSheetId="16" hidden="1">1</definedName>
    <definedName name="solver_scl" localSheetId="15" hidden="1">1</definedName>
    <definedName name="solver_scl" localSheetId="17" hidden="1">1</definedName>
    <definedName name="solver_scl" localSheetId="13" hidden="1">1</definedName>
    <definedName name="solver_scl" localSheetId="14" hidden="1">1</definedName>
    <definedName name="solver_sho" localSheetId="16" hidden="1">2</definedName>
    <definedName name="solver_sho" localSheetId="15" hidden="1">2</definedName>
    <definedName name="solver_sho" localSheetId="17" hidden="1">2</definedName>
    <definedName name="solver_sho" localSheetId="13" hidden="1">2</definedName>
    <definedName name="solver_sho" localSheetId="14" hidden="1">2</definedName>
    <definedName name="solver_ssz" localSheetId="16" hidden="1">100</definedName>
    <definedName name="solver_ssz" localSheetId="15" hidden="1">100</definedName>
    <definedName name="solver_ssz" localSheetId="17" hidden="1">100</definedName>
    <definedName name="solver_ssz" localSheetId="13" hidden="1">100</definedName>
    <definedName name="solver_ssz" localSheetId="14" hidden="1">100</definedName>
    <definedName name="solver_tim" localSheetId="16" hidden="1">2147483647</definedName>
    <definedName name="solver_tim" localSheetId="15" hidden="1">2147483647</definedName>
    <definedName name="solver_tim" localSheetId="17" hidden="1">2147483647</definedName>
    <definedName name="solver_tim" localSheetId="13" hidden="1">2147483647</definedName>
    <definedName name="solver_tim" localSheetId="14" hidden="1">2147483647</definedName>
    <definedName name="solver_tol" localSheetId="16" hidden="1">0.01</definedName>
    <definedName name="solver_tol" localSheetId="15" hidden="1">0.01</definedName>
    <definedName name="solver_tol" localSheetId="17" hidden="1">0.01</definedName>
    <definedName name="solver_tol" localSheetId="13" hidden="1">0.01</definedName>
    <definedName name="solver_tol" localSheetId="14" hidden="1">0.01</definedName>
    <definedName name="solver_typ" localSheetId="16" hidden="1">2</definedName>
    <definedName name="solver_typ" localSheetId="15" hidden="1">2</definedName>
    <definedName name="solver_typ" localSheetId="17" hidden="1">2</definedName>
    <definedName name="solver_typ" localSheetId="13" hidden="1">2</definedName>
    <definedName name="solver_typ" localSheetId="14" hidden="1">2</definedName>
    <definedName name="solver_val" localSheetId="16" hidden="1">0</definedName>
    <definedName name="solver_val" localSheetId="15" hidden="1">0</definedName>
    <definedName name="solver_val" localSheetId="17" hidden="1">0</definedName>
    <definedName name="solver_val" localSheetId="13" hidden="1">0</definedName>
    <definedName name="solver_val" localSheetId="14" hidden="1">0</definedName>
    <definedName name="solver_ver" localSheetId="16" hidden="1">3</definedName>
    <definedName name="solver_ver" localSheetId="15" hidden="1">3</definedName>
    <definedName name="solver_ver" localSheetId="17" hidden="1">3</definedName>
    <definedName name="solver_ver" localSheetId="13" hidden="1">3</definedName>
    <definedName name="solver_ver" localSheetId="14" hidden="1">3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40" l="1"/>
  <c r="B6" i="40"/>
  <c r="B5" i="40"/>
  <c r="V3" i="2" a="1"/>
  <c r="V3" i="2" s="1"/>
  <c r="O3" i="2" a="1"/>
  <c r="O3" i="2" s="1"/>
  <c r="H3" i="2" a="1"/>
  <c r="H3" i="2" s="1"/>
  <c r="D1" i="42"/>
  <c r="E1" i="42"/>
  <c r="E4" i="42"/>
  <c r="E6" i="42"/>
  <c r="E5" i="42"/>
  <c r="E3" i="42"/>
  <c r="E2" i="42"/>
  <c r="D6" i="42"/>
  <c r="D5" i="42"/>
  <c r="D4" i="42"/>
  <c r="D3" i="42"/>
  <c r="D2" i="42"/>
  <c r="C6" i="42"/>
  <c r="C5" i="42"/>
  <c r="C4" i="42"/>
  <c r="C3" i="42"/>
  <c r="C2" i="42"/>
  <c r="C1" i="42"/>
  <c r="H12" i="9" a="1"/>
  <c r="H4" i="9" a="1"/>
  <c r="H20" i="9" a="1"/>
  <c r="C6" i="40" a="1"/>
  <c r="C5" i="40" a="1"/>
  <c r="C4" i="40" a="1"/>
  <c r="C4" i="40" l="1"/>
  <c r="C5" i="40"/>
  <c r="C6" i="40"/>
  <c r="H4" i="9"/>
  <c r="H12" i="9"/>
  <c r="H20" i="9"/>
  <c r="H2" i="42"/>
  <c r="H5" i="42"/>
  <c r="H9" i="19" l="1"/>
  <c r="H10" i="19"/>
  <c r="H4" i="42" l="1"/>
  <c r="H3" i="42"/>
  <c r="H1" i="42"/>
  <c r="B2" i="25"/>
  <c r="AC2" i="34" l="1"/>
  <c r="P2" i="34"/>
  <c r="C2" i="34"/>
  <c r="AB4" i="34"/>
  <c r="O4" i="34"/>
  <c r="B4" i="34"/>
  <c r="AD2" i="34"/>
  <c r="Q2" i="34"/>
  <c r="D2" i="34"/>
  <c r="AC2" i="33"/>
  <c r="P2" i="33"/>
  <c r="C2" i="33"/>
  <c r="AB4" i="33"/>
  <c r="O4" i="33"/>
  <c r="B4" i="33"/>
  <c r="AD2" i="33"/>
  <c r="Q2" i="33"/>
  <c r="O3" i="33" s="1"/>
  <c r="D2" i="33"/>
  <c r="B3" i="33" s="1"/>
  <c r="AC2" i="32"/>
  <c r="P2" i="32"/>
  <c r="C2" i="32"/>
  <c r="AB4" i="32"/>
  <c r="O4" i="32"/>
  <c r="B4" i="32"/>
  <c r="AD2" i="32"/>
  <c r="Q2" i="32"/>
  <c r="D2" i="32"/>
  <c r="AB4" i="31"/>
  <c r="O4" i="31"/>
  <c r="B4" i="31"/>
  <c r="AB4" i="20"/>
  <c r="O4" i="20"/>
  <c r="B4" i="20"/>
  <c r="P2" i="31"/>
  <c r="AC2" i="31"/>
  <c r="C2" i="31"/>
  <c r="AD2" i="31"/>
  <c r="AB3" i="31" s="1"/>
  <c r="Q2" i="31"/>
  <c r="O3" i="31" s="1"/>
  <c r="D2" i="31"/>
  <c r="Q2" i="20"/>
  <c r="O3" i="20" s="1"/>
  <c r="AD2" i="20"/>
  <c r="D2" i="20"/>
  <c r="AC2" i="20"/>
  <c r="P2" i="20"/>
  <c r="B3" i="20"/>
  <c r="C2" i="20"/>
  <c r="H2" i="20" a="1"/>
  <c r="U2" i="33" a="1"/>
  <c r="AH2" i="31" a="1"/>
  <c r="H2" i="33" a="1"/>
  <c r="U2" i="20" a="1"/>
  <c r="U2" i="31" a="1"/>
  <c r="B3" i="31" l="1"/>
  <c r="AB3" i="33"/>
  <c r="B3" i="32"/>
  <c r="O3" i="32"/>
  <c r="AB3" i="32"/>
  <c r="B3" i="34"/>
  <c r="O3" i="34"/>
  <c r="AB3" i="20"/>
  <c r="AB3" i="34"/>
  <c r="K2" i="33"/>
  <c r="K3" i="33" s="1"/>
  <c r="H2" i="33"/>
  <c r="H3" i="33" s="1"/>
  <c r="I2" i="33"/>
  <c r="I3" i="33" s="1"/>
  <c r="J2" i="33"/>
  <c r="J3" i="33" s="1"/>
  <c r="L2" i="33"/>
  <c r="L3" i="33" s="1"/>
  <c r="X2" i="33"/>
  <c r="X3" i="33" s="1"/>
  <c r="U2" i="33"/>
  <c r="U3" i="33" s="1"/>
  <c r="V2" i="33"/>
  <c r="V3" i="33" s="1"/>
  <c r="W2" i="33"/>
  <c r="W3" i="33" s="1"/>
  <c r="Y2" i="33"/>
  <c r="Y3" i="33" s="1"/>
  <c r="U2" i="31"/>
  <c r="U3" i="31" s="1"/>
  <c r="V2" i="31"/>
  <c r="V3" i="31" s="1"/>
  <c r="W2" i="31"/>
  <c r="W3" i="31" s="1"/>
  <c r="X2" i="31"/>
  <c r="X3" i="31" s="1"/>
  <c r="Y2" i="31"/>
  <c r="Y3" i="31" s="1"/>
  <c r="AH2" i="31"/>
  <c r="AH3" i="31" s="1"/>
  <c r="AI2" i="31"/>
  <c r="AI3" i="31" s="1"/>
  <c r="AJ2" i="31"/>
  <c r="AJ3" i="31" s="1"/>
  <c r="AK2" i="31"/>
  <c r="AK3" i="31" s="1"/>
  <c r="AL2" i="31"/>
  <c r="AL3" i="31" s="1"/>
  <c r="V2" i="20"/>
  <c r="V3" i="20" s="1"/>
  <c r="W2" i="20"/>
  <c r="W3" i="20" s="1"/>
  <c r="X2" i="20"/>
  <c r="X3" i="20" s="1"/>
  <c r="Y2" i="20"/>
  <c r="Y3" i="20" s="1"/>
  <c r="U2" i="20"/>
  <c r="U3" i="20" s="1"/>
  <c r="H2" i="20"/>
  <c r="I2" i="20"/>
  <c r="J2" i="20"/>
  <c r="K2" i="20"/>
  <c r="L2" i="20"/>
  <c r="H2" i="31" a="1"/>
  <c r="AH2" i="33" a="1"/>
  <c r="U5" i="31" a="1"/>
  <c r="H5" i="33" a="1"/>
  <c r="H2" i="32" a="1"/>
  <c r="U5" i="20" a="1"/>
  <c r="U2" i="32" a="1"/>
  <c r="AH2" i="32" a="1"/>
  <c r="U5" i="33" a="1"/>
  <c r="H2" i="34" a="1"/>
  <c r="U2" i="34" a="1"/>
  <c r="AH5" i="31" a="1"/>
  <c r="AH2" i="20" a="1"/>
  <c r="AH2" i="34" a="1"/>
  <c r="AH2" i="34" l="1"/>
  <c r="AH3" i="34" s="1"/>
  <c r="AI2" i="34"/>
  <c r="AI3" i="34" s="1"/>
  <c r="AJ2" i="34"/>
  <c r="AJ3" i="34" s="1"/>
  <c r="AK2" i="34"/>
  <c r="AK3" i="34" s="1"/>
  <c r="AL2" i="34"/>
  <c r="AL3" i="34" s="1"/>
  <c r="AI2" i="20"/>
  <c r="AI3" i="20" s="1"/>
  <c r="AJ2" i="20"/>
  <c r="AJ3" i="20" s="1"/>
  <c r="AK2" i="20"/>
  <c r="AK3" i="20" s="1"/>
  <c r="AL2" i="20"/>
  <c r="AL3" i="20" s="1"/>
  <c r="AH2" i="20"/>
  <c r="AH3" i="20" s="1"/>
  <c r="U2" i="34"/>
  <c r="U3" i="34" s="1"/>
  <c r="V2" i="34"/>
  <c r="V3" i="34" s="1"/>
  <c r="W2" i="34"/>
  <c r="W3" i="34" s="1"/>
  <c r="X2" i="34"/>
  <c r="X3" i="34" s="1"/>
  <c r="Y2" i="34"/>
  <c r="Y3" i="34" s="1"/>
  <c r="K2" i="34"/>
  <c r="K3" i="34" s="1"/>
  <c r="L2" i="34"/>
  <c r="L3" i="34" s="1"/>
  <c r="H2" i="34"/>
  <c r="H3" i="34" s="1"/>
  <c r="I2" i="34"/>
  <c r="I3" i="34" s="1"/>
  <c r="J2" i="34"/>
  <c r="J3" i="34" s="1"/>
  <c r="AK2" i="32"/>
  <c r="AK3" i="32" s="1"/>
  <c r="AL2" i="32"/>
  <c r="AL3" i="32" s="1"/>
  <c r="AH2" i="32"/>
  <c r="AH3" i="32" s="1"/>
  <c r="AI2" i="32"/>
  <c r="AI3" i="32" s="1"/>
  <c r="AJ2" i="32"/>
  <c r="AJ3" i="32" s="1"/>
  <c r="U2" i="32"/>
  <c r="U3" i="32" s="1"/>
  <c r="V2" i="32"/>
  <c r="V3" i="32" s="1"/>
  <c r="W2" i="32"/>
  <c r="W3" i="32" s="1"/>
  <c r="X2" i="32"/>
  <c r="X3" i="32" s="1"/>
  <c r="Y2" i="32"/>
  <c r="Y3" i="32" s="1"/>
  <c r="L2" i="32"/>
  <c r="L3" i="32" s="1"/>
  <c r="H2" i="32"/>
  <c r="H3" i="32" s="1"/>
  <c r="I2" i="32"/>
  <c r="I3" i="32" s="1"/>
  <c r="K2" i="32"/>
  <c r="K3" i="32" s="1"/>
  <c r="J2" i="32"/>
  <c r="J3" i="32" s="1"/>
  <c r="AI2" i="33"/>
  <c r="AI3" i="33" s="1"/>
  <c r="AK2" i="33"/>
  <c r="AK3" i="33" s="1"/>
  <c r="AJ2" i="33"/>
  <c r="AJ3" i="33" s="1"/>
  <c r="AL2" i="33"/>
  <c r="AL3" i="33" s="1"/>
  <c r="AH2" i="33"/>
  <c r="AH3" i="33" s="1"/>
  <c r="I2" i="31"/>
  <c r="I3" i="31" s="1"/>
  <c r="H2" i="31"/>
  <c r="H3" i="31" s="1"/>
  <c r="J2" i="31"/>
  <c r="J3" i="31" s="1"/>
  <c r="K2" i="31"/>
  <c r="K3" i="31" s="1"/>
  <c r="L2" i="31"/>
  <c r="L3" i="31" s="1"/>
  <c r="H5" i="33"/>
  <c r="I5" i="33"/>
  <c r="J5" i="33"/>
  <c r="K5" i="33"/>
  <c r="L5" i="33"/>
  <c r="U5" i="33"/>
  <c r="V5" i="33"/>
  <c r="W5" i="33"/>
  <c r="X5" i="33"/>
  <c r="Y5" i="33"/>
  <c r="U5" i="31"/>
  <c r="V5" i="31"/>
  <c r="W5" i="31"/>
  <c r="X5" i="31"/>
  <c r="Y5" i="31"/>
  <c r="AH5" i="31"/>
  <c r="AI5" i="31"/>
  <c r="AJ5" i="31"/>
  <c r="AK5" i="31"/>
  <c r="AL5" i="31"/>
  <c r="U5" i="20"/>
  <c r="V5" i="20"/>
  <c r="W5" i="20"/>
  <c r="X5" i="20"/>
  <c r="Y5" i="20"/>
  <c r="Q42" i="33" a="1"/>
  <c r="Q81" i="31" a="1"/>
  <c r="Q109" i="20" a="1"/>
  <c r="Q38" i="31" a="1"/>
  <c r="Q79" i="20" a="1"/>
  <c r="Q108" i="31" a="1"/>
  <c r="Q17" i="33" a="1"/>
  <c r="AD47" i="31" a="1"/>
  <c r="D16" i="33" a="1"/>
  <c r="Q66" i="31" a="1"/>
  <c r="Q55" i="20" a="1"/>
  <c r="D40" i="33" a="1"/>
  <c r="Q26" i="31" a="1"/>
  <c r="Q30" i="20" a="1"/>
  <c r="Q84" i="31" a="1"/>
  <c r="D39" i="33" a="1"/>
  <c r="Q31" i="33" a="1"/>
  <c r="AD9" i="31" a="1"/>
  <c r="Q119" i="31" a="1"/>
  <c r="Q67" i="20" a="1"/>
  <c r="AD88" i="31" a="1"/>
  <c r="Q47" i="20" a="1"/>
  <c r="AD92" i="31" a="1"/>
  <c r="Q85" i="31" a="1"/>
  <c r="Q32" i="31" a="1"/>
  <c r="AD17" i="31" a="1"/>
  <c r="Q28" i="20" a="1"/>
  <c r="D38" i="33" a="1"/>
  <c r="Q101" i="31" a="1"/>
  <c r="D12" i="33" a="1"/>
  <c r="D28" i="33" a="1"/>
  <c r="Q116" i="31" a="1"/>
  <c r="AD19" i="31" a="1"/>
  <c r="D31" i="33" a="1"/>
  <c r="Q28" i="31" a="1"/>
  <c r="AD94" i="31" a="1"/>
  <c r="Q115" i="20" a="1"/>
  <c r="AD30" i="31" a="1"/>
  <c r="Q83" i="31" a="1"/>
  <c r="AD62" i="31" a="1"/>
  <c r="Q15" i="31" a="1"/>
  <c r="Q37" i="20" a="1"/>
  <c r="AD14" i="31" a="1"/>
  <c r="Q19" i="31" a="1"/>
  <c r="Q100" i="31" a="1"/>
  <c r="Q70" i="31" a="1"/>
  <c r="Q37" i="33" a="1"/>
  <c r="Q45" i="31" a="1"/>
  <c r="AD29" i="31" a="1"/>
  <c r="Q87" i="31" a="1"/>
  <c r="Q77" i="20" a="1"/>
  <c r="Q79" i="31" a="1"/>
  <c r="Q45" i="20" a="1"/>
  <c r="Q35" i="31" a="1"/>
  <c r="AD33" i="31" a="1"/>
  <c r="Q111" i="20" a="1"/>
  <c r="AD69" i="31" a="1"/>
  <c r="AD39" i="31" a="1"/>
  <c r="Q99" i="20" a="1"/>
  <c r="Q95" i="20" a="1"/>
  <c r="Q107" i="31" a="1"/>
  <c r="Q39" i="31" a="1"/>
  <c r="Q46" i="33" a="1"/>
  <c r="U5" i="34" a="1"/>
  <c r="AH5" i="33" a="1"/>
  <c r="Q112" i="20" a="1"/>
  <c r="Q33" i="33" a="1"/>
  <c r="D55" i="33" a="1"/>
  <c r="Q95" i="31" a="1"/>
  <c r="Q41" i="31" a="1"/>
  <c r="AD41" i="31" a="1"/>
  <c r="Q18" i="31" a="1"/>
  <c r="D18" i="33" a="1"/>
  <c r="Q91" i="31" a="1"/>
  <c r="Q11" i="31" a="1"/>
  <c r="Q116" i="20" a="1"/>
  <c r="Q90" i="20" a="1"/>
  <c r="Q92" i="31" a="1"/>
  <c r="AD54" i="31" a="1"/>
  <c r="Q26" i="20" a="1"/>
  <c r="AD80" i="31" a="1"/>
  <c r="Q25" i="33" a="1"/>
  <c r="Q97" i="20" a="1"/>
  <c r="Q71" i="20" a="1"/>
  <c r="Q76" i="31" a="1"/>
  <c r="Q121" i="31" a="1"/>
  <c r="Q22" i="20" a="1"/>
  <c r="Q51" i="31" a="1"/>
  <c r="Q23" i="31" a="1"/>
  <c r="Q11" i="33" a="1"/>
  <c r="Q49" i="31" a="1"/>
  <c r="Q43" i="33" a="1"/>
  <c r="Q45" i="33" a="1"/>
  <c r="Q94" i="31" a="1"/>
  <c r="Q107" i="20" a="1"/>
  <c r="AD75" i="31" a="1"/>
  <c r="Q40" i="31" a="1"/>
  <c r="Q92" i="20" a="1"/>
  <c r="D43" i="33" a="1"/>
  <c r="Q9" i="31" a="1"/>
  <c r="Q64" i="31" a="1"/>
  <c r="Q56" i="20" a="1"/>
  <c r="Q113" i="31" a="1"/>
  <c r="Q98" i="20" a="1"/>
  <c r="Q70" i="20" a="1"/>
  <c r="AD79" i="31" a="1"/>
  <c r="D42" i="33" a="1"/>
  <c r="Q16" i="20" a="1"/>
  <c r="Q34" i="31" a="1"/>
  <c r="Q63" i="31" a="1"/>
  <c r="Q41" i="33" a="1"/>
  <c r="Q61" i="31" a="1"/>
  <c r="Q73" i="20" a="1"/>
  <c r="Q42" i="31" a="1"/>
  <c r="AD99" i="31" a="1"/>
  <c r="Q15" i="33" a="1"/>
  <c r="Q24" i="20" a="1"/>
  <c r="Q103" i="31" a="1"/>
  <c r="AD66" i="31" a="1"/>
  <c r="Q14" i="20" a="1"/>
  <c r="Q22" i="33" a="1"/>
  <c r="Q87" i="20" a="1"/>
  <c r="Q43" i="31" a="1"/>
  <c r="Q104" i="31" a="1"/>
  <c r="D24" i="33" a="1"/>
  <c r="Q101" i="20" a="1"/>
  <c r="Q42" i="20" a="1"/>
  <c r="D25" i="33" a="1"/>
  <c r="AD59" i="31" a="1"/>
  <c r="D35" i="33" a="1"/>
  <c r="Q13" i="31" a="1"/>
  <c r="AD61" i="31" a="1"/>
  <c r="Q120" i="31" a="1"/>
  <c r="Q89" i="20" a="1"/>
  <c r="Q44" i="33" a="1"/>
  <c r="Q17" i="31" a="1"/>
  <c r="Q112" i="31" a="1"/>
  <c r="AD51" i="31" a="1"/>
  <c r="Q73" i="31" a="1"/>
  <c r="AH5" i="34" a="1"/>
  <c r="H5" i="34" a="1"/>
  <c r="Q89" i="31" a="1"/>
  <c r="Q29" i="31" a="1"/>
  <c r="Q31" i="31" a="1"/>
  <c r="AD91" i="31" a="1"/>
  <c r="AD32" i="31" a="1"/>
  <c r="Q27" i="31" a="1"/>
  <c r="AD26" i="31" a="1"/>
  <c r="D14" i="33" a="1"/>
  <c r="D34" i="33" a="1"/>
  <c r="Q48" i="31" a="1"/>
  <c r="AD96" i="31" a="1"/>
  <c r="D36" i="33" a="1"/>
  <c r="Q31" i="20" a="1"/>
  <c r="Q68" i="20" a="1"/>
  <c r="D21" i="33" a="1"/>
  <c r="Q71" i="31" a="1"/>
  <c r="D10" i="33" a="1"/>
  <c r="AD72" i="31" a="1"/>
  <c r="Q102" i="31" a="1"/>
  <c r="Q82" i="31" a="1"/>
  <c r="AD44" i="31" a="1"/>
  <c r="U5" i="32" a="1"/>
  <c r="Q35" i="33" a="1"/>
  <c r="AD13" i="31" a="1"/>
  <c r="Q38" i="20" a="1"/>
  <c r="Q110" i="20" a="1"/>
  <c r="AD55" i="31" a="1"/>
  <c r="Q117" i="20" a="1"/>
  <c r="Q26" i="33" a="1"/>
  <c r="Q96" i="20" a="1"/>
  <c r="Q118" i="31" a="1"/>
  <c r="AD78" i="31" a="1"/>
  <c r="Q82" i="20" a="1"/>
  <c r="Q9" i="20" a="1"/>
  <c r="Q36" i="31" a="1"/>
  <c r="Q20" i="20" a="1"/>
  <c r="AD56" i="31" a="1"/>
  <c r="Q36" i="20" a="1"/>
  <c r="Q114" i="20" a="1"/>
  <c r="Q50" i="20" a="1"/>
  <c r="Q106" i="31" a="1"/>
  <c r="D37" i="33" a="1"/>
  <c r="Q46" i="20" a="1"/>
  <c r="D46" i="33" a="1"/>
  <c r="Q13" i="20" a="1"/>
  <c r="Q113" i="20" a="1"/>
  <c r="AD34" i="31" a="1"/>
  <c r="Q32" i="20" a="1"/>
  <c r="Q86" i="31" a="1"/>
  <c r="D15" i="33" a="1"/>
  <c r="Q16" i="33" a="1"/>
  <c r="Q88" i="20" a="1"/>
  <c r="Q69" i="20" a="1"/>
  <c r="Q106" i="20" a="1"/>
  <c r="AD35" i="31" a="1"/>
  <c r="Q58" i="20" a="1"/>
  <c r="Q44" i="20" a="1"/>
  <c r="Q54" i="31" a="1"/>
  <c r="Q105" i="31" a="1"/>
  <c r="Q33" i="31" a="1"/>
  <c r="Q51" i="20" a="1"/>
  <c r="Q63" i="20" a="1"/>
  <c r="AD45" i="31" a="1"/>
  <c r="Q118" i="20" a="1"/>
  <c r="AD52" i="31" a="1"/>
  <c r="D51" i="33" a="1"/>
  <c r="H5" i="32" a="1"/>
  <c r="Q102" i="20" a="1"/>
  <c r="AD12" i="31" a="1"/>
  <c r="Q111" i="31" a="1"/>
  <c r="Q54" i="20" a="1"/>
  <c r="Q62" i="31" a="1"/>
  <c r="Q40" i="33" a="1"/>
  <c r="AD71" i="31" a="1"/>
  <c r="AD37" i="31" a="1"/>
  <c r="Q105" i="20" a="1"/>
  <c r="D26" i="33" a="1"/>
  <c r="Q64" i="20" a="1"/>
  <c r="Q77" i="31" a="1"/>
  <c r="Q108" i="20" a="1"/>
  <c r="AD82" i="31" a="1"/>
  <c r="Q57" i="20" a="1"/>
  <c r="Q65" i="20" a="1"/>
  <c r="Q17" i="20" a="1"/>
  <c r="AD38" i="31" a="1"/>
  <c r="Q29" i="33" a="1"/>
  <c r="Q33" i="20" a="1"/>
  <c r="AD48" i="31" a="1"/>
  <c r="AD74" i="31" a="1"/>
  <c r="AD76" i="31" a="1"/>
  <c r="Q60" i="20" a="1"/>
  <c r="AD86" i="31" a="1"/>
  <c r="D17" i="33" a="1"/>
  <c r="AD25" i="31" a="1"/>
  <c r="D53" i="33" a="1"/>
  <c r="Q86" i="20" a="1"/>
  <c r="Q68" i="31" a="1"/>
  <c r="Q35" i="20" a="1"/>
  <c r="AD40" i="31" a="1"/>
  <c r="D19" i="33" a="1"/>
  <c r="D20" i="33" a="1"/>
  <c r="AD87" i="31" a="1"/>
  <c r="AD15" i="31" a="1"/>
  <c r="AD31" i="31" a="1"/>
  <c r="Q30" i="33" a="1"/>
  <c r="Q12" i="33" a="1"/>
  <c r="Q37" i="31" a="1"/>
  <c r="Q10" i="31" a="1"/>
  <c r="D13" i="33" a="1"/>
  <c r="Q97" i="31" a="1"/>
  <c r="Q72" i="20" a="1"/>
  <c r="D33" i="33" a="1"/>
  <c r="AD84" i="31" a="1"/>
  <c r="Q38" i="33" a="1"/>
  <c r="Q52" i="20" a="1"/>
  <c r="Q21" i="31" a="1"/>
  <c r="Q93" i="31" a="1"/>
  <c r="AD83" i="31" a="1"/>
  <c r="Q12" i="31" a="1"/>
  <c r="Q34" i="33" a="1"/>
  <c r="Q75" i="20" a="1"/>
  <c r="Q80" i="20" a="1"/>
  <c r="Q22" i="31" a="1"/>
  <c r="AD63" i="31" a="1"/>
  <c r="Q20" i="31" a="1"/>
  <c r="Q55" i="31" a="1"/>
  <c r="Q56" i="31" a="1"/>
  <c r="AD97" i="31" a="1"/>
  <c r="AD81" i="31" a="1"/>
  <c r="AD57" i="31" a="1"/>
  <c r="AD77" i="31" a="1"/>
  <c r="Q53" i="20" a="1"/>
  <c r="AH5" i="20" a="1"/>
  <c r="H5" i="31" a="1"/>
  <c r="AD23" i="31" a="1"/>
  <c r="AD58" i="31" a="1"/>
  <c r="D23" i="33" a="1"/>
  <c r="Q72" i="31" a="1"/>
  <c r="Q93" i="20" a="1"/>
  <c r="Q81" i="20" a="1"/>
  <c r="D48" i="33" a="1"/>
  <c r="AD43" i="31" a="1"/>
  <c r="D22" i="33" a="1"/>
  <c r="AD64" i="31" a="1"/>
  <c r="Q23" i="20" a="1"/>
  <c r="Q18" i="33" a="1"/>
  <c r="Q88" i="31" a="1"/>
  <c r="Q44" i="31" a="1"/>
  <c r="Q32" i="33" a="1"/>
  <c r="Q21" i="20" a="1"/>
  <c r="Q18" i="20" a="1"/>
  <c r="AD60" i="31" a="1"/>
  <c r="AD98" i="31" a="1"/>
  <c r="AD11" i="31" a="1"/>
  <c r="Q19" i="20" a="1"/>
  <c r="Q75" i="31" a="1"/>
  <c r="AD90" i="31" a="1"/>
  <c r="AD22" i="31" a="1"/>
  <c r="Q83" i="20" a="1"/>
  <c r="Q90" i="31" a="1"/>
  <c r="D30" i="33" a="1"/>
  <c r="Q98" i="31" a="1"/>
  <c r="Q27" i="33" a="1"/>
  <c r="Q85" i="20" a="1"/>
  <c r="Q103" i="20" a="1"/>
  <c r="Q27" i="20" a="1"/>
  <c r="Q20" i="33" a="1"/>
  <c r="Q109" i="31" a="1"/>
  <c r="AD27" i="31" a="1"/>
  <c r="Q110" i="31" a="1"/>
  <c r="Q59" i="31" a="1"/>
  <c r="Q53" i="31" a="1"/>
  <c r="Q19" i="33" a="1"/>
  <c r="Q76" i="20" a="1"/>
  <c r="D49" i="33" a="1"/>
  <c r="D41" i="33" a="1"/>
  <c r="Q14" i="31" a="1"/>
  <c r="Q96" i="31" a="1"/>
  <c r="AH5" i="32" a="1"/>
  <c r="Q69" i="31" a="1"/>
  <c r="Q12" i="20" a="1"/>
  <c r="Q84" i="20" a="1"/>
  <c r="Q30" i="31" a="1"/>
  <c r="AD95" i="31" a="1"/>
  <c r="Q48" i="20" a="1"/>
  <c r="Q40" i="20" a="1"/>
  <c r="D9" i="33" a="1"/>
  <c r="D45" i="33" a="1"/>
  <c r="Q49" i="20" a="1"/>
  <c r="D50" i="33" a="1"/>
  <c r="Q50" i="31" a="1"/>
  <c r="D52" i="33" a="1"/>
  <c r="AD50" i="31" a="1"/>
  <c r="AD20" i="31" a="1"/>
  <c r="AD10" i="31" a="1"/>
  <c r="Q43" i="20" a="1"/>
  <c r="Q10" i="20" a="1"/>
  <c r="AD65" i="31" a="1"/>
  <c r="D27" i="33" a="1"/>
  <c r="AD21" i="31" a="1"/>
  <c r="D44" i="33" a="1"/>
  <c r="Q60" i="31" a="1"/>
  <c r="Q80" i="31" a="1"/>
  <c r="Q58" i="31" a="1"/>
  <c r="Q28" i="33" a="1"/>
  <c r="Q39" i="33" a="1"/>
  <c r="Q16" i="31" a="1"/>
  <c r="Q74" i="20" a="1"/>
  <c r="Q11" i="20" a="1"/>
  <c r="Q24" i="31" a="1"/>
  <c r="Q74" i="31" a="1"/>
  <c r="AD70" i="31" a="1"/>
  <c r="Q47" i="33" a="1"/>
  <c r="Q57" i="31" a="1"/>
  <c r="Q24" i="33" a="1"/>
  <c r="Q115" i="31" a="1"/>
  <c r="Q99" i="31" a="1"/>
  <c r="Q78" i="20" a="1"/>
  <c r="Q23" i="33" a="1"/>
  <c r="Q47" i="31" a="1"/>
  <c r="D32" i="33" a="1"/>
  <c r="AD85" i="31" a="1"/>
  <c r="AD53" i="31" a="1"/>
  <c r="Q25" i="31" a="1"/>
  <c r="Q62" i="20" a="1"/>
  <c r="AD93" i="31" a="1"/>
  <c r="D56" i="33" a="1"/>
  <c r="D54" i="33" a="1"/>
  <c r="Q10" i="33" a="1"/>
  <c r="D29" i="33" a="1"/>
  <c r="AD49" i="31" a="1"/>
  <c r="Q25" i="20" a="1"/>
  <c r="AD36" i="31" a="1"/>
  <c r="Q61" i="20" a="1"/>
  <c r="Q36" i="33" a="1"/>
  <c r="AD73" i="31" a="1"/>
  <c r="AD68" i="31" a="1"/>
  <c r="D11" i="33" a="1"/>
  <c r="Q41" i="20" a="1"/>
  <c r="Q14" i="33" a="1"/>
  <c r="AD42" i="31" a="1"/>
  <c r="Q34" i="20" a="1"/>
  <c r="AD46" i="31" a="1"/>
  <c r="Q67" i="31" a="1"/>
  <c r="Q66" i="20" a="1"/>
  <c r="Q100" i="20" a="1"/>
  <c r="Q46" i="31" a="1"/>
  <c r="Q65" i="31" a="1"/>
  <c r="Q13" i="33" a="1"/>
  <c r="Q39" i="20" a="1"/>
  <c r="Q59" i="20" a="1"/>
  <c r="Q94" i="20" a="1"/>
  <c r="AD16" i="31" a="1"/>
  <c r="AD24" i="31" a="1"/>
  <c r="Q91" i="20" a="1"/>
  <c r="Q104" i="20" a="1"/>
  <c r="AD89" i="31" a="1"/>
  <c r="Q21" i="33" a="1"/>
  <c r="AD28" i="31" a="1"/>
  <c r="Q52" i="31" a="1"/>
  <c r="Q117" i="31" a="1"/>
  <c r="Q78" i="31" a="1"/>
  <c r="Q114" i="31" a="1"/>
  <c r="Q15" i="20" a="1"/>
  <c r="Q29" i="20" a="1"/>
  <c r="AD18" i="31" a="1"/>
  <c r="AD67" i="31" a="1"/>
  <c r="D47" i="33" a="1"/>
  <c r="Q9" i="33" a="1"/>
  <c r="AI5" i="32" l="1"/>
  <c r="AJ5" i="32"/>
  <c r="AH5" i="32"/>
  <c r="AK5" i="32"/>
  <c r="AL5" i="32"/>
  <c r="L5" i="31"/>
  <c r="H5" i="31"/>
  <c r="I5" i="31"/>
  <c r="J5" i="31"/>
  <c r="K5" i="31"/>
  <c r="AK5" i="20"/>
  <c r="AL5" i="20"/>
  <c r="AH5" i="20"/>
  <c r="AI5" i="20"/>
  <c r="AJ5" i="20"/>
  <c r="H5" i="32"/>
  <c r="I5" i="32"/>
  <c r="J5" i="32"/>
  <c r="K5" i="32"/>
  <c r="L5" i="32"/>
  <c r="W5" i="32"/>
  <c r="U5" i="32"/>
  <c r="V5" i="32"/>
  <c r="X5" i="32"/>
  <c r="Y5" i="32"/>
  <c r="H5" i="34"/>
  <c r="I5" i="34"/>
  <c r="J5" i="34"/>
  <c r="K5" i="34"/>
  <c r="L5" i="34"/>
  <c r="AH5" i="34"/>
  <c r="C5" i="35" s="1" a="1"/>
  <c r="C5" i="35" s="1"/>
  <c r="AI5" i="34"/>
  <c r="AJ5" i="34"/>
  <c r="AK5" i="34"/>
  <c r="AL5" i="34"/>
  <c r="AH5" i="33"/>
  <c r="C4" i="35" s="1" a="1"/>
  <c r="C4" i="35" s="1"/>
  <c r="AI5" i="33"/>
  <c r="AJ5" i="33"/>
  <c r="AK5" i="33"/>
  <c r="AL5" i="33"/>
  <c r="X5" i="34"/>
  <c r="W5" i="34"/>
  <c r="Y5" i="34"/>
  <c r="U5" i="34"/>
  <c r="V5" i="34"/>
  <c r="C7" i="35" a="1"/>
  <c r="C7" i="35" s="1"/>
  <c r="C14" i="35" a="1"/>
  <c r="C14" i="35" s="1"/>
  <c r="C10" i="35" a="1"/>
  <c r="C10" i="35" s="1"/>
  <c r="C3" i="35" a="1"/>
  <c r="C3" i="35" s="1"/>
  <c r="C8" i="35" a="1"/>
  <c r="C8" i="35" s="1"/>
  <c r="C9" i="35" a="1"/>
  <c r="C9" i="35" s="1"/>
  <c r="C2" i="35" a="1"/>
  <c r="C2" i="35" s="1"/>
  <c r="C11" i="35" a="1"/>
  <c r="C11" i="35" s="1"/>
  <c r="C6" i="35" a="1"/>
  <c r="C6" i="35" s="1"/>
  <c r="C15" i="35" a="1"/>
  <c r="C15" i="35" s="1"/>
  <c r="C16" i="35" a="1"/>
  <c r="C16" i="35" s="1"/>
  <c r="C12" i="35" a="1"/>
  <c r="C12" i="35" s="1"/>
  <c r="D49" i="33"/>
  <c r="F49" i="33" s="1"/>
  <c r="D53" i="33"/>
  <c r="F53" i="33" s="1"/>
  <c r="D50" i="33"/>
  <c r="F50" i="33" s="1"/>
  <c r="D54" i="33"/>
  <c r="F54" i="33" s="1"/>
  <c r="D51" i="33"/>
  <c r="F51" i="33" s="1"/>
  <c r="D55" i="33"/>
  <c r="F55" i="33" s="1"/>
  <c r="D56" i="33"/>
  <c r="F56" i="33" s="1"/>
  <c r="D52" i="33"/>
  <c r="F52" i="33" s="1"/>
  <c r="Q40" i="33"/>
  <c r="S40" i="33" s="1"/>
  <c r="Q36" i="33"/>
  <c r="S36" i="33" s="1"/>
  <c r="Q32" i="33"/>
  <c r="S32" i="33" s="1"/>
  <c r="Q28" i="33"/>
  <c r="S28" i="33" s="1"/>
  <c r="Q24" i="33"/>
  <c r="S24" i="33" s="1"/>
  <c r="Q20" i="33"/>
  <c r="S20" i="33" s="1"/>
  <c r="Q16" i="33"/>
  <c r="S16" i="33" s="1"/>
  <c r="Q12" i="33"/>
  <c r="S12" i="33" s="1"/>
  <c r="Q46" i="33"/>
  <c r="S46" i="33" s="1"/>
  <c r="Q44" i="33"/>
  <c r="S44" i="33" s="1"/>
  <c r="Q41" i="33"/>
  <c r="S41" i="33" s="1"/>
  <c r="Q37" i="33"/>
  <c r="S37" i="33" s="1"/>
  <c r="Q33" i="33"/>
  <c r="S33" i="33" s="1"/>
  <c r="Q29" i="33"/>
  <c r="S29" i="33" s="1"/>
  <c r="Q25" i="33"/>
  <c r="S25" i="33" s="1"/>
  <c r="Q21" i="33"/>
  <c r="S21" i="33" s="1"/>
  <c r="Q17" i="33"/>
  <c r="S17" i="33" s="1"/>
  <c r="Q13" i="33"/>
  <c r="S13" i="33" s="1"/>
  <c r="Q9" i="33"/>
  <c r="S9" i="33" s="1"/>
  <c r="Q42" i="33"/>
  <c r="S42" i="33" s="1"/>
  <c r="Q38" i="33"/>
  <c r="S38" i="33" s="1"/>
  <c r="Q34" i="33"/>
  <c r="S34" i="33" s="1"/>
  <c r="Q30" i="33"/>
  <c r="S30" i="33" s="1"/>
  <c r="Q26" i="33"/>
  <c r="S26" i="33" s="1"/>
  <c r="Q22" i="33"/>
  <c r="S22" i="33" s="1"/>
  <c r="Q18" i="33"/>
  <c r="S18" i="33" s="1"/>
  <c r="Q14" i="33"/>
  <c r="S14" i="33" s="1"/>
  <c r="Q10" i="33"/>
  <c r="S10" i="33" s="1"/>
  <c r="Q47" i="33"/>
  <c r="S47" i="33" s="1"/>
  <c r="Q45" i="33"/>
  <c r="S45" i="33" s="1"/>
  <c r="Q43" i="33"/>
  <c r="S43" i="33" s="1"/>
  <c r="Q39" i="33"/>
  <c r="S39" i="33" s="1"/>
  <c r="Q35" i="33"/>
  <c r="S35" i="33" s="1"/>
  <c r="Q31" i="33"/>
  <c r="S31" i="33" s="1"/>
  <c r="Q27" i="33"/>
  <c r="S27" i="33" s="1"/>
  <c r="Q23" i="33"/>
  <c r="S23" i="33" s="1"/>
  <c r="Q19" i="33"/>
  <c r="S19" i="33" s="1"/>
  <c r="Q15" i="33"/>
  <c r="S15" i="33" s="1"/>
  <c r="Q11" i="33"/>
  <c r="S11" i="33" s="1"/>
  <c r="D47" i="33"/>
  <c r="F47" i="33" s="1"/>
  <c r="D45" i="33"/>
  <c r="F45" i="33" s="1"/>
  <c r="D43" i="33"/>
  <c r="F43" i="33" s="1"/>
  <c r="D39" i="33"/>
  <c r="F39" i="33" s="1"/>
  <c r="D35" i="33"/>
  <c r="F35" i="33" s="1"/>
  <c r="D31" i="33"/>
  <c r="F31" i="33" s="1"/>
  <c r="D27" i="33"/>
  <c r="F27" i="33" s="1"/>
  <c r="D23" i="33"/>
  <c r="F23" i="33" s="1"/>
  <c r="D19" i="33"/>
  <c r="F19" i="33" s="1"/>
  <c r="D15" i="33"/>
  <c r="F15" i="33" s="1"/>
  <c r="D11" i="33"/>
  <c r="F11" i="33" s="1"/>
  <c r="D40" i="33"/>
  <c r="F40" i="33" s="1"/>
  <c r="D36" i="33"/>
  <c r="F36" i="33" s="1"/>
  <c r="D32" i="33"/>
  <c r="F32" i="33" s="1"/>
  <c r="D28" i="33"/>
  <c r="F28" i="33" s="1"/>
  <c r="D24" i="33"/>
  <c r="F24" i="33" s="1"/>
  <c r="D20" i="33"/>
  <c r="F20" i="33" s="1"/>
  <c r="D16" i="33"/>
  <c r="F16" i="33" s="1"/>
  <c r="D12" i="33"/>
  <c r="F12" i="33" s="1"/>
  <c r="D46" i="33"/>
  <c r="F46" i="33" s="1"/>
  <c r="D44" i="33"/>
  <c r="F44" i="33" s="1"/>
  <c r="D41" i="33"/>
  <c r="F41" i="33" s="1"/>
  <c r="D37" i="33"/>
  <c r="F37" i="33" s="1"/>
  <c r="D33" i="33"/>
  <c r="F33" i="33" s="1"/>
  <c r="D29" i="33"/>
  <c r="F29" i="33" s="1"/>
  <c r="D25" i="33"/>
  <c r="F25" i="33" s="1"/>
  <c r="D21" i="33"/>
  <c r="F21" i="33" s="1"/>
  <c r="D17" i="33"/>
  <c r="F17" i="33" s="1"/>
  <c r="D13" i="33"/>
  <c r="F13" i="33" s="1"/>
  <c r="D9" i="33"/>
  <c r="F9" i="33" s="1"/>
  <c r="D48" i="33"/>
  <c r="F48" i="33" s="1"/>
  <c r="D42" i="33"/>
  <c r="F42" i="33" s="1"/>
  <c r="D38" i="33"/>
  <c r="F38" i="33" s="1"/>
  <c r="D34" i="33"/>
  <c r="F34" i="33" s="1"/>
  <c r="D30" i="33"/>
  <c r="F30" i="33" s="1"/>
  <c r="D26" i="33"/>
  <c r="F26" i="33" s="1"/>
  <c r="D22" i="33"/>
  <c r="F22" i="33" s="1"/>
  <c r="D18" i="33"/>
  <c r="F18" i="33" s="1"/>
  <c r="D14" i="33"/>
  <c r="F14" i="33" s="1"/>
  <c r="D10" i="33"/>
  <c r="F10" i="33" s="1"/>
  <c r="AD10" i="31"/>
  <c r="AD16" i="31"/>
  <c r="AF16" i="31" s="1"/>
  <c r="AD22" i="31"/>
  <c r="AF22" i="31" s="1"/>
  <c r="AD28" i="31"/>
  <c r="AF28" i="31" s="1"/>
  <c r="AD34" i="31"/>
  <c r="AF34" i="31" s="1"/>
  <c r="AD40" i="31"/>
  <c r="AF40" i="31" s="1"/>
  <c r="AD46" i="31"/>
  <c r="AF46" i="31" s="1"/>
  <c r="AD52" i="31"/>
  <c r="AF52" i="31" s="1"/>
  <c r="AD58" i="31"/>
  <c r="AF58" i="31" s="1"/>
  <c r="AD64" i="31"/>
  <c r="AF64" i="31" s="1"/>
  <c r="AD70" i="31"/>
  <c r="AF70" i="31" s="1"/>
  <c r="AD76" i="31"/>
  <c r="AF76" i="31" s="1"/>
  <c r="AD82" i="31"/>
  <c r="AF82" i="31" s="1"/>
  <c r="AD88" i="31"/>
  <c r="AF88" i="31" s="1"/>
  <c r="AD94" i="31"/>
  <c r="AF94" i="31" s="1"/>
  <c r="AD9" i="31"/>
  <c r="AF9" i="31" s="1"/>
  <c r="AD11" i="31"/>
  <c r="AF11" i="31" s="1"/>
  <c r="AD17" i="31"/>
  <c r="AF17" i="31" s="1"/>
  <c r="AD23" i="31"/>
  <c r="AF23" i="31" s="1"/>
  <c r="AD29" i="31"/>
  <c r="AF29" i="31" s="1"/>
  <c r="AD35" i="31"/>
  <c r="AF35" i="31" s="1"/>
  <c r="AD41" i="31"/>
  <c r="AF41" i="31" s="1"/>
  <c r="AD47" i="31"/>
  <c r="AF47" i="31" s="1"/>
  <c r="AD53" i="31"/>
  <c r="AF53" i="31" s="1"/>
  <c r="AD59" i="31"/>
  <c r="AF59" i="31" s="1"/>
  <c r="AD65" i="31"/>
  <c r="AF65" i="31" s="1"/>
  <c r="AD71" i="31"/>
  <c r="AF71" i="31" s="1"/>
  <c r="AD77" i="31"/>
  <c r="AF77" i="31" s="1"/>
  <c r="AD83" i="31"/>
  <c r="AF83" i="31" s="1"/>
  <c r="AD89" i="31"/>
  <c r="AF89" i="31" s="1"/>
  <c r="AD95" i="31"/>
  <c r="AF95" i="31" s="1"/>
  <c r="AD12" i="31"/>
  <c r="AF12" i="31" s="1"/>
  <c r="AD18" i="31"/>
  <c r="AF18" i="31" s="1"/>
  <c r="AD24" i="31"/>
  <c r="AF24" i="31" s="1"/>
  <c r="AD30" i="31"/>
  <c r="AF30" i="31" s="1"/>
  <c r="AD36" i="31"/>
  <c r="AF36" i="31" s="1"/>
  <c r="AD42" i="31"/>
  <c r="AD48" i="31"/>
  <c r="AF48" i="31" s="1"/>
  <c r="AD54" i="31"/>
  <c r="AF54" i="31" s="1"/>
  <c r="AD60" i="31"/>
  <c r="AF60" i="31" s="1"/>
  <c r="AD66" i="31"/>
  <c r="AF66" i="31" s="1"/>
  <c r="AD72" i="31"/>
  <c r="AF72" i="31" s="1"/>
  <c r="AD78" i="31"/>
  <c r="AF78" i="31" s="1"/>
  <c r="AD84" i="31"/>
  <c r="AF84" i="31" s="1"/>
  <c r="AD90" i="31"/>
  <c r="AF90" i="31" s="1"/>
  <c r="AD96" i="31"/>
  <c r="AF96" i="31" s="1"/>
  <c r="AD13" i="31"/>
  <c r="AF13" i="31" s="1"/>
  <c r="AD19" i="31"/>
  <c r="AF19" i="31" s="1"/>
  <c r="AD25" i="31"/>
  <c r="AF25" i="31" s="1"/>
  <c r="AD31" i="31"/>
  <c r="AF31" i="31" s="1"/>
  <c r="AD37" i="31"/>
  <c r="AF37" i="31" s="1"/>
  <c r="AD43" i="31"/>
  <c r="AF43" i="31" s="1"/>
  <c r="AD49" i="31"/>
  <c r="AF49" i="31" s="1"/>
  <c r="AD55" i="31"/>
  <c r="AF55" i="31" s="1"/>
  <c r="AD61" i="31"/>
  <c r="AF61" i="31" s="1"/>
  <c r="AD67" i="31"/>
  <c r="AF67" i="31" s="1"/>
  <c r="AD73" i="31"/>
  <c r="AF73" i="31" s="1"/>
  <c r="AD79" i="31"/>
  <c r="AF79" i="31" s="1"/>
  <c r="AD85" i="31"/>
  <c r="AF85" i="31" s="1"/>
  <c r="AD91" i="31"/>
  <c r="AF91" i="31" s="1"/>
  <c r="AD97" i="31"/>
  <c r="AF97" i="31" s="1"/>
  <c r="AD14" i="31"/>
  <c r="AF14" i="31" s="1"/>
  <c r="AD20" i="31"/>
  <c r="AF20" i="31" s="1"/>
  <c r="AD26" i="31"/>
  <c r="AF26" i="31" s="1"/>
  <c r="AD32" i="31"/>
  <c r="AF32" i="31" s="1"/>
  <c r="AD38" i="31"/>
  <c r="AF38" i="31" s="1"/>
  <c r="AD44" i="31"/>
  <c r="AF44" i="31" s="1"/>
  <c r="AD50" i="31"/>
  <c r="AF50" i="31" s="1"/>
  <c r="AD56" i="31"/>
  <c r="AF56" i="31" s="1"/>
  <c r="AD62" i="31"/>
  <c r="AF62" i="31" s="1"/>
  <c r="AD68" i="31"/>
  <c r="AF68" i="31" s="1"/>
  <c r="AD74" i="31"/>
  <c r="AF74" i="31" s="1"/>
  <c r="AD80" i="31"/>
  <c r="AF80" i="31" s="1"/>
  <c r="AD86" i="31"/>
  <c r="AF86" i="31" s="1"/>
  <c r="AD92" i="31"/>
  <c r="AF92" i="31" s="1"/>
  <c r="AD98" i="31"/>
  <c r="AF98" i="31" s="1"/>
  <c r="AD15" i="31"/>
  <c r="AF15" i="31" s="1"/>
  <c r="AD21" i="31"/>
  <c r="AF21" i="31" s="1"/>
  <c r="AD27" i="31"/>
  <c r="AF27" i="31" s="1"/>
  <c r="AD33" i="31"/>
  <c r="AF33" i="31" s="1"/>
  <c r="AD39" i="31"/>
  <c r="AF39" i="31" s="1"/>
  <c r="AD45" i="31"/>
  <c r="AF45" i="31" s="1"/>
  <c r="AD51" i="31"/>
  <c r="AF51" i="31" s="1"/>
  <c r="AD57" i="31"/>
  <c r="AF57" i="31" s="1"/>
  <c r="AD63" i="31"/>
  <c r="AD69" i="31"/>
  <c r="AF69" i="31" s="1"/>
  <c r="AD75" i="31"/>
  <c r="AF75" i="31" s="1"/>
  <c r="AD81" i="31"/>
  <c r="AD87" i="31"/>
  <c r="AF87" i="31" s="1"/>
  <c r="AD93" i="31"/>
  <c r="AF93" i="31" s="1"/>
  <c r="AD99" i="31"/>
  <c r="AF99" i="31" s="1"/>
  <c r="Q9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Q85" i="20"/>
  <c r="Q91" i="20"/>
  <c r="Q97" i="20"/>
  <c r="Q103" i="20"/>
  <c r="Q109" i="20"/>
  <c r="Q115" i="20"/>
  <c r="Q30" i="20"/>
  <c r="Q60" i="20"/>
  <c r="Q108" i="20"/>
  <c r="Q14" i="20"/>
  <c r="Q20" i="20"/>
  <c r="Q26" i="20"/>
  <c r="Q32" i="20"/>
  <c r="Q38" i="20"/>
  <c r="Q44" i="20"/>
  <c r="Q50" i="20"/>
  <c r="Q56" i="20"/>
  <c r="Q62" i="20"/>
  <c r="Q68" i="20"/>
  <c r="Q74" i="20"/>
  <c r="Q80" i="20"/>
  <c r="Q86" i="20"/>
  <c r="Q92" i="20"/>
  <c r="Q98" i="20"/>
  <c r="Q104" i="20"/>
  <c r="Q110" i="20"/>
  <c r="Q116" i="20"/>
  <c r="Q12" i="20"/>
  <c r="Q18" i="20"/>
  <c r="Q42" i="20"/>
  <c r="Q54" i="20"/>
  <c r="Q72" i="20"/>
  <c r="Q90" i="20"/>
  <c r="Q36" i="20"/>
  <c r="Q66" i="20"/>
  <c r="Q96" i="20"/>
  <c r="Q15" i="20"/>
  <c r="Q21" i="20"/>
  <c r="Q27" i="20"/>
  <c r="Q33" i="20"/>
  <c r="Q39" i="20"/>
  <c r="Q45" i="20"/>
  <c r="Q51" i="20"/>
  <c r="Q57" i="20"/>
  <c r="Q63" i="20"/>
  <c r="Q69" i="20"/>
  <c r="Q75" i="20"/>
  <c r="Q81" i="20"/>
  <c r="Q87" i="20"/>
  <c r="Q93" i="20"/>
  <c r="Q99" i="20"/>
  <c r="Q105" i="20"/>
  <c r="Q111" i="20"/>
  <c r="Q117" i="20"/>
  <c r="Q114" i="20"/>
  <c r="Q10" i="20"/>
  <c r="Q16" i="20"/>
  <c r="Q22" i="20"/>
  <c r="Q28" i="20"/>
  <c r="Q34" i="20"/>
  <c r="Q40" i="20"/>
  <c r="Q46" i="20"/>
  <c r="Q52" i="20"/>
  <c r="Q58" i="20"/>
  <c r="Q64" i="20"/>
  <c r="Q70" i="20"/>
  <c r="Q76" i="20"/>
  <c r="Q82" i="20"/>
  <c r="Q88" i="20"/>
  <c r="Q94" i="20"/>
  <c r="Q100" i="20"/>
  <c r="Q106" i="20"/>
  <c r="Q112" i="20"/>
  <c r="Q118" i="20"/>
  <c r="Q48" i="20"/>
  <c r="Q84" i="20"/>
  <c r="Q11" i="20"/>
  <c r="Q17" i="20"/>
  <c r="Q23" i="20"/>
  <c r="Q29" i="20"/>
  <c r="Q35" i="20"/>
  <c r="Q41" i="20"/>
  <c r="Q47" i="20"/>
  <c r="Q53" i="20"/>
  <c r="Q59" i="20"/>
  <c r="Q65" i="20"/>
  <c r="Q71" i="20"/>
  <c r="Q77" i="20"/>
  <c r="Q83" i="20"/>
  <c r="Q89" i="20"/>
  <c r="Q95" i="20"/>
  <c r="Q101" i="20"/>
  <c r="Q107" i="20"/>
  <c r="Q113" i="20"/>
  <c r="Q24" i="20"/>
  <c r="Q78" i="20"/>
  <c r="Q102" i="20"/>
  <c r="Q10" i="31"/>
  <c r="S10" i="31" s="1"/>
  <c r="Q16" i="31"/>
  <c r="S16" i="31" s="1"/>
  <c r="Q22" i="31"/>
  <c r="S22" i="31" s="1"/>
  <c r="Q28" i="31"/>
  <c r="S28" i="31" s="1"/>
  <c r="Q34" i="31"/>
  <c r="S34" i="31" s="1"/>
  <c r="Q40" i="31"/>
  <c r="S40" i="31" s="1"/>
  <c r="Q46" i="31"/>
  <c r="S46" i="31" s="1"/>
  <c r="Q52" i="31"/>
  <c r="S52" i="31" s="1"/>
  <c r="Q58" i="31"/>
  <c r="S58" i="31" s="1"/>
  <c r="Q64" i="31"/>
  <c r="S64" i="31" s="1"/>
  <c r="Q70" i="31"/>
  <c r="S70" i="31" s="1"/>
  <c r="Q76" i="31"/>
  <c r="S76" i="31" s="1"/>
  <c r="Q82" i="31"/>
  <c r="S82" i="31" s="1"/>
  <c r="Q88" i="31"/>
  <c r="S88" i="31" s="1"/>
  <c r="Q94" i="31"/>
  <c r="S94" i="31" s="1"/>
  <c r="Q100" i="31"/>
  <c r="S100" i="31" s="1"/>
  <c r="Q106" i="31"/>
  <c r="S106" i="31" s="1"/>
  <c r="Q112" i="31"/>
  <c r="S112" i="31" s="1"/>
  <c r="Q118" i="31"/>
  <c r="S118" i="31" s="1"/>
  <c r="Q11" i="31"/>
  <c r="S11" i="31" s="1"/>
  <c r="Q17" i="31"/>
  <c r="S17" i="31" s="1"/>
  <c r="Q23" i="31"/>
  <c r="S23" i="31" s="1"/>
  <c r="Q29" i="31"/>
  <c r="S29" i="31" s="1"/>
  <c r="Q35" i="31"/>
  <c r="S35" i="31" s="1"/>
  <c r="Q41" i="31"/>
  <c r="S41" i="31" s="1"/>
  <c r="Q47" i="31"/>
  <c r="S47" i="31" s="1"/>
  <c r="Q53" i="31"/>
  <c r="S53" i="31" s="1"/>
  <c r="Q59" i="31"/>
  <c r="S59" i="31" s="1"/>
  <c r="Q65" i="31"/>
  <c r="S65" i="31" s="1"/>
  <c r="Q71" i="31"/>
  <c r="S71" i="31" s="1"/>
  <c r="Q77" i="31"/>
  <c r="S77" i="31" s="1"/>
  <c r="Q83" i="31"/>
  <c r="S83" i="31" s="1"/>
  <c r="Q89" i="31"/>
  <c r="S89" i="31" s="1"/>
  <c r="Q95" i="31"/>
  <c r="S95" i="31" s="1"/>
  <c r="Q101" i="31"/>
  <c r="S101" i="31" s="1"/>
  <c r="Q107" i="31"/>
  <c r="S107" i="31" s="1"/>
  <c r="Q113" i="31"/>
  <c r="S113" i="31" s="1"/>
  <c r="Q119" i="31"/>
  <c r="S119" i="31" s="1"/>
  <c r="Q12" i="31"/>
  <c r="S12" i="31" s="1"/>
  <c r="Q18" i="31"/>
  <c r="S18" i="31" s="1"/>
  <c r="Q24" i="31"/>
  <c r="S24" i="31" s="1"/>
  <c r="Q30" i="31"/>
  <c r="S30" i="31" s="1"/>
  <c r="Q36" i="31"/>
  <c r="S36" i="31" s="1"/>
  <c r="Q42" i="31"/>
  <c r="S42" i="31" s="1"/>
  <c r="Q48" i="31"/>
  <c r="S48" i="31" s="1"/>
  <c r="Q54" i="31"/>
  <c r="S54" i="31" s="1"/>
  <c r="Q60" i="31"/>
  <c r="S60" i="31" s="1"/>
  <c r="Q66" i="31"/>
  <c r="S66" i="31" s="1"/>
  <c r="Q72" i="31"/>
  <c r="S72" i="31" s="1"/>
  <c r="Q78" i="31"/>
  <c r="S78" i="31" s="1"/>
  <c r="Q84" i="31"/>
  <c r="S84" i="31" s="1"/>
  <c r="Q90" i="31"/>
  <c r="S90" i="31" s="1"/>
  <c r="Q96" i="31"/>
  <c r="S96" i="31" s="1"/>
  <c r="Q102" i="31"/>
  <c r="S102" i="31" s="1"/>
  <c r="Q108" i="31"/>
  <c r="S108" i="31" s="1"/>
  <c r="Q114" i="31"/>
  <c r="S114" i="31" s="1"/>
  <c r="Q120" i="31"/>
  <c r="S120" i="31" s="1"/>
  <c r="Q13" i="31"/>
  <c r="S13" i="31" s="1"/>
  <c r="Q19" i="31"/>
  <c r="S19" i="31" s="1"/>
  <c r="Q25" i="31"/>
  <c r="S25" i="31" s="1"/>
  <c r="Q31" i="31"/>
  <c r="S31" i="31" s="1"/>
  <c r="Q37" i="31"/>
  <c r="S37" i="31" s="1"/>
  <c r="Q43" i="31"/>
  <c r="S43" i="31" s="1"/>
  <c r="Q49" i="31"/>
  <c r="S49" i="31" s="1"/>
  <c r="Q55" i="31"/>
  <c r="S55" i="31" s="1"/>
  <c r="Q61" i="31"/>
  <c r="S61" i="31" s="1"/>
  <c r="Q67" i="31"/>
  <c r="S67" i="31" s="1"/>
  <c r="Q73" i="31"/>
  <c r="S73" i="31" s="1"/>
  <c r="Q79" i="31"/>
  <c r="S79" i="31" s="1"/>
  <c r="Q85" i="31"/>
  <c r="S85" i="31" s="1"/>
  <c r="Q91" i="31"/>
  <c r="S91" i="31" s="1"/>
  <c r="Q97" i="31"/>
  <c r="S97" i="31" s="1"/>
  <c r="Q103" i="31"/>
  <c r="S103" i="31" s="1"/>
  <c r="Q109" i="31"/>
  <c r="S109" i="31" s="1"/>
  <c r="Q115" i="31"/>
  <c r="S115" i="31" s="1"/>
  <c r="Q121" i="31"/>
  <c r="S121" i="31" s="1"/>
  <c r="Q14" i="31"/>
  <c r="S14" i="31" s="1"/>
  <c r="Q20" i="31"/>
  <c r="S20" i="31" s="1"/>
  <c r="Q26" i="31"/>
  <c r="S26" i="31" s="1"/>
  <c r="Q32" i="31"/>
  <c r="S32" i="31" s="1"/>
  <c r="Q38" i="31"/>
  <c r="S38" i="31" s="1"/>
  <c r="Q44" i="31"/>
  <c r="S44" i="31" s="1"/>
  <c r="Q50" i="31"/>
  <c r="S50" i="31" s="1"/>
  <c r="Q56" i="31"/>
  <c r="S56" i="31" s="1"/>
  <c r="Q62" i="31"/>
  <c r="S62" i="31" s="1"/>
  <c r="Q68" i="31"/>
  <c r="S68" i="31" s="1"/>
  <c r="Q74" i="31"/>
  <c r="S74" i="31" s="1"/>
  <c r="Q80" i="31"/>
  <c r="S80" i="31" s="1"/>
  <c r="Q86" i="31"/>
  <c r="S86" i="31" s="1"/>
  <c r="Q92" i="31"/>
  <c r="S92" i="31" s="1"/>
  <c r="Q98" i="31"/>
  <c r="S98" i="31" s="1"/>
  <c r="Q104" i="31"/>
  <c r="S104" i="31" s="1"/>
  <c r="Q110" i="31"/>
  <c r="S110" i="31" s="1"/>
  <c r="Q116" i="31"/>
  <c r="S116" i="31" s="1"/>
  <c r="Q9" i="31"/>
  <c r="S9" i="31" s="1"/>
  <c r="Q15" i="31"/>
  <c r="S15" i="31" s="1"/>
  <c r="Q21" i="31"/>
  <c r="S21" i="31" s="1"/>
  <c r="Q27" i="31"/>
  <c r="S27" i="31" s="1"/>
  <c r="Q33" i="31"/>
  <c r="S33" i="31" s="1"/>
  <c r="Q39" i="31"/>
  <c r="S39" i="31" s="1"/>
  <c r="Q45" i="31"/>
  <c r="S45" i="31" s="1"/>
  <c r="Q51" i="31"/>
  <c r="S51" i="31" s="1"/>
  <c r="Q57" i="31"/>
  <c r="S57" i="31" s="1"/>
  <c r="Q63" i="31"/>
  <c r="S63" i="31" s="1"/>
  <c r="Q69" i="31"/>
  <c r="S69" i="31" s="1"/>
  <c r="Q75" i="31"/>
  <c r="S75" i="31" s="1"/>
  <c r="Q81" i="31"/>
  <c r="S81" i="31" s="1"/>
  <c r="Q87" i="31"/>
  <c r="S87" i="31" s="1"/>
  <c r="Q93" i="31"/>
  <c r="S93" i="31" s="1"/>
  <c r="Q99" i="31"/>
  <c r="S99" i="31" s="1"/>
  <c r="Q105" i="31"/>
  <c r="S105" i="31" s="1"/>
  <c r="Q111" i="31"/>
  <c r="S111" i="31" s="1"/>
  <c r="Q117" i="31"/>
  <c r="S117" i="31" s="1"/>
  <c r="AF63" i="31"/>
  <c r="AF81" i="31"/>
  <c r="AF42" i="31"/>
  <c r="AF10" i="31"/>
  <c r="Q31" i="32" a="1"/>
  <c r="Q10" i="32" a="1"/>
  <c r="Q9" i="32" a="1"/>
  <c r="Q37" i="32" a="1"/>
  <c r="Q36" i="32" a="1"/>
  <c r="Q18" i="32" a="1"/>
  <c r="Q11" i="32" a="1"/>
  <c r="Q27" i="32" a="1"/>
  <c r="Q40" i="32" a="1"/>
  <c r="Q47" i="32" a="1"/>
  <c r="Q14" i="32" a="1"/>
  <c r="Q39" i="32" a="1"/>
  <c r="Q41" i="32" a="1"/>
  <c r="Q22" i="32" a="1"/>
  <c r="Q32" i="32" a="1"/>
  <c r="Q15" i="32" a="1"/>
  <c r="Q25" i="32" a="1"/>
  <c r="Q17" i="32" a="1"/>
  <c r="Q48" i="32" a="1"/>
  <c r="Q43" i="32" a="1"/>
  <c r="Q44" i="32" a="1"/>
  <c r="Q16" i="32" a="1"/>
  <c r="Q33" i="32" a="1"/>
  <c r="Q35" i="32" a="1"/>
  <c r="Q21" i="32" a="1"/>
  <c r="Q45" i="32" a="1"/>
  <c r="Q30" i="32" a="1"/>
  <c r="Q29" i="32" a="1"/>
  <c r="Q24" i="32" a="1"/>
  <c r="Q23" i="32" a="1"/>
  <c r="Q26" i="32" a="1"/>
  <c r="Q34" i="32" a="1"/>
  <c r="Q13" i="32" a="1"/>
  <c r="Q46" i="32" a="1"/>
  <c r="Q28" i="32" a="1"/>
  <c r="Q38" i="32" a="1"/>
  <c r="Q42" i="32" a="1"/>
  <c r="Q20" i="32" a="1"/>
  <c r="Q12" i="32" a="1"/>
  <c r="Q19" i="32" a="1"/>
  <c r="AD12" i="33" a="1"/>
  <c r="AD26" i="33" a="1"/>
  <c r="AD15" i="33" a="1"/>
  <c r="AD53" i="33" a="1"/>
  <c r="AD38" i="33" a="1"/>
  <c r="AD29" i="33" a="1"/>
  <c r="AD49" i="33" a="1"/>
  <c r="AD30" i="33" a="1"/>
  <c r="AD40" i="33" a="1"/>
  <c r="AD52" i="33" a="1"/>
  <c r="AD17" i="33" a="1"/>
  <c r="AD50" i="33" a="1"/>
  <c r="AD39" i="33" a="1"/>
  <c r="AD44" i="33" a="1"/>
  <c r="AD28" i="33" a="1"/>
  <c r="AD33" i="33" a="1"/>
  <c r="AD23" i="33" a="1"/>
  <c r="AD22" i="33" a="1"/>
  <c r="AD32" i="33" a="1"/>
  <c r="AD48" i="33" a="1"/>
  <c r="AD14" i="33" a="1"/>
  <c r="AD27" i="33" a="1"/>
  <c r="AD13" i="33" a="1"/>
  <c r="AD43" i="33" a="1"/>
  <c r="AD35" i="33" a="1"/>
  <c r="AD16" i="33" a="1"/>
  <c r="AD47" i="33" a="1"/>
  <c r="AD25" i="33" a="1"/>
  <c r="AD46" i="33" a="1"/>
  <c r="AD41" i="33" a="1"/>
  <c r="AD20" i="33" a="1"/>
  <c r="AD10" i="33" a="1"/>
  <c r="AD24" i="33" a="1"/>
  <c r="AD19" i="33" a="1"/>
  <c r="AD11" i="33" a="1"/>
  <c r="AD45" i="33" a="1"/>
  <c r="AD18" i="33" a="1"/>
  <c r="AD37" i="33" a="1"/>
  <c r="AD34" i="33" a="1"/>
  <c r="AD42" i="33" a="1"/>
  <c r="AD21" i="33" a="1"/>
  <c r="AD51" i="33" a="1"/>
  <c r="AD36" i="33" a="1"/>
  <c r="AD9" i="33" a="1"/>
  <c r="AD31" i="33" a="1"/>
  <c r="AD11" i="32" a="1"/>
  <c r="AD17" i="32" a="1"/>
  <c r="AD36" i="32" a="1"/>
  <c r="AD23" i="32" a="1"/>
  <c r="AD9" i="32" a="1"/>
  <c r="AD26" i="32" a="1"/>
  <c r="AD34" i="32" a="1"/>
  <c r="AD30" i="32" a="1"/>
  <c r="AD19" i="32" a="1"/>
  <c r="AD12" i="32" a="1"/>
  <c r="AD18" i="32" a="1"/>
  <c r="AD35" i="32" a="1"/>
  <c r="AD28" i="32" a="1"/>
  <c r="AD29" i="32" a="1"/>
  <c r="AD27" i="32" a="1"/>
  <c r="AD15" i="32" a="1"/>
  <c r="AD16" i="32" a="1"/>
  <c r="AD33" i="32" a="1"/>
  <c r="AD22" i="32" a="1"/>
  <c r="AD25" i="32" a="1"/>
  <c r="AD14" i="32" a="1"/>
  <c r="AD37" i="32" a="1"/>
  <c r="AD10" i="32" a="1"/>
  <c r="AD21" i="32" a="1"/>
  <c r="AD20" i="32" a="1"/>
  <c r="AD31" i="32" a="1"/>
  <c r="AD32" i="32" a="1"/>
  <c r="AD38" i="32" a="1"/>
  <c r="AD24" i="32" a="1"/>
  <c r="AD13" i="32" a="1"/>
  <c r="D60" i="31" a="1"/>
  <c r="D23" i="31" a="1"/>
  <c r="D30" i="31" a="1"/>
  <c r="D104" i="31" a="1"/>
  <c r="D33" i="31" a="1"/>
  <c r="D91" i="31" a="1"/>
  <c r="D53" i="31" a="1"/>
  <c r="D17" i="31" a="1"/>
  <c r="D97" i="31" a="1"/>
  <c r="D31" i="31" a="1"/>
  <c r="D11" i="31" a="1"/>
  <c r="D13" i="31" a="1"/>
  <c r="D108" i="31" a="1"/>
  <c r="D114" i="31" a="1"/>
  <c r="D34" i="31" a="1"/>
  <c r="D28" i="31" a="1"/>
  <c r="D105" i="31" a="1"/>
  <c r="D47" i="31" a="1"/>
  <c r="D42" i="31" a="1"/>
  <c r="D98" i="31" a="1"/>
  <c r="D89" i="31" a="1"/>
  <c r="D14" i="31" a="1"/>
  <c r="D84" i="31" a="1"/>
  <c r="D57" i="31" a="1"/>
  <c r="D66" i="31" a="1"/>
  <c r="D48" i="31" a="1"/>
  <c r="D40" i="31" a="1"/>
  <c r="D69" i="31" a="1"/>
  <c r="D24" i="31" a="1"/>
  <c r="D59" i="31" a="1"/>
  <c r="D88" i="31" a="1"/>
  <c r="D9" i="31" a="1"/>
  <c r="D71" i="31" a="1"/>
  <c r="D21" i="31" a="1"/>
  <c r="D99" i="31" a="1"/>
  <c r="D25" i="31" a="1"/>
  <c r="D85" i="31" a="1"/>
  <c r="D12" i="31" a="1"/>
  <c r="D46" i="31" a="1"/>
  <c r="D50" i="31" a="1"/>
  <c r="D73" i="31" a="1"/>
  <c r="D96" i="31" a="1"/>
  <c r="D29" i="31" a="1"/>
  <c r="D92" i="31" a="1"/>
  <c r="D119" i="31" a="1"/>
  <c r="D118" i="31" a="1"/>
  <c r="D52" i="31" a="1"/>
  <c r="D86" i="31" a="1"/>
  <c r="D67" i="31" a="1"/>
  <c r="D111" i="31" a="1"/>
  <c r="D113" i="31" a="1"/>
  <c r="D62" i="31" a="1"/>
  <c r="D70" i="31" a="1"/>
  <c r="D81" i="31" a="1"/>
  <c r="D107" i="31" a="1"/>
  <c r="D43" i="31" a="1"/>
  <c r="D15" i="31" a="1"/>
  <c r="D77" i="31" a="1"/>
  <c r="D102" i="31" a="1"/>
  <c r="D75" i="31" a="1"/>
  <c r="D41" i="31" a="1"/>
  <c r="D10" i="31" a="1"/>
  <c r="D103" i="31" a="1"/>
  <c r="D61" i="31" a="1"/>
  <c r="D56" i="31" a="1"/>
  <c r="D32" i="31" a="1"/>
  <c r="D35" i="31" a="1"/>
  <c r="D20" i="31" a="1"/>
  <c r="D106" i="31" a="1"/>
  <c r="D51" i="31" a="1"/>
  <c r="D83" i="31" a="1"/>
  <c r="D72" i="31" a="1"/>
  <c r="D64" i="31" a="1"/>
  <c r="D54" i="31" a="1"/>
  <c r="D37" i="31" a="1"/>
  <c r="D80" i="31" a="1"/>
  <c r="D16" i="31" a="1"/>
  <c r="D68" i="31" a="1"/>
  <c r="D82" i="31" a="1"/>
  <c r="D120" i="31" a="1"/>
  <c r="D90" i="31" a="1"/>
  <c r="D44" i="31" a="1"/>
  <c r="D26" i="31" a="1"/>
  <c r="D94" i="31" a="1"/>
  <c r="D27" i="31" a="1"/>
  <c r="D55" i="31" a="1"/>
  <c r="D22" i="31" a="1"/>
  <c r="D116" i="31" a="1"/>
  <c r="D19" i="31" a="1"/>
  <c r="D18" i="31" a="1"/>
  <c r="D121" i="31" a="1"/>
  <c r="D79" i="31" a="1"/>
  <c r="D93" i="31" a="1"/>
  <c r="D100" i="31" a="1"/>
  <c r="D117" i="31" a="1"/>
  <c r="D65" i="31" a="1"/>
  <c r="D112" i="31" a="1"/>
  <c r="D63" i="31" a="1"/>
  <c r="D58" i="31" a="1"/>
  <c r="D87" i="31" a="1"/>
  <c r="D76" i="31" a="1"/>
  <c r="D74" i="31" a="1"/>
  <c r="D95" i="31" a="1"/>
  <c r="D49" i="31" a="1"/>
  <c r="D101" i="31" a="1"/>
  <c r="D36" i="31" a="1"/>
  <c r="D109" i="31" a="1"/>
  <c r="D39" i="31" a="1"/>
  <c r="D45" i="31" a="1"/>
  <c r="D38" i="31" a="1"/>
  <c r="D115" i="31" a="1"/>
  <c r="D110" i="31" a="1"/>
  <c r="D78" i="31" a="1"/>
  <c r="D14" i="34" a="1"/>
  <c r="D15" i="34" a="1"/>
  <c r="D18" i="34" a="1"/>
  <c r="D22" i="34" a="1"/>
  <c r="D12" i="34" a="1"/>
  <c r="D20" i="34" a="1"/>
  <c r="D19" i="34" a="1"/>
  <c r="D13" i="34" a="1"/>
  <c r="D23" i="34" a="1"/>
  <c r="D26" i="34" a="1"/>
  <c r="D10" i="34" a="1"/>
  <c r="D27" i="34" a="1"/>
  <c r="D24" i="34" a="1"/>
  <c r="D28" i="34" a="1"/>
  <c r="D11" i="34" a="1"/>
  <c r="D9" i="34" a="1"/>
  <c r="D21" i="34" a="1"/>
  <c r="D16" i="34" a="1"/>
  <c r="D17" i="34" a="1"/>
  <c r="D25" i="34" a="1"/>
  <c r="Q20" i="34" a="1"/>
  <c r="Q14" i="34" a="1"/>
  <c r="Q13" i="34" a="1"/>
  <c r="Q9" i="34" a="1"/>
  <c r="Q24" i="34" a="1"/>
  <c r="Q19" i="34" a="1"/>
  <c r="Q18" i="34" a="1"/>
  <c r="Q12" i="34" a="1"/>
  <c r="Q17" i="34" a="1"/>
  <c r="Q21" i="34" a="1"/>
  <c r="Q25" i="34" a="1"/>
  <c r="Q16" i="34" a="1"/>
  <c r="Q11" i="34" a="1"/>
  <c r="Q15" i="34" a="1"/>
  <c r="Q22" i="34" a="1"/>
  <c r="Q23" i="34" a="1"/>
  <c r="Q10" i="34" a="1"/>
  <c r="D28" i="32" a="1"/>
  <c r="D25" i="32" a="1"/>
  <c r="D39" i="32" a="1"/>
  <c r="D41" i="32" a="1"/>
  <c r="D27" i="32" a="1"/>
  <c r="D9" i="32" a="1"/>
  <c r="D40" i="32" a="1"/>
  <c r="D13" i="32" a="1"/>
  <c r="D20" i="32" a="1"/>
  <c r="D38" i="32" a="1"/>
  <c r="D21" i="32" a="1"/>
  <c r="D47" i="32" a="1"/>
  <c r="D29" i="32" a="1"/>
  <c r="D46" i="32" a="1"/>
  <c r="D16" i="32" a="1"/>
  <c r="D17" i="32" a="1"/>
  <c r="D37" i="32" a="1"/>
  <c r="D19" i="32" a="1"/>
  <c r="D14" i="32" a="1"/>
  <c r="D35" i="32" a="1"/>
  <c r="D23" i="32" a="1"/>
  <c r="D48" i="32" a="1"/>
  <c r="D34" i="32" a="1"/>
  <c r="D45" i="32" a="1"/>
  <c r="D42" i="32" a="1"/>
  <c r="D24" i="32" a="1"/>
  <c r="D33" i="32" a="1"/>
  <c r="D11" i="32" a="1"/>
  <c r="D30" i="32" a="1"/>
  <c r="D22" i="32" a="1"/>
  <c r="D36" i="32" a="1"/>
  <c r="D18" i="32" a="1"/>
  <c r="D32" i="32" a="1"/>
  <c r="D10" i="32" a="1"/>
  <c r="D44" i="32" a="1"/>
  <c r="D15" i="32" a="1"/>
  <c r="D26" i="32" a="1"/>
  <c r="D31" i="32" a="1"/>
  <c r="D12" i="32" a="1"/>
  <c r="D43" i="32" a="1"/>
  <c r="AD25" i="34" a="1"/>
  <c r="AD17" i="34" a="1"/>
  <c r="AD24" i="34" a="1"/>
  <c r="AD19" i="34" a="1"/>
  <c r="AD22" i="34" a="1"/>
  <c r="AD13" i="34" a="1"/>
  <c r="AD16" i="34" a="1"/>
  <c r="AD14" i="34" a="1"/>
  <c r="AD20" i="34" a="1"/>
  <c r="AD9" i="34" a="1"/>
  <c r="AD12" i="34" a="1"/>
  <c r="AD21" i="34" a="1"/>
  <c r="AD10" i="34" a="1"/>
  <c r="AD23" i="34" a="1"/>
  <c r="AD18" i="34" a="1"/>
  <c r="AD11" i="34" a="1"/>
  <c r="AD15" i="34" a="1"/>
  <c r="AD84" i="20" a="1"/>
  <c r="AD61" i="20" a="1"/>
  <c r="AD26" i="20" a="1"/>
  <c r="AD12" i="20" a="1"/>
  <c r="AD56" i="20" a="1"/>
  <c r="AD87" i="20" a="1"/>
  <c r="AD16" i="20" a="1"/>
  <c r="AD63" i="20" a="1"/>
  <c r="AD53" i="20" a="1"/>
  <c r="AD15" i="20" a="1"/>
  <c r="AD90" i="20" a="1"/>
  <c r="AD52" i="20" a="1"/>
  <c r="AD23" i="20" a="1"/>
  <c r="AD34" i="20" a="1"/>
  <c r="AD42" i="20" a="1"/>
  <c r="AD58" i="20" a="1"/>
  <c r="AD50" i="20" a="1"/>
  <c r="AD81" i="20" a="1"/>
  <c r="AD74" i="20" a="1"/>
  <c r="AD49" i="20" a="1"/>
  <c r="AD72" i="20" a="1"/>
  <c r="AD78" i="20" a="1"/>
  <c r="AD17" i="20" a="1"/>
  <c r="AD13" i="20" a="1"/>
  <c r="AD38" i="20" a="1"/>
  <c r="AD18" i="20" a="1"/>
  <c r="AD43" i="20" a="1"/>
  <c r="AD77" i="20" a="1"/>
  <c r="AD46" i="20" a="1"/>
  <c r="AD37" i="20" a="1"/>
  <c r="AD82" i="20" a="1"/>
  <c r="AD70" i="20" a="1"/>
  <c r="AD45" i="20" a="1"/>
  <c r="AD95" i="20" a="1"/>
  <c r="AD62" i="20" a="1"/>
  <c r="AD41" i="20" a="1"/>
  <c r="AD51" i="20" a="1"/>
  <c r="AD57" i="20" a="1"/>
  <c r="AD10" i="20" a="1"/>
  <c r="AD22" i="20" a="1"/>
  <c r="AD11" i="20" a="1"/>
  <c r="AD79" i="20" a="1"/>
  <c r="AD69" i="20" a="1"/>
  <c r="AD27" i="20" a="1"/>
  <c r="AD35" i="20" a="1"/>
  <c r="AD65" i="20" a="1"/>
  <c r="AD33" i="20" a="1"/>
  <c r="AD73" i="20" a="1"/>
  <c r="AD20" i="20" a="1"/>
  <c r="AD60" i="20" a="1"/>
  <c r="AD30" i="20" a="1"/>
  <c r="AD24" i="20" a="1"/>
  <c r="AD88" i="20" a="1"/>
  <c r="AD55" i="20" a="1"/>
  <c r="AD47" i="20" a="1"/>
  <c r="AD64" i="20" a="1"/>
  <c r="AD91" i="20" a="1"/>
  <c r="AD94" i="20" a="1"/>
  <c r="AD83" i="20" a="1"/>
  <c r="AD48" i="20" a="1"/>
  <c r="AD32" i="20" a="1"/>
  <c r="AD93" i="20" a="1"/>
  <c r="AD92" i="20" a="1"/>
  <c r="AD75" i="20" a="1"/>
  <c r="AD67" i="20" a="1"/>
  <c r="AD21" i="20" a="1"/>
  <c r="AD59" i="20" a="1"/>
  <c r="AD25" i="20" a="1"/>
  <c r="AD40" i="20" a="1"/>
  <c r="AD54" i="20" a="1"/>
  <c r="AD89" i="20" a="1"/>
  <c r="AD76" i="20" a="1"/>
  <c r="AD31" i="20" a="1"/>
  <c r="AD85" i="20" a="1"/>
  <c r="AD19" i="20" a="1"/>
  <c r="AD14" i="20" a="1"/>
  <c r="AD68" i="20" a="1"/>
  <c r="AD28" i="20" a="1"/>
  <c r="AD80" i="20" a="1"/>
  <c r="AD39" i="20" a="1"/>
  <c r="AD44" i="20" a="1"/>
  <c r="AD9" i="20" a="1"/>
  <c r="AD36" i="20" a="1"/>
  <c r="AD29" i="20" a="1"/>
  <c r="AD71" i="20" a="1"/>
  <c r="AD86" i="20" a="1"/>
  <c r="AD66" i="20" a="1"/>
  <c r="AD66" i="20" l="1"/>
  <c r="AD86" i="20"/>
  <c r="AD71" i="20"/>
  <c r="AD29" i="20"/>
  <c r="AD36" i="20"/>
  <c r="AD9" i="20"/>
  <c r="AD44" i="20"/>
  <c r="AD39" i="20"/>
  <c r="AD80" i="20"/>
  <c r="AD28" i="20"/>
  <c r="AD68" i="20"/>
  <c r="AD14" i="20"/>
  <c r="AD19" i="20"/>
  <c r="AD85" i="20"/>
  <c r="AD31" i="20"/>
  <c r="AD76" i="20"/>
  <c r="AD89" i="20"/>
  <c r="AD54" i="20"/>
  <c r="AD40" i="20"/>
  <c r="AD25" i="20"/>
  <c r="AD59" i="20"/>
  <c r="AD21" i="20"/>
  <c r="AD67" i="20"/>
  <c r="AD75" i="20"/>
  <c r="AD92" i="20"/>
  <c r="AD93" i="20"/>
  <c r="AD32" i="20"/>
  <c r="AD48" i="20"/>
  <c r="AD83" i="20"/>
  <c r="AD94" i="20"/>
  <c r="AD91" i="20"/>
  <c r="AD64" i="20"/>
  <c r="AD47" i="20"/>
  <c r="AD55" i="20"/>
  <c r="AD88" i="20"/>
  <c r="AD24" i="20"/>
  <c r="AD30" i="20"/>
  <c r="AD60" i="20"/>
  <c r="AD20" i="20"/>
  <c r="AD73" i="20"/>
  <c r="AD33" i="20"/>
  <c r="AD65" i="20"/>
  <c r="AD35" i="20"/>
  <c r="AD27" i="20"/>
  <c r="AD69" i="20"/>
  <c r="AD79" i="20"/>
  <c r="AD11" i="20"/>
  <c r="AD22" i="20"/>
  <c r="AD10" i="20"/>
  <c r="AD57" i="20"/>
  <c r="AD51" i="20"/>
  <c r="AD41" i="20"/>
  <c r="AD62" i="20"/>
  <c r="AD95" i="20"/>
  <c r="AD45" i="20"/>
  <c r="AD70" i="20"/>
  <c r="AD82" i="20"/>
  <c r="AD37" i="20"/>
  <c r="AD46" i="20"/>
  <c r="AD77" i="20"/>
  <c r="AD43" i="20"/>
  <c r="AD18" i="20"/>
  <c r="AD38" i="20"/>
  <c r="AD13" i="20"/>
  <c r="AD17" i="20"/>
  <c r="AD78" i="20"/>
  <c r="AD72" i="20"/>
  <c r="AD49" i="20"/>
  <c r="AD74" i="20"/>
  <c r="AD81" i="20"/>
  <c r="AD50" i="20"/>
  <c r="AD58" i="20"/>
  <c r="AD42" i="20"/>
  <c r="AD34" i="20"/>
  <c r="AD23" i="20"/>
  <c r="AD52" i="20"/>
  <c r="AD90" i="20"/>
  <c r="AD15" i="20"/>
  <c r="AD53" i="20"/>
  <c r="AD63" i="20"/>
  <c r="AD16" i="20"/>
  <c r="AD87" i="20"/>
  <c r="AD56" i="20"/>
  <c r="AD12" i="20"/>
  <c r="AD26" i="20"/>
  <c r="AD61" i="20"/>
  <c r="AD84" i="20"/>
  <c r="AD15" i="34"/>
  <c r="AF15" i="34" s="1"/>
  <c r="AD11" i="34"/>
  <c r="AF11" i="34" s="1"/>
  <c r="AD18" i="34"/>
  <c r="AF18" i="34" s="1"/>
  <c r="AD23" i="34"/>
  <c r="AF23" i="34" s="1"/>
  <c r="AD10" i="34"/>
  <c r="AF10" i="34" s="1"/>
  <c r="AD21" i="34"/>
  <c r="AF21" i="34" s="1"/>
  <c r="AD12" i="34"/>
  <c r="AF12" i="34" s="1"/>
  <c r="AD9" i="34"/>
  <c r="AF9" i="34" s="1"/>
  <c r="AD20" i="34"/>
  <c r="AF20" i="34" s="1"/>
  <c r="AD14" i="34"/>
  <c r="AF14" i="34" s="1"/>
  <c r="AD16" i="34"/>
  <c r="AF16" i="34" s="1"/>
  <c r="AD13" i="34"/>
  <c r="AF13" i="34" s="1"/>
  <c r="AD22" i="34"/>
  <c r="AF22" i="34" s="1"/>
  <c r="AD19" i="34"/>
  <c r="AF19" i="34" s="1"/>
  <c r="AD24" i="34"/>
  <c r="AF24" i="34" s="1"/>
  <c r="AD17" i="34"/>
  <c r="AF17" i="34" s="1"/>
  <c r="AD25" i="34"/>
  <c r="AF25" i="34" s="1"/>
  <c r="D43" i="32"/>
  <c r="F43" i="32" s="1"/>
  <c r="D12" i="32"/>
  <c r="F12" i="32" s="1"/>
  <c r="D31" i="32"/>
  <c r="F31" i="32" s="1"/>
  <c r="D26" i="32"/>
  <c r="F26" i="32" s="1"/>
  <c r="D15" i="32"/>
  <c r="F15" i="32" s="1"/>
  <c r="D44" i="32"/>
  <c r="F44" i="32" s="1"/>
  <c r="D10" i="32"/>
  <c r="F10" i="32" s="1"/>
  <c r="D32" i="32"/>
  <c r="F32" i="32" s="1"/>
  <c r="D18" i="32"/>
  <c r="F18" i="32" s="1"/>
  <c r="D36" i="32"/>
  <c r="F36" i="32" s="1"/>
  <c r="D22" i="32"/>
  <c r="F22" i="32" s="1"/>
  <c r="D30" i="32"/>
  <c r="F30" i="32" s="1"/>
  <c r="D11" i="32"/>
  <c r="F11" i="32" s="1"/>
  <c r="D33" i="32"/>
  <c r="F33" i="32" s="1"/>
  <c r="D24" i="32"/>
  <c r="F24" i="32" s="1"/>
  <c r="D42" i="32"/>
  <c r="F42" i="32" s="1"/>
  <c r="D45" i="32"/>
  <c r="F45" i="32" s="1"/>
  <c r="D34" i="32"/>
  <c r="F34" i="32" s="1"/>
  <c r="D48" i="32"/>
  <c r="F48" i="32" s="1"/>
  <c r="D23" i="32"/>
  <c r="F23" i="32" s="1"/>
  <c r="D35" i="32"/>
  <c r="F35" i="32" s="1"/>
  <c r="D14" i="32"/>
  <c r="F14" i="32" s="1"/>
  <c r="D19" i="32"/>
  <c r="F19" i="32" s="1"/>
  <c r="D37" i="32"/>
  <c r="F37" i="32" s="1"/>
  <c r="D17" i="32"/>
  <c r="F17" i="32" s="1"/>
  <c r="D16" i="32"/>
  <c r="F16" i="32" s="1"/>
  <c r="D46" i="32"/>
  <c r="F46" i="32" s="1"/>
  <c r="D29" i="32"/>
  <c r="F29" i="32" s="1"/>
  <c r="D47" i="32"/>
  <c r="F47" i="32" s="1"/>
  <c r="D21" i="32"/>
  <c r="F21" i="32" s="1"/>
  <c r="D38" i="32"/>
  <c r="F38" i="32" s="1"/>
  <c r="D20" i="32"/>
  <c r="F20" i="32" s="1"/>
  <c r="D13" i="32"/>
  <c r="F13" i="32" s="1"/>
  <c r="D40" i="32"/>
  <c r="F40" i="32" s="1"/>
  <c r="D9" i="32"/>
  <c r="F9" i="32" s="1"/>
  <c r="D27" i="32"/>
  <c r="F27" i="32" s="1"/>
  <c r="D41" i="32"/>
  <c r="F41" i="32" s="1"/>
  <c r="D39" i="32"/>
  <c r="F39" i="32" s="1"/>
  <c r="D25" i="32"/>
  <c r="F25" i="32" s="1"/>
  <c r="D28" i="32"/>
  <c r="F28" i="32" s="1"/>
  <c r="Q10" i="34"/>
  <c r="S10" i="34" s="1"/>
  <c r="Q23" i="34"/>
  <c r="S23" i="34" s="1"/>
  <c r="Q22" i="34"/>
  <c r="S22" i="34" s="1"/>
  <c r="Q15" i="34"/>
  <c r="S15" i="34" s="1"/>
  <c r="Q11" i="34"/>
  <c r="S11" i="34" s="1"/>
  <c r="Q16" i="34"/>
  <c r="S16" i="34" s="1"/>
  <c r="Q25" i="34"/>
  <c r="S25" i="34" s="1"/>
  <c r="Q21" i="34"/>
  <c r="S21" i="34" s="1"/>
  <c r="Q17" i="34"/>
  <c r="S17" i="34" s="1"/>
  <c r="Q12" i="34"/>
  <c r="S12" i="34" s="1"/>
  <c r="Q18" i="34"/>
  <c r="S18" i="34" s="1"/>
  <c r="Q19" i="34"/>
  <c r="S19" i="34" s="1"/>
  <c r="Q24" i="34"/>
  <c r="S24" i="34" s="1"/>
  <c r="Q9" i="34"/>
  <c r="S9" i="34" s="1"/>
  <c r="Q13" i="34"/>
  <c r="S13" i="34" s="1"/>
  <c r="Q14" i="34"/>
  <c r="S14" i="34" s="1"/>
  <c r="Q20" i="34"/>
  <c r="S20" i="34" s="1"/>
  <c r="D25" i="34"/>
  <c r="F25" i="34" s="1"/>
  <c r="D17" i="34"/>
  <c r="F17" i="34" s="1"/>
  <c r="D16" i="34"/>
  <c r="F16" i="34" s="1"/>
  <c r="D21" i="34"/>
  <c r="F21" i="34" s="1"/>
  <c r="D9" i="34"/>
  <c r="F9" i="34" s="1"/>
  <c r="D11" i="34"/>
  <c r="F11" i="34" s="1"/>
  <c r="D28" i="34"/>
  <c r="F28" i="34" s="1"/>
  <c r="D24" i="34"/>
  <c r="F24" i="34" s="1"/>
  <c r="D27" i="34"/>
  <c r="F27" i="34" s="1"/>
  <c r="D10" i="34"/>
  <c r="F10" i="34" s="1"/>
  <c r="D26" i="34"/>
  <c r="F26" i="34" s="1"/>
  <c r="D23" i="34"/>
  <c r="F23" i="34" s="1"/>
  <c r="D13" i="34"/>
  <c r="F13" i="34" s="1"/>
  <c r="D19" i="34"/>
  <c r="F19" i="34" s="1"/>
  <c r="D20" i="34"/>
  <c r="F20" i="34" s="1"/>
  <c r="D12" i="34"/>
  <c r="F12" i="34" s="1"/>
  <c r="D22" i="34"/>
  <c r="F22" i="34" s="1"/>
  <c r="D18" i="34"/>
  <c r="F18" i="34" s="1"/>
  <c r="D15" i="34"/>
  <c r="F15" i="34" s="1"/>
  <c r="D14" i="34"/>
  <c r="F14" i="34" s="1"/>
  <c r="D78" i="31"/>
  <c r="F78" i="31" s="1"/>
  <c r="D110" i="31"/>
  <c r="F110" i="31" s="1"/>
  <c r="D115" i="31"/>
  <c r="F115" i="31" s="1"/>
  <c r="D38" i="31"/>
  <c r="F38" i="31" s="1"/>
  <c r="D45" i="31"/>
  <c r="F45" i="31" s="1"/>
  <c r="D39" i="31"/>
  <c r="F39" i="31" s="1"/>
  <c r="D109" i="31"/>
  <c r="F109" i="31" s="1"/>
  <c r="D36" i="31"/>
  <c r="F36" i="31" s="1"/>
  <c r="D101" i="31"/>
  <c r="F101" i="31" s="1"/>
  <c r="D49" i="31"/>
  <c r="F49" i="31" s="1"/>
  <c r="D95" i="31"/>
  <c r="F95" i="31" s="1"/>
  <c r="D74" i="31"/>
  <c r="F74" i="31" s="1"/>
  <c r="D76" i="31"/>
  <c r="F76" i="31" s="1"/>
  <c r="D87" i="31"/>
  <c r="F87" i="31" s="1"/>
  <c r="D58" i="31"/>
  <c r="F58" i="31" s="1"/>
  <c r="D63" i="31"/>
  <c r="F63" i="31" s="1"/>
  <c r="D112" i="31"/>
  <c r="F112" i="31" s="1"/>
  <c r="D65" i="31"/>
  <c r="F65" i="31" s="1"/>
  <c r="D117" i="31"/>
  <c r="F117" i="31" s="1"/>
  <c r="D100" i="31"/>
  <c r="F100" i="31" s="1"/>
  <c r="D93" i="31"/>
  <c r="F93" i="31" s="1"/>
  <c r="D79" i="31"/>
  <c r="F79" i="31" s="1"/>
  <c r="D121" i="31"/>
  <c r="F121" i="31" s="1"/>
  <c r="D18" i="31"/>
  <c r="F18" i="31" s="1"/>
  <c r="D19" i="31"/>
  <c r="F19" i="31" s="1"/>
  <c r="D116" i="31"/>
  <c r="F116" i="31" s="1"/>
  <c r="D22" i="31"/>
  <c r="F22" i="31" s="1"/>
  <c r="D55" i="31"/>
  <c r="F55" i="31" s="1"/>
  <c r="D27" i="31"/>
  <c r="F27" i="31" s="1"/>
  <c r="D94" i="31"/>
  <c r="F94" i="31" s="1"/>
  <c r="D26" i="31"/>
  <c r="F26" i="31" s="1"/>
  <c r="D44" i="31"/>
  <c r="F44" i="31" s="1"/>
  <c r="D90" i="31"/>
  <c r="F90" i="31" s="1"/>
  <c r="D120" i="31"/>
  <c r="F120" i="31" s="1"/>
  <c r="D82" i="31"/>
  <c r="F82" i="31" s="1"/>
  <c r="D68" i="31"/>
  <c r="F68" i="31" s="1"/>
  <c r="D16" i="31"/>
  <c r="F16" i="31" s="1"/>
  <c r="D80" i="31"/>
  <c r="F80" i="31" s="1"/>
  <c r="D37" i="31"/>
  <c r="F37" i="31" s="1"/>
  <c r="D54" i="31"/>
  <c r="F54" i="31" s="1"/>
  <c r="D64" i="31"/>
  <c r="F64" i="31" s="1"/>
  <c r="D72" i="31"/>
  <c r="F72" i="31" s="1"/>
  <c r="D83" i="31"/>
  <c r="F83" i="31" s="1"/>
  <c r="D51" i="31"/>
  <c r="F51" i="31" s="1"/>
  <c r="D106" i="31"/>
  <c r="F106" i="31" s="1"/>
  <c r="D20" i="31"/>
  <c r="F20" i="31" s="1"/>
  <c r="D35" i="31"/>
  <c r="F35" i="31" s="1"/>
  <c r="D32" i="31"/>
  <c r="F32" i="31" s="1"/>
  <c r="D56" i="31"/>
  <c r="F56" i="31" s="1"/>
  <c r="D61" i="31"/>
  <c r="F61" i="31" s="1"/>
  <c r="D103" i="31"/>
  <c r="F103" i="31" s="1"/>
  <c r="D10" i="31"/>
  <c r="F10" i="31" s="1"/>
  <c r="D41" i="31"/>
  <c r="F41" i="31" s="1"/>
  <c r="D75" i="31"/>
  <c r="F75" i="31" s="1"/>
  <c r="D102" i="31"/>
  <c r="F102" i="31" s="1"/>
  <c r="D77" i="31"/>
  <c r="F77" i="31" s="1"/>
  <c r="D15" i="31"/>
  <c r="F15" i="31" s="1"/>
  <c r="D43" i="31"/>
  <c r="F43" i="31" s="1"/>
  <c r="D107" i="31"/>
  <c r="F107" i="31" s="1"/>
  <c r="D81" i="31"/>
  <c r="F81" i="31" s="1"/>
  <c r="D70" i="31"/>
  <c r="F70" i="31" s="1"/>
  <c r="D62" i="31"/>
  <c r="F62" i="31" s="1"/>
  <c r="D113" i="31"/>
  <c r="F113" i="31" s="1"/>
  <c r="D111" i="31"/>
  <c r="F111" i="31" s="1"/>
  <c r="D67" i="31"/>
  <c r="F67" i="31" s="1"/>
  <c r="D86" i="31"/>
  <c r="F86" i="31" s="1"/>
  <c r="D52" i="31"/>
  <c r="F52" i="31" s="1"/>
  <c r="D118" i="31"/>
  <c r="F118" i="31" s="1"/>
  <c r="D119" i="31"/>
  <c r="F119" i="31" s="1"/>
  <c r="D92" i="31"/>
  <c r="F92" i="31" s="1"/>
  <c r="D29" i="31"/>
  <c r="F29" i="31" s="1"/>
  <c r="D96" i="31"/>
  <c r="F96" i="31" s="1"/>
  <c r="D73" i="31"/>
  <c r="F73" i="31" s="1"/>
  <c r="D50" i="31"/>
  <c r="F50" i="31" s="1"/>
  <c r="D46" i="31"/>
  <c r="F46" i="31" s="1"/>
  <c r="D12" i="31"/>
  <c r="F12" i="31" s="1"/>
  <c r="D85" i="31"/>
  <c r="F85" i="31" s="1"/>
  <c r="D25" i="31"/>
  <c r="F25" i="31" s="1"/>
  <c r="D99" i="31"/>
  <c r="F99" i="31" s="1"/>
  <c r="D21" i="31"/>
  <c r="F21" i="31" s="1"/>
  <c r="D71" i="31"/>
  <c r="F71" i="31" s="1"/>
  <c r="D9" i="31"/>
  <c r="F9" i="31" s="1"/>
  <c r="D88" i="31"/>
  <c r="F88" i="31" s="1"/>
  <c r="D59" i="31"/>
  <c r="F59" i="31" s="1"/>
  <c r="D24" i="31"/>
  <c r="F24" i="31" s="1"/>
  <c r="D69" i="31"/>
  <c r="F69" i="31" s="1"/>
  <c r="D40" i="31"/>
  <c r="F40" i="31" s="1"/>
  <c r="D48" i="31"/>
  <c r="F48" i="31" s="1"/>
  <c r="D66" i="31"/>
  <c r="F66" i="31" s="1"/>
  <c r="D57" i="31"/>
  <c r="F57" i="31" s="1"/>
  <c r="D84" i="31"/>
  <c r="F84" i="31" s="1"/>
  <c r="D14" i="31"/>
  <c r="F14" i="31" s="1"/>
  <c r="D89" i="31"/>
  <c r="F89" i="31" s="1"/>
  <c r="D98" i="31"/>
  <c r="F98" i="31" s="1"/>
  <c r="D42" i="31"/>
  <c r="F42" i="31" s="1"/>
  <c r="D47" i="31"/>
  <c r="F47" i="31" s="1"/>
  <c r="D105" i="31"/>
  <c r="F105" i="31" s="1"/>
  <c r="D28" i="31"/>
  <c r="F28" i="31" s="1"/>
  <c r="D34" i="31"/>
  <c r="F34" i="31" s="1"/>
  <c r="D114" i="31"/>
  <c r="F114" i="31" s="1"/>
  <c r="D108" i="31"/>
  <c r="F108" i="31" s="1"/>
  <c r="D13" i="31"/>
  <c r="F13" i="31" s="1"/>
  <c r="D11" i="31"/>
  <c r="F11" i="31" s="1"/>
  <c r="D31" i="31"/>
  <c r="F31" i="31" s="1"/>
  <c r="D97" i="31"/>
  <c r="F97" i="31" s="1"/>
  <c r="D17" i="31"/>
  <c r="F17" i="31" s="1"/>
  <c r="D53" i="31"/>
  <c r="F53" i="31" s="1"/>
  <c r="D91" i="31"/>
  <c r="F91" i="31" s="1"/>
  <c r="D33" i="31"/>
  <c r="F33" i="31" s="1"/>
  <c r="D104" i="31"/>
  <c r="F104" i="31" s="1"/>
  <c r="D30" i="31"/>
  <c r="F30" i="31" s="1"/>
  <c r="D23" i="31"/>
  <c r="F23" i="31" s="1"/>
  <c r="D60" i="31"/>
  <c r="F60" i="31" s="1"/>
  <c r="AD13" i="32"/>
  <c r="AF13" i="32" s="1"/>
  <c r="AD24" i="32"/>
  <c r="AF24" i="32" s="1"/>
  <c r="AD38" i="32"/>
  <c r="AF38" i="32" s="1"/>
  <c r="AD32" i="32"/>
  <c r="AF32" i="32" s="1"/>
  <c r="AD31" i="32"/>
  <c r="AF31" i="32" s="1"/>
  <c r="AD20" i="32"/>
  <c r="AF20" i="32" s="1"/>
  <c r="AD21" i="32"/>
  <c r="AF21" i="32" s="1"/>
  <c r="AD10" i="32"/>
  <c r="AF10" i="32" s="1"/>
  <c r="AD37" i="32"/>
  <c r="AF37" i="32" s="1"/>
  <c r="AD14" i="32"/>
  <c r="AF14" i="32" s="1"/>
  <c r="AD25" i="32"/>
  <c r="AF25" i="32" s="1"/>
  <c r="AD22" i="32"/>
  <c r="AF22" i="32" s="1"/>
  <c r="AD33" i="32"/>
  <c r="AF33" i="32" s="1"/>
  <c r="AD16" i="32"/>
  <c r="AF16" i="32" s="1"/>
  <c r="AD15" i="32"/>
  <c r="AF15" i="32" s="1"/>
  <c r="AD27" i="32"/>
  <c r="AF27" i="32" s="1"/>
  <c r="AD29" i="32"/>
  <c r="AF29" i="32" s="1"/>
  <c r="AD28" i="32"/>
  <c r="AF28" i="32" s="1"/>
  <c r="AD35" i="32"/>
  <c r="AF35" i="32" s="1"/>
  <c r="AD18" i="32"/>
  <c r="AF18" i="32" s="1"/>
  <c r="AD12" i="32"/>
  <c r="AF12" i="32" s="1"/>
  <c r="AD19" i="32"/>
  <c r="AF19" i="32" s="1"/>
  <c r="AD30" i="32"/>
  <c r="AF30" i="32" s="1"/>
  <c r="AD34" i="32"/>
  <c r="AF34" i="32" s="1"/>
  <c r="AD26" i="32"/>
  <c r="AF26" i="32" s="1"/>
  <c r="AD9" i="32"/>
  <c r="AF9" i="32" s="1"/>
  <c r="AD23" i="32"/>
  <c r="AF23" i="32" s="1"/>
  <c r="AD36" i="32"/>
  <c r="AF36" i="32" s="1"/>
  <c r="AD17" i="32"/>
  <c r="AF17" i="32" s="1"/>
  <c r="AD11" i="32"/>
  <c r="AF11" i="32" s="1"/>
  <c r="AD31" i="33"/>
  <c r="AF31" i="33" s="1"/>
  <c r="AD9" i="33"/>
  <c r="AF9" i="33" s="1"/>
  <c r="AD36" i="33"/>
  <c r="AF36" i="33" s="1"/>
  <c r="AD51" i="33"/>
  <c r="AF51" i="33" s="1"/>
  <c r="AD21" i="33"/>
  <c r="AF21" i="33" s="1"/>
  <c r="AD42" i="33"/>
  <c r="AF42" i="33" s="1"/>
  <c r="AD34" i="33"/>
  <c r="AF34" i="33" s="1"/>
  <c r="AD37" i="33"/>
  <c r="AF37" i="33" s="1"/>
  <c r="AD18" i="33"/>
  <c r="AF18" i="33" s="1"/>
  <c r="AD45" i="33"/>
  <c r="AF45" i="33" s="1"/>
  <c r="AD11" i="33"/>
  <c r="AF11" i="33" s="1"/>
  <c r="AF7" i="33" s="1"/>
  <c r="AD19" i="33"/>
  <c r="AF19" i="33" s="1"/>
  <c r="AD24" i="33"/>
  <c r="AF24" i="33" s="1"/>
  <c r="AD10" i="33"/>
  <c r="AF10" i="33" s="1"/>
  <c r="AD20" i="33"/>
  <c r="AF20" i="33" s="1"/>
  <c r="AD41" i="33"/>
  <c r="AF41" i="33" s="1"/>
  <c r="AD46" i="33"/>
  <c r="AF46" i="33" s="1"/>
  <c r="AD25" i="33"/>
  <c r="AF25" i="33" s="1"/>
  <c r="AD47" i="33"/>
  <c r="AF47" i="33" s="1"/>
  <c r="AD16" i="33"/>
  <c r="AF16" i="33" s="1"/>
  <c r="AD35" i="33"/>
  <c r="AF35" i="33" s="1"/>
  <c r="AD43" i="33"/>
  <c r="AF43" i="33" s="1"/>
  <c r="AD13" i="33"/>
  <c r="AF13" i="33" s="1"/>
  <c r="AD27" i="33"/>
  <c r="AF27" i="33" s="1"/>
  <c r="AD14" i="33"/>
  <c r="AF14" i="33" s="1"/>
  <c r="AD48" i="33"/>
  <c r="AF48" i="33" s="1"/>
  <c r="AD32" i="33"/>
  <c r="AF32" i="33" s="1"/>
  <c r="AD22" i="33"/>
  <c r="AF22" i="33" s="1"/>
  <c r="AD23" i="33"/>
  <c r="AF23" i="33" s="1"/>
  <c r="AD33" i="33"/>
  <c r="AF33" i="33" s="1"/>
  <c r="AD28" i="33"/>
  <c r="AF28" i="33" s="1"/>
  <c r="AD44" i="33"/>
  <c r="AF44" i="33" s="1"/>
  <c r="AD39" i="33"/>
  <c r="AF39" i="33" s="1"/>
  <c r="AD50" i="33"/>
  <c r="AF50" i="33" s="1"/>
  <c r="AD17" i="33"/>
  <c r="AF17" i="33" s="1"/>
  <c r="AD52" i="33"/>
  <c r="AF52" i="33" s="1"/>
  <c r="AD40" i="33"/>
  <c r="AF40" i="33" s="1"/>
  <c r="AD30" i="33"/>
  <c r="AF30" i="33" s="1"/>
  <c r="AD49" i="33"/>
  <c r="AF49" i="33" s="1"/>
  <c r="AD29" i="33"/>
  <c r="AF29" i="33" s="1"/>
  <c r="AD38" i="33"/>
  <c r="AF38" i="33" s="1"/>
  <c r="AD53" i="33"/>
  <c r="AF53" i="33" s="1"/>
  <c r="AD15" i="33"/>
  <c r="AF15" i="33" s="1"/>
  <c r="AD26" i="33"/>
  <c r="AF26" i="33" s="1"/>
  <c r="AD12" i="33"/>
  <c r="AF12" i="33" s="1"/>
  <c r="Q19" i="32"/>
  <c r="S19" i="32" s="1"/>
  <c r="Q12" i="32"/>
  <c r="S12" i="32" s="1"/>
  <c r="Q20" i="32"/>
  <c r="S20" i="32" s="1"/>
  <c r="Q42" i="32"/>
  <c r="S42" i="32" s="1"/>
  <c r="Q38" i="32"/>
  <c r="S38" i="32" s="1"/>
  <c r="Q28" i="32"/>
  <c r="S28" i="32" s="1"/>
  <c r="Q46" i="32"/>
  <c r="S46" i="32" s="1"/>
  <c r="Q13" i="32"/>
  <c r="S13" i="32" s="1"/>
  <c r="Q34" i="32"/>
  <c r="S34" i="32" s="1"/>
  <c r="Q26" i="32"/>
  <c r="S26" i="32" s="1"/>
  <c r="Q23" i="32"/>
  <c r="S23" i="32" s="1"/>
  <c r="Q24" i="32"/>
  <c r="S24" i="32" s="1"/>
  <c r="Q29" i="32"/>
  <c r="S29" i="32" s="1"/>
  <c r="Q30" i="32"/>
  <c r="S30" i="32" s="1"/>
  <c r="S7" i="32" s="1"/>
  <c r="Q45" i="32"/>
  <c r="S45" i="32" s="1"/>
  <c r="Q21" i="32"/>
  <c r="S21" i="32" s="1"/>
  <c r="Q35" i="32"/>
  <c r="S35" i="32" s="1"/>
  <c r="Q33" i="32"/>
  <c r="S33" i="32" s="1"/>
  <c r="Q16" i="32"/>
  <c r="S16" i="32" s="1"/>
  <c r="Q44" i="32"/>
  <c r="S44" i="32" s="1"/>
  <c r="Q43" i="32"/>
  <c r="S43" i="32" s="1"/>
  <c r="Q48" i="32"/>
  <c r="S48" i="32" s="1"/>
  <c r="Q17" i="32"/>
  <c r="S17" i="32" s="1"/>
  <c r="Q25" i="32"/>
  <c r="S25" i="32" s="1"/>
  <c r="Q15" i="32"/>
  <c r="S15" i="32" s="1"/>
  <c r="Q32" i="32"/>
  <c r="S32" i="32" s="1"/>
  <c r="Q22" i="32"/>
  <c r="S22" i="32" s="1"/>
  <c r="Q41" i="32"/>
  <c r="S41" i="32" s="1"/>
  <c r="Q39" i="32"/>
  <c r="S39" i="32" s="1"/>
  <c r="Q14" i="32"/>
  <c r="S14" i="32" s="1"/>
  <c r="Q47" i="32"/>
  <c r="S47" i="32" s="1"/>
  <c r="Q40" i="32"/>
  <c r="S40" i="32" s="1"/>
  <c r="Q27" i="32"/>
  <c r="S27" i="32" s="1"/>
  <c r="Q11" i="32"/>
  <c r="S11" i="32" s="1"/>
  <c r="Q18" i="32"/>
  <c r="S18" i="32" s="1"/>
  <c r="Q36" i="32"/>
  <c r="S36" i="32" s="1"/>
  <c r="Q37" i="32"/>
  <c r="S37" i="32" s="1"/>
  <c r="Q9" i="32"/>
  <c r="S9" i="32" s="1"/>
  <c r="Q10" i="32"/>
  <c r="S10" i="32" s="1"/>
  <c r="Q31" i="32"/>
  <c r="S31" i="32" s="1"/>
  <c r="F7" i="34"/>
  <c r="S7" i="34"/>
  <c r="AF7" i="34"/>
  <c r="S7" i="33"/>
  <c r="F7" i="33"/>
  <c r="AF7" i="32"/>
  <c r="F7" i="32"/>
  <c r="AF7" i="31"/>
  <c r="F7" i="31"/>
  <c r="S7" i="31"/>
  <c r="L3" i="20" l="1"/>
  <c r="H3" i="20"/>
  <c r="I3" i="20"/>
  <c r="J3" i="20"/>
  <c r="K3" i="20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F583" i="25"/>
  <c r="F584" i="25"/>
  <c r="F585" i="25"/>
  <c r="F586" i="25"/>
  <c r="F587" i="25"/>
  <c r="F588" i="25"/>
  <c r="F589" i="25"/>
  <c r="F590" i="25"/>
  <c r="F591" i="25"/>
  <c r="F592" i="25"/>
  <c r="F593" i="25"/>
  <c r="F594" i="25"/>
  <c r="F595" i="25"/>
  <c r="F596" i="25"/>
  <c r="F597" i="25"/>
  <c r="F598" i="25"/>
  <c r="F599" i="25"/>
  <c r="F600" i="25"/>
  <c r="F601" i="25"/>
  <c r="F602" i="25"/>
  <c r="F603" i="25"/>
  <c r="F604" i="25"/>
  <c r="F605" i="25"/>
  <c r="F606" i="25"/>
  <c r="F607" i="25"/>
  <c r="F608" i="25"/>
  <c r="F609" i="25"/>
  <c r="F610" i="25"/>
  <c r="F611" i="25"/>
  <c r="F612" i="25"/>
  <c r="F613" i="25"/>
  <c r="F614" i="25"/>
  <c r="F615" i="25"/>
  <c r="F616" i="25"/>
  <c r="F617" i="25"/>
  <c r="F618" i="25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F701" i="25"/>
  <c r="F702" i="25"/>
  <c r="F703" i="25"/>
  <c r="F704" i="25"/>
  <c r="F705" i="25"/>
  <c r="F706" i="25"/>
  <c r="F707" i="25"/>
  <c r="F708" i="25"/>
  <c r="F709" i="25"/>
  <c r="F710" i="25"/>
  <c r="F711" i="25"/>
  <c r="F712" i="25"/>
  <c r="F713" i="25"/>
  <c r="F714" i="25"/>
  <c r="F715" i="25"/>
  <c r="F716" i="25"/>
  <c r="F717" i="25"/>
  <c r="F718" i="25"/>
  <c r="F719" i="25"/>
  <c r="F720" i="25"/>
  <c r="F721" i="25"/>
  <c r="F722" i="25"/>
  <c r="F723" i="25"/>
  <c r="F724" i="25"/>
  <c r="F725" i="25"/>
  <c r="F726" i="25"/>
  <c r="F727" i="25"/>
  <c r="F728" i="25"/>
  <c r="F729" i="25"/>
  <c r="F730" i="25"/>
  <c r="F731" i="25"/>
  <c r="F732" i="25"/>
  <c r="F733" i="25"/>
  <c r="F734" i="25"/>
  <c r="F735" i="25"/>
  <c r="F736" i="25"/>
  <c r="F737" i="25"/>
  <c r="F738" i="25"/>
  <c r="F739" i="25"/>
  <c r="F740" i="25"/>
  <c r="F741" i="25"/>
  <c r="F742" i="25"/>
  <c r="F743" i="25"/>
  <c r="F744" i="25"/>
  <c r="F745" i="25"/>
  <c r="F746" i="25"/>
  <c r="F747" i="25"/>
  <c r="F748" i="25"/>
  <c r="F749" i="25"/>
  <c r="F750" i="25"/>
  <c r="F751" i="25"/>
  <c r="F752" i="25"/>
  <c r="F753" i="25"/>
  <c r="F754" i="25"/>
  <c r="F755" i="25"/>
  <c r="F756" i="25"/>
  <c r="F757" i="25"/>
  <c r="F758" i="25"/>
  <c r="F759" i="25"/>
  <c r="F760" i="25"/>
  <c r="F761" i="25"/>
  <c r="F762" i="25"/>
  <c r="F763" i="25"/>
  <c r="F764" i="25"/>
  <c r="F765" i="25"/>
  <c r="F766" i="25"/>
  <c r="F767" i="25"/>
  <c r="F768" i="25"/>
  <c r="F769" i="25"/>
  <c r="F770" i="25"/>
  <c r="F771" i="25"/>
  <c r="F772" i="25"/>
  <c r="F773" i="25"/>
  <c r="F774" i="25"/>
  <c r="F775" i="25"/>
  <c r="F776" i="25"/>
  <c r="F777" i="25"/>
  <c r="F778" i="25"/>
  <c r="F779" i="25"/>
  <c r="F780" i="25"/>
  <c r="F781" i="25"/>
  <c r="F782" i="25"/>
  <c r="F783" i="25"/>
  <c r="F784" i="25"/>
  <c r="F785" i="25"/>
  <c r="F786" i="25"/>
  <c r="F787" i="25"/>
  <c r="F788" i="25"/>
  <c r="F789" i="25"/>
  <c r="F790" i="25"/>
  <c r="F791" i="25"/>
  <c r="F792" i="25"/>
  <c r="F793" i="25"/>
  <c r="F794" i="25"/>
  <c r="F795" i="25"/>
  <c r="F796" i="25"/>
  <c r="F797" i="25"/>
  <c r="F798" i="25"/>
  <c r="F799" i="25"/>
  <c r="F800" i="25"/>
  <c r="F801" i="25"/>
  <c r="F802" i="25"/>
  <c r="F803" i="25"/>
  <c r="F804" i="25"/>
  <c r="F805" i="25"/>
  <c r="F806" i="25"/>
  <c r="F807" i="25"/>
  <c r="F808" i="25"/>
  <c r="F809" i="25"/>
  <c r="F810" i="25"/>
  <c r="F811" i="25"/>
  <c r="F812" i="25"/>
  <c r="F813" i="25"/>
  <c r="F814" i="25"/>
  <c r="F815" i="25"/>
  <c r="F816" i="25"/>
  <c r="F817" i="25"/>
  <c r="F818" i="25"/>
  <c r="F819" i="25"/>
  <c r="F820" i="25"/>
  <c r="F821" i="25"/>
  <c r="F822" i="25"/>
  <c r="F823" i="25"/>
  <c r="F824" i="25"/>
  <c r="F825" i="25"/>
  <c r="F826" i="25"/>
  <c r="F827" i="25"/>
  <c r="F828" i="25"/>
  <c r="F829" i="25"/>
  <c r="F830" i="25"/>
  <c r="F831" i="25"/>
  <c r="F832" i="25"/>
  <c r="F833" i="25"/>
  <c r="F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630" i="25"/>
  <c r="D631" i="25"/>
  <c r="D632" i="25"/>
  <c r="D633" i="25"/>
  <c r="D634" i="25"/>
  <c r="D635" i="25"/>
  <c r="D636" i="25"/>
  <c r="D637" i="25"/>
  <c r="D638" i="25"/>
  <c r="D639" i="25"/>
  <c r="D640" i="25"/>
  <c r="D641" i="25"/>
  <c r="D642" i="25"/>
  <c r="D643" i="25"/>
  <c r="D644" i="25"/>
  <c r="D645" i="25"/>
  <c r="D646" i="25"/>
  <c r="D647" i="25"/>
  <c r="D648" i="25"/>
  <c r="D649" i="25"/>
  <c r="D650" i="25"/>
  <c r="D651" i="25"/>
  <c r="D652" i="25"/>
  <c r="D653" i="25"/>
  <c r="D654" i="25"/>
  <c r="D655" i="25"/>
  <c r="D656" i="25"/>
  <c r="D657" i="25"/>
  <c r="D658" i="25"/>
  <c r="D659" i="25"/>
  <c r="D660" i="25"/>
  <c r="D661" i="25"/>
  <c r="D662" i="25"/>
  <c r="D663" i="25"/>
  <c r="D664" i="25"/>
  <c r="D665" i="25"/>
  <c r="D666" i="25"/>
  <c r="D667" i="25"/>
  <c r="D668" i="25"/>
  <c r="D669" i="25"/>
  <c r="D670" i="25"/>
  <c r="D671" i="25"/>
  <c r="D672" i="25"/>
  <c r="D673" i="25"/>
  <c r="D674" i="25"/>
  <c r="D675" i="25"/>
  <c r="D676" i="25"/>
  <c r="D677" i="25"/>
  <c r="D678" i="25"/>
  <c r="D679" i="25"/>
  <c r="D680" i="25"/>
  <c r="D681" i="25"/>
  <c r="D682" i="25"/>
  <c r="D683" i="25"/>
  <c r="D684" i="25"/>
  <c r="D685" i="25"/>
  <c r="D686" i="25"/>
  <c r="D687" i="25"/>
  <c r="D688" i="25"/>
  <c r="D689" i="25"/>
  <c r="D690" i="25"/>
  <c r="D691" i="25"/>
  <c r="D692" i="25"/>
  <c r="D693" i="25"/>
  <c r="D694" i="25"/>
  <c r="D695" i="25"/>
  <c r="D696" i="25"/>
  <c r="D697" i="25"/>
  <c r="D698" i="25"/>
  <c r="D699" i="25"/>
  <c r="D700" i="25"/>
  <c r="D701" i="25"/>
  <c r="D702" i="25"/>
  <c r="D703" i="25"/>
  <c r="D704" i="25"/>
  <c r="D705" i="25"/>
  <c r="D706" i="25"/>
  <c r="D707" i="25"/>
  <c r="D708" i="25"/>
  <c r="D709" i="25"/>
  <c r="D710" i="25"/>
  <c r="D711" i="25"/>
  <c r="D712" i="25"/>
  <c r="D713" i="25"/>
  <c r="D714" i="25"/>
  <c r="D715" i="25"/>
  <c r="D716" i="25"/>
  <c r="D717" i="25"/>
  <c r="D718" i="25"/>
  <c r="D719" i="25"/>
  <c r="D720" i="25"/>
  <c r="D721" i="25"/>
  <c r="D722" i="25"/>
  <c r="D723" i="25"/>
  <c r="D724" i="25"/>
  <c r="D725" i="25"/>
  <c r="D726" i="25"/>
  <c r="D727" i="25"/>
  <c r="D728" i="25"/>
  <c r="D729" i="25"/>
  <c r="D730" i="25"/>
  <c r="D731" i="25"/>
  <c r="D732" i="25"/>
  <c r="D733" i="25"/>
  <c r="D734" i="25"/>
  <c r="D735" i="25"/>
  <c r="D736" i="25"/>
  <c r="D737" i="25"/>
  <c r="D738" i="25"/>
  <c r="D739" i="25"/>
  <c r="D740" i="25"/>
  <c r="D741" i="25"/>
  <c r="D742" i="25"/>
  <c r="D743" i="25"/>
  <c r="D744" i="25"/>
  <c r="D745" i="25"/>
  <c r="D746" i="25"/>
  <c r="D747" i="25"/>
  <c r="D748" i="25"/>
  <c r="D749" i="25"/>
  <c r="D750" i="25"/>
  <c r="D751" i="25"/>
  <c r="D752" i="25"/>
  <c r="D753" i="25"/>
  <c r="D754" i="25"/>
  <c r="D755" i="25"/>
  <c r="D756" i="25"/>
  <c r="D757" i="25"/>
  <c r="D758" i="25"/>
  <c r="D759" i="25"/>
  <c r="D760" i="25"/>
  <c r="D761" i="25"/>
  <c r="D762" i="25"/>
  <c r="D763" i="25"/>
  <c r="D764" i="25"/>
  <c r="D765" i="25"/>
  <c r="D766" i="25"/>
  <c r="D767" i="25"/>
  <c r="D768" i="25"/>
  <c r="D769" i="25"/>
  <c r="D770" i="25"/>
  <c r="D771" i="25"/>
  <c r="D772" i="25"/>
  <c r="D773" i="25"/>
  <c r="D774" i="25"/>
  <c r="D775" i="25"/>
  <c r="D776" i="25"/>
  <c r="D777" i="25"/>
  <c r="D778" i="25"/>
  <c r="D779" i="25"/>
  <c r="D780" i="25"/>
  <c r="D781" i="25"/>
  <c r="D782" i="25"/>
  <c r="D783" i="25"/>
  <c r="D784" i="25"/>
  <c r="D785" i="25"/>
  <c r="D786" i="25"/>
  <c r="D787" i="25"/>
  <c r="D788" i="25"/>
  <c r="D789" i="25"/>
  <c r="D790" i="25"/>
  <c r="D791" i="25"/>
  <c r="D792" i="25"/>
  <c r="D793" i="25"/>
  <c r="D794" i="25"/>
  <c r="D795" i="25"/>
  <c r="D796" i="25"/>
  <c r="D797" i="25"/>
  <c r="D798" i="25"/>
  <c r="D799" i="25"/>
  <c r="D800" i="25"/>
  <c r="D801" i="25"/>
  <c r="D802" i="25"/>
  <c r="D803" i="25"/>
  <c r="D804" i="25"/>
  <c r="D805" i="25"/>
  <c r="D806" i="25"/>
  <c r="D807" i="25"/>
  <c r="D808" i="25"/>
  <c r="D809" i="25"/>
  <c r="D810" i="25"/>
  <c r="D811" i="25"/>
  <c r="D812" i="25"/>
  <c r="D813" i="25"/>
  <c r="D814" i="25"/>
  <c r="D815" i="25"/>
  <c r="D816" i="25"/>
  <c r="D817" i="25"/>
  <c r="D818" i="25"/>
  <c r="D819" i="25"/>
  <c r="D820" i="25"/>
  <c r="D821" i="25"/>
  <c r="D822" i="25"/>
  <c r="D823" i="25"/>
  <c r="D824" i="25"/>
  <c r="D825" i="25"/>
  <c r="D826" i="25"/>
  <c r="D827" i="25"/>
  <c r="D828" i="25"/>
  <c r="D829" i="25"/>
  <c r="D830" i="25"/>
  <c r="D831" i="25"/>
  <c r="D832" i="25"/>
  <c r="D833" i="25"/>
  <c r="D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19" i="25"/>
  <c r="B220" i="25"/>
  <c r="B221" i="25"/>
  <c r="B222" i="25"/>
  <c r="B223" i="25"/>
  <c r="B224" i="25"/>
  <c r="B225" i="25"/>
  <c r="B226" i="25"/>
  <c r="B227" i="25"/>
  <c r="B228" i="25"/>
  <c r="B229" i="25"/>
  <c r="B230" i="25"/>
  <c r="B231" i="25"/>
  <c r="B232" i="25"/>
  <c r="B233" i="25"/>
  <c r="B234" i="25"/>
  <c r="B235" i="25"/>
  <c r="B236" i="25"/>
  <c r="B237" i="25"/>
  <c r="B238" i="25"/>
  <c r="B239" i="25"/>
  <c r="B240" i="25"/>
  <c r="B241" i="25"/>
  <c r="B242" i="25"/>
  <c r="B243" i="25"/>
  <c r="B244" i="25"/>
  <c r="B245" i="25"/>
  <c r="B246" i="25"/>
  <c r="B247" i="25"/>
  <c r="B248" i="25"/>
  <c r="B249" i="25"/>
  <c r="B250" i="25"/>
  <c r="B251" i="25"/>
  <c r="B252" i="25"/>
  <c r="B253" i="25"/>
  <c r="B254" i="25"/>
  <c r="B255" i="25"/>
  <c r="B256" i="25"/>
  <c r="B257" i="25"/>
  <c r="B258" i="25"/>
  <c r="B259" i="25"/>
  <c r="B260" i="25"/>
  <c r="B261" i="25"/>
  <c r="B262" i="25"/>
  <c r="B263" i="25"/>
  <c r="B264" i="25"/>
  <c r="B265" i="25"/>
  <c r="B266" i="25"/>
  <c r="B267" i="25"/>
  <c r="B268" i="25"/>
  <c r="B269" i="25"/>
  <c r="B270" i="25"/>
  <c r="B271" i="25"/>
  <c r="B272" i="25"/>
  <c r="B273" i="25"/>
  <c r="B274" i="25"/>
  <c r="B275" i="25"/>
  <c r="B276" i="25"/>
  <c r="B277" i="25"/>
  <c r="B278" i="25"/>
  <c r="B279" i="25"/>
  <c r="B280" i="25"/>
  <c r="B281" i="25"/>
  <c r="B282" i="25"/>
  <c r="B283" i="25"/>
  <c r="B284" i="25"/>
  <c r="B285" i="25"/>
  <c r="B286" i="25"/>
  <c r="B287" i="25"/>
  <c r="B288" i="25"/>
  <c r="B289" i="25"/>
  <c r="B290" i="25"/>
  <c r="B291" i="25"/>
  <c r="B292" i="25"/>
  <c r="B293" i="25"/>
  <c r="B294" i="25"/>
  <c r="B295" i="25"/>
  <c r="B296" i="25"/>
  <c r="B297" i="25"/>
  <c r="B298" i="25"/>
  <c r="B299" i="25"/>
  <c r="B300" i="25"/>
  <c r="B301" i="25"/>
  <c r="B302" i="25"/>
  <c r="B303" i="25"/>
  <c r="B304" i="25"/>
  <c r="B305" i="25"/>
  <c r="B306" i="25"/>
  <c r="B307" i="25"/>
  <c r="B308" i="25"/>
  <c r="B309" i="25"/>
  <c r="B310" i="25"/>
  <c r="B311" i="25"/>
  <c r="B312" i="25"/>
  <c r="B313" i="25"/>
  <c r="B314" i="25"/>
  <c r="B315" i="25"/>
  <c r="B316" i="25"/>
  <c r="B317" i="25"/>
  <c r="B318" i="25"/>
  <c r="B319" i="25"/>
  <c r="B320" i="25"/>
  <c r="B321" i="25"/>
  <c r="B322" i="25"/>
  <c r="B323" i="25"/>
  <c r="B324" i="25"/>
  <c r="B325" i="25"/>
  <c r="B326" i="25"/>
  <c r="B327" i="25"/>
  <c r="B328" i="25"/>
  <c r="B329" i="25"/>
  <c r="B330" i="25"/>
  <c r="B331" i="25"/>
  <c r="B332" i="25"/>
  <c r="B333" i="25"/>
  <c r="B334" i="25"/>
  <c r="B335" i="25"/>
  <c r="B336" i="25"/>
  <c r="B337" i="25"/>
  <c r="B338" i="25"/>
  <c r="B339" i="25"/>
  <c r="B340" i="25"/>
  <c r="B341" i="25"/>
  <c r="B342" i="25"/>
  <c r="B343" i="25"/>
  <c r="B344" i="25"/>
  <c r="B345" i="25"/>
  <c r="B346" i="25"/>
  <c r="B347" i="25"/>
  <c r="B348" i="25"/>
  <c r="B349" i="25"/>
  <c r="B350" i="25"/>
  <c r="B351" i="25"/>
  <c r="B352" i="25"/>
  <c r="B353" i="25"/>
  <c r="B354" i="25"/>
  <c r="B355" i="25"/>
  <c r="B356" i="25"/>
  <c r="B357" i="25"/>
  <c r="B358" i="25"/>
  <c r="B359" i="25"/>
  <c r="B360" i="25"/>
  <c r="B361" i="25"/>
  <c r="B362" i="25"/>
  <c r="B363" i="25"/>
  <c r="B364" i="25"/>
  <c r="B365" i="25"/>
  <c r="B366" i="25"/>
  <c r="B367" i="25"/>
  <c r="B368" i="25"/>
  <c r="B369" i="25"/>
  <c r="B370" i="25"/>
  <c r="B371" i="25"/>
  <c r="B372" i="25"/>
  <c r="B373" i="25"/>
  <c r="B374" i="25"/>
  <c r="B375" i="25"/>
  <c r="B376" i="25"/>
  <c r="B377" i="25"/>
  <c r="B378" i="25"/>
  <c r="B379" i="25"/>
  <c r="B380" i="25"/>
  <c r="B381" i="25"/>
  <c r="B382" i="25"/>
  <c r="B383" i="25"/>
  <c r="B384" i="25"/>
  <c r="B385" i="25"/>
  <c r="B386" i="25"/>
  <c r="B387" i="25"/>
  <c r="B388" i="25"/>
  <c r="B389" i="25"/>
  <c r="B390" i="25"/>
  <c r="B391" i="25"/>
  <c r="B392" i="25"/>
  <c r="B393" i="25"/>
  <c r="B394" i="25"/>
  <c r="B395" i="25"/>
  <c r="B396" i="25"/>
  <c r="B397" i="25"/>
  <c r="B398" i="25"/>
  <c r="B399" i="25"/>
  <c r="B400" i="25"/>
  <c r="B401" i="25"/>
  <c r="B402" i="25"/>
  <c r="B403" i="25"/>
  <c r="B404" i="25"/>
  <c r="B405" i="25"/>
  <c r="B406" i="25"/>
  <c r="B407" i="25"/>
  <c r="B408" i="25"/>
  <c r="B409" i="25"/>
  <c r="B410" i="25"/>
  <c r="B411" i="25"/>
  <c r="B412" i="25"/>
  <c r="B413" i="25"/>
  <c r="B414" i="25"/>
  <c r="B415" i="25"/>
  <c r="B416" i="25"/>
  <c r="B417" i="25"/>
  <c r="B418" i="25"/>
  <c r="B419" i="25"/>
  <c r="B420" i="25"/>
  <c r="B421" i="25"/>
  <c r="B422" i="25"/>
  <c r="B423" i="25"/>
  <c r="B424" i="25"/>
  <c r="B425" i="25"/>
  <c r="B426" i="25"/>
  <c r="B427" i="25"/>
  <c r="B428" i="25"/>
  <c r="B429" i="25"/>
  <c r="B430" i="25"/>
  <c r="B431" i="25"/>
  <c r="B432" i="25"/>
  <c r="B433" i="25"/>
  <c r="B434" i="25"/>
  <c r="B435" i="25"/>
  <c r="B436" i="25"/>
  <c r="B437" i="25"/>
  <c r="B438" i="25"/>
  <c r="B439" i="25"/>
  <c r="B440" i="25"/>
  <c r="B441" i="25"/>
  <c r="B442" i="25"/>
  <c r="B443" i="25"/>
  <c r="B444" i="25"/>
  <c r="B445" i="25"/>
  <c r="B446" i="25"/>
  <c r="B447" i="25"/>
  <c r="B448" i="25"/>
  <c r="B449" i="25"/>
  <c r="B450" i="25"/>
  <c r="B451" i="25"/>
  <c r="B452" i="25"/>
  <c r="B453" i="25"/>
  <c r="B454" i="25"/>
  <c r="B455" i="25"/>
  <c r="B456" i="25"/>
  <c r="B457" i="25"/>
  <c r="B458" i="25"/>
  <c r="B459" i="25"/>
  <c r="B460" i="25"/>
  <c r="B461" i="25"/>
  <c r="B462" i="25"/>
  <c r="B463" i="25"/>
  <c r="B464" i="25"/>
  <c r="B465" i="25"/>
  <c r="B466" i="25"/>
  <c r="B467" i="25"/>
  <c r="B468" i="25"/>
  <c r="B469" i="25"/>
  <c r="B470" i="25"/>
  <c r="B471" i="25"/>
  <c r="B472" i="25"/>
  <c r="B473" i="25"/>
  <c r="B474" i="25"/>
  <c r="B475" i="25"/>
  <c r="B476" i="25"/>
  <c r="B477" i="25"/>
  <c r="B478" i="25"/>
  <c r="B479" i="25"/>
  <c r="B480" i="25"/>
  <c r="B481" i="25"/>
  <c r="B482" i="25"/>
  <c r="B483" i="25"/>
  <c r="B484" i="25"/>
  <c r="B485" i="25"/>
  <c r="B486" i="25"/>
  <c r="B487" i="25"/>
  <c r="B488" i="25"/>
  <c r="B489" i="25"/>
  <c r="B490" i="25"/>
  <c r="B491" i="25"/>
  <c r="B492" i="25"/>
  <c r="B493" i="25"/>
  <c r="B494" i="25"/>
  <c r="B495" i="25"/>
  <c r="B496" i="25"/>
  <c r="B497" i="25"/>
  <c r="B498" i="25"/>
  <c r="B499" i="25"/>
  <c r="B500" i="25"/>
  <c r="B501" i="25"/>
  <c r="B502" i="25"/>
  <c r="B503" i="25"/>
  <c r="B504" i="25"/>
  <c r="B505" i="25"/>
  <c r="B506" i="25"/>
  <c r="B507" i="25"/>
  <c r="B508" i="25"/>
  <c r="B509" i="25"/>
  <c r="B510" i="25"/>
  <c r="B511" i="25"/>
  <c r="B512" i="25"/>
  <c r="B513" i="25"/>
  <c r="B514" i="25"/>
  <c r="B515" i="25"/>
  <c r="B516" i="25"/>
  <c r="B517" i="25"/>
  <c r="B518" i="25"/>
  <c r="B519" i="25"/>
  <c r="B520" i="25"/>
  <c r="B521" i="25"/>
  <c r="B522" i="25"/>
  <c r="B523" i="25"/>
  <c r="B524" i="25"/>
  <c r="B525" i="25"/>
  <c r="B526" i="25"/>
  <c r="B527" i="25"/>
  <c r="B528" i="25"/>
  <c r="B529" i="25"/>
  <c r="B530" i="25"/>
  <c r="B531" i="25"/>
  <c r="B532" i="25"/>
  <c r="B533" i="25"/>
  <c r="B534" i="25"/>
  <c r="B535" i="25"/>
  <c r="B536" i="25"/>
  <c r="B537" i="25"/>
  <c r="B538" i="25"/>
  <c r="B539" i="25"/>
  <c r="B540" i="25"/>
  <c r="B541" i="25"/>
  <c r="B542" i="25"/>
  <c r="B543" i="25"/>
  <c r="B544" i="25"/>
  <c r="B545" i="25"/>
  <c r="B546" i="25"/>
  <c r="B547" i="25"/>
  <c r="B548" i="25"/>
  <c r="B549" i="25"/>
  <c r="B550" i="25"/>
  <c r="B551" i="25"/>
  <c r="B552" i="25"/>
  <c r="B553" i="25"/>
  <c r="B554" i="25"/>
  <c r="B555" i="25"/>
  <c r="B556" i="25"/>
  <c r="B557" i="25"/>
  <c r="B558" i="25"/>
  <c r="B559" i="25"/>
  <c r="B560" i="25"/>
  <c r="B561" i="25"/>
  <c r="B562" i="25"/>
  <c r="B563" i="25"/>
  <c r="B564" i="25"/>
  <c r="B565" i="25"/>
  <c r="B566" i="25"/>
  <c r="B567" i="25"/>
  <c r="B568" i="25"/>
  <c r="B569" i="25"/>
  <c r="B570" i="25"/>
  <c r="B571" i="25"/>
  <c r="B572" i="25"/>
  <c r="B573" i="25"/>
  <c r="B574" i="25"/>
  <c r="B575" i="25"/>
  <c r="B576" i="25"/>
  <c r="B577" i="25"/>
  <c r="B578" i="25"/>
  <c r="B579" i="25"/>
  <c r="B580" i="25"/>
  <c r="B581" i="25"/>
  <c r="B582" i="25"/>
  <c r="B583" i="25"/>
  <c r="B584" i="25"/>
  <c r="B585" i="25"/>
  <c r="B586" i="25"/>
  <c r="B587" i="25"/>
  <c r="B588" i="25"/>
  <c r="B589" i="25"/>
  <c r="B590" i="25"/>
  <c r="B591" i="25"/>
  <c r="B592" i="25"/>
  <c r="B593" i="25"/>
  <c r="B594" i="25"/>
  <c r="B595" i="25"/>
  <c r="B596" i="25"/>
  <c r="B597" i="25"/>
  <c r="B598" i="25"/>
  <c r="B599" i="25"/>
  <c r="B600" i="25"/>
  <c r="B601" i="25"/>
  <c r="B602" i="25"/>
  <c r="B603" i="25"/>
  <c r="B604" i="25"/>
  <c r="B605" i="25"/>
  <c r="B606" i="25"/>
  <c r="B607" i="25"/>
  <c r="B608" i="25"/>
  <c r="B609" i="25"/>
  <c r="B610" i="25"/>
  <c r="B611" i="25"/>
  <c r="B612" i="25"/>
  <c r="B613" i="25"/>
  <c r="B614" i="25"/>
  <c r="B615" i="25"/>
  <c r="B616" i="25"/>
  <c r="B617" i="25"/>
  <c r="B618" i="25"/>
  <c r="B619" i="25"/>
  <c r="B620" i="25"/>
  <c r="B621" i="25"/>
  <c r="B622" i="25"/>
  <c r="B623" i="25"/>
  <c r="B624" i="25"/>
  <c r="B625" i="25"/>
  <c r="B626" i="25"/>
  <c r="B627" i="25"/>
  <c r="B628" i="25"/>
  <c r="B629" i="25"/>
  <c r="B630" i="25"/>
  <c r="B631" i="25"/>
  <c r="B632" i="25"/>
  <c r="B633" i="25"/>
  <c r="B634" i="25"/>
  <c r="B635" i="25"/>
  <c r="B636" i="25"/>
  <c r="B637" i="25"/>
  <c r="B638" i="25"/>
  <c r="B639" i="25"/>
  <c r="B640" i="25"/>
  <c r="B641" i="25"/>
  <c r="B642" i="25"/>
  <c r="B643" i="25"/>
  <c r="B644" i="25"/>
  <c r="B645" i="25"/>
  <c r="B646" i="25"/>
  <c r="B647" i="25"/>
  <c r="B648" i="25"/>
  <c r="B649" i="25"/>
  <c r="B650" i="25"/>
  <c r="B651" i="25"/>
  <c r="B652" i="25"/>
  <c r="B653" i="25"/>
  <c r="B654" i="25"/>
  <c r="B655" i="25"/>
  <c r="B656" i="25"/>
  <c r="B657" i="25"/>
  <c r="B658" i="25"/>
  <c r="B659" i="25"/>
  <c r="B660" i="25"/>
  <c r="B661" i="25"/>
  <c r="B662" i="25"/>
  <c r="B663" i="25"/>
  <c r="B664" i="25"/>
  <c r="B665" i="25"/>
  <c r="B666" i="25"/>
  <c r="B667" i="25"/>
  <c r="B668" i="25"/>
  <c r="B669" i="25"/>
  <c r="B670" i="25"/>
  <c r="B671" i="25"/>
  <c r="B672" i="25"/>
  <c r="B673" i="25"/>
  <c r="B674" i="25"/>
  <c r="B675" i="25"/>
  <c r="B676" i="25"/>
  <c r="B677" i="25"/>
  <c r="B678" i="25"/>
  <c r="B679" i="25"/>
  <c r="B680" i="25"/>
  <c r="B681" i="25"/>
  <c r="B682" i="25"/>
  <c r="B683" i="25"/>
  <c r="B684" i="25"/>
  <c r="B685" i="25"/>
  <c r="B686" i="25"/>
  <c r="B687" i="25"/>
  <c r="B688" i="25"/>
  <c r="B689" i="25"/>
  <c r="B690" i="25"/>
  <c r="B691" i="25"/>
  <c r="B692" i="25"/>
  <c r="B693" i="25"/>
  <c r="B694" i="25"/>
  <c r="B695" i="25"/>
  <c r="B696" i="25"/>
  <c r="B697" i="25"/>
  <c r="B698" i="25"/>
  <c r="B699" i="25"/>
  <c r="B700" i="25"/>
  <c r="B701" i="25"/>
  <c r="B702" i="25"/>
  <c r="B703" i="25"/>
  <c r="B704" i="25"/>
  <c r="B705" i="25"/>
  <c r="B706" i="25"/>
  <c r="B707" i="25"/>
  <c r="B708" i="25"/>
  <c r="B709" i="25"/>
  <c r="B710" i="25"/>
  <c r="B711" i="25"/>
  <c r="B712" i="25"/>
  <c r="B713" i="25"/>
  <c r="B714" i="25"/>
  <c r="B715" i="25"/>
  <c r="B716" i="25"/>
  <c r="B717" i="25"/>
  <c r="B718" i="25"/>
  <c r="B719" i="25"/>
  <c r="B720" i="25"/>
  <c r="B721" i="25"/>
  <c r="B722" i="25"/>
  <c r="B723" i="25"/>
  <c r="B724" i="25"/>
  <c r="B725" i="25"/>
  <c r="B726" i="25"/>
  <c r="B727" i="25"/>
  <c r="B728" i="25"/>
  <c r="B729" i="25"/>
  <c r="B730" i="25"/>
  <c r="B731" i="25"/>
  <c r="B732" i="25"/>
  <c r="B733" i="25"/>
  <c r="B734" i="25"/>
  <c r="B735" i="25"/>
  <c r="B736" i="25"/>
  <c r="B737" i="25"/>
  <c r="B738" i="25"/>
  <c r="B739" i="25"/>
  <c r="B740" i="25"/>
  <c r="B741" i="25"/>
  <c r="B742" i="25"/>
  <c r="B743" i="25"/>
  <c r="B744" i="25"/>
  <c r="B745" i="25"/>
  <c r="B746" i="25"/>
  <c r="B747" i="25"/>
  <c r="B748" i="25"/>
  <c r="B749" i="25"/>
  <c r="B750" i="25"/>
  <c r="B751" i="25"/>
  <c r="B752" i="25"/>
  <c r="B753" i="25"/>
  <c r="B754" i="25"/>
  <c r="B755" i="25"/>
  <c r="B756" i="25"/>
  <c r="B757" i="25"/>
  <c r="B758" i="25"/>
  <c r="B759" i="25"/>
  <c r="B760" i="25"/>
  <c r="B761" i="25"/>
  <c r="B762" i="25"/>
  <c r="B763" i="25"/>
  <c r="B764" i="25"/>
  <c r="B765" i="25"/>
  <c r="B766" i="25"/>
  <c r="B767" i="25"/>
  <c r="B768" i="25"/>
  <c r="B769" i="25"/>
  <c r="B770" i="25"/>
  <c r="B771" i="25"/>
  <c r="B772" i="25"/>
  <c r="B773" i="25"/>
  <c r="B774" i="25"/>
  <c r="B775" i="25"/>
  <c r="B776" i="25"/>
  <c r="B777" i="25"/>
  <c r="B778" i="25"/>
  <c r="B779" i="25"/>
  <c r="B780" i="25"/>
  <c r="B781" i="25"/>
  <c r="B782" i="25"/>
  <c r="B783" i="25"/>
  <c r="B784" i="25"/>
  <c r="B785" i="25"/>
  <c r="B786" i="25"/>
  <c r="B787" i="25"/>
  <c r="B788" i="25"/>
  <c r="B789" i="25"/>
  <c r="B790" i="25"/>
  <c r="B791" i="25"/>
  <c r="B792" i="25"/>
  <c r="B793" i="25"/>
  <c r="B794" i="25"/>
  <c r="B795" i="25"/>
  <c r="B796" i="25"/>
  <c r="B797" i="25"/>
  <c r="B798" i="25"/>
  <c r="B799" i="25"/>
  <c r="B800" i="25"/>
  <c r="B801" i="25"/>
  <c r="B802" i="25"/>
  <c r="B803" i="25"/>
  <c r="B804" i="25"/>
  <c r="B805" i="25"/>
  <c r="B806" i="25"/>
  <c r="B807" i="25"/>
  <c r="B808" i="25"/>
  <c r="B809" i="25"/>
  <c r="B810" i="25"/>
  <c r="B811" i="25"/>
  <c r="B812" i="25"/>
  <c r="B813" i="25"/>
  <c r="B814" i="25"/>
  <c r="B815" i="25"/>
  <c r="B816" i="25"/>
  <c r="B817" i="25"/>
  <c r="B818" i="25"/>
  <c r="B819" i="25"/>
  <c r="B820" i="25"/>
  <c r="B821" i="25"/>
  <c r="B822" i="25"/>
  <c r="B823" i="25"/>
  <c r="B824" i="25"/>
  <c r="B825" i="25"/>
  <c r="B826" i="25"/>
  <c r="B827" i="25"/>
  <c r="B828" i="25"/>
  <c r="B829" i="25"/>
  <c r="B830" i="25"/>
  <c r="B831" i="25"/>
  <c r="B832" i="25"/>
  <c r="B833" i="25"/>
  <c r="C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431" i="24"/>
  <c r="I432" i="24"/>
  <c r="I433" i="24"/>
  <c r="I434" i="24"/>
  <c r="I435" i="24"/>
  <c r="I436" i="24"/>
  <c r="I437" i="24"/>
  <c r="I438" i="24"/>
  <c r="I439" i="24"/>
  <c r="I440" i="24"/>
  <c r="I441" i="24"/>
  <c r="I442" i="24"/>
  <c r="I443" i="24"/>
  <c r="I444" i="24"/>
  <c r="I445" i="24"/>
  <c r="I446" i="24"/>
  <c r="I447" i="24"/>
  <c r="I448" i="24"/>
  <c r="I449" i="24"/>
  <c r="I450" i="24"/>
  <c r="I451" i="24"/>
  <c r="I452" i="24"/>
  <c r="I453" i="24"/>
  <c r="I454" i="24"/>
  <c r="I455" i="24"/>
  <c r="I456" i="24"/>
  <c r="I457" i="24"/>
  <c r="I458" i="24"/>
  <c r="I459" i="24"/>
  <c r="I460" i="24"/>
  <c r="I461" i="24"/>
  <c r="I462" i="24"/>
  <c r="I463" i="24"/>
  <c r="I464" i="24"/>
  <c r="I465" i="24"/>
  <c r="I466" i="24"/>
  <c r="I467" i="24"/>
  <c r="I468" i="24"/>
  <c r="I469" i="24"/>
  <c r="I470" i="24"/>
  <c r="I471" i="24"/>
  <c r="I472" i="24"/>
  <c r="I473" i="24"/>
  <c r="I474" i="24"/>
  <c r="I475" i="24"/>
  <c r="I476" i="24"/>
  <c r="I477" i="24"/>
  <c r="I478" i="24"/>
  <c r="I479" i="24"/>
  <c r="I480" i="24"/>
  <c r="I481" i="24"/>
  <c r="I482" i="24"/>
  <c r="I483" i="24"/>
  <c r="I484" i="24"/>
  <c r="I485" i="24"/>
  <c r="I486" i="24"/>
  <c r="I487" i="24"/>
  <c r="I488" i="24"/>
  <c r="I489" i="24"/>
  <c r="I490" i="24"/>
  <c r="I491" i="24"/>
  <c r="I492" i="24"/>
  <c r="I493" i="24"/>
  <c r="I494" i="24"/>
  <c r="I495" i="24"/>
  <c r="I496" i="24"/>
  <c r="I497" i="24"/>
  <c r="I498" i="24"/>
  <c r="I499" i="24"/>
  <c r="I500" i="24"/>
  <c r="I501" i="24"/>
  <c r="I502" i="24"/>
  <c r="I503" i="24"/>
  <c r="I504" i="24"/>
  <c r="I505" i="24"/>
  <c r="I506" i="24"/>
  <c r="I507" i="24"/>
  <c r="I508" i="24"/>
  <c r="I509" i="24"/>
  <c r="I510" i="24"/>
  <c r="I511" i="24"/>
  <c r="I512" i="24"/>
  <c r="I513" i="24"/>
  <c r="I514" i="24"/>
  <c r="I515" i="24"/>
  <c r="I516" i="24"/>
  <c r="I517" i="24"/>
  <c r="I518" i="24"/>
  <c r="I519" i="24"/>
  <c r="I520" i="24"/>
  <c r="I521" i="24"/>
  <c r="I522" i="24"/>
  <c r="I523" i="24"/>
  <c r="I524" i="24"/>
  <c r="I525" i="24"/>
  <c r="I526" i="24"/>
  <c r="I527" i="24"/>
  <c r="I528" i="24"/>
  <c r="I529" i="24"/>
  <c r="I530" i="24"/>
  <c r="I531" i="24"/>
  <c r="I532" i="24"/>
  <c r="I533" i="24"/>
  <c r="I534" i="24"/>
  <c r="I535" i="24"/>
  <c r="I536" i="24"/>
  <c r="I537" i="24"/>
  <c r="I538" i="24"/>
  <c r="I539" i="24"/>
  <c r="I540" i="24"/>
  <c r="I541" i="24"/>
  <c r="I542" i="24"/>
  <c r="I543" i="24"/>
  <c r="I544" i="24"/>
  <c r="I545" i="24"/>
  <c r="I546" i="24"/>
  <c r="I547" i="24"/>
  <c r="I548" i="24"/>
  <c r="I549" i="24"/>
  <c r="I550" i="24"/>
  <c r="I551" i="24"/>
  <c r="I552" i="24"/>
  <c r="I553" i="24"/>
  <c r="I554" i="24"/>
  <c r="I555" i="24"/>
  <c r="I556" i="24"/>
  <c r="I557" i="24"/>
  <c r="I558" i="24"/>
  <c r="I559" i="24"/>
  <c r="I560" i="24"/>
  <c r="I561" i="24"/>
  <c r="I562" i="24"/>
  <c r="I563" i="24"/>
  <c r="I564" i="24"/>
  <c r="I565" i="24"/>
  <c r="I566" i="24"/>
  <c r="I567" i="24"/>
  <c r="I568" i="24"/>
  <c r="I569" i="24"/>
  <c r="I570" i="24"/>
  <c r="I571" i="24"/>
  <c r="I572" i="24"/>
  <c r="I573" i="24"/>
  <c r="I574" i="24"/>
  <c r="I575" i="24"/>
  <c r="I576" i="24"/>
  <c r="I577" i="24"/>
  <c r="I578" i="24"/>
  <c r="I579" i="24"/>
  <c r="I580" i="24"/>
  <c r="I581" i="24"/>
  <c r="I582" i="24"/>
  <c r="I583" i="24"/>
  <c r="I584" i="24"/>
  <c r="I585" i="24"/>
  <c r="I586" i="24"/>
  <c r="I587" i="24"/>
  <c r="I588" i="24"/>
  <c r="I589" i="24"/>
  <c r="I590" i="24"/>
  <c r="I591" i="24"/>
  <c r="I592" i="24"/>
  <c r="I593" i="24"/>
  <c r="I594" i="24"/>
  <c r="I595" i="24"/>
  <c r="I596" i="24"/>
  <c r="I597" i="24"/>
  <c r="I598" i="24"/>
  <c r="I599" i="24"/>
  <c r="I600" i="24"/>
  <c r="I601" i="24"/>
  <c r="I602" i="24"/>
  <c r="I603" i="24"/>
  <c r="I604" i="24"/>
  <c r="I605" i="24"/>
  <c r="I606" i="24"/>
  <c r="I607" i="24"/>
  <c r="I608" i="24"/>
  <c r="I609" i="24"/>
  <c r="I610" i="24"/>
  <c r="I611" i="24"/>
  <c r="I612" i="24"/>
  <c r="I613" i="24"/>
  <c r="I614" i="24"/>
  <c r="I615" i="24"/>
  <c r="I616" i="24"/>
  <c r="I617" i="24"/>
  <c r="I618" i="24"/>
  <c r="I619" i="24"/>
  <c r="I620" i="24"/>
  <c r="I621" i="24"/>
  <c r="I622" i="24"/>
  <c r="I623" i="24"/>
  <c r="I624" i="24"/>
  <c r="I625" i="24"/>
  <c r="I626" i="24"/>
  <c r="I627" i="24"/>
  <c r="I628" i="24"/>
  <c r="I629" i="24"/>
  <c r="I630" i="24"/>
  <c r="I631" i="24"/>
  <c r="I632" i="24"/>
  <c r="I633" i="24"/>
  <c r="I634" i="24"/>
  <c r="I635" i="24"/>
  <c r="I636" i="24"/>
  <c r="I637" i="24"/>
  <c r="I638" i="24"/>
  <c r="I639" i="24"/>
  <c r="I640" i="24"/>
  <c r="I641" i="24"/>
  <c r="I642" i="24"/>
  <c r="I643" i="24"/>
  <c r="I644" i="24"/>
  <c r="I645" i="24"/>
  <c r="I646" i="24"/>
  <c r="I647" i="24"/>
  <c r="I648" i="24"/>
  <c r="I649" i="24"/>
  <c r="I650" i="24"/>
  <c r="I651" i="24"/>
  <c r="I652" i="24"/>
  <c r="I653" i="24"/>
  <c r="I654" i="24"/>
  <c r="I655" i="24"/>
  <c r="I656" i="24"/>
  <c r="I657" i="24"/>
  <c r="I658" i="24"/>
  <c r="I659" i="24"/>
  <c r="I660" i="24"/>
  <c r="I661" i="24"/>
  <c r="I662" i="24"/>
  <c r="I663" i="24"/>
  <c r="I664" i="24"/>
  <c r="I665" i="24"/>
  <c r="I666" i="24"/>
  <c r="I667" i="24"/>
  <c r="I668" i="24"/>
  <c r="I669" i="24"/>
  <c r="I670" i="24"/>
  <c r="I671" i="24"/>
  <c r="I672" i="24"/>
  <c r="I673" i="24"/>
  <c r="I674" i="24"/>
  <c r="I675" i="24"/>
  <c r="I676" i="24"/>
  <c r="I677" i="24"/>
  <c r="I678" i="24"/>
  <c r="I679" i="24"/>
  <c r="I680" i="24"/>
  <c r="I681" i="24"/>
  <c r="I682" i="24"/>
  <c r="I683" i="24"/>
  <c r="I684" i="24"/>
  <c r="I685" i="24"/>
  <c r="I686" i="24"/>
  <c r="I687" i="24"/>
  <c r="I688" i="24"/>
  <c r="I689" i="24"/>
  <c r="I690" i="24"/>
  <c r="I691" i="24"/>
  <c r="I692" i="24"/>
  <c r="I693" i="24"/>
  <c r="I694" i="24"/>
  <c r="I695" i="24"/>
  <c r="I696" i="24"/>
  <c r="I697" i="24"/>
  <c r="I698" i="24"/>
  <c r="I699" i="24"/>
  <c r="I700" i="24"/>
  <c r="I701" i="24"/>
  <c r="I702" i="24"/>
  <c r="I703" i="24"/>
  <c r="I704" i="24"/>
  <c r="I705" i="24"/>
  <c r="I706" i="24"/>
  <c r="I707" i="24"/>
  <c r="I708" i="24"/>
  <c r="I709" i="24"/>
  <c r="I710" i="24"/>
  <c r="I711" i="24"/>
  <c r="I712" i="24"/>
  <c r="I713" i="24"/>
  <c r="I714" i="24"/>
  <c r="I715" i="24"/>
  <c r="I716" i="24"/>
  <c r="I717" i="24"/>
  <c r="I718" i="24"/>
  <c r="I719" i="24"/>
  <c r="I720" i="24"/>
  <c r="I721" i="24"/>
  <c r="I722" i="24"/>
  <c r="I723" i="24"/>
  <c r="I724" i="24"/>
  <c r="I725" i="24"/>
  <c r="I726" i="24"/>
  <c r="I727" i="24"/>
  <c r="I728" i="24"/>
  <c r="I729" i="24"/>
  <c r="I730" i="24"/>
  <c r="I731" i="24"/>
  <c r="I732" i="24"/>
  <c r="I733" i="24"/>
  <c r="I734" i="24"/>
  <c r="I735" i="24"/>
  <c r="I736" i="24"/>
  <c r="I737" i="24"/>
  <c r="I738" i="24"/>
  <c r="I739" i="24"/>
  <c r="I740" i="24"/>
  <c r="I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F502" i="24"/>
  <c r="F503" i="24"/>
  <c r="F504" i="24"/>
  <c r="F505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8" i="24"/>
  <c r="F519" i="24"/>
  <c r="F520" i="24"/>
  <c r="F521" i="24"/>
  <c r="F522" i="24"/>
  <c r="F523" i="24"/>
  <c r="F524" i="24"/>
  <c r="F525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1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564" i="24"/>
  <c r="F565" i="24"/>
  <c r="F566" i="24"/>
  <c r="F567" i="24"/>
  <c r="F568" i="24"/>
  <c r="F569" i="24"/>
  <c r="F570" i="24"/>
  <c r="F571" i="24"/>
  <c r="F572" i="24"/>
  <c r="F573" i="24"/>
  <c r="F574" i="24"/>
  <c r="F575" i="24"/>
  <c r="F576" i="24"/>
  <c r="F577" i="24"/>
  <c r="F578" i="24"/>
  <c r="F579" i="24"/>
  <c r="F580" i="24"/>
  <c r="F581" i="24"/>
  <c r="F582" i="24"/>
  <c r="F583" i="24"/>
  <c r="F584" i="24"/>
  <c r="F585" i="24"/>
  <c r="F586" i="24"/>
  <c r="F587" i="24"/>
  <c r="F588" i="24"/>
  <c r="F589" i="24"/>
  <c r="F590" i="24"/>
  <c r="F591" i="24"/>
  <c r="F592" i="24"/>
  <c r="F593" i="24"/>
  <c r="F594" i="24"/>
  <c r="F595" i="24"/>
  <c r="F596" i="24"/>
  <c r="F597" i="24"/>
  <c r="F598" i="24"/>
  <c r="F599" i="24"/>
  <c r="F600" i="24"/>
  <c r="F601" i="24"/>
  <c r="F602" i="24"/>
  <c r="F603" i="24"/>
  <c r="F604" i="24"/>
  <c r="F605" i="24"/>
  <c r="F606" i="24"/>
  <c r="F607" i="24"/>
  <c r="F608" i="24"/>
  <c r="F609" i="24"/>
  <c r="F610" i="24"/>
  <c r="F611" i="24"/>
  <c r="F612" i="24"/>
  <c r="F613" i="24"/>
  <c r="F614" i="24"/>
  <c r="F615" i="24"/>
  <c r="F616" i="24"/>
  <c r="F617" i="24"/>
  <c r="F618" i="24"/>
  <c r="F619" i="24"/>
  <c r="F620" i="24"/>
  <c r="F621" i="24"/>
  <c r="F622" i="24"/>
  <c r="F623" i="24"/>
  <c r="F624" i="24"/>
  <c r="F625" i="24"/>
  <c r="F626" i="24"/>
  <c r="F627" i="24"/>
  <c r="F628" i="24"/>
  <c r="F629" i="24"/>
  <c r="F630" i="24"/>
  <c r="F631" i="24"/>
  <c r="F632" i="24"/>
  <c r="F633" i="24"/>
  <c r="F634" i="24"/>
  <c r="F635" i="24"/>
  <c r="F636" i="24"/>
  <c r="F637" i="24"/>
  <c r="F638" i="24"/>
  <c r="F639" i="24"/>
  <c r="F640" i="24"/>
  <c r="F641" i="24"/>
  <c r="F642" i="24"/>
  <c r="F643" i="24"/>
  <c r="F644" i="24"/>
  <c r="F645" i="24"/>
  <c r="F646" i="24"/>
  <c r="F647" i="24"/>
  <c r="F648" i="24"/>
  <c r="F649" i="24"/>
  <c r="F650" i="24"/>
  <c r="F651" i="24"/>
  <c r="F652" i="24"/>
  <c r="F653" i="24"/>
  <c r="F654" i="24"/>
  <c r="F655" i="24"/>
  <c r="F656" i="24"/>
  <c r="F657" i="24"/>
  <c r="F658" i="24"/>
  <c r="F659" i="24"/>
  <c r="F660" i="24"/>
  <c r="F661" i="24"/>
  <c r="F662" i="24"/>
  <c r="F663" i="24"/>
  <c r="F664" i="24"/>
  <c r="F665" i="24"/>
  <c r="F666" i="24"/>
  <c r="F667" i="24"/>
  <c r="F668" i="24"/>
  <c r="F669" i="24"/>
  <c r="F670" i="24"/>
  <c r="F671" i="24"/>
  <c r="F672" i="24"/>
  <c r="F673" i="24"/>
  <c r="F674" i="24"/>
  <c r="F675" i="24"/>
  <c r="F676" i="24"/>
  <c r="F677" i="24"/>
  <c r="F678" i="24"/>
  <c r="F679" i="24"/>
  <c r="F680" i="24"/>
  <c r="F681" i="24"/>
  <c r="F682" i="24"/>
  <c r="F683" i="24"/>
  <c r="F684" i="24"/>
  <c r="F685" i="24"/>
  <c r="F686" i="24"/>
  <c r="F687" i="24"/>
  <c r="F688" i="24"/>
  <c r="F689" i="24"/>
  <c r="F690" i="24"/>
  <c r="F691" i="24"/>
  <c r="F692" i="24"/>
  <c r="F693" i="24"/>
  <c r="F694" i="24"/>
  <c r="F695" i="24"/>
  <c r="F696" i="24"/>
  <c r="F697" i="24"/>
  <c r="F698" i="24"/>
  <c r="F699" i="24"/>
  <c r="F700" i="24"/>
  <c r="F701" i="24"/>
  <c r="F702" i="24"/>
  <c r="F703" i="24"/>
  <c r="F704" i="24"/>
  <c r="F705" i="24"/>
  <c r="F706" i="24"/>
  <c r="F707" i="24"/>
  <c r="F708" i="24"/>
  <c r="F709" i="24"/>
  <c r="F710" i="24"/>
  <c r="F711" i="24"/>
  <c r="F712" i="24"/>
  <c r="F713" i="24"/>
  <c r="F714" i="24"/>
  <c r="F715" i="24"/>
  <c r="F716" i="24"/>
  <c r="F717" i="24"/>
  <c r="F718" i="24"/>
  <c r="F719" i="24"/>
  <c r="F720" i="24"/>
  <c r="F721" i="24"/>
  <c r="F722" i="24"/>
  <c r="F723" i="24"/>
  <c r="F724" i="24"/>
  <c r="F725" i="24"/>
  <c r="F726" i="24"/>
  <c r="F727" i="24"/>
  <c r="F728" i="24"/>
  <c r="F729" i="24"/>
  <c r="F730" i="24"/>
  <c r="F731" i="24"/>
  <c r="F732" i="24"/>
  <c r="F733" i="24"/>
  <c r="F734" i="24"/>
  <c r="F735" i="24"/>
  <c r="F736" i="24"/>
  <c r="F737" i="24"/>
  <c r="F738" i="24"/>
  <c r="F739" i="24"/>
  <c r="F740" i="24"/>
  <c r="F741" i="24"/>
  <c r="F742" i="24"/>
  <c r="F743" i="24"/>
  <c r="F744" i="24"/>
  <c r="F745" i="24"/>
  <c r="F746" i="24"/>
  <c r="F747" i="24"/>
  <c r="F748" i="24"/>
  <c r="F749" i="24"/>
  <c r="F750" i="24"/>
  <c r="F751" i="24"/>
  <c r="F752" i="24"/>
  <c r="F753" i="24"/>
  <c r="F754" i="24"/>
  <c r="F755" i="24"/>
  <c r="F756" i="24"/>
  <c r="F757" i="24"/>
  <c r="F758" i="24"/>
  <c r="F759" i="24"/>
  <c r="F760" i="24"/>
  <c r="F761" i="24"/>
  <c r="F762" i="24"/>
  <c r="F763" i="24"/>
  <c r="F764" i="24"/>
  <c r="F765" i="24"/>
  <c r="F766" i="24"/>
  <c r="F767" i="24"/>
  <c r="F768" i="24"/>
  <c r="F769" i="24"/>
  <c r="F770" i="24"/>
  <c r="F771" i="24"/>
  <c r="F772" i="24"/>
  <c r="F773" i="24"/>
  <c r="F774" i="24"/>
  <c r="F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331" i="24"/>
  <c r="C332" i="24"/>
  <c r="C333" i="24"/>
  <c r="C334" i="24"/>
  <c r="C335" i="24"/>
  <c r="C336" i="24"/>
  <c r="C337" i="24"/>
  <c r="C338" i="24"/>
  <c r="C339" i="24"/>
  <c r="C340" i="24"/>
  <c r="C341" i="24"/>
  <c r="C342" i="24"/>
  <c r="C343" i="24"/>
  <c r="C344" i="24"/>
  <c r="C345" i="24"/>
  <c r="C346" i="24"/>
  <c r="C347" i="24"/>
  <c r="C348" i="24"/>
  <c r="C349" i="24"/>
  <c r="C350" i="24"/>
  <c r="C351" i="24"/>
  <c r="C352" i="24"/>
  <c r="C353" i="24"/>
  <c r="C354" i="24"/>
  <c r="C355" i="24"/>
  <c r="C356" i="24"/>
  <c r="C357" i="24"/>
  <c r="C358" i="24"/>
  <c r="C359" i="24"/>
  <c r="C360" i="24"/>
  <c r="C361" i="24"/>
  <c r="C362" i="24"/>
  <c r="C363" i="24"/>
  <c r="C364" i="24"/>
  <c r="C365" i="24"/>
  <c r="C366" i="24"/>
  <c r="C367" i="24"/>
  <c r="C368" i="24"/>
  <c r="C369" i="24"/>
  <c r="C370" i="24"/>
  <c r="C371" i="24"/>
  <c r="C372" i="24"/>
  <c r="C373" i="24"/>
  <c r="C374" i="24"/>
  <c r="C375" i="24"/>
  <c r="C376" i="24"/>
  <c r="C377" i="24"/>
  <c r="C378" i="24"/>
  <c r="C379" i="24"/>
  <c r="C380" i="24"/>
  <c r="C381" i="24"/>
  <c r="C382" i="24"/>
  <c r="C383" i="24"/>
  <c r="C384" i="24"/>
  <c r="C385" i="24"/>
  <c r="C386" i="24"/>
  <c r="C387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418" i="24"/>
  <c r="C419" i="24"/>
  <c r="C420" i="24"/>
  <c r="C421" i="24"/>
  <c r="C422" i="24"/>
  <c r="C423" i="24"/>
  <c r="C424" i="24"/>
  <c r="C425" i="24"/>
  <c r="C426" i="24"/>
  <c r="C427" i="24"/>
  <c r="C428" i="24"/>
  <c r="C429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460" i="24"/>
  <c r="C461" i="24"/>
  <c r="C462" i="24"/>
  <c r="C463" i="24"/>
  <c r="C464" i="24"/>
  <c r="C465" i="24"/>
  <c r="C466" i="24"/>
  <c r="C467" i="24"/>
  <c r="C468" i="24"/>
  <c r="C469" i="24"/>
  <c r="C470" i="24"/>
  <c r="C471" i="24"/>
  <c r="C472" i="24"/>
  <c r="C473" i="24"/>
  <c r="C474" i="24"/>
  <c r="C475" i="24"/>
  <c r="C476" i="24"/>
  <c r="C477" i="24"/>
  <c r="C478" i="24"/>
  <c r="C479" i="24"/>
  <c r="C480" i="24"/>
  <c r="C481" i="24"/>
  <c r="C482" i="24"/>
  <c r="C483" i="24"/>
  <c r="C484" i="24"/>
  <c r="C485" i="24"/>
  <c r="C486" i="24"/>
  <c r="C487" i="24"/>
  <c r="C488" i="24"/>
  <c r="C489" i="24"/>
  <c r="C490" i="24"/>
  <c r="C491" i="24"/>
  <c r="C492" i="24"/>
  <c r="C493" i="24"/>
  <c r="C494" i="24"/>
  <c r="C495" i="24"/>
  <c r="C496" i="24"/>
  <c r="C497" i="24"/>
  <c r="C498" i="24"/>
  <c r="C499" i="24"/>
  <c r="C500" i="24"/>
  <c r="C501" i="24"/>
  <c r="C502" i="24"/>
  <c r="C503" i="24"/>
  <c r="C504" i="24"/>
  <c r="C505" i="24"/>
  <c r="C506" i="24"/>
  <c r="C507" i="24"/>
  <c r="C508" i="24"/>
  <c r="C509" i="24"/>
  <c r="C510" i="24"/>
  <c r="C511" i="24"/>
  <c r="C512" i="24"/>
  <c r="C513" i="24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C533" i="24"/>
  <c r="C534" i="24"/>
  <c r="C535" i="24"/>
  <c r="C536" i="24"/>
  <c r="C537" i="24"/>
  <c r="C538" i="24"/>
  <c r="C539" i="24"/>
  <c r="C540" i="24"/>
  <c r="C541" i="24"/>
  <c r="C542" i="24"/>
  <c r="C543" i="24"/>
  <c r="C544" i="24"/>
  <c r="C545" i="24"/>
  <c r="C546" i="24"/>
  <c r="C547" i="24"/>
  <c r="C548" i="24"/>
  <c r="C549" i="24"/>
  <c r="C550" i="24"/>
  <c r="C551" i="24"/>
  <c r="C552" i="24"/>
  <c r="C553" i="24"/>
  <c r="C554" i="24"/>
  <c r="C555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C585" i="24"/>
  <c r="C586" i="24"/>
  <c r="C587" i="24"/>
  <c r="C588" i="24"/>
  <c r="C589" i="24"/>
  <c r="C590" i="24"/>
  <c r="C591" i="24"/>
  <c r="C592" i="24"/>
  <c r="C593" i="24"/>
  <c r="C594" i="24"/>
  <c r="C595" i="24"/>
  <c r="C596" i="24"/>
  <c r="C597" i="24"/>
  <c r="C598" i="24"/>
  <c r="C599" i="24"/>
  <c r="C600" i="24"/>
  <c r="C601" i="24"/>
  <c r="C602" i="24"/>
  <c r="C603" i="24"/>
  <c r="C604" i="24"/>
  <c r="C605" i="24"/>
  <c r="C606" i="24"/>
  <c r="C607" i="24"/>
  <c r="C608" i="24"/>
  <c r="C609" i="24"/>
  <c r="C610" i="24"/>
  <c r="C611" i="24"/>
  <c r="C612" i="24"/>
  <c r="C613" i="24"/>
  <c r="C614" i="24"/>
  <c r="C615" i="24"/>
  <c r="C616" i="24"/>
  <c r="C617" i="24"/>
  <c r="C618" i="24"/>
  <c r="C619" i="24"/>
  <c r="C620" i="24"/>
  <c r="C621" i="24"/>
  <c r="C622" i="24"/>
  <c r="C623" i="24"/>
  <c r="C624" i="24"/>
  <c r="C625" i="24"/>
  <c r="C626" i="24"/>
  <c r="C627" i="24"/>
  <c r="C628" i="24"/>
  <c r="C629" i="24"/>
  <c r="C630" i="24"/>
  <c r="C631" i="24"/>
  <c r="C632" i="24"/>
  <c r="C633" i="24"/>
  <c r="C634" i="24"/>
  <c r="C635" i="24"/>
  <c r="C636" i="24"/>
  <c r="C637" i="24"/>
  <c r="C638" i="24"/>
  <c r="C639" i="24"/>
  <c r="C640" i="24"/>
  <c r="C641" i="24"/>
  <c r="C642" i="24"/>
  <c r="C643" i="24"/>
  <c r="C644" i="24"/>
  <c r="C645" i="24"/>
  <c r="C646" i="24"/>
  <c r="C647" i="24"/>
  <c r="C648" i="24"/>
  <c r="C649" i="24"/>
  <c r="C650" i="24"/>
  <c r="C651" i="24"/>
  <c r="C652" i="24"/>
  <c r="C653" i="24"/>
  <c r="C654" i="24"/>
  <c r="C655" i="24"/>
  <c r="C656" i="24"/>
  <c r="C657" i="24"/>
  <c r="C658" i="24"/>
  <c r="C659" i="24"/>
  <c r="C660" i="24"/>
  <c r="C661" i="24"/>
  <c r="C662" i="24"/>
  <c r="C663" i="24"/>
  <c r="C664" i="24"/>
  <c r="C665" i="24"/>
  <c r="C666" i="24"/>
  <c r="C667" i="24"/>
  <c r="C668" i="24"/>
  <c r="C669" i="24"/>
  <c r="C670" i="24"/>
  <c r="C671" i="24"/>
  <c r="C672" i="24"/>
  <c r="C673" i="24"/>
  <c r="C674" i="24"/>
  <c r="C675" i="24"/>
  <c r="C676" i="24"/>
  <c r="C677" i="24"/>
  <c r="C678" i="24"/>
  <c r="C679" i="24"/>
  <c r="C680" i="24"/>
  <c r="C681" i="24"/>
  <c r="C682" i="24"/>
  <c r="C683" i="24"/>
  <c r="C684" i="24"/>
  <c r="C685" i="24"/>
  <c r="C686" i="24"/>
  <c r="C687" i="24"/>
  <c r="C688" i="24"/>
  <c r="C689" i="24"/>
  <c r="C690" i="24"/>
  <c r="C691" i="24"/>
  <c r="C692" i="24"/>
  <c r="C693" i="24"/>
  <c r="C694" i="24"/>
  <c r="C695" i="24"/>
  <c r="C696" i="24"/>
  <c r="C697" i="24"/>
  <c r="C698" i="24"/>
  <c r="C699" i="24"/>
  <c r="C700" i="24"/>
  <c r="C701" i="24"/>
  <c r="C702" i="24"/>
  <c r="C703" i="24"/>
  <c r="C704" i="24"/>
  <c r="C705" i="24"/>
  <c r="C706" i="24"/>
  <c r="C707" i="24"/>
  <c r="C708" i="24"/>
  <c r="C709" i="24"/>
  <c r="C710" i="24"/>
  <c r="C711" i="24"/>
  <c r="C712" i="24"/>
  <c r="C713" i="24"/>
  <c r="C714" i="24"/>
  <c r="C715" i="24"/>
  <c r="C716" i="24"/>
  <c r="C717" i="24"/>
  <c r="C718" i="24"/>
  <c r="C719" i="24"/>
  <c r="C720" i="24"/>
  <c r="C721" i="24"/>
  <c r="C722" i="24"/>
  <c r="C723" i="24"/>
  <c r="C724" i="24"/>
  <c r="C725" i="24"/>
  <c r="C726" i="24"/>
  <c r="C727" i="24"/>
  <c r="C728" i="24"/>
  <c r="C729" i="24"/>
  <c r="C730" i="24"/>
  <c r="C731" i="24"/>
  <c r="C732" i="24"/>
  <c r="C733" i="24"/>
  <c r="C734" i="24"/>
  <c r="C735" i="24"/>
  <c r="C736" i="24"/>
  <c r="C737" i="24"/>
  <c r="C738" i="24"/>
  <c r="C739" i="24"/>
  <c r="C740" i="24"/>
  <c r="C741" i="24"/>
  <c r="C742" i="24"/>
  <c r="C743" i="24"/>
  <c r="C744" i="24"/>
  <c r="C745" i="24"/>
  <c r="C746" i="24"/>
  <c r="C747" i="24"/>
  <c r="C748" i="24"/>
  <c r="C749" i="24"/>
  <c r="C750" i="24"/>
  <c r="C751" i="24"/>
  <c r="C752" i="24"/>
  <c r="C753" i="24"/>
  <c r="C754" i="24"/>
  <c r="C755" i="24"/>
  <c r="C756" i="24"/>
  <c r="C757" i="24"/>
  <c r="C758" i="24"/>
  <c r="C759" i="24"/>
  <c r="C760" i="24"/>
  <c r="C761" i="24"/>
  <c r="C762" i="24"/>
  <c r="C763" i="24"/>
  <c r="C764" i="24"/>
  <c r="C765" i="24"/>
  <c r="C766" i="24"/>
  <c r="C767" i="24"/>
  <c r="C768" i="24"/>
  <c r="C769" i="24"/>
  <c r="C770" i="24"/>
  <c r="C771" i="24"/>
  <c r="C772" i="24"/>
  <c r="C773" i="24"/>
  <c r="C774" i="24"/>
  <c r="C775" i="24"/>
  <c r="C776" i="24"/>
  <c r="C777" i="24"/>
  <c r="C778" i="24"/>
  <c r="C779" i="24"/>
  <c r="C780" i="24"/>
  <c r="C781" i="24"/>
  <c r="C782" i="24"/>
  <c r="C783" i="24"/>
  <c r="C784" i="24"/>
  <c r="C785" i="24"/>
  <c r="C786" i="24"/>
  <c r="C787" i="24"/>
  <c r="C788" i="24"/>
  <c r="C789" i="24"/>
  <c r="C790" i="24"/>
  <c r="C791" i="24"/>
  <c r="C792" i="24"/>
  <c r="C793" i="24"/>
  <c r="C794" i="24"/>
  <c r="C795" i="24"/>
  <c r="C796" i="24"/>
  <c r="C797" i="24"/>
  <c r="C798" i="24"/>
  <c r="C799" i="24"/>
  <c r="C800" i="24"/>
  <c r="C801" i="24"/>
  <c r="C802" i="24"/>
  <c r="C803" i="24"/>
  <c r="C804" i="24"/>
  <c r="C805" i="24"/>
  <c r="C806" i="24"/>
  <c r="C807" i="24"/>
  <c r="C808" i="24"/>
  <c r="C809" i="24"/>
  <c r="C810" i="24"/>
  <c r="C811" i="24"/>
  <c r="C812" i="24"/>
  <c r="C813" i="24"/>
  <c r="C814" i="24"/>
  <c r="C815" i="24"/>
  <c r="C816" i="24"/>
  <c r="C817" i="24"/>
  <c r="C818" i="24"/>
  <c r="C819" i="24"/>
  <c r="C820" i="24"/>
  <c r="C821" i="24"/>
  <c r="C822" i="24"/>
  <c r="C823" i="24"/>
  <c r="C824" i="24"/>
  <c r="C825" i="24"/>
  <c r="C826" i="24"/>
  <c r="C827" i="24"/>
  <c r="C828" i="24"/>
  <c r="C829" i="24"/>
  <c r="C830" i="24"/>
  <c r="C831" i="24"/>
  <c r="C832" i="24"/>
  <c r="C833" i="24"/>
  <c r="C834" i="24"/>
  <c r="G739" i="24"/>
  <c r="H739" i="24" s="1" a="1"/>
  <c r="H739" i="24" s="1"/>
  <c r="D773" i="24"/>
  <c r="E773" i="24" a="1"/>
  <c r="E773" i="24" s="1"/>
  <c r="D774" i="24"/>
  <c r="E774" i="24" s="1" a="1"/>
  <c r="E774" i="24" s="1"/>
  <c r="H4" i="24" a="1"/>
  <c r="H4" i="24" s="1"/>
  <c r="H5" i="24" a="1"/>
  <c r="H5" i="24" s="1"/>
  <c r="H6" i="24" a="1"/>
  <c r="H6" i="24" s="1"/>
  <c r="H7" i="24" a="1"/>
  <c r="H7" i="24" s="1"/>
  <c r="H8" i="24" a="1"/>
  <c r="H8" i="24"/>
  <c r="H9" i="24" a="1"/>
  <c r="H9" i="24" s="1"/>
  <c r="H10" i="24" a="1"/>
  <c r="H10" i="24" s="1"/>
  <c r="H11" i="24" a="1"/>
  <c r="H11" i="24" s="1"/>
  <c r="H12" i="24" a="1"/>
  <c r="H12" i="24" s="1"/>
  <c r="H13" i="24" a="1"/>
  <c r="H13" i="24" s="1"/>
  <c r="H14" i="24" a="1"/>
  <c r="H14" i="24"/>
  <c r="H15" i="24" a="1"/>
  <c r="H15" i="24" s="1"/>
  <c r="H16" i="24" a="1"/>
  <c r="H16" i="24" s="1"/>
  <c r="H17" i="24" a="1"/>
  <c r="H17" i="24" s="1"/>
  <c r="H18" i="24" a="1"/>
  <c r="H18" i="24" s="1"/>
  <c r="H19" i="24" a="1"/>
  <c r="H19" i="24" s="1"/>
  <c r="H20" i="24" a="1"/>
  <c r="H20" i="24" s="1"/>
  <c r="H21" i="24" a="1"/>
  <c r="H21" i="24" s="1"/>
  <c r="H22" i="24" a="1"/>
  <c r="H22" i="24" s="1"/>
  <c r="H23" i="24" a="1"/>
  <c r="H23" i="24" s="1"/>
  <c r="H24" i="24" a="1"/>
  <c r="H24" i="24" s="1"/>
  <c r="H25" i="24" a="1"/>
  <c r="H25" i="24" s="1"/>
  <c r="H26" i="24" a="1"/>
  <c r="H26" i="24" s="1"/>
  <c r="H27" i="24" a="1"/>
  <c r="H27" i="24" s="1"/>
  <c r="H28" i="24" a="1"/>
  <c r="H28" i="24" s="1"/>
  <c r="H29" i="24" a="1"/>
  <c r="H29" i="24" s="1"/>
  <c r="H30" i="24" a="1"/>
  <c r="H30" i="24" s="1"/>
  <c r="H31" i="24" a="1"/>
  <c r="H31" i="24" s="1"/>
  <c r="H32" i="24" a="1"/>
  <c r="H32" i="24"/>
  <c r="H33" i="24" a="1"/>
  <c r="H33" i="24" s="1"/>
  <c r="H34" i="24" a="1"/>
  <c r="H34" i="24" s="1"/>
  <c r="H35" i="24" a="1"/>
  <c r="H35" i="24" s="1"/>
  <c r="H36" i="24" a="1"/>
  <c r="H36" i="24" s="1"/>
  <c r="H37" i="24" a="1"/>
  <c r="H37" i="24" s="1"/>
  <c r="H38" i="24" a="1"/>
  <c r="H38" i="24" s="1"/>
  <c r="H39" i="24" a="1"/>
  <c r="H39" i="24" s="1"/>
  <c r="H40" i="24" a="1"/>
  <c r="H40" i="24" s="1"/>
  <c r="H41" i="24" a="1"/>
  <c r="H41" i="24" s="1"/>
  <c r="H42" i="24" a="1"/>
  <c r="H42" i="24" s="1"/>
  <c r="H43" i="24" a="1"/>
  <c r="H43" i="24" s="1"/>
  <c r="H44" i="24" a="1"/>
  <c r="H44" i="24" s="1"/>
  <c r="H45" i="24" a="1"/>
  <c r="H45" i="24" s="1"/>
  <c r="H46" i="24" a="1"/>
  <c r="H46" i="24" s="1"/>
  <c r="H47" i="24" a="1"/>
  <c r="H47" i="24" s="1"/>
  <c r="H48" i="24" a="1"/>
  <c r="H48" i="24" s="1"/>
  <c r="H49" i="24" a="1"/>
  <c r="H49" i="24" s="1"/>
  <c r="H50" i="24" a="1"/>
  <c r="H50" i="24"/>
  <c r="H51" i="24" a="1"/>
  <c r="H51" i="24" s="1"/>
  <c r="H52" i="24" a="1"/>
  <c r="H52" i="24" s="1"/>
  <c r="H53" i="24" a="1"/>
  <c r="H53" i="24" s="1"/>
  <c r="H54" i="24" a="1"/>
  <c r="H54" i="24" s="1"/>
  <c r="H55" i="24" a="1"/>
  <c r="H55" i="24" s="1"/>
  <c r="H56" i="24" a="1"/>
  <c r="H56" i="24" s="1"/>
  <c r="H57" i="24" a="1"/>
  <c r="H57" i="24" s="1"/>
  <c r="H58" i="24" a="1"/>
  <c r="H58" i="24" s="1"/>
  <c r="H59" i="24" a="1"/>
  <c r="H59" i="24" s="1"/>
  <c r="H60" i="24" a="1"/>
  <c r="H60" i="24" s="1"/>
  <c r="H61" i="24" a="1"/>
  <c r="H61" i="24" s="1"/>
  <c r="H62" i="24" a="1"/>
  <c r="H62" i="24" s="1"/>
  <c r="H63" i="24" a="1"/>
  <c r="H63" i="24" s="1"/>
  <c r="H64" i="24" a="1"/>
  <c r="H64" i="24" s="1"/>
  <c r="H65" i="24" a="1"/>
  <c r="H65" i="24" s="1"/>
  <c r="H66" i="24" a="1"/>
  <c r="H66" i="24" s="1"/>
  <c r="H67" i="24" a="1"/>
  <c r="H67" i="24" s="1"/>
  <c r="H68" i="24" a="1"/>
  <c r="H68" i="24" s="1"/>
  <c r="H69" i="24" a="1"/>
  <c r="H69" i="24" s="1"/>
  <c r="H70" i="24" a="1"/>
  <c r="H70" i="24" s="1"/>
  <c r="H71" i="24" a="1"/>
  <c r="H71" i="24" s="1"/>
  <c r="H72" i="24" a="1"/>
  <c r="H72" i="24" s="1"/>
  <c r="H73" i="24" a="1"/>
  <c r="H73" i="24" s="1"/>
  <c r="H74" i="24" a="1"/>
  <c r="H74" i="24" s="1"/>
  <c r="H75" i="24" a="1"/>
  <c r="H75" i="24" s="1"/>
  <c r="H76" i="24" a="1"/>
  <c r="H76" i="24" s="1"/>
  <c r="H77" i="24" a="1"/>
  <c r="H77" i="24" s="1"/>
  <c r="H78" i="24" a="1"/>
  <c r="H78" i="24" s="1"/>
  <c r="H79" i="24" a="1"/>
  <c r="H79" i="24" s="1"/>
  <c r="H80" i="24" a="1"/>
  <c r="H80" i="24" s="1"/>
  <c r="H81" i="24" a="1"/>
  <c r="H81" i="24" s="1"/>
  <c r="H82" i="24" a="1"/>
  <c r="H82" i="24" s="1"/>
  <c r="H83" i="24" a="1"/>
  <c r="H83" i="24" s="1"/>
  <c r="H84" i="24" a="1"/>
  <c r="H84" i="24" s="1"/>
  <c r="H85" i="24" a="1"/>
  <c r="H85" i="24" s="1"/>
  <c r="H86" i="24" a="1"/>
  <c r="H86" i="24" s="1"/>
  <c r="H87" i="24" a="1"/>
  <c r="H87" i="24" s="1"/>
  <c r="H88" i="24" a="1"/>
  <c r="H88" i="24" s="1"/>
  <c r="H89" i="24" a="1"/>
  <c r="H89" i="24" s="1"/>
  <c r="H90" i="24" a="1"/>
  <c r="H90" i="24" s="1"/>
  <c r="H91" i="24" a="1"/>
  <c r="H91" i="24" s="1"/>
  <c r="H92" i="24" a="1"/>
  <c r="H92" i="24" s="1"/>
  <c r="H93" i="24" a="1"/>
  <c r="H93" i="24" s="1"/>
  <c r="H94" i="24" a="1"/>
  <c r="H94" i="24" s="1"/>
  <c r="H95" i="24" a="1"/>
  <c r="H95" i="24" s="1"/>
  <c r="H96" i="24" a="1"/>
  <c r="H96" i="24" s="1"/>
  <c r="H97" i="24" a="1"/>
  <c r="H97" i="24" s="1"/>
  <c r="H98" i="24" a="1"/>
  <c r="H98" i="24" s="1"/>
  <c r="H99" i="24" a="1"/>
  <c r="H99" i="24" s="1"/>
  <c r="H100" i="24" a="1"/>
  <c r="H100" i="24" s="1"/>
  <c r="H101" i="24" a="1"/>
  <c r="H101" i="24" s="1"/>
  <c r="H102" i="24" a="1"/>
  <c r="H102" i="24" s="1"/>
  <c r="H103" i="24" a="1"/>
  <c r="H103" i="24" s="1"/>
  <c r="H104" i="24" a="1"/>
  <c r="H104" i="24"/>
  <c r="H105" i="24" a="1"/>
  <c r="H105" i="24" s="1"/>
  <c r="H106" i="24" a="1"/>
  <c r="H106" i="24" s="1"/>
  <c r="H107" i="24" a="1"/>
  <c r="H107" i="24" s="1"/>
  <c r="H108" i="24" a="1"/>
  <c r="H108" i="24" s="1"/>
  <c r="H109" i="24" a="1"/>
  <c r="H109" i="24" s="1"/>
  <c r="H110" i="24" a="1"/>
  <c r="H110" i="24" s="1"/>
  <c r="H111" i="24" a="1"/>
  <c r="H111" i="24" s="1"/>
  <c r="H112" i="24" a="1"/>
  <c r="H112" i="24" s="1"/>
  <c r="H113" i="24" a="1"/>
  <c r="H113" i="24" s="1"/>
  <c r="H114" i="24" a="1"/>
  <c r="H114" i="24" s="1"/>
  <c r="H115" i="24" a="1"/>
  <c r="H115" i="24" s="1"/>
  <c r="H116" i="24" a="1"/>
  <c r="H116" i="24" s="1"/>
  <c r="H117" i="24" a="1"/>
  <c r="H117" i="24" s="1"/>
  <c r="H118" i="24" a="1"/>
  <c r="H118" i="24" s="1"/>
  <c r="H119" i="24" a="1"/>
  <c r="H119" i="24" s="1"/>
  <c r="H120" i="24" a="1"/>
  <c r="H120" i="24" s="1"/>
  <c r="H121" i="24" a="1"/>
  <c r="H121" i="24" s="1"/>
  <c r="H122" i="24" a="1"/>
  <c r="H122" i="24"/>
  <c r="H123" i="24" a="1"/>
  <c r="H123" i="24" s="1"/>
  <c r="H124" i="24" a="1"/>
  <c r="H124" i="24" s="1"/>
  <c r="H125" i="24" a="1"/>
  <c r="H125" i="24" s="1"/>
  <c r="H126" i="24" a="1"/>
  <c r="H126" i="24" s="1"/>
  <c r="H127" i="24" a="1"/>
  <c r="H127" i="24" s="1"/>
  <c r="H128" i="24" a="1"/>
  <c r="H128" i="24"/>
  <c r="H129" i="24" a="1"/>
  <c r="H129" i="24" s="1"/>
  <c r="H130" i="24" a="1"/>
  <c r="H130" i="24" s="1"/>
  <c r="H131" i="24" a="1"/>
  <c r="H131" i="24" s="1"/>
  <c r="H132" i="24" a="1"/>
  <c r="H132" i="24" s="1"/>
  <c r="H133" i="24" a="1"/>
  <c r="H133" i="24" s="1"/>
  <c r="H134" i="24" a="1"/>
  <c r="H134" i="24" s="1"/>
  <c r="H135" i="24" a="1"/>
  <c r="H135" i="24" s="1"/>
  <c r="H136" i="24" a="1"/>
  <c r="H136" i="24" s="1"/>
  <c r="H137" i="24" a="1"/>
  <c r="H137" i="24" s="1"/>
  <c r="H138" i="24" a="1"/>
  <c r="H138" i="24" s="1"/>
  <c r="H139" i="24" a="1"/>
  <c r="H139" i="24" s="1"/>
  <c r="H140" i="24" a="1"/>
  <c r="H140" i="24"/>
  <c r="H141" i="24" a="1"/>
  <c r="H141" i="24" s="1"/>
  <c r="H142" i="24" a="1"/>
  <c r="H142" i="24" s="1"/>
  <c r="H143" i="24" a="1"/>
  <c r="H143" i="24" s="1"/>
  <c r="H144" i="24" a="1"/>
  <c r="H144" i="24" s="1"/>
  <c r="H145" i="24" a="1"/>
  <c r="H145" i="24" s="1"/>
  <c r="H146" i="24" a="1"/>
  <c r="H146" i="24"/>
  <c r="H147" i="24" a="1"/>
  <c r="H147" i="24" s="1"/>
  <c r="H148" i="24" a="1"/>
  <c r="H148" i="24" s="1"/>
  <c r="H149" i="24" a="1"/>
  <c r="H149" i="24" s="1"/>
  <c r="H150" i="24" a="1"/>
  <c r="H150" i="24" s="1"/>
  <c r="H151" i="24" a="1"/>
  <c r="H151" i="24" s="1"/>
  <c r="H152" i="24" a="1"/>
  <c r="H152" i="24" s="1"/>
  <c r="H153" i="24" a="1"/>
  <c r="H153" i="24" s="1"/>
  <c r="H154" i="24" a="1"/>
  <c r="H154" i="24" s="1"/>
  <c r="H155" i="24" a="1"/>
  <c r="H155" i="24" s="1"/>
  <c r="H156" i="24" a="1"/>
  <c r="H156" i="24" s="1"/>
  <c r="H157" i="24" a="1"/>
  <c r="H157" i="24" s="1"/>
  <c r="H158" i="24" a="1"/>
  <c r="H158" i="24" s="1"/>
  <c r="H159" i="24" a="1"/>
  <c r="H159" i="24" s="1"/>
  <c r="H160" i="24" a="1"/>
  <c r="H160" i="24" s="1"/>
  <c r="H161" i="24" a="1"/>
  <c r="H161" i="24" s="1"/>
  <c r="H162" i="24" a="1"/>
  <c r="H162" i="24" s="1"/>
  <c r="H163" i="24" a="1"/>
  <c r="H163" i="24" s="1"/>
  <c r="H164" i="24" a="1"/>
  <c r="H164" i="24" s="1"/>
  <c r="H165" i="24" a="1"/>
  <c r="H165" i="24" s="1"/>
  <c r="H166" i="24" a="1"/>
  <c r="H166" i="24" s="1"/>
  <c r="H167" i="24" a="1"/>
  <c r="H167" i="24" s="1"/>
  <c r="H168" i="24" a="1"/>
  <c r="H168" i="24" s="1"/>
  <c r="H169" i="24" a="1"/>
  <c r="H169" i="24" s="1"/>
  <c r="H170" i="24" a="1"/>
  <c r="H170" i="24" s="1"/>
  <c r="H171" i="24" a="1"/>
  <c r="H171" i="24" s="1"/>
  <c r="H172" i="24" a="1"/>
  <c r="H172" i="24" s="1"/>
  <c r="H173" i="24" a="1"/>
  <c r="H173" i="24" s="1"/>
  <c r="H174" i="24" a="1"/>
  <c r="H174" i="24" s="1"/>
  <c r="H175" i="24" a="1"/>
  <c r="H175" i="24" s="1"/>
  <c r="H176" i="24" a="1"/>
  <c r="H176" i="24"/>
  <c r="H177" i="24" a="1"/>
  <c r="H177" i="24" s="1"/>
  <c r="H178" i="24" a="1"/>
  <c r="H178" i="24" s="1"/>
  <c r="H179" i="24" a="1"/>
  <c r="H179" i="24" s="1"/>
  <c r="H180" i="24" a="1"/>
  <c r="H180" i="24" s="1"/>
  <c r="H181" i="24" a="1"/>
  <c r="H181" i="24" s="1"/>
  <c r="H182" i="24" a="1"/>
  <c r="H182" i="24" s="1"/>
  <c r="H183" i="24" a="1"/>
  <c r="H183" i="24" s="1"/>
  <c r="H184" i="24" a="1"/>
  <c r="H184" i="24" s="1"/>
  <c r="H185" i="24" a="1"/>
  <c r="H185" i="24" s="1"/>
  <c r="H186" i="24" a="1"/>
  <c r="H186" i="24" s="1"/>
  <c r="H187" i="24" a="1"/>
  <c r="H187" i="24" s="1"/>
  <c r="H188" i="24" a="1"/>
  <c r="H188" i="24" s="1"/>
  <c r="H189" i="24" a="1"/>
  <c r="H189" i="24" s="1"/>
  <c r="H190" i="24" a="1"/>
  <c r="H190" i="24" s="1"/>
  <c r="H191" i="24" a="1"/>
  <c r="H191" i="24" s="1"/>
  <c r="H192" i="24" a="1"/>
  <c r="H192" i="24" s="1"/>
  <c r="H193" i="24" a="1"/>
  <c r="H193" i="24" s="1"/>
  <c r="H194" i="24" a="1"/>
  <c r="H194" i="24"/>
  <c r="H195" i="24" a="1"/>
  <c r="H195" i="24" s="1"/>
  <c r="H196" i="24" a="1"/>
  <c r="H196" i="24" s="1"/>
  <c r="H197" i="24" a="1"/>
  <c r="H197" i="24" s="1"/>
  <c r="H198" i="24" a="1"/>
  <c r="H198" i="24" s="1"/>
  <c r="H199" i="24" a="1"/>
  <c r="H199" i="24" s="1"/>
  <c r="H200" i="24" a="1"/>
  <c r="H200" i="24" s="1"/>
  <c r="H201" i="24" a="1"/>
  <c r="H201" i="24" s="1"/>
  <c r="H202" i="24" a="1"/>
  <c r="H202" i="24" s="1"/>
  <c r="H203" i="24" a="1"/>
  <c r="H203" i="24" s="1"/>
  <c r="H204" i="24" a="1"/>
  <c r="H204" i="24" s="1"/>
  <c r="H205" i="24" a="1"/>
  <c r="H205" i="24" s="1"/>
  <c r="H206" i="24" a="1"/>
  <c r="H206" i="24" s="1"/>
  <c r="H207" i="24" a="1"/>
  <c r="H207" i="24" s="1"/>
  <c r="H208" i="24" a="1"/>
  <c r="H208" i="24" s="1"/>
  <c r="H209" i="24" a="1"/>
  <c r="H209" i="24" s="1"/>
  <c r="H210" i="24" a="1"/>
  <c r="H210" i="24" s="1"/>
  <c r="H211" i="24" a="1"/>
  <c r="H211" i="24" s="1"/>
  <c r="H212" i="24" a="1"/>
  <c r="H212" i="24"/>
  <c r="H213" i="24" a="1"/>
  <c r="H213" i="24" s="1"/>
  <c r="H214" i="24" a="1"/>
  <c r="H214" i="24" s="1"/>
  <c r="H215" i="24" a="1"/>
  <c r="H215" i="24" s="1"/>
  <c r="H216" i="24" a="1"/>
  <c r="H216" i="24" s="1"/>
  <c r="H217" i="24" a="1"/>
  <c r="H217" i="24" s="1"/>
  <c r="H218" i="24" a="1"/>
  <c r="H218" i="24" s="1"/>
  <c r="H219" i="24" a="1"/>
  <c r="H219" i="24" s="1"/>
  <c r="H220" i="24" a="1"/>
  <c r="H220" i="24" s="1"/>
  <c r="H221" i="24" a="1"/>
  <c r="H221" i="24" s="1"/>
  <c r="H222" i="24" a="1"/>
  <c r="H222" i="24" s="1"/>
  <c r="H223" i="24" a="1"/>
  <c r="H223" i="24" s="1"/>
  <c r="H224" i="24" a="1"/>
  <c r="H224" i="24" s="1"/>
  <c r="H225" i="24" a="1"/>
  <c r="H225" i="24" s="1"/>
  <c r="H226" i="24" a="1"/>
  <c r="H226" i="24" s="1"/>
  <c r="H227" i="24" a="1"/>
  <c r="H227" i="24" s="1"/>
  <c r="H228" i="24" a="1"/>
  <c r="H228" i="24" s="1"/>
  <c r="H229" i="24" a="1"/>
  <c r="H229" i="24" s="1"/>
  <c r="H230" i="24" a="1"/>
  <c r="H230" i="24" s="1"/>
  <c r="H231" i="24" a="1"/>
  <c r="H231" i="24" s="1"/>
  <c r="H232" i="24" a="1"/>
  <c r="H232" i="24" s="1"/>
  <c r="H233" i="24" a="1"/>
  <c r="H233" i="24" s="1"/>
  <c r="H234" i="24" a="1"/>
  <c r="H234" i="24" s="1"/>
  <c r="H235" i="24" a="1"/>
  <c r="H235" i="24" s="1"/>
  <c r="H236" i="24" a="1"/>
  <c r="H236" i="24" s="1"/>
  <c r="H237" i="24" a="1"/>
  <c r="H237" i="24" s="1"/>
  <c r="H238" i="24" a="1"/>
  <c r="H238" i="24" s="1"/>
  <c r="H239" i="24" a="1"/>
  <c r="H239" i="24" s="1"/>
  <c r="H240" i="24" a="1"/>
  <c r="H240" i="24" s="1"/>
  <c r="H241" i="24" a="1"/>
  <c r="H241" i="24" s="1"/>
  <c r="H242" i="24" a="1"/>
  <c r="H242" i="24"/>
  <c r="H243" i="24" a="1"/>
  <c r="H243" i="24" s="1"/>
  <c r="H244" i="24" a="1"/>
  <c r="H244" i="24" s="1"/>
  <c r="H245" i="24" a="1"/>
  <c r="H245" i="24" s="1"/>
  <c r="H246" i="24" a="1"/>
  <c r="H246" i="24" s="1"/>
  <c r="H247" i="24" a="1"/>
  <c r="H247" i="24" s="1"/>
  <c r="H248" i="24" a="1"/>
  <c r="H248" i="24"/>
  <c r="H249" i="24" a="1"/>
  <c r="H249" i="24" s="1"/>
  <c r="H250" i="24" a="1"/>
  <c r="H250" i="24" s="1"/>
  <c r="H251" i="24" a="1"/>
  <c r="H251" i="24" s="1"/>
  <c r="H252" i="24" a="1"/>
  <c r="H252" i="24" s="1"/>
  <c r="H253" i="24" a="1"/>
  <c r="H253" i="24" s="1"/>
  <c r="H254" i="24" a="1"/>
  <c r="H254" i="24" s="1"/>
  <c r="H255" i="24" a="1"/>
  <c r="H255" i="24" s="1"/>
  <c r="H256" i="24" a="1"/>
  <c r="H256" i="24" s="1"/>
  <c r="H257" i="24" a="1"/>
  <c r="H257" i="24" s="1"/>
  <c r="H258" i="24" a="1"/>
  <c r="H258" i="24" s="1"/>
  <c r="H259" i="24" a="1"/>
  <c r="H259" i="24" s="1"/>
  <c r="H260" i="24" a="1"/>
  <c r="H260" i="24" s="1"/>
  <c r="H261" i="24" a="1"/>
  <c r="H261" i="24" s="1"/>
  <c r="H262" i="24" a="1"/>
  <c r="H262" i="24" s="1"/>
  <c r="H263" i="24" a="1"/>
  <c r="H263" i="24" s="1"/>
  <c r="H264" i="24" a="1"/>
  <c r="H264" i="24" s="1"/>
  <c r="H265" i="24" a="1"/>
  <c r="H265" i="24" s="1"/>
  <c r="H266" i="24" a="1"/>
  <c r="H266" i="24"/>
  <c r="H267" i="24" a="1"/>
  <c r="H267" i="24" s="1"/>
  <c r="H268" i="24" a="1"/>
  <c r="H268" i="24" s="1"/>
  <c r="H269" i="24" a="1"/>
  <c r="H269" i="24" s="1"/>
  <c r="H270" i="24" a="1"/>
  <c r="H270" i="24" s="1"/>
  <c r="H271" i="24" a="1"/>
  <c r="H271" i="24" s="1"/>
  <c r="H272" i="24" a="1"/>
  <c r="H272" i="24" s="1"/>
  <c r="H273" i="24" a="1"/>
  <c r="H273" i="24" s="1"/>
  <c r="H274" i="24" a="1"/>
  <c r="H274" i="24" s="1"/>
  <c r="H275" i="24" a="1"/>
  <c r="H275" i="24" s="1"/>
  <c r="H276" i="24" a="1"/>
  <c r="H276" i="24" s="1"/>
  <c r="H277" i="24" a="1"/>
  <c r="H277" i="24" s="1"/>
  <c r="H278" i="24" a="1"/>
  <c r="H278" i="24" s="1"/>
  <c r="H279" i="24" a="1"/>
  <c r="H279" i="24" s="1"/>
  <c r="H280" i="24" a="1"/>
  <c r="H280" i="24" s="1"/>
  <c r="H281" i="24" a="1"/>
  <c r="H281" i="24" s="1"/>
  <c r="H282" i="24" a="1"/>
  <c r="H282" i="24" s="1"/>
  <c r="H283" i="24" a="1"/>
  <c r="H283" i="24" s="1"/>
  <c r="H284" i="24" a="1"/>
  <c r="H284" i="24" s="1"/>
  <c r="H285" i="24" a="1"/>
  <c r="H285" i="24" s="1"/>
  <c r="H286" i="24" a="1"/>
  <c r="H286" i="24" s="1"/>
  <c r="H287" i="24" a="1"/>
  <c r="H287" i="24" s="1"/>
  <c r="H288" i="24" a="1"/>
  <c r="H288" i="24" s="1"/>
  <c r="H289" i="24" a="1"/>
  <c r="H289" i="24" s="1"/>
  <c r="H290" i="24" a="1"/>
  <c r="H290" i="24"/>
  <c r="H291" i="24" a="1"/>
  <c r="H291" i="24" s="1"/>
  <c r="H292" i="24" a="1"/>
  <c r="H292" i="24" s="1"/>
  <c r="H293" i="24" a="1"/>
  <c r="H293" i="24" s="1"/>
  <c r="H294" i="24" a="1"/>
  <c r="H294" i="24" s="1"/>
  <c r="H295" i="24" a="1"/>
  <c r="H295" i="24" s="1"/>
  <c r="H296" i="24" a="1"/>
  <c r="H296" i="24" s="1"/>
  <c r="H297" i="24" a="1"/>
  <c r="H297" i="24" s="1"/>
  <c r="H298" i="24" a="1"/>
  <c r="H298" i="24" s="1"/>
  <c r="H299" i="24" a="1"/>
  <c r="H299" i="24" s="1"/>
  <c r="H300" i="24" a="1"/>
  <c r="H300" i="24" s="1"/>
  <c r="H301" i="24" a="1"/>
  <c r="H301" i="24" s="1"/>
  <c r="H302" i="24" a="1"/>
  <c r="H302" i="24"/>
  <c r="H303" i="24" a="1"/>
  <c r="H303" i="24" s="1"/>
  <c r="H304" i="24" a="1"/>
  <c r="H304" i="24" s="1"/>
  <c r="H305" i="24" a="1"/>
  <c r="H305" i="24" s="1"/>
  <c r="H306" i="24" a="1"/>
  <c r="H306" i="24" s="1"/>
  <c r="H307" i="24" a="1"/>
  <c r="H307" i="24" s="1"/>
  <c r="H308" i="24" a="1"/>
  <c r="H308" i="24"/>
  <c r="H309" i="24" a="1"/>
  <c r="H309" i="24" s="1"/>
  <c r="H310" i="24" a="1"/>
  <c r="H310" i="24" s="1"/>
  <c r="H311" i="24" a="1"/>
  <c r="H311" i="24" s="1"/>
  <c r="H312" i="24" a="1"/>
  <c r="H312" i="24" s="1"/>
  <c r="H313" i="24" a="1"/>
  <c r="H313" i="24" s="1"/>
  <c r="H314" i="24" a="1"/>
  <c r="H314" i="24"/>
  <c r="H315" i="24" a="1"/>
  <c r="H315" i="24" s="1"/>
  <c r="H316" i="24" a="1"/>
  <c r="H316" i="24" s="1"/>
  <c r="H317" i="24" a="1"/>
  <c r="H317" i="24" s="1"/>
  <c r="H318" i="24" a="1"/>
  <c r="H318" i="24" s="1"/>
  <c r="H319" i="24" a="1"/>
  <c r="H319" i="24" s="1"/>
  <c r="H320" i="24" a="1"/>
  <c r="H320" i="24"/>
  <c r="H321" i="24" a="1"/>
  <c r="H321" i="24" s="1"/>
  <c r="H322" i="24" a="1"/>
  <c r="H322" i="24" s="1"/>
  <c r="H323" i="24" a="1"/>
  <c r="H323" i="24" s="1"/>
  <c r="H324" i="24" a="1"/>
  <c r="H324" i="24" s="1"/>
  <c r="H325" i="24" a="1"/>
  <c r="H325" i="24" s="1"/>
  <c r="H326" i="24" a="1"/>
  <c r="H326" i="24"/>
  <c r="H327" i="24" a="1"/>
  <c r="H327" i="24" s="1"/>
  <c r="H328" i="24" a="1"/>
  <c r="H328" i="24" s="1"/>
  <c r="H329" i="24" a="1"/>
  <c r="H329" i="24" s="1"/>
  <c r="H330" i="24" a="1"/>
  <c r="H330" i="24" s="1"/>
  <c r="H331" i="24" a="1"/>
  <c r="H331" i="24" s="1"/>
  <c r="H332" i="24" a="1"/>
  <c r="H332" i="24" s="1"/>
  <c r="H333" i="24" a="1"/>
  <c r="H333" i="24" s="1"/>
  <c r="H334" i="24" a="1"/>
  <c r="H334" i="24" s="1"/>
  <c r="H335" i="24" a="1"/>
  <c r="H335" i="24" s="1"/>
  <c r="H336" i="24" a="1"/>
  <c r="H336" i="24" s="1"/>
  <c r="H337" i="24" a="1"/>
  <c r="H337" i="24" s="1"/>
  <c r="H338" i="24" a="1"/>
  <c r="H338" i="24"/>
  <c r="H339" i="24" a="1"/>
  <c r="H339" i="24" s="1"/>
  <c r="H340" i="24" a="1"/>
  <c r="H340" i="24" s="1"/>
  <c r="H341" i="24" a="1"/>
  <c r="H341" i="24" s="1"/>
  <c r="H342" i="24" a="1"/>
  <c r="H342" i="24" s="1"/>
  <c r="H343" i="24" a="1"/>
  <c r="H343" i="24" s="1"/>
  <c r="H344" i="24" a="1"/>
  <c r="H344" i="24" s="1"/>
  <c r="H345" i="24" a="1"/>
  <c r="H345" i="24" s="1"/>
  <c r="H346" i="24" a="1"/>
  <c r="H346" i="24" s="1"/>
  <c r="H347" i="24" a="1"/>
  <c r="H347" i="24" s="1"/>
  <c r="H348" i="24" a="1"/>
  <c r="H348" i="24" s="1"/>
  <c r="H349" i="24" a="1"/>
  <c r="H349" i="24" s="1"/>
  <c r="H350" i="24" a="1"/>
  <c r="H350" i="24" s="1"/>
  <c r="H351" i="24" a="1"/>
  <c r="H351" i="24" s="1"/>
  <c r="H352" i="24" a="1"/>
  <c r="H352" i="24" s="1"/>
  <c r="H353" i="24" a="1"/>
  <c r="H353" i="24" s="1"/>
  <c r="H354" i="24" a="1"/>
  <c r="H354" i="24" s="1"/>
  <c r="H355" i="24" a="1"/>
  <c r="H355" i="24" s="1"/>
  <c r="H356" i="24" a="1"/>
  <c r="H356" i="24" s="1"/>
  <c r="H357" i="24" a="1"/>
  <c r="H357" i="24" s="1"/>
  <c r="H358" i="24" a="1"/>
  <c r="H358" i="24" s="1"/>
  <c r="H359" i="24" a="1"/>
  <c r="H359" i="24" s="1"/>
  <c r="H360" i="24" a="1"/>
  <c r="H360" i="24" s="1"/>
  <c r="H361" i="24" a="1"/>
  <c r="H361" i="24"/>
  <c r="H362" i="24" a="1"/>
  <c r="H362" i="24" s="1"/>
  <c r="H363" i="24" a="1"/>
  <c r="H363" i="24" s="1"/>
  <c r="H364" i="24" a="1"/>
  <c r="H364" i="24" s="1"/>
  <c r="H365" i="24" a="1"/>
  <c r="H365" i="24" s="1"/>
  <c r="H366" i="24" a="1"/>
  <c r="H366" i="24" s="1"/>
  <c r="H367" i="24" a="1"/>
  <c r="H367" i="24"/>
  <c r="H368" i="24" a="1"/>
  <c r="H368" i="24" s="1"/>
  <c r="H369" i="24" a="1"/>
  <c r="H369" i="24" s="1"/>
  <c r="H370" i="24" a="1"/>
  <c r="H370" i="24" s="1"/>
  <c r="H371" i="24" a="1"/>
  <c r="H371" i="24" s="1"/>
  <c r="H372" i="24" a="1"/>
  <c r="H372" i="24" s="1"/>
  <c r="H373" i="24" a="1"/>
  <c r="H373" i="24" s="1"/>
  <c r="H374" i="24" a="1"/>
  <c r="H374" i="24" s="1"/>
  <c r="H375" i="24" a="1"/>
  <c r="H375" i="24"/>
  <c r="H376" i="24" a="1"/>
  <c r="H376" i="24" s="1"/>
  <c r="H377" i="24" a="1"/>
  <c r="H377" i="24" s="1"/>
  <c r="H378" i="24" a="1"/>
  <c r="H378" i="24" s="1"/>
  <c r="H379" i="24" a="1"/>
  <c r="H379" i="24"/>
  <c r="H380" i="24" a="1"/>
  <c r="H380" i="24"/>
  <c r="H381" i="24" a="1"/>
  <c r="H381" i="24"/>
  <c r="H382" i="24" a="1"/>
  <c r="H382" i="24" s="1"/>
  <c r="H383" i="24" a="1"/>
  <c r="H383" i="24" s="1"/>
  <c r="H384" i="24" a="1"/>
  <c r="H384" i="24" s="1"/>
  <c r="H385" i="24" a="1"/>
  <c r="H385" i="24"/>
  <c r="H386" i="24" a="1"/>
  <c r="H386" i="24" s="1"/>
  <c r="H387" i="24" a="1"/>
  <c r="H387" i="24" s="1"/>
  <c r="H388" i="24" a="1"/>
  <c r="H388" i="24" s="1"/>
  <c r="H389" i="24" a="1"/>
  <c r="H389" i="24" s="1"/>
  <c r="H390" i="24" a="1"/>
  <c r="H390" i="24" s="1"/>
  <c r="H391" i="24" a="1"/>
  <c r="H391" i="24"/>
  <c r="H392" i="24" a="1"/>
  <c r="H392" i="24" s="1"/>
  <c r="H393" i="24" a="1"/>
  <c r="H393" i="24" s="1"/>
  <c r="H394" i="24" a="1"/>
  <c r="H394" i="24" s="1"/>
  <c r="H395" i="24" a="1"/>
  <c r="H395" i="24" s="1"/>
  <c r="H396" i="24" a="1"/>
  <c r="H396" i="24" s="1"/>
  <c r="H397" i="24" a="1"/>
  <c r="H397" i="24" s="1"/>
  <c r="H398" i="24" a="1"/>
  <c r="H398" i="24" s="1"/>
  <c r="H399" i="24" a="1"/>
  <c r="H399" i="24"/>
  <c r="H400" i="24" a="1"/>
  <c r="H400" i="24" s="1"/>
  <c r="H401" i="24" a="1"/>
  <c r="H401" i="24" s="1"/>
  <c r="H402" i="24" a="1"/>
  <c r="H402" i="24" s="1"/>
  <c r="H403" i="24" a="1"/>
  <c r="H403" i="24"/>
  <c r="H404" i="24" a="1"/>
  <c r="H404" i="24"/>
  <c r="H405" i="24" a="1"/>
  <c r="H405" i="24"/>
  <c r="H406" i="24" a="1"/>
  <c r="H406" i="24" s="1"/>
  <c r="H407" i="24" a="1"/>
  <c r="H407" i="24" s="1"/>
  <c r="H408" i="24" a="1"/>
  <c r="H408" i="24" s="1"/>
  <c r="H409" i="24" a="1"/>
  <c r="H409" i="24"/>
  <c r="H410" i="24" a="1"/>
  <c r="H410" i="24" s="1"/>
  <c r="H411" i="24" a="1"/>
  <c r="H411" i="24" s="1"/>
  <c r="H412" i="24" a="1"/>
  <c r="H412" i="24" s="1"/>
  <c r="H413" i="24" a="1"/>
  <c r="H413" i="24" s="1"/>
  <c r="H414" i="24" a="1"/>
  <c r="H414" i="24" s="1"/>
  <c r="H415" i="24" a="1"/>
  <c r="H415" i="24"/>
  <c r="H416" i="24" a="1"/>
  <c r="H416" i="24" s="1"/>
  <c r="H417" i="24" a="1"/>
  <c r="H417" i="24" s="1"/>
  <c r="H418" i="24" a="1"/>
  <c r="H418" i="24" s="1"/>
  <c r="H419" i="24" a="1"/>
  <c r="H419" i="24" s="1"/>
  <c r="H420" i="24" a="1"/>
  <c r="H420" i="24" s="1"/>
  <c r="H421" i="24" a="1"/>
  <c r="H421" i="24" s="1"/>
  <c r="H422" i="24" a="1"/>
  <c r="H422" i="24" s="1"/>
  <c r="H423" i="24" a="1"/>
  <c r="H423" i="24"/>
  <c r="H424" i="24" a="1"/>
  <c r="H424" i="24" s="1"/>
  <c r="H425" i="24" a="1"/>
  <c r="H425" i="24" s="1"/>
  <c r="H426" i="24" a="1"/>
  <c r="H426" i="24" s="1"/>
  <c r="H427" i="24" a="1"/>
  <c r="H427" i="24"/>
  <c r="H428" i="24" a="1"/>
  <c r="H428" i="24"/>
  <c r="H429" i="24" a="1"/>
  <c r="H429" i="24"/>
  <c r="H430" i="24" a="1"/>
  <c r="H430" i="24" s="1"/>
  <c r="H431" i="24" a="1"/>
  <c r="H431" i="24" s="1"/>
  <c r="H432" i="24" a="1"/>
  <c r="H432" i="24" s="1"/>
  <c r="H433" i="24" a="1"/>
  <c r="H433" i="24"/>
  <c r="H434" i="24" a="1"/>
  <c r="H434" i="24" s="1"/>
  <c r="H435" i="24" a="1"/>
  <c r="H435" i="24" s="1"/>
  <c r="H436" i="24" a="1"/>
  <c r="H436" i="24" s="1"/>
  <c r="H437" i="24" a="1"/>
  <c r="H437" i="24" s="1"/>
  <c r="H438" i="24" a="1"/>
  <c r="H438" i="24" s="1"/>
  <c r="H439" i="24" a="1"/>
  <c r="H439" i="24"/>
  <c r="H440" i="24" a="1"/>
  <c r="H440" i="24" s="1"/>
  <c r="H441" i="24" a="1"/>
  <c r="H441" i="24" s="1"/>
  <c r="H442" i="24" a="1"/>
  <c r="H442" i="24" s="1"/>
  <c r="H443" i="24" a="1"/>
  <c r="H443" i="24" s="1"/>
  <c r="H444" i="24" a="1"/>
  <c r="H444" i="24" s="1"/>
  <c r="H445" i="24" a="1"/>
  <c r="H445" i="24" s="1"/>
  <c r="H446" i="24" a="1"/>
  <c r="H446" i="24" s="1"/>
  <c r="H447" i="24" a="1"/>
  <c r="H447" i="24"/>
  <c r="H448" i="24" a="1"/>
  <c r="H448" i="24" s="1"/>
  <c r="H449" i="24" a="1"/>
  <c r="H449" i="24" s="1"/>
  <c r="H450" i="24" a="1"/>
  <c r="H450" i="24" s="1"/>
  <c r="H451" i="24" a="1"/>
  <c r="H451" i="24"/>
  <c r="H452" i="24" a="1"/>
  <c r="H452" i="24"/>
  <c r="H453" i="24" a="1"/>
  <c r="H453" i="24"/>
  <c r="H454" i="24" a="1"/>
  <c r="H454" i="24" s="1"/>
  <c r="H455" i="24" a="1"/>
  <c r="H455" i="24" s="1"/>
  <c r="H456" i="24" a="1"/>
  <c r="H456" i="24" s="1"/>
  <c r="H457" i="24" a="1"/>
  <c r="H457" i="24"/>
  <c r="H458" i="24" a="1"/>
  <c r="H458" i="24" s="1"/>
  <c r="H459" i="24" a="1"/>
  <c r="H459" i="24" s="1"/>
  <c r="H460" i="24" a="1"/>
  <c r="H460" i="24" s="1"/>
  <c r="H461" i="24" a="1"/>
  <c r="H461" i="24" s="1"/>
  <c r="H462" i="24" a="1"/>
  <c r="H462" i="24" s="1"/>
  <c r="H463" i="24" a="1"/>
  <c r="H463" i="24"/>
  <c r="H464" i="24" a="1"/>
  <c r="H464" i="24" s="1"/>
  <c r="H465" i="24" a="1"/>
  <c r="H465" i="24" s="1"/>
  <c r="H466" i="24" a="1"/>
  <c r="H466" i="24" s="1"/>
  <c r="H467" i="24" a="1"/>
  <c r="H467" i="24" s="1"/>
  <c r="H468" i="24" a="1"/>
  <c r="H468" i="24" s="1"/>
  <c r="H469" i="24" a="1"/>
  <c r="H469" i="24" s="1"/>
  <c r="H470" i="24" a="1"/>
  <c r="H470" i="24" s="1"/>
  <c r="H471" i="24" a="1"/>
  <c r="H471" i="24"/>
  <c r="H472" i="24" a="1"/>
  <c r="H472" i="24" s="1"/>
  <c r="H473" i="24" a="1"/>
  <c r="H473" i="24" s="1"/>
  <c r="H474" i="24" a="1"/>
  <c r="H474" i="24" s="1"/>
  <c r="H475" i="24" a="1"/>
  <c r="H475" i="24"/>
  <c r="H476" i="24" a="1"/>
  <c r="H476" i="24"/>
  <c r="H477" i="24" a="1"/>
  <c r="H477" i="24"/>
  <c r="H478" i="24" a="1"/>
  <c r="H478" i="24" s="1"/>
  <c r="H479" i="24" a="1"/>
  <c r="H479" i="24" s="1"/>
  <c r="H480" i="24" a="1"/>
  <c r="H480" i="24" s="1"/>
  <c r="H481" i="24" a="1"/>
  <c r="H481" i="24"/>
  <c r="H482" i="24" a="1"/>
  <c r="H482" i="24" s="1"/>
  <c r="H483" i="24" a="1"/>
  <c r="H483" i="24" s="1"/>
  <c r="H484" i="24" a="1"/>
  <c r="H484" i="24" s="1"/>
  <c r="H485" i="24" a="1"/>
  <c r="H485" i="24" s="1"/>
  <c r="H486" i="24" a="1"/>
  <c r="H486" i="24" s="1"/>
  <c r="H487" i="24" a="1"/>
  <c r="H487" i="24"/>
  <c r="H488" i="24" a="1"/>
  <c r="H488" i="24" s="1"/>
  <c r="H489" i="24" a="1"/>
  <c r="H489" i="24"/>
  <c r="H490" i="24" a="1"/>
  <c r="H490" i="24" s="1"/>
  <c r="H491" i="24" a="1"/>
  <c r="H491" i="24" s="1"/>
  <c r="H492" i="24" a="1"/>
  <c r="H492" i="24" s="1"/>
  <c r="H493" i="24" a="1"/>
  <c r="H493" i="24" s="1"/>
  <c r="H494" i="24" a="1"/>
  <c r="H494" i="24" s="1"/>
  <c r="H495" i="24" a="1"/>
  <c r="H495" i="24"/>
  <c r="H496" i="24" a="1"/>
  <c r="H496" i="24" s="1"/>
  <c r="H497" i="24" a="1"/>
  <c r="H497" i="24" s="1"/>
  <c r="H498" i="24" a="1"/>
  <c r="H498" i="24" s="1"/>
  <c r="H499" i="24" a="1"/>
  <c r="H499" i="24"/>
  <c r="H500" i="24" a="1"/>
  <c r="H500" i="24"/>
  <c r="H501" i="24" a="1"/>
  <c r="H501" i="24"/>
  <c r="H502" i="24" a="1"/>
  <c r="H502" i="24" s="1"/>
  <c r="H503" i="24" a="1"/>
  <c r="H503" i="24" s="1"/>
  <c r="H504" i="24" a="1"/>
  <c r="H504" i="24" s="1"/>
  <c r="H505" i="24" a="1"/>
  <c r="H505" i="24"/>
  <c r="H506" i="24" a="1"/>
  <c r="H506" i="24" s="1"/>
  <c r="H507" i="24" a="1"/>
  <c r="H507" i="24" s="1"/>
  <c r="H508" i="24" a="1"/>
  <c r="H508" i="24" s="1"/>
  <c r="H509" i="24" a="1"/>
  <c r="H509" i="24" s="1"/>
  <c r="H510" i="24" a="1"/>
  <c r="H510" i="24" s="1"/>
  <c r="H511" i="24" a="1"/>
  <c r="H511" i="24"/>
  <c r="H512" i="24" a="1"/>
  <c r="H512" i="24" s="1"/>
  <c r="H513" i="24" a="1"/>
  <c r="H513" i="24"/>
  <c r="H514" i="24" a="1"/>
  <c r="H514" i="24"/>
  <c r="H515" i="24" a="1"/>
  <c r="H515" i="24"/>
  <c r="H516" i="24" a="1"/>
  <c r="H516" i="24"/>
  <c r="H517" i="24" a="1"/>
  <c r="H517" i="24"/>
  <c r="H518" i="24" a="1"/>
  <c r="H518" i="24" s="1"/>
  <c r="H519" i="24" a="1"/>
  <c r="H519" i="24"/>
  <c r="H520" i="24" a="1"/>
  <c r="H520" i="24"/>
  <c r="H521" i="24" a="1"/>
  <c r="H521" i="24"/>
  <c r="H522" i="24" a="1"/>
  <c r="H522" i="24"/>
  <c r="H523" i="24" a="1"/>
  <c r="H523" i="24" s="1"/>
  <c r="H524" i="24" a="1"/>
  <c r="H524" i="24" s="1"/>
  <c r="H525" i="24" a="1"/>
  <c r="H525" i="24" s="1"/>
  <c r="H526" i="24" a="1"/>
  <c r="H526" i="24" s="1"/>
  <c r="H527" i="24" a="1"/>
  <c r="H527" i="24" s="1"/>
  <c r="H528" i="24" a="1"/>
  <c r="H528" i="24" s="1"/>
  <c r="H529" i="24" a="1"/>
  <c r="H529" i="24" s="1"/>
  <c r="H530" i="24" a="1"/>
  <c r="H530" i="24" s="1"/>
  <c r="H531" i="24" a="1"/>
  <c r="H531" i="24" s="1"/>
  <c r="H532" i="24" a="1"/>
  <c r="H532" i="24" s="1"/>
  <c r="H533" i="24" a="1"/>
  <c r="H533" i="24" s="1"/>
  <c r="H534" i="24" a="1"/>
  <c r="H534" i="24" s="1"/>
  <c r="H535" i="24" a="1"/>
  <c r="H535" i="24" s="1"/>
  <c r="H536" i="24" a="1"/>
  <c r="H536" i="24" s="1"/>
  <c r="H537" i="24" a="1"/>
  <c r="H537" i="24" s="1"/>
  <c r="H538" i="24" a="1"/>
  <c r="H538" i="24" s="1"/>
  <c r="H539" i="24" a="1"/>
  <c r="H539" i="24" s="1"/>
  <c r="H540" i="24" a="1"/>
  <c r="H540" i="24" s="1"/>
  <c r="H541" i="24" a="1"/>
  <c r="H541" i="24" s="1"/>
  <c r="H542" i="24" a="1"/>
  <c r="H542" i="24" s="1"/>
  <c r="H543" i="24" a="1"/>
  <c r="H543" i="24" s="1"/>
  <c r="H544" i="24" a="1"/>
  <c r="H544" i="24" s="1"/>
  <c r="H545" i="24" a="1"/>
  <c r="H545" i="24" s="1"/>
  <c r="H546" i="24" a="1"/>
  <c r="H546" i="24" s="1"/>
  <c r="H547" i="24" a="1"/>
  <c r="H547" i="24" s="1"/>
  <c r="H548" i="24" a="1"/>
  <c r="H548" i="24" s="1"/>
  <c r="H549" i="24" a="1"/>
  <c r="H549" i="24" s="1"/>
  <c r="H550" i="24" a="1"/>
  <c r="H550" i="24" s="1"/>
  <c r="H551" i="24" a="1"/>
  <c r="H551" i="24" s="1"/>
  <c r="H552" i="24" a="1"/>
  <c r="H552" i="24" s="1"/>
  <c r="H553" i="24" a="1"/>
  <c r="H553" i="24" s="1"/>
  <c r="H554" i="24" a="1"/>
  <c r="H554" i="24" s="1"/>
  <c r="H555" i="24" a="1"/>
  <c r="H555" i="24" s="1"/>
  <c r="H556" i="24" a="1"/>
  <c r="H556" i="24" s="1"/>
  <c r="H557" i="24" a="1"/>
  <c r="H557" i="24" s="1"/>
  <c r="H558" i="24" a="1"/>
  <c r="H558" i="24" s="1"/>
  <c r="H559" i="24" a="1"/>
  <c r="H559" i="24" s="1"/>
  <c r="H560" i="24" a="1"/>
  <c r="H560" i="24" s="1"/>
  <c r="H561" i="24" a="1"/>
  <c r="H561" i="24" s="1"/>
  <c r="H562" i="24" a="1"/>
  <c r="H562" i="24" s="1"/>
  <c r="H563" i="24" a="1"/>
  <c r="H563" i="24" s="1"/>
  <c r="H564" i="24" a="1"/>
  <c r="H564" i="24" s="1"/>
  <c r="H565" i="24" a="1"/>
  <c r="H565" i="24" s="1"/>
  <c r="H566" i="24" a="1"/>
  <c r="H566" i="24" s="1"/>
  <c r="H567" i="24" a="1"/>
  <c r="H567" i="24" s="1"/>
  <c r="H568" i="24" a="1"/>
  <c r="H568" i="24" s="1"/>
  <c r="H569" i="24" a="1"/>
  <c r="H569" i="24" s="1"/>
  <c r="H570" i="24" a="1"/>
  <c r="H570" i="24" s="1"/>
  <c r="H571" i="24" a="1"/>
  <c r="H571" i="24" s="1"/>
  <c r="H572" i="24" a="1"/>
  <c r="H572" i="24" s="1"/>
  <c r="H573" i="24" a="1"/>
  <c r="H573" i="24" s="1"/>
  <c r="H574" i="24" a="1"/>
  <c r="H574" i="24" s="1"/>
  <c r="H575" i="24" a="1"/>
  <c r="H575" i="24" s="1"/>
  <c r="H576" i="24" a="1"/>
  <c r="H576" i="24" s="1"/>
  <c r="H577" i="24" a="1"/>
  <c r="H577" i="24" s="1"/>
  <c r="H578" i="24" a="1"/>
  <c r="H578" i="24" s="1"/>
  <c r="H579" i="24" a="1"/>
  <c r="H579" i="24" s="1"/>
  <c r="H580" i="24" a="1"/>
  <c r="H580" i="24" s="1"/>
  <c r="H581" i="24" a="1"/>
  <c r="H581" i="24" s="1"/>
  <c r="H582" i="24" a="1"/>
  <c r="H582" i="24" s="1"/>
  <c r="H583" i="24" a="1"/>
  <c r="H583" i="24" s="1"/>
  <c r="H584" i="24" a="1"/>
  <c r="H584" i="24" s="1"/>
  <c r="H585" i="24" a="1"/>
  <c r="H585" i="24" s="1"/>
  <c r="H586" i="24" a="1"/>
  <c r="H586" i="24" s="1"/>
  <c r="H587" i="24" a="1"/>
  <c r="H587" i="24" s="1"/>
  <c r="H588" i="24" a="1"/>
  <c r="H588" i="24" s="1"/>
  <c r="H589" i="24" a="1"/>
  <c r="H589" i="24" s="1"/>
  <c r="H590" i="24" a="1"/>
  <c r="H590" i="24" s="1"/>
  <c r="H591" i="24" a="1"/>
  <c r="H591" i="24" s="1"/>
  <c r="H592" i="24" a="1"/>
  <c r="H592" i="24" s="1"/>
  <c r="H593" i="24" a="1"/>
  <c r="H593" i="24" s="1"/>
  <c r="H594" i="24" a="1"/>
  <c r="H594" i="24" s="1"/>
  <c r="H595" i="24" a="1"/>
  <c r="H595" i="24" s="1"/>
  <c r="H596" i="24" a="1"/>
  <c r="H596" i="24" s="1"/>
  <c r="H597" i="24" a="1"/>
  <c r="H597" i="24" s="1"/>
  <c r="H598" i="24" a="1"/>
  <c r="H598" i="24" s="1"/>
  <c r="H599" i="24" a="1"/>
  <c r="H599" i="24" s="1"/>
  <c r="H600" i="24" a="1"/>
  <c r="H600" i="24" s="1"/>
  <c r="H601" i="24" a="1"/>
  <c r="H601" i="24" s="1"/>
  <c r="H602" i="24" a="1"/>
  <c r="H602" i="24" s="1"/>
  <c r="H603" i="24" a="1"/>
  <c r="H603" i="24" s="1"/>
  <c r="H604" i="24" a="1"/>
  <c r="H604" i="24" s="1"/>
  <c r="H605" i="24" a="1"/>
  <c r="H605" i="24" s="1"/>
  <c r="H606" i="24" a="1"/>
  <c r="H606" i="24" s="1"/>
  <c r="H607" i="24" a="1"/>
  <c r="H607" i="24" s="1"/>
  <c r="H608" i="24" a="1"/>
  <c r="H608" i="24" s="1"/>
  <c r="H609" i="24" a="1"/>
  <c r="H609" i="24"/>
  <c r="H610" i="24" a="1"/>
  <c r="H610" i="24" s="1"/>
  <c r="H611" i="24" a="1"/>
  <c r="H611" i="24" s="1"/>
  <c r="H612" i="24" a="1"/>
  <c r="H612" i="24"/>
  <c r="H613" i="24" a="1"/>
  <c r="H613" i="24"/>
  <c r="H614" i="24" a="1"/>
  <c r="H614" i="24" s="1"/>
  <c r="H615" i="24" a="1"/>
  <c r="H615" i="24" s="1"/>
  <c r="H616" i="24" a="1"/>
  <c r="H616" i="24" s="1"/>
  <c r="H617" i="24" a="1"/>
  <c r="H617" i="24" s="1"/>
  <c r="H618" i="24" a="1"/>
  <c r="H618" i="24"/>
  <c r="H619" i="24" a="1"/>
  <c r="H619" i="24" s="1"/>
  <c r="H620" i="24" a="1"/>
  <c r="H620" i="24" s="1"/>
  <c r="H621" i="24" a="1"/>
  <c r="H621" i="24"/>
  <c r="H622" i="24" a="1"/>
  <c r="H622" i="24" s="1"/>
  <c r="H623" i="24" a="1"/>
  <c r="H623" i="24" s="1"/>
  <c r="H624" i="24" a="1"/>
  <c r="H624" i="24"/>
  <c r="H625" i="24" a="1"/>
  <c r="H625" i="24"/>
  <c r="H626" i="24" a="1"/>
  <c r="H626" i="24" s="1"/>
  <c r="H627" i="24" a="1"/>
  <c r="H627" i="24" s="1"/>
  <c r="H628" i="24" a="1"/>
  <c r="H628" i="24" s="1"/>
  <c r="H629" i="24" a="1"/>
  <c r="H629" i="24" s="1"/>
  <c r="H630" i="24" a="1"/>
  <c r="H630" i="24" s="1"/>
  <c r="H631" i="24" a="1"/>
  <c r="H631" i="24" s="1"/>
  <c r="H632" i="24" a="1"/>
  <c r="H632" i="24" s="1"/>
  <c r="H633" i="24" a="1"/>
  <c r="H633" i="24"/>
  <c r="H634" i="24" a="1"/>
  <c r="H634" i="24" s="1"/>
  <c r="H635" i="24" a="1"/>
  <c r="H635" i="24" s="1"/>
  <c r="H636" i="24" a="1"/>
  <c r="H636" i="24"/>
  <c r="H637" i="24" a="1"/>
  <c r="H637" i="24"/>
  <c r="H638" i="24" a="1"/>
  <c r="H638" i="24" s="1"/>
  <c r="H639" i="24" a="1"/>
  <c r="H639" i="24" s="1"/>
  <c r="H640" i="24" a="1"/>
  <c r="H640" i="24" s="1"/>
  <c r="H641" i="24" a="1"/>
  <c r="H641" i="24" s="1"/>
  <c r="H642" i="24" a="1"/>
  <c r="H642" i="24"/>
  <c r="H643" i="24" a="1"/>
  <c r="H643" i="24" s="1"/>
  <c r="H644" i="24" a="1"/>
  <c r="H644" i="24" s="1"/>
  <c r="H645" i="24" a="1"/>
  <c r="H645" i="24"/>
  <c r="H646" i="24" a="1"/>
  <c r="H646" i="24" s="1"/>
  <c r="H647" i="24" a="1"/>
  <c r="H647" i="24" s="1"/>
  <c r="H648" i="24" a="1"/>
  <c r="H648" i="24"/>
  <c r="H649" i="24" a="1"/>
  <c r="H649" i="24"/>
  <c r="H650" i="24" a="1"/>
  <c r="H650" i="24" s="1"/>
  <c r="H651" i="24" a="1"/>
  <c r="H651" i="24" s="1"/>
  <c r="H652" i="24" a="1"/>
  <c r="H652" i="24" s="1"/>
  <c r="H653" i="24" a="1"/>
  <c r="H653" i="24" s="1"/>
  <c r="H654" i="24" a="1"/>
  <c r="H654" i="24" s="1"/>
  <c r="H655" i="24" a="1"/>
  <c r="H655" i="24" s="1"/>
  <c r="H656" i="24" a="1"/>
  <c r="H656" i="24" s="1"/>
  <c r="H657" i="24" a="1"/>
  <c r="H657" i="24"/>
  <c r="H658" i="24" a="1"/>
  <c r="H658" i="24" s="1"/>
  <c r="H659" i="24" a="1"/>
  <c r="H659" i="24" s="1"/>
  <c r="H660" i="24" a="1"/>
  <c r="H660" i="24"/>
  <c r="H661" i="24" a="1"/>
  <c r="H661" i="24"/>
  <c r="H662" i="24" a="1"/>
  <c r="H662" i="24" s="1"/>
  <c r="H663" i="24" a="1"/>
  <c r="H663" i="24" s="1"/>
  <c r="H664" i="24" a="1"/>
  <c r="H664" i="24" s="1"/>
  <c r="H665" i="24" a="1"/>
  <c r="H665" i="24" s="1"/>
  <c r="H666" i="24" a="1"/>
  <c r="H666" i="24"/>
  <c r="H667" i="24" a="1"/>
  <c r="H667" i="24" s="1"/>
  <c r="H668" i="24" a="1"/>
  <c r="H668" i="24" s="1"/>
  <c r="H669" i="24" a="1"/>
  <c r="H669" i="24"/>
  <c r="H670" i="24" a="1"/>
  <c r="H670" i="24" s="1"/>
  <c r="H671" i="24" a="1"/>
  <c r="H671" i="24" s="1"/>
  <c r="H672" i="24" a="1"/>
  <c r="H672" i="24"/>
  <c r="H673" i="24" a="1"/>
  <c r="H673" i="24" s="1"/>
  <c r="H674" i="24" a="1"/>
  <c r="H674" i="24" s="1"/>
  <c r="H675" i="24" a="1"/>
  <c r="H675" i="24" s="1"/>
  <c r="H676" i="24" a="1"/>
  <c r="H676" i="24" s="1"/>
  <c r="H677" i="24" a="1"/>
  <c r="H677" i="24" s="1"/>
  <c r="H678" i="24" a="1"/>
  <c r="H678" i="24" s="1"/>
  <c r="H679" i="24" a="1"/>
  <c r="H679" i="24" s="1"/>
  <c r="H680" i="24" a="1"/>
  <c r="H680" i="24" s="1"/>
  <c r="H681" i="24" a="1"/>
  <c r="H681" i="24" s="1"/>
  <c r="H682" i="24" a="1"/>
  <c r="H682" i="24" s="1"/>
  <c r="H683" i="24" a="1"/>
  <c r="H683" i="24" s="1"/>
  <c r="H684" i="24" a="1"/>
  <c r="H684" i="24"/>
  <c r="H685" i="24" a="1"/>
  <c r="H685" i="24" s="1"/>
  <c r="H686" i="24" a="1"/>
  <c r="H686" i="24" s="1"/>
  <c r="H687" i="24" a="1"/>
  <c r="H687" i="24" s="1"/>
  <c r="H688" i="24" a="1"/>
  <c r="H688" i="24" s="1"/>
  <c r="H689" i="24" a="1"/>
  <c r="H689" i="24" s="1"/>
  <c r="H690" i="24" a="1"/>
  <c r="H690" i="24"/>
  <c r="H691" i="24" a="1"/>
  <c r="H691" i="24" s="1"/>
  <c r="H692" i="24" a="1"/>
  <c r="H692" i="24" s="1"/>
  <c r="H693" i="24" a="1"/>
  <c r="H693" i="24" s="1"/>
  <c r="H694" i="24" a="1"/>
  <c r="H694" i="24" s="1"/>
  <c r="H695" i="24" a="1"/>
  <c r="H695" i="24" s="1"/>
  <c r="H696" i="24" a="1"/>
  <c r="H696" i="24"/>
  <c r="H697" i="24" a="1"/>
  <c r="H697" i="24" s="1"/>
  <c r="H698" i="24" a="1"/>
  <c r="H698" i="24" s="1"/>
  <c r="H699" i="24" a="1"/>
  <c r="H699" i="24" s="1"/>
  <c r="H700" i="24" a="1"/>
  <c r="H700" i="24" s="1"/>
  <c r="H701" i="24" a="1"/>
  <c r="H701" i="24" s="1"/>
  <c r="H702" i="24" a="1"/>
  <c r="H702" i="24" s="1"/>
  <c r="H703" i="24" a="1"/>
  <c r="H703" i="24" s="1"/>
  <c r="H704" i="24" a="1"/>
  <c r="H704" i="24" s="1"/>
  <c r="H705" i="24" a="1"/>
  <c r="H705" i="24" s="1"/>
  <c r="H706" i="24" a="1"/>
  <c r="H706" i="24" s="1"/>
  <c r="H707" i="24" a="1"/>
  <c r="H707" i="24" s="1"/>
  <c r="H708" i="24" a="1"/>
  <c r="H708" i="24"/>
  <c r="H709" i="24" a="1"/>
  <c r="H709" i="24" s="1"/>
  <c r="H710" i="24" a="1"/>
  <c r="H710" i="24" s="1"/>
  <c r="H711" i="24" a="1"/>
  <c r="H711" i="24" s="1"/>
  <c r="H712" i="24" a="1"/>
  <c r="H712" i="24" s="1"/>
  <c r="H713" i="24" a="1"/>
  <c r="H713" i="24" s="1"/>
  <c r="H714" i="24" a="1"/>
  <c r="H714" i="24"/>
  <c r="H715" i="24" a="1"/>
  <c r="H715" i="24" s="1"/>
  <c r="H716" i="24" a="1"/>
  <c r="H716" i="24" s="1"/>
  <c r="H717" i="24" a="1"/>
  <c r="H717" i="24" s="1"/>
  <c r="H718" i="24" a="1"/>
  <c r="H718" i="24" s="1"/>
  <c r="H719" i="24" a="1"/>
  <c r="H719" i="24" s="1"/>
  <c r="H720" i="24" a="1"/>
  <c r="H720" i="24"/>
  <c r="H721" i="24" a="1"/>
  <c r="H721" i="24" s="1"/>
  <c r="H722" i="24" a="1"/>
  <c r="H722" i="24" s="1"/>
  <c r="H723" i="24" a="1"/>
  <c r="H723" i="24" s="1"/>
  <c r="H724" i="24" a="1"/>
  <c r="H724" i="24" s="1"/>
  <c r="H725" i="24" a="1"/>
  <c r="H725" i="24" s="1"/>
  <c r="H726" i="24" a="1"/>
  <c r="H726" i="24" s="1"/>
  <c r="H727" i="24" a="1"/>
  <c r="H727" i="24" s="1"/>
  <c r="H728" i="24" a="1"/>
  <c r="H728" i="24" s="1"/>
  <c r="H729" i="24" a="1"/>
  <c r="H729" i="24" s="1"/>
  <c r="H730" i="24" a="1"/>
  <c r="H730" i="24" s="1"/>
  <c r="H731" i="24" a="1"/>
  <c r="H731" i="24" s="1"/>
  <c r="H732" i="24" a="1"/>
  <c r="H732" i="24"/>
  <c r="H733" i="24" a="1"/>
  <c r="H733" i="24" s="1"/>
  <c r="H734" i="24" a="1"/>
  <c r="H734" i="24" s="1"/>
  <c r="H735" i="24" a="1"/>
  <c r="H735" i="24" s="1"/>
  <c r="H736" i="24" a="1"/>
  <c r="H736" i="24" s="1"/>
  <c r="H737" i="24" a="1"/>
  <c r="H737" i="24" s="1"/>
  <c r="H738" i="24" a="1"/>
  <c r="H738" i="24"/>
  <c r="H3" i="24" a="1"/>
  <c r="H3" i="24" s="1"/>
  <c r="E4" i="24" a="1"/>
  <c r="E4" i="24" s="1"/>
  <c r="E5" i="24" a="1"/>
  <c r="E5" i="24" s="1"/>
  <c r="E6" i="24" a="1"/>
  <c r="E6" i="24" s="1"/>
  <c r="E7" i="24" a="1"/>
  <c r="E7" i="24" s="1"/>
  <c r="E8" i="24" a="1"/>
  <c r="E8" i="24" s="1"/>
  <c r="E9" i="24" a="1"/>
  <c r="E9" i="24" s="1"/>
  <c r="E10" i="24" a="1"/>
  <c r="E10" i="24" s="1"/>
  <c r="E11" i="24" a="1"/>
  <c r="E11" i="24" s="1"/>
  <c r="E12" i="24" a="1"/>
  <c r="E12" i="24" s="1"/>
  <c r="E13" i="24" a="1"/>
  <c r="E13" i="24" s="1"/>
  <c r="E14" i="24" a="1"/>
  <c r="E14" i="24" s="1"/>
  <c r="E15" i="24" a="1"/>
  <c r="E15" i="24" s="1"/>
  <c r="E16" i="24" a="1"/>
  <c r="E16" i="24" s="1"/>
  <c r="E17" i="24" a="1"/>
  <c r="E17" i="24" s="1"/>
  <c r="E18" i="24" a="1"/>
  <c r="E18" i="24" s="1"/>
  <c r="E19" i="24" a="1"/>
  <c r="E19" i="24" s="1"/>
  <c r="E20" i="24" a="1"/>
  <c r="E20" i="24" s="1"/>
  <c r="E21" i="24" a="1"/>
  <c r="E21" i="24" s="1"/>
  <c r="E22" i="24" a="1"/>
  <c r="E22" i="24" s="1"/>
  <c r="E23" i="24" a="1"/>
  <c r="E23" i="24" s="1"/>
  <c r="E24" i="24" a="1"/>
  <c r="E24" i="24" s="1"/>
  <c r="E25" i="24" a="1"/>
  <c r="E25" i="24" s="1"/>
  <c r="E26" i="24" a="1"/>
  <c r="E26" i="24" s="1"/>
  <c r="E27" i="24" a="1"/>
  <c r="E27" i="24" s="1"/>
  <c r="E28" i="24" a="1"/>
  <c r="E28" i="24" s="1"/>
  <c r="E29" i="24" a="1"/>
  <c r="E29" i="24" s="1"/>
  <c r="E30" i="24" a="1"/>
  <c r="E30" i="24" s="1"/>
  <c r="E31" i="24" a="1"/>
  <c r="E31" i="24" s="1"/>
  <c r="E32" i="24" a="1"/>
  <c r="E32" i="24" s="1"/>
  <c r="E33" i="24" a="1"/>
  <c r="E33" i="24" s="1"/>
  <c r="E34" i="24" a="1"/>
  <c r="E34" i="24" s="1"/>
  <c r="E35" i="24" a="1"/>
  <c r="E35" i="24" s="1"/>
  <c r="E36" i="24" a="1"/>
  <c r="E36" i="24" s="1"/>
  <c r="E37" i="24" a="1"/>
  <c r="E37" i="24" s="1"/>
  <c r="E38" i="24" a="1"/>
  <c r="E38" i="24" s="1"/>
  <c r="E39" i="24" a="1"/>
  <c r="E39" i="24" s="1"/>
  <c r="E40" i="24" a="1"/>
  <c r="E40" i="24" s="1"/>
  <c r="E41" i="24" a="1"/>
  <c r="E41" i="24" s="1"/>
  <c r="E42" i="24" a="1"/>
  <c r="E42" i="24" s="1"/>
  <c r="E43" i="24" a="1"/>
  <c r="E43" i="24" s="1"/>
  <c r="E44" i="24" a="1"/>
  <c r="E44" i="24" s="1"/>
  <c r="E45" i="24" a="1"/>
  <c r="E45" i="24" s="1"/>
  <c r="E46" i="24" a="1"/>
  <c r="E46" i="24" s="1"/>
  <c r="E47" i="24" a="1"/>
  <c r="E47" i="24" s="1"/>
  <c r="E48" i="24" a="1"/>
  <c r="E48" i="24" s="1"/>
  <c r="E49" i="24" a="1"/>
  <c r="E49" i="24" s="1"/>
  <c r="E50" i="24" a="1"/>
  <c r="E50" i="24" s="1"/>
  <c r="E51" i="24" a="1"/>
  <c r="E51" i="24" s="1"/>
  <c r="E52" i="24" a="1"/>
  <c r="E52" i="24" s="1"/>
  <c r="E53" i="24" a="1"/>
  <c r="E53" i="24" s="1"/>
  <c r="E54" i="24" a="1"/>
  <c r="E54" i="24" s="1"/>
  <c r="E55" i="24" a="1"/>
  <c r="E55" i="24" s="1"/>
  <c r="E56" i="24" a="1"/>
  <c r="E56" i="24" s="1"/>
  <c r="E57" i="24" a="1"/>
  <c r="E57" i="24" s="1"/>
  <c r="E58" i="24" a="1"/>
  <c r="E58" i="24" s="1"/>
  <c r="E59" i="24" a="1"/>
  <c r="E59" i="24" s="1"/>
  <c r="E60" i="24" a="1"/>
  <c r="E60" i="24" s="1"/>
  <c r="E61" i="24" a="1"/>
  <c r="E61" i="24" s="1"/>
  <c r="E62" i="24" a="1"/>
  <c r="E62" i="24" s="1"/>
  <c r="E63" i="24" a="1"/>
  <c r="E63" i="24" s="1"/>
  <c r="E64" i="24" a="1"/>
  <c r="E64" i="24" s="1"/>
  <c r="E65" i="24" a="1"/>
  <c r="E65" i="24" s="1"/>
  <c r="E66" i="24" a="1"/>
  <c r="E66" i="24" s="1"/>
  <c r="E67" i="24" a="1"/>
  <c r="E67" i="24" s="1"/>
  <c r="E68" i="24" a="1"/>
  <c r="E68" i="24" s="1"/>
  <c r="E69" i="24" a="1"/>
  <c r="E69" i="24" s="1"/>
  <c r="E70" i="24" a="1"/>
  <c r="E70" i="24" s="1"/>
  <c r="E71" i="24" a="1"/>
  <c r="E71" i="24" s="1"/>
  <c r="E72" i="24" a="1"/>
  <c r="E72" i="24" s="1"/>
  <c r="E73" i="24" a="1"/>
  <c r="E73" i="24" s="1"/>
  <c r="E74" i="24" a="1"/>
  <c r="E74" i="24" s="1"/>
  <c r="E75" i="24" a="1"/>
  <c r="E75" i="24" s="1"/>
  <c r="E76" i="24" a="1"/>
  <c r="E76" i="24" s="1"/>
  <c r="E77" i="24" a="1"/>
  <c r="E77" i="24" s="1"/>
  <c r="E78" i="24" a="1"/>
  <c r="E78" i="24" s="1"/>
  <c r="E79" i="24" a="1"/>
  <c r="E79" i="24" s="1"/>
  <c r="E80" i="24" a="1"/>
  <c r="E80" i="24" s="1"/>
  <c r="E81" i="24" a="1"/>
  <c r="E81" i="24" s="1"/>
  <c r="E82" i="24" a="1"/>
  <c r="E82" i="24" s="1"/>
  <c r="E83" i="24" a="1"/>
  <c r="E83" i="24" s="1"/>
  <c r="E84" i="24" a="1"/>
  <c r="E84" i="24" s="1"/>
  <c r="E85" i="24" a="1"/>
  <c r="E85" i="24" s="1"/>
  <c r="E86" i="24" a="1"/>
  <c r="E86" i="24" s="1"/>
  <c r="E87" i="24" a="1"/>
  <c r="E87" i="24" s="1"/>
  <c r="E88" i="24" a="1"/>
  <c r="E88" i="24" s="1"/>
  <c r="E89" i="24" a="1"/>
  <c r="E89" i="24" s="1"/>
  <c r="E90" i="24" a="1"/>
  <c r="E90" i="24" s="1"/>
  <c r="E91" i="24" a="1"/>
  <c r="E91" i="24" s="1"/>
  <c r="E92" i="24" a="1"/>
  <c r="E92" i="24" s="1"/>
  <c r="E93" i="24" a="1"/>
  <c r="E93" i="24" s="1"/>
  <c r="E94" i="24" a="1"/>
  <c r="E94" i="24" s="1"/>
  <c r="E95" i="24" a="1"/>
  <c r="E95" i="24" s="1"/>
  <c r="E96" i="24" a="1"/>
  <c r="E96" i="24" s="1"/>
  <c r="E97" i="24" a="1"/>
  <c r="E97" i="24" s="1"/>
  <c r="E98" i="24" a="1"/>
  <c r="E98" i="24" s="1"/>
  <c r="E99" i="24" a="1"/>
  <c r="E99" i="24" s="1"/>
  <c r="E100" i="24" a="1"/>
  <c r="E100" i="24" s="1"/>
  <c r="E101" i="24" a="1"/>
  <c r="E101" i="24" s="1"/>
  <c r="E102" i="24" a="1"/>
  <c r="E102" i="24" s="1"/>
  <c r="E103" i="24" a="1"/>
  <c r="E103" i="24" s="1"/>
  <c r="E104" i="24" a="1"/>
  <c r="E104" i="24" s="1"/>
  <c r="E105" i="24" a="1"/>
  <c r="E105" i="24" s="1"/>
  <c r="E106" i="24" a="1"/>
  <c r="E106" i="24" s="1"/>
  <c r="E107" i="24" a="1"/>
  <c r="E107" i="24" s="1"/>
  <c r="E108" i="24" a="1"/>
  <c r="E108" i="24" s="1"/>
  <c r="E109" i="24" a="1"/>
  <c r="E109" i="24" s="1"/>
  <c r="E110" i="24" a="1"/>
  <c r="E110" i="24" s="1"/>
  <c r="E111" i="24" a="1"/>
  <c r="E111" i="24" s="1"/>
  <c r="E112" i="24" a="1"/>
  <c r="E112" i="24" s="1"/>
  <c r="E113" i="24" a="1"/>
  <c r="E113" i="24" s="1"/>
  <c r="E114" i="24" a="1"/>
  <c r="E114" i="24" s="1"/>
  <c r="E115" i="24" a="1"/>
  <c r="E115" i="24" s="1"/>
  <c r="E116" i="24" a="1"/>
  <c r="E116" i="24" s="1"/>
  <c r="E117" i="24" a="1"/>
  <c r="E117" i="24" s="1"/>
  <c r="E118" i="24" a="1"/>
  <c r="E118" i="24" s="1"/>
  <c r="E119" i="24" a="1"/>
  <c r="E119" i="24" s="1"/>
  <c r="E120" i="24" a="1"/>
  <c r="E120" i="24" s="1"/>
  <c r="E121" i="24" a="1"/>
  <c r="E121" i="24" s="1"/>
  <c r="E122" i="24" a="1"/>
  <c r="E122" i="24" s="1"/>
  <c r="E123" i="24" a="1"/>
  <c r="E123" i="24" s="1"/>
  <c r="E124" i="24" a="1"/>
  <c r="E124" i="24" s="1"/>
  <c r="E125" i="24" a="1"/>
  <c r="E125" i="24" s="1"/>
  <c r="E126" i="24" a="1"/>
  <c r="E126" i="24" s="1"/>
  <c r="E127" i="24" a="1"/>
  <c r="E127" i="24" s="1"/>
  <c r="E128" i="24" a="1"/>
  <c r="E128" i="24" s="1"/>
  <c r="E129" i="24" a="1"/>
  <c r="E129" i="24" s="1"/>
  <c r="E130" i="24" a="1"/>
  <c r="E130" i="24" s="1"/>
  <c r="E131" i="24" a="1"/>
  <c r="E131" i="24" s="1"/>
  <c r="E132" i="24" a="1"/>
  <c r="E132" i="24" s="1"/>
  <c r="E133" i="24" a="1"/>
  <c r="E133" i="24" s="1"/>
  <c r="E134" i="24" a="1"/>
  <c r="E134" i="24" s="1"/>
  <c r="E135" i="24" a="1"/>
  <c r="E135" i="24" s="1"/>
  <c r="E136" i="24" a="1"/>
  <c r="E136" i="24" s="1"/>
  <c r="E137" i="24" a="1"/>
  <c r="E137" i="24" s="1"/>
  <c r="E138" i="24" a="1"/>
  <c r="E138" i="24" s="1"/>
  <c r="E139" i="24" a="1"/>
  <c r="E139" i="24" s="1"/>
  <c r="E140" i="24" a="1"/>
  <c r="E140" i="24" s="1"/>
  <c r="E141" i="24" a="1"/>
  <c r="E141" i="24" s="1"/>
  <c r="E142" i="24" a="1"/>
  <c r="E142" i="24" s="1"/>
  <c r="E143" i="24" a="1"/>
  <c r="E143" i="24" s="1"/>
  <c r="E144" i="24" a="1"/>
  <c r="E144" i="24" s="1"/>
  <c r="E145" i="24" a="1"/>
  <c r="E145" i="24" s="1"/>
  <c r="E146" i="24" a="1"/>
  <c r="E146" i="24" s="1"/>
  <c r="E147" i="24" a="1"/>
  <c r="E147" i="24" s="1"/>
  <c r="E148" i="24" a="1"/>
  <c r="E148" i="24" s="1"/>
  <c r="E149" i="24" a="1"/>
  <c r="E149" i="24" s="1"/>
  <c r="E150" i="24" a="1"/>
  <c r="E150" i="24" s="1"/>
  <c r="E151" i="24" a="1"/>
  <c r="E151" i="24" s="1"/>
  <c r="E152" i="24" a="1"/>
  <c r="E152" i="24" s="1"/>
  <c r="E153" i="24" a="1"/>
  <c r="E153" i="24" s="1"/>
  <c r="E154" i="24" a="1"/>
  <c r="E154" i="24" s="1"/>
  <c r="E155" i="24" a="1"/>
  <c r="E155" i="24" s="1"/>
  <c r="E156" i="24" a="1"/>
  <c r="E156" i="24" s="1"/>
  <c r="E157" i="24" a="1"/>
  <c r="E157" i="24" s="1"/>
  <c r="E158" i="24" a="1"/>
  <c r="E158" i="24" s="1"/>
  <c r="E159" i="24" a="1"/>
  <c r="E159" i="24" s="1"/>
  <c r="E160" i="24" a="1"/>
  <c r="E160" i="24" s="1"/>
  <c r="E161" i="24" a="1"/>
  <c r="E161" i="24" s="1"/>
  <c r="E162" i="24" a="1"/>
  <c r="E162" i="24" s="1"/>
  <c r="E163" i="24" a="1"/>
  <c r="E163" i="24" s="1"/>
  <c r="E164" i="24" a="1"/>
  <c r="E164" i="24" s="1"/>
  <c r="E165" i="24" a="1"/>
  <c r="E165" i="24" s="1"/>
  <c r="E166" i="24" a="1"/>
  <c r="E166" i="24" s="1"/>
  <c r="E167" i="24" a="1"/>
  <c r="E167" i="24" s="1"/>
  <c r="E168" i="24" a="1"/>
  <c r="E168" i="24" s="1"/>
  <c r="E169" i="24" a="1"/>
  <c r="E169" i="24" s="1"/>
  <c r="E170" i="24" a="1"/>
  <c r="E170" i="24" s="1"/>
  <c r="E171" i="24" a="1"/>
  <c r="E171" i="24" s="1"/>
  <c r="E172" i="24" a="1"/>
  <c r="E172" i="24" s="1"/>
  <c r="E173" i="24" a="1"/>
  <c r="E173" i="24" s="1"/>
  <c r="E174" i="24" a="1"/>
  <c r="E174" i="24" s="1"/>
  <c r="E175" i="24" a="1"/>
  <c r="E175" i="24" s="1"/>
  <c r="E176" i="24" a="1"/>
  <c r="E176" i="24" s="1"/>
  <c r="E177" i="24" a="1"/>
  <c r="E177" i="24" s="1"/>
  <c r="E178" i="24" a="1"/>
  <c r="E178" i="24" s="1"/>
  <c r="E179" i="24" a="1"/>
  <c r="E179" i="24" s="1"/>
  <c r="E180" i="24" a="1"/>
  <c r="E180" i="24" s="1"/>
  <c r="E181" i="24" a="1"/>
  <c r="E181" i="24" s="1"/>
  <c r="E182" i="24" a="1"/>
  <c r="E182" i="24" s="1"/>
  <c r="E183" i="24" a="1"/>
  <c r="E183" i="24" s="1"/>
  <c r="E184" i="24" a="1"/>
  <c r="E184" i="24" s="1"/>
  <c r="E185" i="24" a="1"/>
  <c r="E185" i="24" s="1"/>
  <c r="E186" i="24" a="1"/>
  <c r="E186" i="24" s="1"/>
  <c r="E187" i="24" a="1"/>
  <c r="E187" i="24" s="1"/>
  <c r="E188" i="24" a="1"/>
  <c r="E188" i="24" s="1"/>
  <c r="E189" i="24" a="1"/>
  <c r="E189" i="24" s="1"/>
  <c r="E190" i="24" a="1"/>
  <c r="E190" i="24" s="1"/>
  <c r="E191" i="24" a="1"/>
  <c r="E191" i="24" s="1"/>
  <c r="E192" i="24" a="1"/>
  <c r="E192" i="24" s="1"/>
  <c r="E193" i="24" a="1"/>
  <c r="E193" i="24" s="1"/>
  <c r="E194" i="24" a="1"/>
  <c r="E194" i="24" s="1"/>
  <c r="E195" i="24" a="1"/>
  <c r="E195" i="24" s="1"/>
  <c r="E196" i="24" a="1"/>
  <c r="E196" i="24" s="1"/>
  <c r="E197" i="24" a="1"/>
  <c r="E197" i="24" s="1"/>
  <c r="E198" i="24" a="1"/>
  <c r="E198" i="24" s="1"/>
  <c r="E199" i="24" a="1"/>
  <c r="E199" i="24" s="1"/>
  <c r="E200" i="24" a="1"/>
  <c r="E200" i="24" s="1"/>
  <c r="E201" i="24" a="1"/>
  <c r="E201" i="24" s="1"/>
  <c r="E202" i="24" a="1"/>
  <c r="E202" i="24" s="1"/>
  <c r="E203" i="24" a="1"/>
  <c r="E203" i="24" s="1"/>
  <c r="E204" i="24" a="1"/>
  <c r="E204" i="24" s="1"/>
  <c r="E205" i="24" a="1"/>
  <c r="E205" i="24" s="1"/>
  <c r="E206" i="24" a="1"/>
  <c r="E206" i="24" s="1"/>
  <c r="E207" i="24" a="1"/>
  <c r="E207" i="24" s="1"/>
  <c r="E208" i="24" a="1"/>
  <c r="E208" i="24" s="1"/>
  <c r="E209" i="24" a="1"/>
  <c r="E209" i="24" s="1"/>
  <c r="E210" i="24" a="1"/>
  <c r="E210" i="24" s="1"/>
  <c r="E211" i="24" a="1"/>
  <c r="E211" i="24" s="1"/>
  <c r="E212" i="24" a="1"/>
  <c r="E212" i="24" s="1"/>
  <c r="E213" i="24" a="1"/>
  <c r="E213" i="24" s="1"/>
  <c r="E214" i="24" a="1"/>
  <c r="E214" i="24" s="1"/>
  <c r="E215" i="24" a="1"/>
  <c r="E215" i="24" s="1"/>
  <c r="E216" i="24" a="1"/>
  <c r="E216" i="24" s="1"/>
  <c r="E217" i="24" a="1"/>
  <c r="E217" i="24" s="1"/>
  <c r="E218" i="24" a="1"/>
  <c r="E218" i="24" s="1"/>
  <c r="E219" i="24" a="1"/>
  <c r="E219" i="24" s="1"/>
  <c r="E220" i="24" a="1"/>
  <c r="E220" i="24" s="1"/>
  <c r="E221" i="24" a="1"/>
  <c r="E221" i="24" s="1"/>
  <c r="E222" i="24" a="1"/>
  <c r="E222" i="24" s="1"/>
  <c r="E223" i="24" a="1"/>
  <c r="E223" i="24" s="1"/>
  <c r="E224" i="24" a="1"/>
  <c r="E224" i="24" s="1"/>
  <c r="E225" i="24" a="1"/>
  <c r="E225" i="24" s="1"/>
  <c r="E226" i="24" a="1"/>
  <c r="E226" i="24" s="1"/>
  <c r="E227" i="24" a="1"/>
  <c r="E227" i="24" s="1"/>
  <c r="E228" i="24" a="1"/>
  <c r="E228" i="24" s="1"/>
  <c r="E229" i="24" a="1"/>
  <c r="E229" i="24" s="1"/>
  <c r="E230" i="24" a="1"/>
  <c r="E230" i="24" s="1"/>
  <c r="E231" i="24" a="1"/>
  <c r="E231" i="24" s="1"/>
  <c r="E232" i="24" a="1"/>
  <c r="E232" i="24" s="1"/>
  <c r="E233" i="24" a="1"/>
  <c r="E233" i="24" s="1"/>
  <c r="E234" i="24" a="1"/>
  <c r="E234" i="24" s="1"/>
  <c r="E235" i="24" a="1"/>
  <c r="E235" i="24" s="1"/>
  <c r="E236" i="24" a="1"/>
  <c r="E236" i="24" s="1"/>
  <c r="E237" i="24" a="1"/>
  <c r="E237" i="24" s="1"/>
  <c r="E238" i="24" a="1"/>
  <c r="E238" i="24" s="1"/>
  <c r="E239" i="24" a="1"/>
  <c r="E239" i="24" s="1"/>
  <c r="E240" i="24" a="1"/>
  <c r="E240" i="24" s="1"/>
  <c r="E241" i="24" a="1"/>
  <c r="E241" i="24" s="1"/>
  <c r="E242" i="24" a="1"/>
  <c r="E242" i="24" s="1"/>
  <c r="E243" i="24" a="1"/>
  <c r="E243" i="24" s="1"/>
  <c r="E244" i="24" a="1"/>
  <c r="E244" i="24" s="1"/>
  <c r="E245" i="24" a="1"/>
  <c r="E245" i="24" s="1"/>
  <c r="E246" i="24" a="1"/>
  <c r="E246" i="24" s="1"/>
  <c r="E247" i="24" a="1"/>
  <c r="E247" i="24" s="1"/>
  <c r="E248" i="24" a="1"/>
  <c r="E248" i="24" s="1"/>
  <c r="E249" i="24" a="1"/>
  <c r="E249" i="24" s="1"/>
  <c r="E250" i="24" a="1"/>
  <c r="E250" i="24" s="1"/>
  <c r="E251" i="24" a="1"/>
  <c r="E251" i="24" s="1"/>
  <c r="E252" i="24" a="1"/>
  <c r="E252" i="24" s="1"/>
  <c r="E253" i="24" a="1"/>
  <c r="E253" i="24" s="1"/>
  <c r="E254" i="24" a="1"/>
  <c r="E254" i="24" s="1"/>
  <c r="E255" i="24" a="1"/>
  <c r="E255" i="24" s="1"/>
  <c r="E256" i="24" a="1"/>
  <c r="E256" i="24" s="1"/>
  <c r="E257" i="24" a="1"/>
  <c r="E257" i="24" s="1"/>
  <c r="E258" i="24" a="1"/>
  <c r="E258" i="24" s="1"/>
  <c r="E259" i="24" a="1"/>
  <c r="E259" i="24" s="1"/>
  <c r="E260" i="24" a="1"/>
  <c r="E260" i="24" s="1"/>
  <c r="E261" i="24" a="1"/>
  <c r="E261" i="24" s="1"/>
  <c r="E262" i="24" a="1"/>
  <c r="E262" i="24" s="1"/>
  <c r="E263" i="24" a="1"/>
  <c r="E263" i="24" s="1"/>
  <c r="E264" i="24" a="1"/>
  <c r="E264" i="24" s="1"/>
  <c r="E265" i="24" a="1"/>
  <c r="E265" i="24" s="1"/>
  <c r="E266" i="24" a="1"/>
  <c r="E266" i="24" s="1"/>
  <c r="E267" i="24" a="1"/>
  <c r="E267" i="24" s="1"/>
  <c r="E268" i="24" a="1"/>
  <c r="E268" i="24" s="1"/>
  <c r="E269" i="24" a="1"/>
  <c r="E269" i="24" s="1"/>
  <c r="E270" i="24" a="1"/>
  <c r="E270" i="24" s="1"/>
  <c r="E271" i="24" a="1"/>
  <c r="E271" i="24" s="1"/>
  <c r="E272" i="24" a="1"/>
  <c r="E272" i="24" s="1"/>
  <c r="E273" i="24" a="1"/>
  <c r="E273" i="24" s="1"/>
  <c r="E274" i="24" a="1"/>
  <c r="E274" i="24" s="1"/>
  <c r="E275" i="24" a="1"/>
  <c r="E275" i="24" s="1"/>
  <c r="E276" i="24" a="1"/>
  <c r="E276" i="24" s="1"/>
  <c r="E277" i="24" a="1"/>
  <c r="E277" i="24" s="1"/>
  <c r="E278" i="24" a="1"/>
  <c r="E278" i="24" s="1"/>
  <c r="E279" i="24" a="1"/>
  <c r="E279" i="24" s="1"/>
  <c r="E280" i="24" a="1"/>
  <c r="E280" i="24" s="1"/>
  <c r="E281" i="24" a="1"/>
  <c r="E281" i="24" s="1"/>
  <c r="E282" i="24" a="1"/>
  <c r="E282" i="24" s="1"/>
  <c r="E283" i="24" a="1"/>
  <c r="E283" i="24" s="1"/>
  <c r="E284" i="24" a="1"/>
  <c r="E284" i="24" s="1"/>
  <c r="E285" i="24" a="1"/>
  <c r="E285" i="24" s="1"/>
  <c r="E286" i="24" a="1"/>
  <c r="E286" i="24" s="1"/>
  <c r="E287" i="24" a="1"/>
  <c r="E287" i="24" s="1"/>
  <c r="E288" i="24" a="1"/>
  <c r="E288" i="24" s="1"/>
  <c r="E289" i="24" a="1"/>
  <c r="E289" i="24" s="1"/>
  <c r="E290" i="24" a="1"/>
  <c r="E290" i="24" s="1"/>
  <c r="E291" i="24" a="1"/>
  <c r="E291" i="24" s="1"/>
  <c r="E292" i="24" a="1"/>
  <c r="E292" i="24" s="1"/>
  <c r="E293" i="24" a="1"/>
  <c r="E293" i="24" s="1"/>
  <c r="E294" i="24" a="1"/>
  <c r="E294" i="24" s="1"/>
  <c r="E295" i="24" a="1"/>
  <c r="E295" i="24" s="1"/>
  <c r="E296" i="24" a="1"/>
  <c r="E296" i="24" s="1"/>
  <c r="E297" i="24" a="1"/>
  <c r="E297" i="24" s="1"/>
  <c r="E298" i="24" a="1"/>
  <c r="E298" i="24" s="1"/>
  <c r="E299" i="24" a="1"/>
  <c r="E299" i="24" s="1"/>
  <c r="E300" i="24" a="1"/>
  <c r="E300" i="24" s="1"/>
  <c r="E301" i="24" a="1"/>
  <c r="E301" i="24" s="1"/>
  <c r="E302" i="24" a="1"/>
  <c r="E302" i="24" s="1"/>
  <c r="E303" i="24" a="1"/>
  <c r="E303" i="24" s="1"/>
  <c r="E304" i="24" a="1"/>
  <c r="E304" i="24" s="1"/>
  <c r="E305" i="24" a="1"/>
  <c r="E305" i="24" s="1"/>
  <c r="E306" i="24" a="1"/>
  <c r="E306" i="24" s="1"/>
  <c r="E307" i="24" a="1"/>
  <c r="E307" i="24" s="1"/>
  <c r="E308" i="24" a="1"/>
  <c r="E308" i="24" s="1"/>
  <c r="E309" i="24" a="1"/>
  <c r="E309" i="24" s="1"/>
  <c r="E310" i="24" a="1"/>
  <c r="E310" i="24" s="1"/>
  <c r="E311" i="24" a="1"/>
  <c r="E311" i="24" s="1"/>
  <c r="E312" i="24" a="1"/>
  <c r="E312" i="24" s="1"/>
  <c r="E313" i="24" a="1"/>
  <c r="E313" i="24" s="1"/>
  <c r="E314" i="24" a="1"/>
  <c r="E314" i="24" s="1"/>
  <c r="E315" i="24" a="1"/>
  <c r="E315" i="24" s="1"/>
  <c r="E316" i="24" a="1"/>
  <c r="E316" i="24" s="1"/>
  <c r="E317" i="24" a="1"/>
  <c r="E317" i="24" s="1"/>
  <c r="E318" i="24" a="1"/>
  <c r="E318" i="24" s="1"/>
  <c r="E319" i="24" a="1"/>
  <c r="E319" i="24" s="1"/>
  <c r="E320" i="24" a="1"/>
  <c r="E320" i="24" s="1"/>
  <c r="E321" i="24" a="1"/>
  <c r="E321" i="24" s="1"/>
  <c r="E322" i="24" a="1"/>
  <c r="E322" i="24" s="1"/>
  <c r="E323" i="24" a="1"/>
  <c r="E323" i="24" s="1"/>
  <c r="E324" i="24" a="1"/>
  <c r="E324" i="24" s="1"/>
  <c r="E325" i="24" a="1"/>
  <c r="E325" i="24" s="1"/>
  <c r="E326" i="24" a="1"/>
  <c r="E326" i="24" s="1"/>
  <c r="E327" i="24" a="1"/>
  <c r="E327" i="24" s="1"/>
  <c r="E328" i="24" a="1"/>
  <c r="E328" i="24" s="1"/>
  <c r="E329" i="24" a="1"/>
  <c r="E329" i="24" s="1"/>
  <c r="E330" i="24" a="1"/>
  <c r="E330" i="24" s="1"/>
  <c r="E331" i="24" a="1"/>
  <c r="E331" i="24" s="1"/>
  <c r="E332" i="24" a="1"/>
  <c r="E332" i="24" s="1"/>
  <c r="E333" i="24" a="1"/>
  <c r="E333" i="24" s="1"/>
  <c r="E334" i="24" a="1"/>
  <c r="E334" i="24" s="1"/>
  <c r="E335" i="24" a="1"/>
  <c r="E335" i="24" s="1"/>
  <c r="E336" i="24" a="1"/>
  <c r="E336" i="24" s="1"/>
  <c r="E337" i="24" a="1"/>
  <c r="E337" i="24" s="1"/>
  <c r="E338" i="24" a="1"/>
  <c r="E338" i="24" s="1"/>
  <c r="E339" i="24" a="1"/>
  <c r="E339" i="24" s="1"/>
  <c r="E340" i="24" a="1"/>
  <c r="E340" i="24" s="1"/>
  <c r="E341" i="24" a="1"/>
  <c r="E341" i="24" s="1"/>
  <c r="E342" i="24" a="1"/>
  <c r="E342" i="24" s="1"/>
  <c r="E343" i="24" a="1"/>
  <c r="E343" i="24" s="1"/>
  <c r="E344" i="24" a="1"/>
  <c r="E344" i="24" s="1"/>
  <c r="E345" i="24" a="1"/>
  <c r="E345" i="24" s="1"/>
  <c r="E346" i="24" a="1"/>
  <c r="E346" i="24" s="1"/>
  <c r="E347" i="24" a="1"/>
  <c r="E347" i="24" s="1"/>
  <c r="E348" i="24" a="1"/>
  <c r="E348" i="24" s="1"/>
  <c r="E349" i="24" a="1"/>
  <c r="E349" i="24" s="1"/>
  <c r="E350" i="24" a="1"/>
  <c r="E350" i="24" s="1"/>
  <c r="E351" i="24" a="1"/>
  <c r="E351" i="24" s="1"/>
  <c r="E352" i="24" a="1"/>
  <c r="E352" i="24" s="1"/>
  <c r="E353" i="24" a="1"/>
  <c r="E353" i="24" s="1"/>
  <c r="E354" i="24" a="1"/>
  <c r="E354" i="24" s="1"/>
  <c r="E355" i="24" a="1"/>
  <c r="E355" i="24" s="1"/>
  <c r="E356" i="24" a="1"/>
  <c r="E356" i="24" s="1"/>
  <c r="E357" i="24" a="1"/>
  <c r="E357" i="24" s="1"/>
  <c r="E358" i="24" a="1"/>
  <c r="E358" i="24" s="1"/>
  <c r="E359" i="24" a="1"/>
  <c r="E359" i="24" s="1"/>
  <c r="E360" i="24" a="1"/>
  <c r="E360" i="24" s="1"/>
  <c r="E361" i="24" a="1"/>
  <c r="E361" i="24" s="1"/>
  <c r="E362" i="24" a="1"/>
  <c r="E362" i="24" s="1"/>
  <c r="E363" i="24" a="1"/>
  <c r="E363" i="24" s="1"/>
  <c r="E364" i="24" a="1"/>
  <c r="E364" i="24" s="1"/>
  <c r="E365" i="24" a="1"/>
  <c r="E365" i="24" s="1"/>
  <c r="E366" i="24" a="1"/>
  <c r="E366" i="24" s="1"/>
  <c r="E367" i="24" a="1"/>
  <c r="E367" i="24" s="1"/>
  <c r="E368" i="24" a="1"/>
  <c r="E368" i="24" s="1"/>
  <c r="E369" i="24" a="1"/>
  <c r="E369" i="24" s="1"/>
  <c r="E370" i="24" a="1"/>
  <c r="E370" i="24" s="1"/>
  <c r="E371" i="24" a="1"/>
  <c r="E371" i="24" s="1"/>
  <c r="E372" i="24" a="1"/>
  <c r="E372" i="24" s="1"/>
  <c r="E373" i="24" a="1"/>
  <c r="E373" i="24" s="1"/>
  <c r="E374" i="24" a="1"/>
  <c r="E374" i="24" s="1"/>
  <c r="E375" i="24" a="1"/>
  <c r="E375" i="24" s="1"/>
  <c r="E376" i="24" a="1"/>
  <c r="E376" i="24" s="1"/>
  <c r="E377" i="24" a="1"/>
  <c r="E377" i="24" s="1"/>
  <c r="E378" i="24" a="1"/>
  <c r="E378" i="24" s="1"/>
  <c r="E379" i="24" a="1"/>
  <c r="E379" i="24" s="1"/>
  <c r="E380" i="24" a="1"/>
  <c r="E380" i="24" s="1"/>
  <c r="E381" i="24" a="1"/>
  <c r="E381" i="24" s="1"/>
  <c r="E382" i="24" a="1"/>
  <c r="E382" i="24" s="1"/>
  <c r="E383" i="24" a="1"/>
  <c r="E383" i="24" s="1"/>
  <c r="E384" i="24" a="1"/>
  <c r="E384" i="24" s="1"/>
  <c r="E385" i="24" a="1"/>
  <c r="E385" i="24" s="1"/>
  <c r="E386" i="24" a="1"/>
  <c r="E386" i="24" s="1"/>
  <c r="E387" i="24" a="1"/>
  <c r="E387" i="24" s="1"/>
  <c r="E388" i="24" a="1"/>
  <c r="E388" i="24" s="1"/>
  <c r="E389" i="24" a="1"/>
  <c r="E389" i="24" s="1"/>
  <c r="E390" i="24" a="1"/>
  <c r="E390" i="24" s="1"/>
  <c r="E391" i="24" a="1"/>
  <c r="E391" i="24" s="1"/>
  <c r="E392" i="24" a="1"/>
  <c r="E392" i="24" s="1"/>
  <c r="E393" i="24" a="1"/>
  <c r="E393" i="24" s="1"/>
  <c r="E394" i="24" a="1"/>
  <c r="E394" i="24" s="1"/>
  <c r="E395" i="24" a="1"/>
  <c r="E395" i="24" s="1"/>
  <c r="E396" i="24" a="1"/>
  <c r="E396" i="24" s="1"/>
  <c r="E397" i="24" a="1"/>
  <c r="E397" i="24" s="1"/>
  <c r="E398" i="24" a="1"/>
  <c r="E398" i="24" s="1"/>
  <c r="E399" i="24" a="1"/>
  <c r="E399" i="24" s="1"/>
  <c r="E400" i="24" a="1"/>
  <c r="E400" i="24" s="1"/>
  <c r="E401" i="24" a="1"/>
  <c r="E401" i="24" s="1"/>
  <c r="E402" i="24" a="1"/>
  <c r="E402" i="24" s="1"/>
  <c r="E403" i="24" a="1"/>
  <c r="E403" i="24" s="1"/>
  <c r="E404" i="24" a="1"/>
  <c r="E404" i="24" s="1"/>
  <c r="E405" i="24" a="1"/>
  <c r="E405" i="24" s="1"/>
  <c r="E406" i="24" a="1"/>
  <c r="E406" i="24" s="1"/>
  <c r="E407" i="24" a="1"/>
  <c r="E407" i="24" s="1"/>
  <c r="E408" i="24" a="1"/>
  <c r="E408" i="24" s="1"/>
  <c r="E409" i="24" a="1"/>
  <c r="E409" i="24" s="1"/>
  <c r="E410" i="24" a="1"/>
  <c r="E410" i="24" s="1"/>
  <c r="E411" i="24" a="1"/>
  <c r="E411" i="24" s="1"/>
  <c r="E412" i="24" a="1"/>
  <c r="E412" i="24" s="1"/>
  <c r="E413" i="24" a="1"/>
  <c r="E413" i="24" s="1"/>
  <c r="E414" i="24" a="1"/>
  <c r="E414" i="24" s="1"/>
  <c r="E415" i="24" a="1"/>
  <c r="E415" i="24" s="1"/>
  <c r="E416" i="24" a="1"/>
  <c r="E416" i="24" s="1"/>
  <c r="E417" i="24" a="1"/>
  <c r="E417" i="24" s="1"/>
  <c r="E418" i="24" a="1"/>
  <c r="E418" i="24" s="1"/>
  <c r="E419" i="24" a="1"/>
  <c r="E419" i="24" s="1"/>
  <c r="E420" i="24" a="1"/>
  <c r="E420" i="24" s="1"/>
  <c r="E421" i="24" a="1"/>
  <c r="E421" i="24" s="1"/>
  <c r="E422" i="24" a="1"/>
  <c r="E422" i="24" s="1"/>
  <c r="E423" i="24" a="1"/>
  <c r="E423" i="24" s="1"/>
  <c r="E424" i="24" a="1"/>
  <c r="E424" i="24" s="1"/>
  <c r="E425" i="24" a="1"/>
  <c r="E425" i="24" s="1"/>
  <c r="E426" i="24" a="1"/>
  <c r="E426" i="24" s="1"/>
  <c r="E427" i="24" a="1"/>
  <c r="E427" i="24" s="1"/>
  <c r="E428" i="24" a="1"/>
  <c r="E428" i="24" s="1"/>
  <c r="E429" i="24" a="1"/>
  <c r="E429" i="24" s="1"/>
  <c r="E430" i="24" a="1"/>
  <c r="E430" i="24" s="1"/>
  <c r="E431" i="24" a="1"/>
  <c r="E431" i="24" s="1"/>
  <c r="E432" i="24" a="1"/>
  <c r="E432" i="24" s="1"/>
  <c r="E433" i="24" a="1"/>
  <c r="E433" i="24" s="1"/>
  <c r="E434" i="24" a="1"/>
  <c r="E434" i="24" s="1"/>
  <c r="E435" i="24" a="1"/>
  <c r="E435" i="24" s="1"/>
  <c r="E436" i="24" a="1"/>
  <c r="E436" i="24" s="1"/>
  <c r="E437" i="24" a="1"/>
  <c r="E437" i="24" s="1"/>
  <c r="E438" i="24" a="1"/>
  <c r="E438" i="24" s="1"/>
  <c r="E439" i="24" a="1"/>
  <c r="E439" i="24" s="1"/>
  <c r="E440" i="24" a="1"/>
  <c r="E440" i="24" s="1"/>
  <c r="E441" i="24" a="1"/>
  <c r="E441" i="24" s="1"/>
  <c r="E442" i="24" a="1"/>
  <c r="E442" i="24" s="1"/>
  <c r="E443" i="24" a="1"/>
  <c r="E443" i="24" s="1"/>
  <c r="E444" i="24" a="1"/>
  <c r="E444" i="24" s="1"/>
  <c r="E445" i="24" a="1"/>
  <c r="E445" i="24" s="1"/>
  <c r="E446" i="24" a="1"/>
  <c r="E446" i="24" s="1"/>
  <c r="E447" i="24" a="1"/>
  <c r="E447" i="24" s="1"/>
  <c r="E448" i="24" a="1"/>
  <c r="E448" i="24" s="1"/>
  <c r="E449" i="24" a="1"/>
  <c r="E449" i="24" s="1"/>
  <c r="E450" i="24" a="1"/>
  <c r="E450" i="24" s="1"/>
  <c r="E451" i="24" a="1"/>
  <c r="E451" i="24" s="1"/>
  <c r="E452" i="24" a="1"/>
  <c r="E452" i="24" s="1"/>
  <c r="E453" i="24" a="1"/>
  <c r="E453" i="24" s="1"/>
  <c r="E454" i="24" a="1"/>
  <c r="E454" i="24" s="1"/>
  <c r="E455" i="24" a="1"/>
  <c r="E455" i="24" s="1"/>
  <c r="E456" i="24" a="1"/>
  <c r="E456" i="24" s="1"/>
  <c r="E457" i="24" a="1"/>
  <c r="E457" i="24" s="1"/>
  <c r="E458" i="24" a="1"/>
  <c r="E458" i="24" s="1"/>
  <c r="E459" i="24" a="1"/>
  <c r="E459" i="24"/>
  <c r="E460" i="24" a="1"/>
  <c r="E460" i="24" s="1"/>
  <c r="E461" i="24" a="1"/>
  <c r="E461" i="24" s="1"/>
  <c r="E462" i="24" a="1"/>
  <c r="E462" i="24" s="1"/>
  <c r="E463" i="24" a="1"/>
  <c r="E463" i="24" s="1"/>
  <c r="E464" i="24" a="1"/>
  <c r="E464" i="24" s="1"/>
  <c r="E465" i="24" a="1"/>
  <c r="E465" i="24"/>
  <c r="E466" i="24" a="1"/>
  <c r="E466" i="24" s="1"/>
  <c r="E467" i="24" a="1"/>
  <c r="E467" i="24" s="1"/>
  <c r="E468" i="24" a="1"/>
  <c r="E468" i="24" s="1"/>
  <c r="E469" i="24" a="1"/>
  <c r="E469" i="24" s="1"/>
  <c r="E470" i="24" a="1"/>
  <c r="E470" i="24" s="1"/>
  <c r="E471" i="24" a="1"/>
  <c r="E471" i="24" s="1"/>
  <c r="E472" i="24" a="1"/>
  <c r="E472" i="24" s="1"/>
  <c r="E473" i="24" a="1"/>
  <c r="E473" i="24" s="1"/>
  <c r="E474" i="24" a="1"/>
  <c r="E474" i="24" s="1"/>
  <c r="E475" i="24" a="1"/>
  <c r="E475" i="24" s="1"/>
  <c r="E476" i="24" a="1"/>
  <c r="E476" i="24" s="1"/>
  <c r="E477" i="24" a="1"/>
  <c r="E477" i="24" s="1"/>
  <c r="E478" i="24" a="1"/>
  <c r="E478" i="24" s="1"/>
  <c r="E479" i="24" a="1"/>
  <c r="E479" i="24" s="1"/>
  <c r="E480" i="24" a="1"/>
  <c r="E480" i="24" s="1"/>
  <c r="E481" i="24" a="1"/>
  <c r="E481" i="24" s="1"/>
  <c r="E482" i="24" a="1"/>
  <c r="E482" i="24" s="1"/>
  <c r="E483" i="24" a="1"/>
  <c r="E483" i="24"/>
  <c r="E484" i="24" a="1"/>
  <c r="E484" i="24" s="1"/>
  <c r="E485" i="24" a="1"/>
  <c r="E485" i="24" s="1"/>
  <c r="E486" i="24" a="1"/>
  <c r="E486" i="24" s="1"/>
  <c r="E487" i="24" a="1"/>
  <c r="E487" i="24" s="1"/>
  <c r="E488" i="24" a="1"/>
  <c r="E488" i="24" s="1"/>
  <c r="E489" i="24" a="1"/>
  <c r="E489" i="24" s="1"/>
  <c r="E490" i="24" a="1"/>
  <c r="E490" i="24" s="1"/>
  <c r="E491" i="24" a="1"/>
  <c r="E491" i="24" s="1"/>
  <c r="E492" i="24" a="1"/>
  <c r="E492" i="24" s="1"/>
  <c r="E493" i="24" a="1"/>
  <c r="E493" i="24" s="1"/>
  <c r="E494" i="24" a="1"/>
  <c r="E494" i="24" s="1"/>
  <c r="E495" i="24" a="1"/>
  <c r="E495" i="24"/>
  <c r="E496" i="24" a="1"/>
  <c r="E496" i="24" s="1"/>
  <c r="E497" i="24" a="1"/>
  <c r="E497" i="24" s="1"/>
  <c r="E498" i="24" a="1"/>
  <c r="E498" i="24" s="1"/>
  <c r="E499" i="24" a="1"/>
  <c r="E499" i="24" s="1"/>
  <c r="E500" i="24" a="1"/>
  <c r="E500" i="24" s="1"/>
  <c r="E501" i="24" a="1"/>
  <c r="E501" i="24" s="1"/>
  <c r="E502" i="24" a="1"/>
  <c r="E502" i="24" s="1"/>
  <c r="E503" i="24" a="1"/>
  <c r="E503" i="24" s="1"/>
  <c r="E504" i="24" a="1"/>
  <c r="E504" i="24" s="1"/>
  <c r="E505" i="24" a="1"/>
  <c r="E505" i="24" s="1"/>
  <c r="E506" i="24" a="1"/>
  <c r="E506" i="24" s="1"/>
  <c r="E507" i="24" a="1"/>
  <c r="E507" i="24" s="1"/>
  <c r="E508" i="24" a="1"/>
  <c r="E508" i="24" s="1"/>
  <c r="E509" i="24" a="1"/>
  <c r="E509" i="24" s="1"/>
  <c r="E510" i="24" a="1"/>
  <c r="E510" i="24" s="1"/>
  <c r="E511" i="24" a="1"/>
  <c r="E511" i="24" s="1"/>
  <c r="E512" i="24" a="1"/>
  <c r="E512" i="24" s="1"/>
  <c r="E513" i="24" a="1"/>
  <c r="E513" i="24"/>
  <c r="E514" i="24" a="1"/>
  <c r="E514" i="24" s="1"/>
  <c r="E515" i="24" a="1"/>
  <c r="E515" i="24" s="1"/>
  <c r="E516" i="24" a="1"/>
  <c r="E516" i="24" s="1"/>
  <c r="E517" i="24" a="1"/>
  <c r="E517" i="24" s="1"/>
  <c r="E518" i="24" a="1"/>
  <c r="E518" i="24" s="1"/>
  <c r="E519" i="24" a="1"/>
  <c r="E519" i="24" s="1"/>
  <c r="E520" i="24" a="1"/>
  <c r="E520" i="24" s="1"/>
  <c r="E521" i="24" a="1"/>
  <c r="E521" i="24" s="1"/>
  <c r="E522" i="24" a="1"/>
  <c r="E522" i="24"/>
  <c r="E523" i="24" a="1"/>
  <c r="E523" i="24" s="1"/>
  <c r="E524" i="24" a="1"/>
  <c r="E524" i="24" s="1"/>
  <c r="E525" i="24" a="1"/>
  <c r="E525" i="24" s="1"/>
  <c r="E526" i="24" a="1"/>
  <c r="E526" i="24" s="1"/>
  <c r="E527" i="24" a="1"/>
  <c r="E527" i="24" s="1"/>
  <c r="E528" i="24" a="1"/>
  <c r="E528" i="24" s="1"/>
  <c r="E529" i="24" a="1"/>
  <c r="E529" i="24" s="1"/>
  <c r="E530" i="24" a="1"/>
  <c r="E530" i="24" s="1"/>
  <c r="E531" i="24" a="1"/>
  <c r="E531" i="24"/>
  <c r="E532" i="24" a="1"/>
  <c r="E532" i="24" s="1"/>
  <c r="E533" i="24" a="1"/>
  <c r="E533" i="24" s="1"/>
  <c r="E534" i="24" a="1"/>
  <c r="E534" i="24" s="1"/>
  <c r="E535" i="24" a="1"/>
  <c r="E535" i="24" s="1"/>
  <c r="E536" i="24" a="1"/>
  <c r="E536" i="24" s="1"/>
  <c r="E537" i="24" a="1"/>
  <c r="E537" i="24" s="1"/>
  <c r="E538" i="24" a="1"/>
  <c r="E538" i="24" s="1"/>
  <c r="E539" i="24" a="1"/>
  <c r="E539" i="24" s="1"/>
  <c r="E540" i="24" a="1"/>
  <c r="E540" i="24"/>
  <c r="E541" i="24" a="1"/>
  <c r="E541" i="24" s="1"/>
  <c r="E542" i="24" a="1"/>
  <c r="E542" i="24" s="1"/>
  <c r="E543" i="24" a="1"/>
  <c r="E543" i="24" s="1"/>
  <c r="E544" i="24" a="1"/>
  <c r="E544" i="24" s="1"/>
  <c r="E545" i="24" a="1"/>
  <c r="E545" i="24" s="1"/>
  <c r="E546" i="24" a="1"/>
  <c r="E546" i="24" s="1"/>
  <c r="E547" i="24" a="1"/>
  <c r="E547" i="24" s="1"/>
  <c r="E548" i="24" a="1"/>
  <c r="E548" i="24" s="1"/>
  <c r="E549" i="24" a="1"/>
  <c r="E549" i="24"/>
  <c r="E550" i="24" a="1"/>
  <c r="E550" i="24" s="1"/>
  <c r="E551" i="24" a="1"/>
  <c r="E551" i="24" s="1"/>
  <c r="E552" i="24" a="1"/>
  <c r="E552" i="24" s="1"/>
  <c r="E553" i="24" a="1"/>
  <c r="E553" i="24" s="1"/>
  <c r="E554" i="24" a="1"/>
  <c r="E554" i="24" s="1"/>
  <c r="E555" i="24" a="1"/>
  <c r="E555" i="24" s="1"/>
  <c r="E556" i="24" a="1"/>
  <c r="E556" i="24" s="1"/>
  <c r="E557" i="24" a="1"/>
  <c r="E557" i="24" s="1"/>
  <c r="E558" i="24" a="1"/>
  <c r="E558" i="24"/>
  <c r="E559" i="24" a="1"/>
  <c r="E559" i="24" s="1"/>
  <c r="E560" i="24" a="1"/>
  <c r="E560" i="24" s="1"/>
  <c r="E561" i="24" a="1"/>
  <c r="E561" i="24" s="1"/>
  <c r="E562" i="24" a="1"/>
  <c r="E562" i="24" s="1"/>
  <c r="E563" i="24" a="1"/>
  <c r="E563" i="24" s="1"/>
  <c r="E564" i="24" a="1"/>
  <c r="E564" i="24" s="1"/>
  <c r="E565" i="24" a="1"/>
  <c r="E565" i="24" s="1"/>
  <c r="E566" i="24" a="1"/>
  <c r="E566" i="24" s="1"/>
  <c r="E567" i="24" a="1"/>
  <c r="E567" i="24"/>
  <c r="E568" i="24" a="1"/>
  <c r="E568" i="24" s="1"/>
  <c r="E569" i="24" a="1"/>
  <c r="E569" i="24" s="1"/>
  <c r="E570" i="24" a="1"/>
  <c r="E570" i="24" s="1"/>
  <c r="E571" i="24" a="1"/>
  <c r="E571" i="24" s="1"/>
  <c r="E572" i="24" a="1"/>
  <c r="E572" i="24" s="1"/>
  <c r="E573" i="24" a="1"/>
  <c r="E573" i="24" s="1"/>
  <c r="E574" i="24" a="1"/>
  <c r="E574" i="24" s="1"/>
  <c r="E575" i="24" a="1"/>
  <c r="E575" i="24" s="1"/>
  <c r="E576" i="24" a="1"/>
  <c r="E576" i="24"/>
  <c r="E577" i="24" a="1"/>
  <c r="E577" i="24" s="1"/>
  <c r="E578" i="24" a="1"/>
  <c r="E578" i="24" s="1"/>
  <c r="E579" i="24" a="1"/>
  <c r="E579" i="24" s="1"/>
  <c r="E580" i="24" a="1"/>
  <c r="E580" i="24" s="1"/>
  <c r="E581" i="24" a="1"/>
  <c r="E581" i="24" s="1"/>
  <c r="E582" i="24" a="1"/>
  <c r="E582" i="24" s="1"/>
  <c r="E583" i="24" a="1"/>
  <c r="E583" i="24" s="1"/>
  <c r="E584" i="24" a="1"/>
  <c r="E584" i="24" s="1"/>
  <c r="E585" i="24" a="1"/>
  <c r="E585" i="24"/>
  <c r="E586" i="24" a="1"/>
  <c r="E586" i="24" s="1"/>
  <c r="E587" i="24" a="1"/>
  <c r="E587" i="24" s="1"/>
  <c r="E588" i="24" a="1"/>
  <c r="E588" i="24" s="1"/>
  <c r="E589" i="24" a="1"/>
  <c r="E589" i="24" s="1"/>
  <c r="E590" i="24" a="1"/>
  <c r="E590" i="24" s="1"/>
  <c r="E591" i="24" a="1"/>
  <c r="E591" i="24" s="1"/>
  <c r="E592" i="24" a="1"/>
  <c r="E592" i="24" s="1"/>
  <c r="E593" i="24" a="1"/>
  <c r="E593" i="24" s="1"/>
  <c r="E594" i="24" a="1"/>
  <c r="E594" i="24"/>
  <c r="E595" i="24" a="1"/>
  <c r="E595" i="24" s="1"/>
  <c r="E596" i="24" a="1"/>
  <c r="E596" i="24" s="1"/>
  <c r="E597" i="24" a="1"/>
  <c r="E597" i="24" s="1"/>
  <c r="E598" i="24" a="1"/>
  <c r="E598" i="24" s="1"/>
  <c r="E599" i="24" a="1"/>
  <c r="E599" i="24" s="1"/>
  <c r="E600" i="24" a="1"/>
  <c r="E600" i="24" s="1"/>
  <c r="E601" i="24" a="1"/>
  <c r="E601" i="24" s="1"/>
  <c r="E602" i="24" a="1"/>
  <c r="E602" i="24" s="1"/>
  <c r="E603" i="24" a="1"/>
  <c r="E603" i="24"/>
  <c r="E604" i="24" a="1"/>
  <c r="E604" i="24" s="1"/>
  <c r="E605" i="24" a="1"/>
  <c r="E605" i="24" s="1"/>
  <c r="E606" i="24" a="1"/>
  <c r="E606" i="24" s="1"/>
  <c r="E607" i="24" a="1"/>
  <c r="E607" i="24" s="1"/>
  <c r="E608" i="24" a="1"/>
  <c r="E608" i="24" s="1"/>
  <c r="E609" i="24" a="1"/>
  <c r="E609" i="24" s="1"/>
  <c r="E610" i="24" a="1"/>
  <c r="E610" i="24" s="1"/>
  <c r="E611" i="24" a="1"/>
  <c r="E611" i="24" s="1"/>
  <c r="E612" i="24" a="1"/>
  <c r="E612" i="24"/>
  <c r="E613" i="24" a="1"/>
  <c r="E613" i="24" s="1"/>
  <c r="E614" i="24" a="1"/>
  <c r="E614" i="24" s="1"/>
  <c r="E615" i="24" a="1"/>
  <c r="E615" i="24" s="1"/>
  <c r="E616" i="24" a="1"/>
  <c r="E616" i="24" s="1"/>
  <c r="E617" i="24" a="1"/>
  <c r="E617" i="24" s="1"/>
  <c r="E618" i="24" a="1"/>
  <c r="E618" i="24" s="1"/>
  <c r="E619" i="24" a="1"/>
  <c r="E619" i="24" s="1"/>
  <c r="E620" i="24" a="1"/>
  <c r="E620" i="24" s="1"/>
  <c r="E621" i="24" a="1"/>
  <c r="E621" i="24"/>
  <c r="E622" i="24" a="1"/>
  <c r="E622" i="24" s="1"/>
  <c r="E623" i="24" a="1"/>
  <c r="E623" i="24" s="1"/>
  <c r="E624" i="24" a="1"/>
  <c r="E624" i="24" s="1"/>
  <c r="E625" i="24" a="1"/>
  <c r="E625" i="24" s="1"/>
  <c r="E626" i="24" a="1"/>
  <c r="E626" i="24" s="1"/>
  <c r="E627" i="24" a="1"/>
  <c r="E627" i="24" s="1"/>
  <c r="E628" i="24" a="1"/>
  <c r="E628" i="24" s="1"/>
  <c r="E629" i="24" a="1"/>
  <c r="E629" i="24" s="1"/>
  <c r="E630" i="24" a="1"/>
  <c r="E630" i="24"/>
  <c r="E631" i="24" a="1"/>
  <c r="E631" i="24" s="1"/>
  <c r="E632" i="24" a="1"/>
  <c r="E632" i="24" s="1"/>
  <c r="E633" i="24" a="1"/>
  <c r="E633" i="24" s="1"/>
  <c r="E634" i="24" a="1"/>
  <c r="E634" i="24" s="1"/>
  <c r="E635" i="24" a="1"/>
  <c r="E635" i="24" s="1"/>
  <c r="E636" i="24" a="1"/>
  <c r="E636" i="24" s="1"/>
  <c r="E637" i="24" a="1"/>
  <c r="E637" i="24" s="1"/>
  <c r="E638" i="24" a="1"/>
  <c r="E638" i="24" s="1"/>
  <c r="E639" i="24" a="1"/>
  <c r="E639" i="24"/>
  <c r="E640" i="24" a="1"/>
  <c r="E640" i="24" s="1"/>
  <c r="E641" i="24" a="1"/>
  <c r="E641" i="24" s="1"/>
  <c r="E642" i="24" a="1"/>
  <c r="E642" i="24" s="1"/>
  <c r="E643" i="24" a="1"/>
  <c r="E643" i="24" s="1"/>
  <c r="E644" i="24" a="1"/>
  <c r="E644" i="24" s="1"/>
  <c r="E645" i="24" a="1"/>
  <c r="E645" i="24" s="1"/>
  <c r="E646" i="24" a="1"/>
  <c r="E646" i="24" s="1"/>
  <c r="E647" i="24" a="1"/>
  <c r="E647" i="24" s="1"/>
  <c r="E648" i="24" a="1"/>
  <c r="E648" i="24"/>
  <c r="E649" i="24" a="1"/>
  <c r="E649" i="24" s="1"/>
  <c r="E650" i="24" a="1"/>
  <c r="E650" i="24" s="1"/>
  <c r="E651" i="24" a="1"/>
  <c r="E651" i="24" s="1"/>
  <c r="E652" i="24" a="1"/>
  <c r="E652" i="24" s="1"/>
  <c r="E653" i="24" a="1"/>
  <c r="E653" i="24" s="1"/>
  <c r="E654" i="24" a="1"/>
  <c r="E654" i="24" s="1"/>
  <c r="E655" i="24" a="1"/>
  <c r="E655" i="24" s="1"/>
  <c r="E656" i="24" a="1"/>
  <c r="E656" i="24" s="1"/>
  <c r="E657" i="24" a="1"/>
  <c r="E657" i="24"/>
  <c r="E658" i="24" a="1"/>
  <c r="E658" i="24" s="1"/>
  <c r="E659" i="24" a="1"/>
  <c r="E659" i="24" s="1"/>
  <c r="E660" i="24" a="1"/>
  <c r="E660" i="24" s="1"/>
  <c r="E661" i="24" a="1"/>
  <c r="E661" i="24" s="1"/>
  <c r="E662" i="24" a="1"/>
  <c r="E662" i="24" s="1"/>
  <c r="E663" i="24" a="1"/>
  <c r="E663" i="24" s="1"/>
  <c r="E664" i="24" a="1"/>
  <c r="E664" i="24" s="1"/>
  <c r="E665" i="24" a="1"/>
  <c r="E665" i="24" s="1"/>
  <c r="E666" i="24" a="1"/>
  <c r="E666" i="24"/>
  <c r="E667" i="24" a="1"/>
  <c r="E667" i="24" s="1"/>
  <c r="E668" i="24" a="1"/>
  <c r="E668" i="24" s="1"/>
  <c r="E669" i="24" a="1"/>
  <c r="E669" i="24" s="1"/>
  <c r="E670" i="24" a="1"/>
  <c r="E670" i="24" s="1"/>
  <c r="E671" i="24" a="1"/>
  <c r="E671" i="24" s="1"/>
  <c r="E672" i="24" a="1"/>
  <c r="E672" i="24" s="1"/>
  <c r="E673" i="24" a="1"/>
  <c r="E673" i="24" s="1"/>
  <c r="E674" i="24" a="1"/>
  <c r="E674" i="24" s="1"/>
  <c r="E675" i="24" a="1"/>
  <c r="E675" i="24"/>
  <c r="E676" i="24" a="1"/>
  <c r="E676" i="24" s="1"/>
  <c r="E677" i="24" a="1"/>
  <c r="E677" i="24" s="1"/>
  <c r="E678" i="24" a="1"/>
  <c r="E678" i="24" s="1"/>
  <c r="E679" i="24" a="1"/>
  <c r="E679" i="24" s="1"/>
  <c r="E680" i="24" a="1"/>
  <c r="E680" i="24" s="1"/>
  <c r="E681" i="24" a="1"/>
  <c r="E681" i="24" s="1"/>
  <c r="E682" i="24" a="1"/>
  <c r="E682" i="24" s="1"/>
  <c r="E683" i="24" a="1"/>
  <c r="E683" i="24" s="1"/>
  <c r="E684" i="24" a="1"/>
  <c r="E684" i="24"/>
  <c r="E685" i="24" a="1"/>
  <c r="E685" i="24" s="1"/>
  <c r="E686" i="24" a="1"/>
  <c r="E686" i="24" s="1"/>
  <c r="E687" i="24" a="1"/>
  <c r="E687" i="24" s="1"/>
  <c r="E688" i="24" a="1"/>
  <c r="E688" i="24" s="1"/>
  <c r="E689" i="24" a="1"/>
  <c r="E689" i="24" s="1"/>
  <c r="E690" i="24" a="1"/>
  <c r="E690" i="24" s="1"/>
  <c r="E691" i="24" a="1"/>
  <c r="E691" i="24" s="1"/>
  <c r="E692" i="24" a="1"/>
  <c r="E692" i="24" s="1"/>
  <c r="E693" i="24" a="1"/>
  <c r="E693" i="24" s="1"/>
  <c r="E694" i="24" a="1"/>
  <c r="E694" i="24" s="1"/>
  <c r="E695" i="24" a="1"/>
  <c r="E695" i="24" s="1"/>
  <c r="E696" i="24" a="1"/>
  <c r="E696" i="24" s="1"/>
  <c r="E697" i="24" a="1"/>
  <c r="E697" i="24" s="1"/>
  <c r="E698" i="24" a="1"/>
  <c r="E698" i="24" s="1"/>
  <c r="E699" i="24" a="1"/>
  <c r="E699" i="24" s="1"/>
  <c r="E700" i="24" a="1"/>
  <c r="E700" i="24" s="1"/>
  <c r="E701" i="24" a="1"/>
  <c r="E701" i="24" s="1"/>
  <c r="E702" i="24" a="1"/>
  <c r="E702" i="24" s="1"/>
  <c r="E703" i="24" a="1"/>
  <c r="E703" i="24" s="1"/>
  <c r="E704" i="24" a="1"/>
  <c r="E704" i="24" s="1"/>
  <c r="E705" i="24" a="1"/>
  <c r="E705" i="24" s="1"/>
  <c r="E706" i="24" a="1"/>
  <c r="E706" i="24" s="1"/>
  <c r="E707" i="24" a="1"/>
  <c r="E707" i="24" s="1"/>
  <c r="E708" i="24" a="1"/>
  <c r="E708" i="24" s="1"/>
  <c r="E709" i="24" a="1"/>
  <c r="E709" i="24" s="1"/>
  <c r="E710" i="24" a="1"/>
  <c r="E710" i="24" s="1"/>
  <c r="E711" i="24" a="1"/>
  <c r="E711" i="24" s="1"/>
  <c r="E712" i="24" a="1"/>
  <c r="E712" i="24" s="1"/>
  <c r="E713" i="24" a="1"/>
  <c r="E713" i="24" s="1"/>
  <c r="E714" i="24" a="1"/>
  <c r="E714" i="24" s="1"/>
  <c r="E715" i="24" a="1"/>
  <c r="E715" i="24" s="1"/>
  <c r="E716" i="24" a="1"/>
  <c r="E716" i="24" s="1"/>
  <c r="E717" i="24" a="1"/>
  <c r="E717" i="24" s="1"/>
  <c r="E718" i="24" a="1"/>
  <c r="E718" i="24" s="1"/>
  <c r="E719" i="24" a="1"/>
  <c r="E719" i="24" s="1"/>
  <c r="E720" i="24" a="1"/>
  <c r="E720" i="24" s="1"/>
  <c r="E721" i="24" a="1"/>
  <c r="E721" i="24" s="1"/>
  <c r="E722" i="24" a="1"/>
  <c r="E722" i="24" s="1"/>
  <c r="E723" i="24" a="1"/>
  <c r="E723" i="24" s="1"/>
  <c r="E724" i="24" a="1"/>
  <c r="E724" i="24" s="1"/>
  <c r="E725" i="24" a="1"/>
  <c r="E725" i="24" s="1"/>
  <c r="E726" i="24" a="1"/>
  <c r="E726" i="24" s="1"/>
  <c r="E727" i="24" a="1"/>
  <c r="E727" i="24" s="1"/>
  <c r="E728" i="24" a="1"/>
  <c r="E728" i="24" s="1"/>
  <c r="E729" i="24" a="1"/>
  <c r="E729" i="24"/>
  <c r="E730" i="24" a="1"/>
  <c r="E730" i="24" s="1"/>
  <c r="E731" i="24" a="1"/>
  <c r="E731" i="24" s="1"/>
  <c r="E732" i="24" a="1"/>
  <c r="E732" i="24" s="1"/>
  <c r="E733" i="24" a="1"/>
  <c r="E733" i="24" s="1"/>
  <c r="E734" i="24" a="1"/>
  <c r="E734" i="24" s="1"/>
  <c r="E735" i="24" a="1"/>
  <c r="E735" i="24" s="1"/>
  <c r="E736" i="24" a="1"/>
  <c r="E736" i="24" s="1"/>
  <c r="E737" i="24" a="1"/>
  <c r="E737" i="24" s="1"/>
  <c r="E738" i="24" a="1"/>
  <c r="E738" i="24" s="1"/>
  <c r="E739" i="24" a="1"/>
  <c r="E739" i="24" s="1"/>
  <c r="E740" i="24" a="1"/>
  <c r="E740" i="24" s="1"/>
  <c r="E741" i="24" a="1"/>
  <c r="E741" i="24" s="1"/>
  <c r="E742" i="24" a="1"/>
  <c r="E742" i="24" s="1"/>
  <c r="E743" i="24" a="1"/>
  <c r="E743" i="24" s="1"/>
  <c r="E744" i="24" a="1"/>
  <c r="E744" i="24" s="1"/>
  <c r="E745" i="24" a="1"/>
  <c r="E745" i="24" s="1"/>
  <c r="E746" i="24" a="1"/>
  <c r="E746" i="24" s="1"/>
  <c r="E747" i="24" a="1"/>
  <c r="E747" i="24" s="1"/>
  <c r="E748" i="24" a="1"/>
  <c r="E748" i="24" s="1"/>
  <c r="E749" i="24" a="1"/>
  <c r="E749" i="24" s="1"/>
  <c r="E750" i="24" a="1"/>
  <c r="E750" i="24" s="1"/>
  <c r="E751" i="24" a="1"/>
  <c r="E751" i="24" s="1"/>
  <c r="E752" i="24" a="1"/>
  <c r="E752" i="24" s="1"/>
  <c r="E753" i="24" a="1"/>
  <c r="E753" i="24" s="1"/>
  <c r="E754" i="24" a="1"/>
  <c r="E754" i="24" s="1"/>
  <c r="E755" i="24" a="1"/>
  <c r="E755" i="24" s="1"/>
  <c r="E756" i="24" a="1"/>
  <c r="E756" i="24" s="1"/>
  <c r="E757" i="24" a="1"/>
  <c r="E757" i="24" s="1"/>
  <c r="E758" i="24" a="1"/>
  <c r="E758" i="24" s="1"/>
  <c r="E759" i="24" a="1"/>
  <c r="E759" i="24" s="1"/>
  <c r="E760" i="24" a="1"/>
  <c r="E760" i="24" s="1"/>
  <c r="E761" i="24" a="1"/>
  <c r="E761" i="24" s="1"/>
  <c r="E762" i="24" a="1"/>
  <c r="E762" i="24" s="1"/>
  <c r="E763" i="24" a="1"/>
  <c r="E763" i="24" s="1"/>
  <c r="E764" i="24" a="1"/>
  <c r="E764" i="24" s="1"/>
  <c r="E765" i="24" a="1"/>
  <c r="E765" i="24" s="1"/>
  <c r="E766" i="24" a="1"/>
  <c r="E766" i="24" s="1"/>
  <c r="E767" i="24" a="1"/>
  <c r="E767" i="24" s="1"/>
  <c r="E768" i="24" a="1"/>
  <c r="E768" i="24" s="1"/>
  <c r="E769" i="24" a="1"/>
  <c r="E769" i="24" s="1"/>
  <c r="E770" i="24" a="1"/>
  <c r="E770" i="24" s="1"/>
  <c r="E771" i="24" a="1"/>
  <c r="E771" i="24" s="1"/>
  <c r="E772" i="24" a="1"/>
  <c r="E772" i="24" s="1"/>
  <c r="E3" i="24" a="1"/>
  <c r="E3" i="24" s="1"/>
  <c r="B4" i="24" a="1"/>
  <c r="B4" i="24" s="1"/>
  <c r="B5" i="24" a="1"/>
  <c r="B5" i="24" s="1"/>
  <c r="B6" i="24" a="1"/>
  <c r="B6" i="24" s="1"/>
  <c r="B7" i="24" a="1"/>
  <c r="B7" i="24" s="1"/>
  <c r="B8" i="24" a="1"/>
  <c r="B8" i="24" s="1"/>
  <c r="B9" i="24" a="1"/>
  <c r="B9" i="24" s="1"/>
  <c r="B10" i="24" a="1"/>
  <c r="B10" i="24" s="1"/>
  <c r="B11" i="24" a="1"/>
  <c r="B11" i="24" s="1"/>
  <c r="B12" i="24" a="1"/>
  <c r="B12" i="24" s="1"/>
  <c r="B13" i="24" a="1"/>
  <c r="B13" i="24" s="1"/>
  <c r="B14" i="24" a="1"/>
  <c r="B14" i="24" s="1"/>
  <c r="B15" i="24" a="1"/>
  <c r="B15" i="24" s="1"/>
  <c r="B16" i="24" a="1"/>
  <c r="B16" i="24" s="1"/>
  <c r="B17" i="24" a="1"/>
  <c r="B17" i="24" s="1"/>
  <c r="B18" i="24" a="1"/>
  <c r="B18" i="24" s="1"/>
  <c r="B19" i="24" a="1"/>
  <c r="B19" i="24" s="1"/>
  <c r="B20" i="24" a="1"/>
  <c r="B20" i="24" s="1"/>
  <c r="B21" i="24" a="1"/>
  <c r="B21" i="24" s="1"/>
  <c r="B22" i="24" a="1"/>
  <c r="B22" i="24" s="1"/>
  <c r="B23" i="24" a="1"/>
  <c r="B23" i="24" s="1"/>
  <c r="B24" i="24" a="1"/>
  <c r="B24" i="24" s="1"/>
  <c r="B25" i="24" a="1"/>
  <c r="B25" i="24" s="1"/>
  <c r="B26" i="24" a="1"/>
  <c r="B26" i="24" s="1"/>
  <c r="B27" i="24" a="1"/>
  <c r="B27" i="24" s="1"/>
  <c r="B28" i="24" a="1"/>
  <c r="B28" i="24" s="1"/>
  <c r="B29" i="24" a="1"/>
  <c r="B29" i="24" s="1"/>
  <c r="B30" i="24" a="1"/>
  <c r="B30" i="24" s="1"/>
  <c r="B31" i="24" a="1"/>
  <c r="B31" i="24" s="1"/>
  <c r="B32" i="24" a="1"/>
  <c r="B32" i="24" s="1"/>
  <c r="B33" i="24" a="1"/>
  <c r="B33" i="24" s="1"/>
  <c r="B34" i="24" a="1"/>
  <c r="B34" i="24" s="1"/>
  <c r="B35" i="24" a="1"/>
  <c r="B35" i="24" s="1"/>
  <c r="B36" i="24" a="1"/>
  <c r="B36" i="24" s="1"/>
  <c r="B37" i="24" a="1"/>
  <c r="B37" i="24" s="1"/>
  <c r="B38" i="24" a="1"/>
  <c r="B38" i="24" s="1"/>
  <c r="B39" i="24" a="1"/>
  <c r="B39" i="24" s="1"/>
  <c r="B40" i="24" a="1"/>
  <c r="B40" i="24" s="1"/>
  <c r="B41" i="24" a="1"/>
  <c r="B41" i="24" s="1"/>
  <c r="B42" i="24" a="1"/>
  <c r="B42" i="24" s="1"/>
  <c r="B43" i="24" a="1"/>
  <c r="B43" i="24" s="1"/>
  <c r="B44" i="24" a="1"/>
  <c r="B44" i="24" s="1"/>
  <c r="B45" i="24" a="1"/>
  <c r="B45" i="24" s="1"/>
  <c r="B46" i="24" a="1"/>
  <c r="B46" i="24" s="1"/>
  <c r="B47" i="24" a="1"/>
  <c r="B47" i="24" s="1"/>
  <c r="B48" i="24" a="1"/>
  <c r="B48" i="24" s="1"/>
  <c r="B49" i="24" a="1"/>
  <c r="B49" i="24" s="1"/>
  <c r="B50" i="24" a="1"/>
  <c r="B50" i="24" s="1"/>
  <c r="B51" i="24" a="1"/>
  <c r="B51" i="24" s="1"/>
  <c r="B52" i="24" a="1"/>
  <c r="B52" i="24" s="1"/>
  <c r="B53" i="24" a="1"/>
  <c r="B53" i="24" s="1"/>
  <c r="B54" i="24" a="1"/>
  <c r="B54" i="24" s="1"/>
  <c r="B55" i="24" a="1"/>
  <c r="B55" i="24" s="1"/>
  <c r="B56" i="24" a="1"/>
  <c r="B56" i="24" s="1"/>
  <c r="B57" i="24" a="1"/>
  <c r="B57" i="24" s="1"/>
  <c r="B58" i="24" a="1"/>
  <c r="B58" i="24" s="1"/>
  <c r="B59" i="24" a="1"/>
  <c r="B59" i="24" s="1"/>
  <c r="B60" i="24" a="1"/>
  <c r="B60" i="24" s="1"/>
  <c r="B61" i="24" a="1"/>
  <c r="B61" i="24" s="1"/>
  <c r="B62" i="24" a="1"/>
  <c r="B62" i="24" s="1"/>
  <c r="B63" i="24" a="1"/>
  <c r="B63" i="24" s="1"/>
  <c r="B64" i="24" a="1"/>
  <c r="B64" i="24" s="1"/>
  <c r="B65" i="24" a="1"/>
  <c r="B65" i="24" s="1"/>
  <c r="B66" i="24" a="1"/>
  <c r="B66" i="24" s="1"/>
  <c r="B67" i="24" a="1"/>
  <c r="B67" i="24" s="1"/>
  <c r="B68" i="24" a="1"/>
  <c r="B68" i="24" s="1"/>
  <c r="B69" i="24" a="1"/>
  <c r="B69" i="24" s="1"/>
  <c r="B70" i="24" a="1"/>
  <c r="B70" i="24" s="1"/>
  <c r="B71" i="24" a="1"/>
  <c r="B71" i="24" s="1"/>
  <c r="B72" i="24" a="1"/>
  <c r="B72" i="24" s="1"/>
  <c r="B73" i="24" a="1"/>
  <c r="B73" i="24" s="1"/>
  <c r="B74" i="24" a="1"/>
  <c r="B74" i="24" s="1"/>
  <c r="B75" i="24" a="1"/>
  <c r="B75" i="24" s="1"/>
  <c r="B76" i="24" a="1"/>
  <c r="B76" i="24" s="1"/>
  <c r="B77" i="24" a="1"/>
  <c r="B77" i="24" s="1"/>
  <c r="B78" i="24" a="1"/>
  <c r="B78" i="24" s="1"/>
  <c r="B79" i="24" a="1"/>
  <c r="B79" i="24" s="1"/>
  <c r="B80" i="24" a="1"/>
  <c r="B80" i="24" s="1"/>
  <c r="B81" i="24" a="1"/>
  <c r="B81" i="24" s="1"/>
  <c r="B82" i="24" a="1"/>
  <c r="B82" i="24" s="1"/>
  <c r="B83" i="24" a="1"/>
  <c r="B83" i="24" s="1"/>
  <c r="B84" i="24" a="1"/>
  <c r="B84" i="24" s="1"/>
  <c r="B85" i="24" a="1"/>
  <c r="B85" i="24" s="1"/>
  <c r="B86" i="24" a="1"/>
  <c r="B86" i="24" s="1"/>
  <c r="B87" i="24" a="1"/>
  <c r="B87" i="24" s="1"/>
  <c r="B88" i="24" a="1"/>
  <c r="B88" i="24" s="1"/>
  <c r="B89" i="24" a="1"/>
  <c r="B89" i="24" s="1"/>
  <c r="B90" i="24" a="1"/>
  <c r="B90" i="24" s="1"/>
  <c r="B91" i="24" a="1"/>
  <c r="B91" i="24" s="1"/>
  <c r="B92" i="24" a="1"/>
  <c r="B92" i="24" s="1"/>
  <c r="B93" i="24" a="1"/>
  <c r="B93" i="24" s="1"/>
  <c r="B94" i="24" a="1"/>
  <c r="B94" i="24" s="1"/>
  <c r="B95" i="24" a="1"/>
  <c r="B95" i="24" s="1"/>
  <c r="B96" i="24" a="1"/>
  <c r="B96" i="24" s="1"/>
  <c r="B97" i="24" a="1"/>
  <c r="B97" i="24" s="1"/>
  <c r="B98" i="24" a="1"/>
  <c r="B98" i="24" s="1"/>
  <c r="B99" i="24" a="1"/>
  <c r="B99" i="24" s="1"/>
  <c r="B100" i="24" a="1"/>
  <c r="B100" i="24" s="1"/>
  <c r="B101" i="24" a="1"/>
  <c r="B101" i="24" s="1"/>
  <c r="B102" i="24" a="1"/>
  <c r="B102" i="24" s="1"/>
  <c r="B103" i="24" a="1"/>
  <c r="B103" i="24" s="1"/>
  <c r="B104" i="24" a="1"/>
  <c r="B104" i="24" s="1"/>
  <c r="B105" i="24" a="1"/>
  <c r="B105" i="24" s="1"/>
  <c r="B106" i="24" a="1"/>
  <c r="B106" i="24" s="1"/>
  <c r="B107" i="24" a="1"/>
  <c r="B107" i="24" s="1"/>
  <c r="B108" i="24" a="1"/>
  <c r="B108" i="24" s="1"/>
  <c r="B109" i="24" a="1"/>
  <c r="B109" i="24" s="1"/>
  <c r="B110" i="24" a="1"/>
  <c r="B110" i="24" s="1"/>
  <c r="B111" i="24" a="1"/>
  <c r="B111" i="24" s="1"/>
  <c r="B112" i="24" a="1"/>
  <c r="B112" i="24" s="1"/>
  <c r="B113" i="24" a="1"/>
  <c r="B113" i="24" s="1"/>
  <c r="B114" i="24" a="1"/>
  <c r="B114" i="24" s="1"/>
  <c r="B115" i="24" a="1"/>
  <c r="B115" i="24" s="1"/>
  <c r="B116" i="24" a="1"/>
  <c r="B116" i="24" s="1"/>
  <c r="B117" i="24" a="1"/>
  <c r="B117" i="24" s="1"/>
  <c r="B118" i="24" a="1"/>
  <c r="B118" i="24" s="1"/>
  <c r="B119" i="24" a="1"/>
  <c r="B119" i="24" s="1"/>
  <c r="B120" i="24" a="1"/>
  <c r="B120" i="24" s="1"/>
  <c r="B121" i="24" a="1"/>
  <c r="B121" i="24" s="1"/>
  <c r="B122" i="24" a="1"/>
  <c r="B122" i="24" s="1"/>
  <c r="B123" i="24" a="1"/>
  <c r="B123" i="24" s="1"/>
  <c r="B124" i="24" a="1"/>
  <c r="B124" i="24" s="1"/>
  <c r="B125" i="24" a="1"/>
  <c r="B125" i="24" s="1"/>
  <c r="B126" i="24" a="1"/>
  <c r="B126" i="24" s="1"/>
  <c r="B127" i="24" a="1"/>
  <c r="B127" i="24" s="1"/>
  <c r="B128" i="24" a="1"/>
  <c r="B128" i="24" s="1"/>
  <c r="B129" i="24" a="1"/>
  <c r="B129" i="24" s="1"/>
  <c r="B130" i="24" a="1"/>
  <c r="B130" i="24" s="1"/>
  <c r="B131" i="24" a="1"/>
  <c r="B131" i="24" s="1"/>
  <c r="B132" i="24" a="1"/>
  <c r="B132" i="24" s="1"/>
  <c r="B133" i="24" a="1"/>
  <c r="B133" i="24" s="1"/>
  <c r="B134" i="24" a="1"/>
  <c r="B134" i="24" s="1"/>
  <c r="B135" i="24" a="1"/>
  <c r="B135" i="24" s="1"/>
  <c r="B136" i="24" a="1"/>
  <c r="B136" i="24" s="1"/>
  <c r="B137" i="24" a="1"/>
  <c r="B137" i="24" s="1"/>
  <c r="B138" i="24" a="1"/>
  <c r="B138" i="24" s="1"/>
  <c r="B139" i="24" a="1"/>
  <c r="B139" i="24" s="1"/>
  <c r="B140" i="24" a="1"/>
  <c r="B140" i="24" s="1"/>
  <c r="B141" i="24" a="1"/>
  <c r="B141" i="24" s="1"/>
  <c r="B142" i="24" a="1"/>
  <c r="B142" i="24" s="1"/>
  <c r="B143" i="24" a="1"/>
  <c r="B143" i="24" s="1"/>
  <c r="B144" i="24" a="1"/>
  <c r="B144" i="24" s="1"/>
  <c r="B145" i="24" a="1"/>
  <c r="B145" i="24" s="1"/>
  <c r="B146" i="24" a="1"/>
  <c r="B146" i="24" s="1"/>
  <c r="B147" i="24" a="1"/>
  <c r="B147" i="24" s="1"/>
  <c r="B148" i="24" a="1"/>
  <c r="B148" i="24" s="1"/>
  <c r="B149" i="24" a="1"/>
  <c r="B149" i="24" s="1"/>
  <c r="B150" i="24" a="1"/>
  <c r="B150" i="24" s="1"/>
  <c r="B151" i="24" a="1"/>
  <c r="B151" i="24" s="1"/>
  <c r="B152" i="24" a="1"/>
  <c r="B152" i="24" s="1"/>
  <c r="B153" i="24" a="1"/>
  <c r="B153" i="24" s="1"/>
  <c r="B154" i="24" a="1"/>
  <c r="B154" i="24" s="1"/>
  <c r="B155" i="24" a="1"/>
  <c r="B155" i="24" s="1"/>
  <c r="B156" i="24" a="1"/>
  <c r="B156" i="24" s="1"/>
  <c r="B157" i="24" a="1"/>
  <c r="B157" i="24" s="1"/>
  <c r="B158" i="24" a="1"/>
  <c r="B158" i="24" s="1"/>
  <c r="B159" i="24" a="1"/>
  <c r="B159" i="24" s="1"/>
  <c r="B160" i="24" a="1"/>
  <c r="B160" i="24" s="1"/>
  <c r="B161" i="24" a="1"/>
  <c r="B161" i="24" s="1"/>
  <c r="B162" i="24" a="1"/>
  <c r="B162" i="24" s="1"/>
  <c r="B163" i="24" a="1"/>
  <c r="B163" i="24" s="1"/>
  <c r="B164" i="24" a="1"/>
  <c r="B164" i="24" s="1"/>
  <c r="B165" i="24" a="1"/>
  <c r="B165" i="24" s="1"/>
  <c r="B166" i="24" a="1"/>
  <c r="B166" i="24" s="1"/>
  <c r="B167" i="24" a="1"/>
  <c r="B167" i="24" s="1"/>
  <c r="B168" i="24" a="1"/>
  <c r="B168" i="24" s="1"/>
  <c r="B169" i="24" a="1"/>
  <c r="B169" i="24" s="1"/>
  <c r="B170" i="24" a="1"/>
  <c r="B170" i="24" s="1"/>
  <c r="B171" i="24" a="1"/>
  <c r="B171" i="24" s="1"/>
  <c r="B172" i="24" a="1"/>
  <c r="B172" i="24" s="1"/>
  <c r="B173" i="24" a="1"/>
  <c r="B173" i="24" s="1"/>
  <c r="B174" i="24" a="1"/>
  <c r="B174" i="24" s="1"/>
  <c r="B175" i="24" a="1"/>
  <c r="B175" i="24" s="1"/>
  <c r="B176" i="24" a="1"/>
  <c r="B176" i="24" s="1"/>
  <c r="B177" i="24" a="1"/>
  <c r="B177" i="24" s="1"/>
  <c r="B178" i="24" a="1"/>
  <c r="B178" i="24" s="1"/>
  <c r="B179" i="24" a="1"/>
  <c r="B179" i="24" s="1"/>
  <c r="B180" i="24" a="1"/>
  <c r="B180" i="24" s="1"/>
  <c r="B181" i="24" a="1"/>
  <c r="B181" i="24" s="1"/>
  <c r="B182" i="24" a="1"/>
  <c r="B182" i="24" s="1"/>
  <c r="B183" i="24" a="1"/>
  <c r="B183" i="24" s="1"/>
  <c r="B184" i="24" a="1"/>
  <c r="B184" i="24" s="1"/>
  <c r="B185" i="24" a="1"/>
  <c r="B185" i="24" s="1"/>
  <c r="B186" i="24" a="1"/>
  <c r="B186" i="24" s="1"/>
  <c r="B187" i="24" a="1"/>
  <c r="B187" i="24" s="1"/>
  <c r="B188" i="24" a="1"/>
  <c r="B188" i="24" s="1"/>
  <c r="B189" i="24" a="1"/>
  <c r="B189" i="24" s="1"/>
  <c r="B190" i="24" a="1"/>
  <c r="B190" i="24" s="1"/>
  <c r="B191" i="24" a="1"/>
  <c r="B191" i="24" s="1"/>
  <c r="B192" i="24" a="1"/>
  <c r="B192" i="24" s="1"/>
  <c r="B193" i="24" a="1"/>
  <c r="B193" i="24" s="1"/>
  <c r="B194" i="24" a="1"/>
  <c r="B194" i="24" s="1"/>
  <c r="B195" i="24" a="1"/>
  <c r="B195" i="24" s="1"/>
  <c r="B196" i="24" a="1"/>
  <c r="B196" i="24" s="1"/>
  <c r="B197" i="24" a="1"/>
  <c r="B197" i="24" s="1"/>
  <c r="B198" i="24" a="1"/>
  <c r="B198" i="24" s="1"/>
  <c r="B199" i="24" a="1"/>
  <c r="B199" i="24" s="1"/>
  <c r="B200" i="24" a="1"/>
  <c r="B200" i="24" s="1"/>
  <c r="B201" i="24" a="1"/>
  <c r="B201" i="24" s="1"/>
  <c r="B202" i="24" a="1"/>
  <c r="B202" i="24" s="1"/>
  <c r="B203" i="24" a="1"/>
  <c r="B203" i="24" s="1"/>
  <c r="B204" i="24" a="1"/>
  <c r="B204" i="24" s="1"/>
  <c r="B205" i="24" a="1"/>
  <c r="B205" i="24" s="1"/>
  <c r="B206" i="24" a="1"/>
  <c r="B206" i="24" s="1"/>
  <c r="B207" i="24" a="1"/>
  <c r="B207" i="24" s="1"/>
  <c r="B208" i="24" a="1"/>
  <c r="B208" i="24" s="1"/>
  <c r="B209" i="24" a="1"/>
  <c r="B209" i="24" s="1"/>
  <c r="B210" i="24" a="1"/>
  <c r="B210" i="24" s="1"/>
  <c r="B211" i="24" a="1"/>
  <c r="B211" i="24" s="1"/>
  <c r="B212" i="24" a="1"/>
  <c r="B212" i="24" s="1"/>
  <c r="B213" i="24" a="1"/>
  <c r="B213" i="24" s="1"/>
  <c r="B214" i="24" a="1"/>
  <c r="B214" i="24" s="1"/>
  <c r="B215" i="24" a="1"/>
  <c r="B215" i="24" s="1"/>
  <c r="B216" i="24" a="1"/>
  <c r="B216" i="24" s="1"/>
  <c r="B217" i="24" a="1"/>
  <c r="B217" i="24" s="1"/>
  <c r="B218" i="24" a="1"/>
  <c r="B218" i="24" s="1"/>
  <c r="B219" i="24" a="1"/>
  <c r="B219" i="24" s="1"/>
  <c r="B220" i="24" a="1"/>
  <c r="B220" i="24" s="1"/>
  <c r="B221" i="24" a="1"/>
  <c r="B221" i="24" s="1"/>
  <c r="B222" i="24" a="1"/>
  <c r="B222" i="24" s="1"/>
  <c r="B223" i="24" a="1"/>
  <c r="B223" i="24" s="1"/>
  <c r="B224" i="24" a="1"/>
  <c r="B224" i="24" s="1"/>
  <c r="B225" i="24" a="1"/>
  <c r="B225" i="24" s="1"/>
  <c r="B226" i="24" a="1"/>
  <c r="B226" i="24" s="1"/>
  <c r="B227" i="24" a="1"/>
  <c r="B227" i="24" s="1"/>
  <c r="B228" i="24" a="1"/>
  <c r="B228" i="24" s="1"/>
  <c r="B229" i="24" a="1"/>
  <c r="B229" i="24" s="1"/>
  <c r="B230" i="24" a="1"/>
  <c r="B230" i="24" s="1"/>
  <c r="B231" i="24" a="1"/>
  <c r="B231" i="24" s="1"/>
  <c r="B232" i="24" a="1"/>
  <c r="B232" i="24" s="1"/>
  <c r="B233" i="24" a="1"/>
  <c r="B233" i="24" s="1"/>
  <c r="B234" i="24" a="1"/>
  <c r="B234" i="24" s="1"/>
  <c r="B235" i="24" a="1"/>
  <c r="B235" i="24" s="1"/>
  <c r="B236" i="24" a="1"/>
  <c r="B236" i="24" s="1"/>
  <c r="B237" i="24" a="1"/>
  <c r="B237" i="24" s="1"/>
  <c r="B238" i="24" a="1"/>
  <c r="B238" i="24" s="1"/>
  <c r="B239" i="24" a="1"/>
  <c r="B239" i="24" s="1"/>
  <c r="B240" i="24" a="1"/>
  <c r="B240" i="24" s="1"/>
  <c r="B241" i="24" a="1"/>
  <c r="B241" i="24" s="1"/>
  <c r="B242" i="24" a="1"/>
  <c r="B242" i="24" s="1"/>
  <c r="B243" i="24" a="1"/>
  <c r="B243" i="24" s="1"/>
  <c r="B244" i="24" a="1"/>
  <c r="B244" i="24" s="1"/>
  <c r="B245" i="24" a="1"/>
  <c r="B245" i="24" s="1"/>
  <c r="B246" i="24" a="1"/>
  <c r="B246" i="24" s="1"/>
  <c r="B247" i="24" a="1"/>
  <c r="B247" i="24" s="1"/>
  <c r="B248" i="24" a="1"/>
  <c r="B248" i="24" s="1"/>
  <c r="B249" i="24" a="1"/>
  <c r="B249" i="24" s="1"/>
  <c r="B250" i="24" a="1"/>
  <c r="B250" i="24" s="1"/>
  <c r="B251" i="24" a="1"/>
  <c r="B251" i="24" s="1"/>
  <c r="B252" i="24" a="1"/>
  <c r="B252" i="24" s="1"/>
  <c r="B253" i="24" a="1"/>
  <c r="B253" i="24" s="1"/>
  <c r="B254" i="24" a="1"/>
  <c r="B254" i="24" s="1"/>
  <c r="B255" i="24" a="1"/>
  <c r="B255" i="24" s="1"/>
  <c r="B256" i="24" a="1"/>
  <c r="B256" i="24" s="1"/>
  <c r="B257" i="24" a="1"/>
  <c r="B257" i="24" s="1"/>
  <c r="B258" i="24" a="1"/>
  <c r="B258" i="24" s="1"/>
  <c r="B259" i="24" a="1"/>
  <c r="B259" i="24" s="1"/>
  <c r="B260" i="24" a="1"/>
  <c r="B260" i="24" s="1"/>
  <c r="B261" i="24" a="1"/>
  <c r="B261" i="24" s="1"/>
  <c r="B262" i="24" a="1"/>
  <c r="B262" i="24" s="1"/>
  <c r="B263" i="24" a="1"/>
  <c r="B263" i="24" s="1"/>
  <c r="B264" i="24" a="1"/>
  <c r="B264" i="24" s="1"/>
  <c r="B265" i="24" a="1"/>
  <c r="B265" i="24" s="1"/>
  <c r="B266" i="24" a="1"/>
  <c r="B266" i="24" s="1"/>
  <c r="B267" i="24" a="1"/>
  <c r="B267" i="24" s="1"/>
  <c r="B268" i="24" a="1"/>
  <c r="B268" i="24" s="1"/>
  <c r="B269" i="24" a="1"/>
  <c r="B269" i="24" s="1"/>
  <c r="B270" i="24" a="1"/>
  <c r="B270" i="24" s="1"/>
  <c r="B271" i="24" a="1"/>
  <c r="B271" i="24" s="1"/>
  <c r="B272" i="24" a="1"/>
  <c r="B272" i="24" s="1"/>
  <c r="B273" i="24" a="1"/>
  <c r="B273" i="24" s="1"/>
  <c r="B274" i="24" a="1"/>
  <c r="B274" i="24" s="1"/>
  <c r="B275" i="24" a="1"/>
  <c r="B275" i="24" s="1"/>
  <c r="B276" i="24" a="1"/>
  <c r="B276" i="24" s="1"/>
  <c r="B277" i="24" a="1"/>
  <c r="B277" i="24" s="1"/>
  <c r="B278" i="24" a="1"/>
  <c r="B278" i="24" s="1"/>
  <c r="B279" i="24" a="1"/>
  <c r="B279" i="24" s="1"/>
  <c r="B280" i="24" a="1"/>
  <c r="B280" i="24" s="1"/>
  <c r="B281" i="24" a="1"/>
  <c r="B281" i="24" s="1"/>
  <c r="B282" i="24" a="1"/>
  <c r="B282" i="24" s="1"/>
  <c r="B283" i="24" a="1"/>
  <c r="B283" i="24" s="1"/>
  <c r="B284" i="24" a="1"/>
  <c r="B284" i="24" s="1"/>
  <c r="B285" i="24" a="1"/>
  <c r="B285" i="24" s="1"/>
  <c r="B286" i="24" a="1"/>
  <c r="B286" i="24" s="1"/>
  <c r="B287" i="24" a="1"/>
  <c r="B287" i="24" s="1"/>
  <c r="B288" i="24" a="1"/>
  <c r="B288" i="24" s="1"/>
  <c r="B289" i="24" a="1"/>
  <c r="B289" i="24" s="1"/>
  <c r="B290" i="24" a="1"/>
  <c r="B290" i="24" s="1"/>
  <c r="B291" i="24" a="1"/>
  <c r="B291" i="24" s="1"/>
  <c r="B292" i="24" a="1"/>
  <c r="B292" i="24" s="1"/>
  <c r="B293" i="24" a="1"/>
  <c r="B293" i="24" s="1"/>
  <c r="B294" i="24" a="1"/>
  <c r="B294" i="24" s="1"/>
  <c r="B295" i="24" a="1"/>
  <c r="B295" i="24" s="1"/>
  <c r="B296" i="24" a="1"/>
  <c r="B296" i="24"/>
  <c r="B297" i="24" a="1"/>
  <c r="B297" i="24" s="1"/>
  <c r="B298" i="24" a="1"/>
  <c r="B298" i="24" s="1"/>
  <c r="B299" i="24" a="1"/>
  <c r="B299" i="24" s="1"/>
  <c r="B300" i="24" a="1"/>
  <c r="B300" i="24" s="1"/>
  <c r="B301" i="24" a="1"/>
  <c r="B301" i="24" s="1"/>
  <c r="B302" i="24" a="1"/>
  <c r="B302" i="24" s="1"/>
  <c r="B303" i="24" a="1"/>
  <c r="B303" i="24" s="1"/>
  <c r="B304" i="24" a="1"/>
  <c r="B304" i="24" s="1"/>
  <c r="B305" i="24" a="1"/>
  <c r="B305" i="24" s="1"/>
  <c r="B306" i="24" a="1"/>
  <c r="B306" i="24" s="1"/>
  <c r="B307" i="24" a="1"/>
  <c r="B307" i="24" s="1"/>
  <c r="B308" i="24" a="1"/>
  <c r="B308" i="24" s="1"/>
  <c r="B309" i="24" a="1"/>
  <c r="B309" i="24" s="1"/>
  <c r="B310" i="24" a="1"/>
  <c r="B310" i="24" s="1"/>
  <c r="B311" i="24" a="1"/>
  <c r="B311" i="24" s="1"/>
  <c r="B312" i="24" a="1"/>
  <c r="B312" i="24" s="1"/>
  <c r="B313" i="24" a="1"/>
  <c r="B313" i="24" s="1"/>
  <c r="B314" i="24" a="1"/>
  <c r="B314" i="24" s="1"/>
  <c r="B315" i="24" a="1"/>
  <c r="B315" i="24" s="1"/>
  <c r="B316" i="24" a="1"/>
  <c r="B316" i="24" s="1"/>
  <c r="B317" i="24" a="1"/>
  <c r="B317" i="24" s="1"/>
  <c r="B318" i="24" a="1"/>
  <c r="B318" i="24" s="1"/>
  <c r="B319" i="24" a="1"/>
  <c r="B319" i="24" s="1"/>
  <c r="B320" i="24" a="1"/>
  <c r="B320" i="24" s="1"/>
  <c r="B321" i="24" a="1"/>
  <c r="B321" i="24" s="1"/>
  <c r="B322" i="24" a="1"/>
  <c r="B322" i="24" s="1"/>
  <c r="B323" i="24" a="1"/>
  <c r="B323" i="24" s="1"/>
  <c r="B324" i="24" a="1"/>
  <c r="B324" i="24" s="1"/>
  <c r="B325" i="24" a="1"/>
  <c r="B325" i="24" s="1"/>
  <c r="B326" i="24" a="1"/>
  <c r="B326" i="24" s="1"/>
  <c r="B327" i="24" a="1"/>
  <c r="B327" i="24" s="1"/>
  <c r="B328" i="24" a="1"/>
  <c r="B328" i="24" s="1"/>
  <c r="B329" i="24" a="1"/>
  <c r="B329" i="24" s="1"/>
  <c r="B330" i="24" a="1"/>
  <c r="B330" i="24" s="1"/>
  <c r="B331" i="24" a="1"/>
  <c r="B331" i="24" s="1"/>
  <c r="B332" i="24" a="1"/>
  <c r="B332" i="24" s="1"/>
  <c r="B333" i="24" a="1"/>
  <c r="B333" i="24" s="1"/>
  <c r="B334" i="24" a="1"/>
  <c r="B334" i="24" s="1"/>
  <c r="B335" i="24" a="1"/>
  <c r="B335" i="24" s="1"/>
  <c r="B336" i="24" a="1"/>
  <c r="B336" i="24" s="1"/>
  <c r="B337" i="24" a="1"/>
  <c r="B337" i="24" s="1"/>
  <c r="B338" i="24" a="1"/>
  <c r="B338" i="24"/>
  <c r="B339" i="24" a="1"/>
  <c r="B339" i="24" s="1"/>
  <c r="B340" i="24" a="1"/>
  <c r="B340" i="24" s="1"/>
  <c r="B341" i="24" a="1"/>
  <c r="B341" i="24" s="1"/>
  <c r="B342" i="24" a="1"/>
  <c r="B342" i="24" s="1"/>
  <c r="B343" i="24" a="1"/>
  <c r="B343" i="24" s="1"/>
  <c r="B344" i="24" a="1"/>
  <c r="B344" i="24"/>
  <c r="B345" i="24" a="1"/>
  <c r="B345" i="24" s="1"/>
  <c r="B346" i="24" a="1"/>
  <c r="B346" i="24" s="1"/>
  <c r="B347" i="24" a="1"/>
  <c r="B347" i="24" s="1"/>
  <c r="B348" i="24" a="1"/>
  <c r="B348" i="24" s="1"/>
  <c r="B349" i="24" a="1"/>
  <c r="B349" i="24" s="1"/>
  <c r="B350" i="24" a="1"/>
  <c r="B350" i="24" s="1"/>
  <c r="B351" i="24" a="1"/>
  <c r="B351" i="24" s="1"/>
  <c r="B352" i="24" a="1"/>
  <c r="B352" i="24" s="1"/>
  <c r="B353" i="24" a="1"/>
  <c r="B353" i="24" s="1"/>
  <c r="B354" i="24" a="1"/>
  <c r="B354" i="24" s="1"/>
  <c r="B355" i="24" a="1"/>
  <c r="B355" i="24" s="1"/>
  <c r="B356" i="24" a="1"/>
  <c r="B356" i="24"/>
  <c r="B357" i="24" a="1"/>
  <c r="B357" i="24" s="1"/>
  <c r="B358" i="24" a="1"/>
  <c r="B358" i="24" s="1"/>
  <c r="B359" i="24" a="1"/>
  <c r="B359" i="24" s="1"/>
  <c r="B360" i="24" a="1"/>
  <c r="B360" i="24" s="1"/>
  <c r="B361" i="24" a="1"/>
  <c r="B361" i="24" s="1"/>
  <c r="B362" i="24" a="1"/>
  <c r="B362" i="24" s="1"/>
  <c r="B363" i="24" a="1"/>
  <c r="B363" i="24" s="1"/>
  <c r="B364" i="24" a="1"/>
  <c r="B364" i="24" s="1"/>
  <c r="B365" i="24" a="1"/>
  <c r="B365" i="24" s="1"/>
  <c r="B366" i="24" a="1"/>
  <c r="B366" i="24" s="1"/>
  <c r="B367" i="24" a="1"/>
  <c r="B367" i="24" s="1"/>
  <c r="B368" i="24" a="1"/>
  <c r="B368" i="24" s="1"/>
  <c r="B369" i="24" a="1"/>
  <c r="B369" i="24" s="1"/>
  <c r="B370" i="24" a="1"/>
  <c r="B370" i="24" s="1"/>
  <c r="B371" i="24" a="1"/>
  <c r="B371" i="24" s="1"/>
  <c r="B372" i="24" a="1"/>
  <c r="B372" i="24" s="1"/>
  <c r="B373" i="24" a="1"/>
  <c r="B373" i="24" s="1"/>
  <c r="B374" i="24" a="1"/>
  <c r="B374" i="24"/>
  <c r="B375" i="24" a="1"/>
  <c r="B375" i="24" s="1"/>
  <c r="B376" i="24" a="1"/>
  <c r="B376" i="24" s="1"/>
  <c r="B377" i="24" a="1"/>
  <c r="B377" i="24" s="1"/>
  <c r="B378" i="24" a="1"/>
  <c r="B378" i="24" s="1"/>
  <c r="B379" i="24" a="1"/>
  <c r="B379" i="24" s="1"/>
  <c r="B380" i="24" a="1"/>
  <c r="B380" i="24" s="1"/>
  <c r="B381" i="24" a="1"/>
  <c r="B381" i="24" s="1"/>
  <c r="B382" i="24" a="1"/>
  <c r="B382" i="24" s="1"/>
  <c r="B383" i="24" a="1"/>
  <c r="B383" i="24" s="1"/>
  <c r="B384" i="24" a="1"/>
  <c r="B384" i="24" s="1"/>
  <c r="B385" i="24" a="1"/>
  <c r="B385" i="24" s="1"/>
  <c r="B386" i="24" a="1"/>
  <c r="B386" i="24" s="1"/>
  <c r="B387" i="24" a="1"/>
  <c r="B387" i="24" s="1"/>
  <c r="B388" i="24" a="1"/>
  <c r="B388" i="24" s="1"/>
  <c r="B389" i="24" a="1"/>
  <c r="B389" i="24" s="1"/>
  <c r="B390" i="24" a="1"/>
  <c r="B390" i="24" s="1"/>
  <c r="B391" i="24" a="1"/>
  <c r="B391" i="24" s="1"/>
  <c r="B392" i="24" a="1"/>
  <c r="B392" i="24" s="1"/>
  <c r="B393" i="24" a="1"/>
  <c r="B393" i="24" s="1"/>
  <c r="B394" i="24" a="1"/>
  <c r="B394" i="24" s="1"/>
  <c r="B395" i="24" a="1"/>
  <c r="B395" i="24" s="1"/>
  <c r="B396" i="24" a="1"/>
  <c r="B396" i="24" s="1"/>
  <c r="B397" i="24" a="1"/>
  <c r="B397" i="24" s="1"/>
  <c r="B398" i="24" a="1"/>
  <c r="B398" i="24" s="1"/>
  <c r="B399" i="24" a="1"/>
  <c r="B399" i="24" s="1"/>
  <c r="B400" i="24" a="1"/>
  <c r="B400" i="24" s="1"/>
  <c r="B401" i="24" a="1"/>
  <c r="B401" i="24" s="1"/>
  <c r="B402" i="24" a="1"/>
  <c r="B402" i="24" s="1"/>
  <c r="B403" i="24" a="1"/>
  <c r="B403" i="24" s="1"/>
  <c r="B404" i="24" a="1"/>
  <c r="B404" i="24" s="1"/>
  <c r="B405" i="24" a="1"/>
  <c r="B405" i="24" s="1"/>
  <c r="B406" i="24" a="1"/>
  <c r="B406" i="24" s="1"/>
  <c r="B407" i="24" a="1"/>
  <c r="B407" i="24" s="1"/>
  <c r="B408" i="24" a="1"/>
  <c r="B408" i="24" s="1"/>
  <c r="B409" i="24" a="1"/>
  <c r="B409" i="24" s="1"/>
  <c r="B410" i="24" a="1"/>
  <c r="B410" i="24" s="1"/>
  <c r="B411" i="24" a="1"/>
  <c r="B411" i="24" s="1"/>
  <c r="B412" i="24" a="1"/>
  <c r="B412" i="24" s="1"/>
  <c r="B413" i="24" a="1"/>
  <c r="B413" i="24" s="1"/>
  <c r="B414" i="24" a="1"/>
  <c r="B414" i="24" s="1"/>
  <c r="B415" i="24" a="1"/>
  <c r="B415" i="24" s="1"/>
  <c r="B416" i="24" a="1"/>
  <c r="B416" i="24" s="1"/>
  <c r="B417" i="24" a="1"/>
  <c r="B417" i="24" s="1"/>
  <c r="B418" i="24" a="1"/>
  <c r="B418" i="24" s="1"/>
  <c r="B419" i="24" a="1"/>
  <c r="B419" i="24" s="1"/>
  <c r="B420" i="24" a="1"/>
  <c r="B420" i="24" s="1"/>
  <c r="B421" i="24" a="1"/>
  <c r="B421" i="24" s="1"/>
  <c r="B422" i="24" a="1"/>
  <c r="B422" i="24" s="1"/>
  <c r="B423" i="24" a="1"/>
  <c r="B423" i="24" s="1"/>
  <c r="B424" i="24" a="1"/>
  <c r="B424" i="24" s="1"/>
  <c r="B425" i="24" a="1"/>
  <c r="B425" i="24" s="1"/>
  <c r="B426" i="24" a="1"/>
  <c r="B426" i="24" s="1"/>
  <c r="B427" i="24" a="1"/>
  <c r="B427" i="24" s="1"/>
  <c r="B428" i="24" a="1"/>
  <c r="B428" i="24" s="1"/>
  <c r="B429" i="24" a="1"/>
  <c r="B429" i="24" s="1"/>
  <c r="B430" i="24" a="1"/>
  <c r="B430" i="24" s="1"/>
  <c r="B431" i="24" a="1"/>
  <c r="B431" i="24" s="1"/>
  <c r="B432" i="24" a="1"/>
  <c r="B432" i="24" s="1"/>
  <c r="B433" i="24" a="1"/>
  <c r="B433" i="24" s="1"/>
  <c r="B434" i="24" a="1"/>
  <c r="B434" i="24" s="1"/>
  <c r="B435" i="24" a="1"/>
  <c r="B435" i="24" s="1"/>
  <c r="B436" i="24" a="1"/>
  <c r="B436" i="24" s="1"/>
  <c r="B437" i="24" a="1"/>
  <c r="B437" i="24" s="1"/>
  <c r="B438" i="24" a="1"/>
  <c r="B438" i="24" s="1"/>
  <c r="B439" i="24" a="1"/>
  <c r="B439" i="24" s="1"/>
  <c r="B440" i="24" a="1"/>
  <c r="B440" i="24" s="1"/>
  <c r="B441" i="24" a="1"/>
  <c r="B441" i="24" s="1"/>
  <c r="B442" i="24" a="1"/>
  <c r="B442" i="24" s="1"/>
  <c r="B443" i="24" a="1"/>
  <c r="B443" i="24" s="1"/>
  <c r="B444" i="24" a="1"/>
  <c r="B444" i="24" s="1"/>
  <c r="B445" i="24" a="1"/>
  <c r="B445" i="24" s="1"/>
  <c r="B446" i="24" a="1"/>
  <c r="B446" i="24" s="1"/>
  <c r="B447" i="24" a="1"/>
  <c r="B447" i="24" s="1"/>
  <c r="B448" i="24" a="1"/>
  <c r="B448" i="24" s="1"/>
  <c r="B449" i="24" a="1"/>
  <c r="B449" i="24" s="1"/>
  <c r="B450" i="24" a="1"/>
  <c r="B450" i="24" s="1"/>
  <c r="B451" i="24" a="1"/>
  <c r="B451" i="24" s="1"/>
  <c r="B452" i="24" a="1"/>
  <c r="B452" i="24" s="1"/>
  <c r="B453" i="24" a="1"/>
  <c r="B453" i="24" s="1"/>
  <c r="B454" i="24" a="1"/>
  <c r="B454" i="24" s="1"/>
  <c r="B455" i="24" a="1"/>
  <c r="B455" i="24" s="1"/>
  <c r="B456" i="24" a="1"/>
  <c r="B456" i="24" s="1"/>
  <c r="B457" i="24" a="1"/>
  <c r="B457" i="24" s="1"/>
  <c r="B458" i="24" a="1"/>
  <c r="B458" i="24" s="1"/>
  <c r="B459" i="24" a="1"/>
  <c r="B459" i="24" s="1"/>
  <c r="B460" i="24" a="1"/>
  <c r="B460" i="24" s="1"/>
  <c r="B461" i="24" a="1"/>
  <c r="B461" i="24" s="1"/>
  <c r="B462" i="24" a="1"/>
  <c r="B462" i="24" s="1"/>
  <c r="B463" i="24" a="1"/>
  <c r="B463" i="24" s="1"/>
  <c r="B464" i="24" a="1"/>
  <c r="B464" i="24" s="1"/>
  <c r="B465" i="24" a="1"/>
  <c r="B465" i="24" s="1"/>
  <c r="B466" i="24" a="1"/>
  <c r="B466" i="24" s="1"/>
  <c r="B467" i="24" a="1"/>
  <c r="B467" i="24" s="1"/>
  <c r="B468" i="24" a="1"/>
  <c r="B468" i="24" s="1"/>
  <c r="B469" i="24" a="1"/>
  <c r="B469" i="24" s="1"/>
  <c r="B470" i="24" a="1"/>
  <c r="B470" i="24" s="1"/>
  <c r="B471" i="24" a="1"/>
  <c r="B471" i="24" s="1"/>
  <c r="B472" i="24" a="1"/>
  <c r="B472" i="24" s="1"/>
  <c r="B473" i="24" a="1"/>
  <c r="B473" i="24" s="1"/>
  <c r="B474" i="24" a="1"/>
  <c r="B474" i="24" s="1"/>
  <c r="B475" i="24" a="1"/>
  <c r="B475" i="24" s="1"/>
  <c r="B476" i="24" a="1"/>
  <c r="B476" i="24" s="1"/>
  <c r="B477" i="24" a="1"/>
  <c r="B477" i="24" s="1"/>
  <c r="B478" i="24" a="1"/>
  <c r="B478" i="24" s="1"/>
  <c r="B479" i="24" a="1"/>
  <c r="B479" i="24" s="1"/>
  <c r="B480" i="24" a="1"/>
  <c r="B480" i="24" s="1"/>
  <c r="B481" i="24" a="1"/>
  <c r="B481" i="24" s="1"/>
  <c r="B482" i="24" a="1"/>
  <c r="B482" i="24" s="1"/>
  <c r="B483" i="24" a="1"/>
  <c r="B483" i="24" s="1"/>
  <c r="B484" i="24" a="1"/>
  <c r="B484" i="24" s="1"/>
  <c r="B485" i="24" a="1"/>
  <c r="B485" i="24" s="1"/>
  <c r="B486" i="24" a="1"/>
  <c r="B486" i="24" s="1"/>
  <c r="B487" i="24" a="1"/>
  <c r="B487" i="24" s="1"/>
  <c r="B488" i="24" a="1"/>
  <c r="B488" i="24" s="1"/>
  <c r="B489" i="24" a="1"/>
  <c r="B489" i="24" s="1"/>
  <c r="B490" i="24" a="1"/>
  <c r="B490" i="24" s="1"/>
  <c r="B491" i="24" a="1"/>
  <c r="B491" i="24" s="1"/>
  <c r="B492" i="24" a="1"/>
  <c r="B492" i="24" s="1"/>
  <c r="B493" i="24" a="1"/>
  <c r="B493" i="24" s="1"/>
  <c r="B494" i="24" a="1"/>
  <c r="B494" i="24" s="1"/>
  <c r="B495" i="24" a="1"/>
  <c r="B495" i="24" s="1"/>
  <c r="B496" i="24" a="1"/>
  <c r="B496" i="24" s="1"/>
  <c r="B497" i="24" a="1"/>
  <c r="B497" i="24" s="1"/>
  <c r="B498" i="24" a="1"/>
  <c r="B498" i="24" s="1"/>
  <c r="B499" i="24" a="1"/>
  <c r="B499" i="24" s="1"/>
  <c r="B500" i="24" a="1"/>
  <c r="B500" i="24" s="1"/>
  <c r="B501" i="24" a="1"/>
  <c r="B501" i="24" s="1"/>
  <c r="B502" i="24" a="1"/>
  <c r="B502" i="24" s="1"/>
  <c r="B503" i="24" a="1"/>
  <c r="B503" i="24" s="1"/>
  <c r="B504" i="24" a="1"/>
  <c r="B504" i="24" s="1"/>
  <c r="B505" i="24" a="1"/>
  <c r="B505" i="24" s="1"/>
  <c r="B506" i="24" a="1"/>
  <c r="B506" i="24" s="1"/>
  <c r="B507" i="24" a="1"/>
  <c r="B507" i="24" s="1"/>
  <c r="B508" i="24" a="1"/>
  <c r="B508" i="24" s="1"/>
  <c r="B509" i="24" a="1"/>
  <c r="B509" i="24" s="1"/>
  <c r="B510" i="24" a="1"/>
  <c r="B510" i="24" s="1"/>
  <c r="B511" i="24" a="1"/>
  <c r="B511" i="24" s="1"/>
  <c r="B512" i="24" a="1"/>
  <c r="B512" i="24" s="1"/>
  <c r="B513" i="24" a="1"/>
  <c r="B513" i="24" s="1"/>
  <c r="B514" i="24" a="1"/>
  <c r="B514" i="24" s="1"/>
  <c r="B515" i="24" a="1"/>
  <c r="B515" i="24" s="1"/>
  <c r="B516" i="24" a="1"/>
  <c r="B516" i="24" s="1"/>
  <c r="B517" i="24" a="1"/>
  <c r="B517" i="24" s="1"/>
  <c r="B518" i="24" a="1"/>
  <c r="B518" i="24" s="1"/>
  <c r="B519" i="24" a="1"/>
  <c r="B519" i="24" s="1"/>
  <c r="B520" i="24" a="1"/>
  <c r="B520" i="24" s="1"/>
  <c r="B521" i="24" a="1"/>
  <c r="B521" i="24" s="1"/>
  <c r="B522" i="24" a="1"/>
  <c r="B522" i="24" s="1"/>
  <c r="B523" i="24" a="1"/>
  <c r="B523" i="24" s="1"/>
  <c r="B524" i="24" a="1"/>
  <c r="B524" i="24" s="1"/>
  <c r="B525" i="24" a="1"/>
  <c r="B525" i="24" s="1"/>
  <c r="B526" i="24" a="1"/>
  <c r="B526" i="24" s="1"/>
  <c r="B527" i="24" a="1"/>
  <c r="B527" i="24" s="1"/>
  <c r="B528" i="24" a="1"/>
  <c r="B528" i="24" s="1"/>
  <c r="B529" i="24" a="1"/>
  <c r="B529" i="24" s="1"/>
  <c r="B530" i="24" a="1"/>
  <c r="B530" i="24" s="1"/>
  <c r="B531" i="24" a="1"/>
  <c r="B531" i="24" s="1"/>
  <c r="B532" i="24" a="1"/>
  <c r="B532" i="24" s="1"/>
  <c r="B533" i="24" a="1"/>
  <c r="B533" i="24" s="1"/>
  <c r="B534" i="24" a="1"/>
  <c r="B534" i="24"/>
  <c r="B535" i="24" a="1"/>
  <c r="B535" i="24" s="1"/>
  <c r="B536" i="24" a="1"/>
  <c r="B536" i="24" s="1"/>
  <c r="B537" i="24" a="1"/>
  <c r="B537" i="24" s="1"/>
  <c r="B538" i="24" a="1"/>
  <c r="B538" i="24" s="1"/>
  <c r="B539" i="24" a="1"/>
  <c r="B539" i="24" s="1"/>
  <c r="B540" i="24" a="1"/>
  <c r="B540" i="24"/>
  <c r="B541" i="24" a="1"/>
  <c r="B541" i="24" s="1"/>
  <c r="B542" i="24" a="1"/>
  <c r="B542" i="24" s="1"/>
  <c r="B543" i="24" a="1"/>
  <c r="B543" i="24" s="1"/>
  <c r="B544" i="24" a="1"/>
  <c r="B544" i="24" s="1"/>
  <c r="B545" i="24" a="1"/>
  <c r="B545" i="24" s="1"/>
  <c r="B546" i="24" a="1"/>
  <c r="B546" i="24"/>
  <c r="B547" i="24" a="1"/>
  <c r="B547" i="24" s="1"/>
  <c r="B548" i="24" a="1"/>
  <c r="B548" i="24" s="1"/>
  <c r="B549" i="24" a="1"/>
  <c r="B549" i="24" s="1"/>
  <c r="B550" i="24" a="1"/>
  <c r="B550" i="24" s="1"/>
  <c r="B551" i="24" a="1"/>
  <c r="B551" i="24" s="1"/>
  <c r="B552" i="24" a="1"/>
  <c r="B552" i="24" s="1"/>
  <c r="B553" i="24" a="1"/>
  <c r="B553" i="24" s="1"/>
  <c r="B554" i="24" a="1"/>
  <c r="B554" i="24" s="1"/>
  <c r="B555" i="24" a="1"/>
  <c r="B555" i="24" s="1"/>
  <c r="B556" i="24" a="1"/>
  <c r="B556" i="24" s="1"/>
  <c r="B557" i="24" a="1"/>
  <c r="B557" i="24" s="1"/>
  <c r="B558" i="24" a="1"/>
  <c r="B558" i="24"/>
  <c r="B559" i="24" a="1"/>
  <c r="B559" i="24" s="1"/>
  <c r="B560" i="24" a="1"/>
  <c r="B560" i="24" s="1"/>
  <c r="B561" i="24" a="1"/>
  <c r="B561" i="24" s="1"/>
  <c r="B562" i="24" a="1"/>
  <c r="B562" i="24" s="1"/>
  <c r="B563" i="24" a="1"/>
  <c r="B563" i="24" s="1"/>
  <c r="B564" i="24" a="1"/>
  <c r="B564" i="24" s="1"/>
  <c r="B565" i="24" a="1"/>
  <c r="B565" i="24" s="1"/>
  <c r="B566" i="24" a="1"/>
  <c r="B566" i="24" s="1"/>
  <c r="B567" i="24" a="1"/>
  <c r="B567" i="24" s="1"/>
  <c r="B568" i="24" a="1"/>
  <c r="B568" i="24" s="1"/>
  <c r="B569" i="24" a="1"/>
  <c r="B569" i="24" s="1"/>
  <c r="B570" i="24" a="1"/>
  <c r="B570" i="24"/>
  <c r="B571" i="24" a="1"/>
  <c r="B571" i="24" s="1"/>
  <c r="B572" i="24" a="1"/>
  <c r="B572" i="24" s="1"/>
  <c r="B573" i="24" a="1"/>
  <c r="B573" i="24" s="1"/>
  <c r="B574" i="24" a="1"/>
  <c r="B574" i="24" s="1"/>
  <c r="B575" i="24" a="1"/>
  <c r="B575" i="24" s="1"/>
  <c r="B576" i="24" a="1"/>
  <c r="B576" i="24"/>
  <c r="B577" i="24" a="1"/>
  <c r="B577" i="24" s="1"/>
  <c r="B578" i="24" a="1"/>
  <c r="B578" i="24" s="1"/>
  <c r="B579" i="24" a="1"/>
  <c r="B579" i="24" s="1"/>
  <c r="B580" i="24" a="1"/>
  <c r="B580" i="24" s="1"/>
  <c r="B581" i="24" a="1"/>
  <c r="B581" i="24" s="1"/>
  <c r="B582" i="24" a="1"/>
  <c r="B582" i="24" s="1"/>
  <c r="B583" i="24" a="1"/>
  <c r="B583" i="24" s="1"/>
  <c r="B584" i="24" a="1"/>
  <c r="B584" i="24" s="1"/>
  <c r="B585" i="24" a="1"/>
  <c r="B585" i="24" s="1"/>
  <c r="B586" i="24" a="1"/>
  <c r="B586" i="24" s="1"/>
  <c r="B587" i="24" a="1"/>
  <c r="B587" i="24" s="1"/>
  <c r="B588" i="24" a="1"/>
  <c r="B588" i="24" s="1"/>
  <c r="B589" i="24" a="1"/>
  <c r="B589" i="24" s="1"/>
  <c r="B590" i="24" a="1"/>
  <c r="B590" i="24" s="1"/>
  <c r="B591" i="24" a="1"/>
  <c r="B591" i="24" s="1"/>
  <c r="B592" i="24" a="1"/>
  <c r="B592" i="24" s="1"/>
  <c r="B593" i="24" a="1"/>
  <c r="B593" i="24" s="1"/>
  <c r="B594" i="24" a="1"/>
  <c r="B594" i="24"/>
  <c r="B595" i="24" a="1"/>
  <c r="B595" i="24" s="1"/>
  <c r="B596" i="24" a="1"/>
  <c r="B596" i="24" s="1"/>
  <c r="B597" i="24" a="1"/>
  <c r="B597" i="24" s="1"/>
  <c r="B598" i="24" a="1"/>
  <c r="B598" i="24" s="1"/>
  <c r="B599" i="24" a="1"/>
  <c r="B599" i="24" s="1"/>
  <c r="B600" i="24" a="1"/>
  <c r="B600" i="24" s="1"/>
  <c r="B601" i="24" a="1"/>
  <c r="B601" i="24" s="1"/>
  <c r="B602" i="24" a="1"/>
  <c r="B602" i="24" s="1"/>
  <c r="B603" i="24" a="1"/>
  <c r="B603" i="24" s="1"/>
  <c r="B604" i="24" a="1"/>
  <c r="B604" i="24" s="1"/>
  <c r="B605" i="24" a="1"/>
  <c r="B605" i="24" s="1"/>
  <c r="B606" i="24" a="1"/>
  <c r="B606" i="24" s="1"/>
  <c r="B607" i="24" a="1"/>
  <c r="B607" i="24" s="1"/>
  <c r="B608" i="24" a="1"/>
  <c r="B608" i="24" s="1"/>
  <c r="B609" i="24" a="1"/>
  <c r="B609" i="24" s="1"/>
  <c r="B610" i="24" a="1"/>
  <c r="B610" i="24" s="1"/>
  <c r="B611" i="24" a="1"/>
  <c r="B611" i="24" s="1"/>
  <c r="B612" i="24" a="1"/>
  <c r="B612" i="24"/>
  <c r="B613" i="24" a="1"/>
  <c r="B613" i="24" s="1"/>
  <c r="B614" i="24" a="1"/>
  <c r="B614" i="24" s="1"/>
  <c r="B615" i="24" a="1"/>
  <c r="B615" i="24" s="1"/>
  <c r="B616" i="24" a="1"/>
  <c r="B616" i="24" s="1"/>
  <c r="B617" i="24" a="1"/>
  <c r="B617" i="24" s="1"/>
  <c r="B618" i="24" a="1"/>
  <c r="B618" i="24"/>
  <c r="B619" i="24" a="1"/>
  <c r="B619" i="24" s="1"/>
  <c r="B620" i="24" a="1"/>
  <c r="B620" i="24" s="1"/>
  <c r="B621" i="24" a="1"/>
  <c r="B621" i="24" s="1"/>
  <c r="B622" i="24" a="1"/>
  <c r="B622" i="24" s="1"/>
  <c r="B623" i="24" a="1"/>
  <c r="B623" i="24" s="1"/>
  <c r="B624" i="24" a="1"/>
  <c r="B624" i="24" s="1"/>
  <c r="B625" i="24" a="1"/>
  <c r="B625" i="24" s="1"/>
  <c r="B626" i="24" a="1"/>
  <c r="B626" i="24" s="1"/>
  <c r="B627" i="24" a="1"/>
  <c r="B627" i="24" s="1"/>
  <c r="B628" i="24" a="1"/>
  <c r="B628" i="24" s="1"/>
  <c r="B629" i="24" a="1"/>
  <c r="B629" i="24" s="1"/>
  <c r="B630" i="24" a="1"/>
  <c r="B630" i="24"/>
  <c r="B631" i="24" a="1"/>
  <c r="B631" i="24" s="1"/>
  <c r="B632" i="24" a="1"/>
  <c r="B632" i="24" s="1"/>
  <c r="B633" i="24" a="1"/>
  <c r="B633" i="24" s="1"/>
  <c r="B634" i="24" a="1"/>
  <c r="B634" i="24" s="1"/>
  <c r="B635" i="24" a="1"/>
  <c r="B635" i="24" s="1"/>
  <c r="B636" i="24" a="1"/>
  <c r="B636" i="24"/>
  <c r="B637" i="24" a="1"/>
  <c r="B637" i="24" s="1"/>
  <c r="B638" i="24" a="1"/>
  <c r="B638" i="24" s="1"/>
  <c r="B639" i="24" a="1"/>
  <c r="B639" i="24" s="1"/>
  <c r="B640" i="24" a="1"/>
  <c r="B640" i="24" s="1"/>
  <c r="B641" i="24" a="1"/>
  <c r="B641" i="24" s="1"/>
  <c r="B642" i="24" a="1"/>
  <c r="B642" i="24"/>
  <c r="B643" i="24" a="1"/>
  <c r="B643" i="24" s="1"/>
  <c r="B644" i="24" a="1"/>
  <c r="B644" i="24" s="1"/>
  <c r="B645" i="24" a="1"/>
  <c r="B645" i="24" s="1"/>
  <c r="B646" i="24" a="1"/>
  <c r="B646" i="24" s="1"/>
  <c r="B647" i="24" a="1"/>
  <c r="B647" i="24" s="1"/>
  <c r="B648" i="24" a="1"/>
  <c r="B648" i="24"/>
  <c r="B649" i="24" a="1"/>
  <c r="B649" i="24" s="1"/>
  <c r="B650" i="24" a="1"/>
  <c r="B650" i="24" s="1"/>
  <c r="B651" i="24" a="1"/>
  <c r="B651" i="24" s="1"/>
  <c r="B652" i="24" a="1"/>
  <c r="B652" i="24" s="1"/>
  <c r="B653" i="24" a="1"/>
  <c r="B653" i="24" s="1"/>
  <c r="B654" i="24" a="1"/>
  <c r="B654" i="24"/>
  <c r="B655" i="24" a="1"/>
  <c r="B655" i="24" s="1"/>
  <c r="B656" i="24" a="1"/>
  <c r="B656" i="24" s="1"/>
  <c r="B657" i="24" a="1"/>
  <c r="B657" i="24" s="1"/>
  <c r="B658" i="24" a="1"/>
  <c r="B658" i="24" s="1"/>
  <c r="B659" i="24" a="1"/>
  <c r="B659" i="24" s="1"/>
  <c r="B660" i="24" a="1"/>
  <c r="B660" i="24" s="1"/>
  <c r="B661" i="24" a="1"/>
  <c r="B661" i="24" s="1"/>
  <c r="B662" i="24" a="1"/>
  <c r="B662" i="24" s="1"/>
  <c r="B663" i="24" a="1"/>
  <c r="B663" i="24" s="1"/>
  <c r="B664" i="24" a="1"/>
  <c r="B664" i="24" s="1"/>
  <c r="B665" i="24" a="1"/>
  <c r="B665" i="24" s="1"/>
  <c r="B666" i="24" a="1"/>
  <c r="B666" i="24"/>
  <c r="B667" i="24" a="1"/>
  <c r="B667" i="24" s="1"/>
  <c r="B668" i="24" a="1"/>
  <c r="B668" i="24" s="1"/>
  <c r="B669" i="24" a="1"/>
  <c r="B669" i="24" s="1"/>
  <c r="B670" i="24" a="1"/>
  <c r="B670" i="24" s="1"/>
  <c r="B671" i="24" a="1"/>
  <c r="B671" i="24" s="1"/>
  <c r="B672" i="24" a="1"/>
  <c r="B672" i="24" s="1"/>
  <c r="B673" i="24" a="1"/>
  <c r="B673" i="24" s="1"/>
  <c r="B674" i="24" a="1"/>
  <c r="B674" i="24" s="1"/>
  <c r="B675" i="24" a="1"/>
  <c r="B675" i="24" s="1"/>
  <c r="B676" i="24" a="1"/>
  <c r="B676" i="24" s="1"/>
  <c r="B677" i="24" a="1"/>
  <c r="B677" i="24" s="1"/>
  <c r="B678" i="24" a="1"/>
  <c r="B678" i="24" s="1"/>
  <c r="B679" i="24" a="1"/>
  <c r="B679" i="24" s="1"/>
  <c r="B680" i="24" a="1"/>
  <c r="B680" i="24" s="1"/>
  <c r="B681" i="24" a="1"/>
  <c r="B681" i="24" s="1"/>
  <c r="B682" i="24" a="1"/>
  <c r="B682" i="24" s="1"/>
  <c r="B683" i="24" a="1"/>
  <c r="B683" i="24" s="1"/>
  <c r="B684" i="24" a="1"/>
  <c r="B684" i="24"/>
  <c r="B685" i="24" a="1"/>
  <c r="B685" i="24" s="1"/>
  <c r="B686" i="24" a="1"/>
  <c r="B686" i="24" s="1"/>
  <c r="B687" i="24" a="1"/>
  <c r="B687" i="24" s="1"/>
  <c r="B688" i="24" a="1"/>
  <c r="B688" i="24" s="1"/>
  <c r="B689" i="24" a="1"/>
  <c r="B689" i="24" s="1"/>
  <c r="B690" i="24" a="1"/>
  <c r="B690" i="24" s="1"/>
  <c r="B691" i="24" a="1"/>
  <c r="B691" i="24" s="1"/>
  <c r="B692" i="24" a="1"/>
  <c r="B692" i="24" s="1"/>
  <c r="B693" i="24" a="1"/>
  <c r="B693" i="24" s="1"/>
  <c r="B694" i="24" a="1"/>
  <c r="B694" i="24" s="1"/>
  <c r="B695" i="24" a="1"/>
  <c r="B695" i="24" s="1"/>
  <c r="B696" i="24" a="1"/>
  <c r="B696" i="24" s="1"/>
  <c r="B697" i="24" a="1"/>
  <c r="B697" i="24" s="1"/>
  <c r="B698" i="24" a="1"/>
  <c r="B698" i="24" s="1"/>
  <c r="B699" i="24" a="1"/>
  <c r="B699" i="24" s="1"/>
  <c r="B700" i="24" a="1"/>
  <c r="B700" i="24" s="1"/>
  <c r="B701" i="24" a="1"/>
  <c r="B701" i="24" s="1"/>
  <c r="B702" i="24" a="1"/>
  <c r="B702" i="24"/>
  <c r="B703" i="24" a="1"/>
  <c r="B703" i="24" s="1"/>
  <c r="B704" i="24" a="1"/>
  <c r="B704" i="24" s="1"/>
  <c r="B705" i="24" a="1"/>
  <c r="B705" i="24" s="1"/>
  <c r="B706" i="24" a="1"/>
  <c r="B706" i="24" s="1"/>
  <c r="B707" i="24" a="1"/>
  <c r="B707" i="24" s="1"/>
  <c r="B708" i="24" a="1"/>
  <c r="B708" i="24"/>
  <c r="B709" i="24" a="1"/>
  <c r="B709" i="24" s="1"/>
  <c r="B710" i="24" a="1"/>
  <c r="B710" i="24" s="1"/>
  <c r="B711" i="24" a="1"/>
  <c r="B711" i="24" s="1"/>
  <c r="B712" i="24" a="1"/>
  <c r="B712" i="24" s="1"/>
  <c r="B713" i="24" a="1"/>
  <c r="B713" i="24" s="1"/>
  <c r="B714" i="24" a="1"/>
  <c r="B714" i="24" s="1"/>
  <c r="B715" i="24" a="1"/>
  <c r="B715" i="24" s="1"/>
  <c r="B716" i="24" a="1"/>
  <c r="B716" i="24" s="1"/>
  <c r="B717" i="24" a="1"/>
  <c r="B717" i="24" s="1"/>
  <c r="B718" i="24" a="1"/>
  <c r="B718" i="24" s="1"/>
  <c r="B719" i="24" a="1"/>
  <c r="B719" i="24" s="1"/>
  <c r="B720" i="24" a="1"/>
  <c r="B720" i="24"/>
  <c r="B721" i="24" a="1"/>
  <c r="B721" i="24" s="1"/>
  <c r="B722" i="24" a="1"/>
  <c r="B722" i="24" s="1"/>
  <c r="B723" i="24" a="1"/>
  <c r="B723" i="24" s="1"/>
  <c r="B724" i="24" a="1"/>
  <c r="B724" i="24" s="1"/>
  <c r="B725" i="24" a="1"/>
  <c r="B725" i="24" s="1"/>
  <c r="B726" i="24" a="1"/>
  <c r="B726" i="24"/>
  <c r="B727" i="24" a="1"/>
  <c r="B727" i="24" s="1"/>
  <c r="B728" i="24" a="1"/>
  <c r="B728" i="24" s="1"/>
  <c r="B729" i="24" a="1"/>
  <c r="B729" i="24" s="1"/>
  <c r="B730" i="24" a="1"/>
  <c r="B730" i="24" s="1"/>
  <c r="B731" i="24" a="1"/>
  <c r="B731" i="24" s="1"/>
  <c r="B732" i="24" a="1"/>
  <c r="B732" i="24" s="1"/>
  <c r="B733" i="24" a="1"/>
  <c r="B733" i="24" s="1"/>
  <c r="B734" i="24" a="1"/>
  <c r="B734" i="24" s="1"/>
  <c r="B735" i="24" a="1"/>
  <c r="B735" i="24" s="1"/>
  <c r="B736" i="24" a="1"/>
  <c r="B736" i="24" s="1"/>
  <c r="B737" i="24" a="1"/>
  <c r="B737" i="24" s="1"/>
  <c r="B738" i="24" a="1"/>
  <c r="B738" i="24"/>
  <c r="B739" i="24" a="1"/>
  <c r="B739" i="24" s="1"/>
  <c r="B740" i="24" a="1"/>
  <c r="B740" i="24"/>
  <c r="B741" i="24" a="1"/>
  <c r="B741" i="24" s="1"/>
  <c r="B742" i="24" a="1"/>
  <c r="B742" i="24" s="1"/>
  <c r="B743" i="24" a="1"/>
  <c r="B743" i="24" s="1"/>
  <c r="B744" i="24" a="1"/>
  <c r="B744" i="24" s="1"/>
  <c r="B745" i="24" a="1"/>
  <c r="B745" i="24" s="1"/>
  <c r="B746" i="24" a="1"/>
  <c r="B746" i="24" s="1"/>
  <c r="B747" i="24" a="1"/>
  <c r="B747" i="24" s="1"/>
  <c r="B748" i="24" a="1"/>
  <c r="B748" i="24" s="1"/>
  <c r="B749" i="24" a="1"/>
  <c r="B749" i="24" s="1"/>
  <c r="B750" i="24" a="1"/>
  <c r="B750" i="24" s="1"/>
  <c r="B751" i="24" a="1"/>
  <c r="B751" i="24" s="1"/>
  <c r="B752" i="24" a="1"/>
  <c r="B752" i="24" s="1"/>
  <c r="B753" i="24" a="1"/>
  <c r="B753" i="24" s="1"/>
  <c r="B754" i="24" a="1"/>
  <c r="B754" i="24" s="1"/>
  <c r="B755" i="24" a="1"/>
  <c r="B755" i="24" s="1"/>
  <c r="B756" i="24" a="1"/>
  <c r="B756" i="24"/>
  <c r="B757" i="24" a="1"/>
  <c r="B757" i="24" s="1"/>
  <c r="B758" i="24" a="1"/>
  <c r="B758" i="24"/>
  <c r="B759" i="24" a="1"/>
  <c r="B759" i="24" s="1"/>
  <c r="B760" i="24" a="1"/>
  <c r="B760" i="24" s="1"/>
  <c r="B761" i="24" a="1"/>
  <c r="B761" i="24" s="1"/>
  <c r="B762" i="24" a="1"/>
  <c r="B762" i="24" s="1"/>
  <c r="B763" i="24" a="1"/>
  <c r="B763" i="24" s="1"/>
  <c r="B764" i="24" a="1"/>
  <c r="B764" i="24" s="1"/>
  <c r="B765" i="24" a="1"/>
  <c r="B765" i="24" s="1"/>
  <c r="B766" i="24" a="1"/>
  <c r="B766" i="24" s="1"/>
  <c r="B767" i="24" a="1"/>
  <c r="B767" i="24" s="1"/>
  <c r="B768" i="24" a="1"/>
  <c r="B768" i="24" s="1"/>
  <c r="B769" i="24" a="1"/>
  <c r="B769" i="24" s="1"/>
  <c r="B770" i="24" a="1"/>
  <c r="B770" i="24" s="1"/>
  <c r="B771" i="24" a="1"/>
  <c r="B771" i="24" s="1"/>
  <c r="B772" i="24" a="1"/>
  <c r="B772" i="24" s="1"/>
  <c r="B773" i="24" a="1"/>
  <c r="B773" i="24" s="1"/>
  <c r="B774" i="24" a="1"/>
  <c r="B774" i="24"/>
  <c r="B775" i="24" a="1"/>
  <c r="B775" i="24" s="1"/>
  <c r="B776" i="24" a="1"/>
  <c r="B776" i="24"/>
  <c r="B777" i="24" a="1"/>
  <c r="B777" i="24" s="1"/>
  <c r="B778" i="24" a="1"/>
  <c r="B778" i="24" s="1"/>
  <c r="B779" i="24" a="1"/>
  <c r="B779" i="24" s="1"/>
  <c r="B780" i="24" a="1"/>
  <c r="B780" i="24" s="1"/>
  <c r="B781" i="24" a="1"/>
  <c r="B781" i="24"/>
  <c r="B782" i="24" a="1"/>
  <c r="B782" i="24" s="1"/>
  <c r="B783" i="24" a="1"/>
  <c r="B783" i="24" s="1"/>
  <c r="B784" i="24" a="1"/>
  <c r="B784" i="24" s="1"/>
  <c r="B785" i="24" a="1"/>
  <c r="B785" i="24" s="1"/>
  <c r="B786" i="24" a="1"/>
  <c r="B786" i="24" s="1"/>
  <c r="B787" i="24" a="1"/>
  <c r="B787" i="24" s="1"/>
  <c r="B788" i="24" a="1"/>
  <c r="B788" i="24"/>
  <c r="B789" i="24" a="1"/>
  <c r="B789" i="24" s="1"/>
  <c r="B790" i="24" a="1"/>
  <c r="B790" i="24"/>
  <c r="B791" i="24" a="1"/>
  <c r="B791" i="24" s="1"/>
  <c r="B792" i="24" a="1"/>
  <c r="B792" i="24"/>
  <c r="B793" i="24" a="1"/>
  <c r="B793" i="24" s="1"/>
  <c r="B794" i="24" a="1"/>
  <c r="B794" i="24" s="1"/>
  <c r="B795" i="24" a="1"/>
  <c r="B795" i="24" s="1"/>
  <c r="B796" i="24" a="1"/>
  <c r="B796" i="24"/>
  <c r="B797" i="24" a="1"/>
  <c r="B797" i="24" s="1"/>
  <c r="B798" i="24" a="1"/>
  <c r="B798" i="24"/>
  <c r="B799" i="24" a="1"/>
  <c r="B799" i="24"/>
  <c r="B800" i="24" a="1"/>
  <c r="B800" i="24" s="1"/>
  <c r="B801" i="24" a="1"/>
  <c r="B801" i="24" s="1"/>
  <c r="B802" i="24" a="1"/>
  <c r="B802" i="24" s="1"/>
  <c r="B803" i="24" a="1"/>
  <c r="B803" i="24" s="1"/>
  <c r="B804" i="24" a="1"/>
  <c r="B804" i="24" s="1"/>
  <c r="B805" i="24" a="1"/>
  <c r="B805" i="24" s="1"/>
  <c r="B806" i="24" a="1"/>
  <c r="B806" i="24"/>
  <c r="B807" i="24" a="1"/>
  <c r="B807" i="24" s="1"/>
  <c r="B808" i="24" a="1"/>
  <c r="B808" i="24"/>
  <c r="B809" i="24" a="1"/>
  <c r="B809" i="24" s="1"/>
  <c r="B810" i="24" a="1"/>
  <c r="B810" i="24"/>
  <c r="B811" i="24" a="1"/>
  <c r="B811" i="24" s="1"/>
  <c r="B812" i="24" a="1"/>
  <c r="B812" i="24"/>
  <c r="B813" i="24" a="1"/>
  <c r="B813" i="24" s="1"/>
  <c r="B814" i="24" a="1"/>
  <c r="B814" i="24" s="1"/>
  <c r="B815" i="24" a="1"/>
  <c r="B815" i="24" s="1"/>
  <c r="B816" i="24" a="1"/>
  <c r="B816" i="24" s="1"/>
  <c r="B817" i="24" a="1"/>
  <c r="B817" i="24"/>
  <c r="B818" i="24" a="1"/>
  <c r="B818" i="24" s="1"/>
  <c r="B819" i="24" a="1"/>
  <c r="B819" i="24" s="1"/>
  <c r="B820" i="24" a="1"/>
  <c r="B820" i="24" s="1"/>
  <c r="B821" i="24" a="1"/>
  <c r="B821" i="24" s="1"/>
  <c r="B822" i="24" a="1"/>
  <c r="B822" i="24" s="1"/>
  <c r="B823" i="24" a="1"/>
  <c r="B823" i="24" s="1"/>
  <c r="B824" i="24" a="1"/>
  <c r="B824" i="24"/>
  <c r="B825" i="24" a="1"/>
  <c r="B825" i="24" s="1"/>
  <c r="B826" i="24" a="1"/>
  <c r="B826" i="24"/>
  <c r="B827" i="24" a="1"/>
  <c r="B827" i="24" s="1"/>
  <c r="B828" i="24" a="1"/>
  <c r="B828" i="24"/>
  <c r="B829" i="24" a="1"/>
  <c r="B829" i="24" s="1"/>
  <c r="B830" i="24" a="1"/>
  <c r="B830" i="24" s="1"/>
  <c r="B831" i="24" a="1"/>
  <c r="B831" i="24" s="1"/>
  <c r="B832" i="24" a="1"/>
  <c r="B832" i="24"/>
  <c r="B833" i="24" a="1"/>
  <c r="B833" i="24" s="1"/>
  <c r="B834" i="24" a="1"/>
  <c r="B834" i="24" s="1"/>
  <c r="B3" i="24" a="1"/>
  <c r="B3" i="24" s="1"/>
  <c r="D3" i="24"/>
  <c r="D4" i="24" s="1"/>
  <c r="D5" i="24" s="1"/>
  <c r="D6" i="24" s="1"/>
  <c r="D7" i="24" s="1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D224" i="24" s="1"/>
  <c r="D225" i="24" s="1"/>
  <c r="D226" i="24" s="1"/>
  <c r="D227" i="24" s="1"/>
  <c r="D228" i="24" s="1"/>
  <c r="D229" i="24" s="1"/>
  <c r="D230" i="24" s="1"/>
  <c r="D231" i="24" s="1"/>
  <c r="D232" i="24" s="1"/>
  <c r="D233" i="24" s="1"/>
  <c r="D234" i="24" s="1"/>
  <c r="D235" i="24" s="1"/>
  <c r="D236" i="24" s="1"/>
  <c r="D237" i="24" s="1"/>
  <c r="D238" i="24" s="1"/>
  <c r="D239" i="24" s="1"/>
  <c r="D240" i="24" s="1"/>
  <c r="D241" i="24" s="1"/>
  <c r="D242" i="24" s="1"/>
  <c r="D243" i="24" s="1"/>
  <c r="D244" i="24" s="1"/>
  <c r="D245" i="24" s="1"/>
  <c r="D246" i="24" s="1"/>
  <c r="D247" i="24" s="1"/>
  <c r="D248" i="24" s="1"/>
  <c r="D249" i="24" s="1"/>
  <c r="D250" i="24" s="1"/>
  <c r="D251" i="24" s="1"/>
  <c r="D252" i="24" s="1"/>
  <c r="D253" i="24" s="1"/>
  <c r="D254" i="24" s="1"/>
  <c r="D255" i="24" s="1"/>
  <c r="D256" i="24" s="1"/>
  <c r="D257" i="24" s="1"/>
  <c r="D258" i="24" s="1"/>
  <c r="D259" i="24" s="1"/>
  <c r="D260" i="24" s="1"/>
  <c r="D261" i="24" s="1"/>
  <c r="D262" i="24" s="1"/>
  <c r="D263" i="24" s="1"/>
  <c r="D264" i="24" s="1"/>
  <c r="D265" i="24" s="1"/>
  <c r="D266" i="24" s="1"/>
  <c r="D267" i="24" s="1"/>
  <c r="D268" i="24" s="1"/>
  <c r="D269" i="24" s="1"/>
  <c r="D270" i="24" s="1"/>
  <c r="D271" i="24" s="1"/>
  <c r="D272" i="24" s="1"/>
  <c r="D273" i="24" s="1"/>
  <c r="D274" i="24" s="1"/>
  <c r="D275" i="24" s="1"/>
  <c r="D276" i="24" s="1"/>
  <c r="D277" i="24" s="1"/>
  <c r="D278" i="24" s="1"/>
  <c r="D279" i="24" s="1"/>
  <c r="D280" i="24" s="1"/>
  <c r="D281" i="24" s="1"/>
  <c r="D282" i="24" s="1"/>
  <c r="D283" i="24" s="1"/>
  <c r="D284" i="24" s="1"/>
  <c r="D285" i="24" s="1"/>
  <c r="D286" i="24" s="1"/>
  <c r="D287" i="24" s="1"/>
  <c r="D288" i="24" s="1"/>
  <c r="D289" i="24" s="1"/>
  <c r="D290" i="24" s="1"/>
  <c r="D291" i="24" s="1"/>
  <c r="D292" i="24" s="1"/>
  <c r="D293" i="24" s="1"/>
  <c r="D294" i="24" s="1"/>
  <c r="D295" i="24" s="1"/>
  <c r="D296" i="24" s="1"/>
  <c r="D297" i="24" s="1"/>
  <c r="D298" i="24" s="1"/>
  <c r="D299" i="24" s="1"/>
  <c r="D300" i="24" s="1"/>
  <c r="D301" i="24" s="1"/>
  <c r="D302" i="24" s="1"/>
  <c r="D303" i="24" s="1"/>
  <c r="D304" i="24" s="1"/>
  <c r="D305" i="24" s="1"/>
  <c r="D306" i="24" s="1"/>
  <c r="D307" i="24" s="1"/>
  <c r="D308" i="24" s="1"/>
  <c r="D309" i="24" s="1"/>
  <c r="D310" i="24" s="1"/>
  <c r="D311" i="24" s="1"/>
  <c r="D312" i="24" s="1"/>
  <c r="D313" i="24" s="1"/>
  <c r="D314" i="24" s="1"/>
  <c r="D315" i="24" s="1"/>
  <c r="D316" i="24" s="1"/>
  <c r="D317" i="24" s="1"/>
  <c r="D318" i="24" s="1"/>
  <c r="D319" i="24" s="1"/>
  <c r="D320" i="24" s="1"/>
  <c r="D321" i="24" s="1"/>
  <c r="D322" i="24" s="1"/>
  <c r="D323" i="24" s="1"/>
  <c r="D324" i="24" s="1"/>
  <c r="D325" i="24" s="1"/>
  <c r="D326" i="24" s="1"/>
  <c r="D327" i="24" s="1"/>
  <c r="D328" i="24" s="1"/>
  <c r="D329" i="24" s="1"/>
  <c r="D330" i="24" s="1"/>
  <c r="D331" i="24" s="1"/>
  <c r="D332" i="24" s="1"/>
  <c r="D333" i="24" s="1"/>
  <c r="D334" i="24" s="1"/>
  <c r="D335" i="24" s="1"/>
  <c r="D336" i="24" s="1"/>
  <c r="D337" i="24" s="1"/>
  <c r="D338" i="24" s="1"/>
  <c r="D339" i="24" s="1"/>
  <c r="D340" i="24" s="1"/>
  <c r="D341" i="24" s="1"/>
  <c r="D342" i="24" s="1"/>
  <c r="D343" i="24" s="1"/>
  <c r="D344" i="24" s="1"/>
  <c r="D345" i="24" s="1"/>
  <c r="D346" i="24" s="1"/>
  <c r="D347" i="24" s="1"/>
  <c r="D348" i="24" s="1"/>
  <c r="D349" i="24" s="1"/>
  <c r="D350" i="24" s="1"/>
  <c r="D351" i="24" s="1"/>
  <c r="D352" i="24" s="1"/>
  <c r="D353" i="24" s="1"/>
  <c r="D354" i="24" s="1"/>
  <c r="D355" i="24" s="1"/>
  <c r="D356" i="24" s="1"/>
  <c r="D357" i="24" s="1"/>
  <c r="D358" i="24" s="1"/>
  <c r="D359" i="24" s="1"/>
  <c r="D360" i="24" s="1"/>
  <c r="D361" i="24" s="1"/>
  <c r="D362" i="24" s="1"/>
  <c r="D363" i="24" s="1"/>
  <c r="D364" i="24" s="1"/>
  <c r="D365" i="24" s="1"/>
  <c r="D366" i="24" s="1"/>
  <c r="D367" i="24" s="1"/>
  <c r="D368" i="24" s="1"/>
  <c r="D369" i="24" s="1"/>
  <c r="D370" i="24" s="1"/>
  <c r="D371" i="24" s="1"/>
  <c r="D372" i="24" s="1"/>
  <c r="D373" i="24" s="1"/>
  <c r="D374" i="24" s="1"/>
  <c r="D375" i="24" s="1"/>
  <c r="D376" i="24" s="1"/>
  <c r="D377" i="24" s="1"/>
  <c r="D378" i="24" s="1"/>
  <c r="D379" i="24" s="1"/>
  <c r="D380" i="24" s="1"/>
  <c r="D381" i="24" s="1"/>
  <c r="D382" i="24" s="1"/>
  <c r="D383" i="24" s="1"/>
  <c r="D384" i="24" s="1"/>
  <c r="D385" i="24" s="1"/>
  <c r="D386" i="24" s="1"/>
  <c r="D387" i="24" s="1"/>
  <c r="D388" i="24" s="1"/>
  <c r="D389" i="24" s="1"/>
  <c r="D390" i="24" s="1"/>
  <c r="D391" i="24" s="1"/>
  <c r="D392" i="24" s="1"/>
  <c r="D393" i="24" s="1"/>
  <c r="D394" i="24" s="1"/>
  <c r="D395" i="24" s="1"/>
  <c r="D396" i="24" s="1"/>
  <c r="D397" i="24" s="1"/>
  <c r="D398" i="24" s="1"/>
  <c r="D399" i="24" s="1"/>
  <c r="D400" i="24" s="1"/>
  <c r="D401" i="24" s="1"/>
  <c r="D402" i="24" s="1"/>
  <c r="D403" i="24" s="1"/>
  <c r="D404" i="24" s="1"/>
  <c r="D405" i="24" s="1"/>
  <c r="D406" i="24" s="1"/>
  <c r="D407" i="24" s="1"/>
  <c r="D408" i="24" s="1"/>
  <c r="D409" i="24" s="1"/>
  <c r="D410" i="24" s="1"/>
  <c r="D411" i="24" s="1"/>
  <c r="D412" i="24" s="1"/>
  <c r="D413" i="24" s="1"/>
  <c r="D414" i="24" s="1"/>
  <c r="D415" i="24" s="1"/>
  <c r="D416" i="24" s="1"/>
  <c r="D417" i="24" s="1"/>
  <c r="D418" i="24" s="1"/>
  <c r="D419" i="24" s="1"/>
  <c r="D420" i="24" s="1"/>
  <c r="D421" i="24" s="1"/>
  <c r="D422" i="24" s="1"/>
  <c r="D423" i="24" s="1"/>
  <c r="D424" i="24" s="1"/>
  <c r="D425" i="24" s="1"/>
  <c r="D426" i="24" s="1"/>
  <c r="D427" i="24" s="1"/>
  <c r="D428" i="24" s="1"/>
  <c r="D429" i="24" s="1"/>
  <c r="D430" i="24" s="1"/>
  <c r="D431" i="24" s="1"/>
  <c r="D432" i="24" s="1"/>
  <c r="D433" i="24" s="1"/>
  <c r="D434" i="24" s="1"/>
  <c r="D435" i="24" s="1"/>
  <c r="D436" i="24" s="1"/>
  <c r="D437" i="24" s="1"/>
  <c r="D438" i="24" s="1"/>
  <c r="D439" i="24" s="1"/>
  <c r="D440" i="24" s="1"/>
  <c r="D441" i="24" s="1"/>
  <c r="D442" i="24" s="1"/>
  <c r="D443" i="24" s="1"/>
  <c r="D444" i="24" s="1"/>
  <c r="D445" i="24" s="1"/>
  <c r="D446" i="24" s="1"/>
  <c r="D447" i="24" s="1"/>
  <c r="D448" i="24" s="1"/>
  <c r="D449" i="24" s="1"/>
  <c r="D450" i="24" s="1"/>
  <c r="D451" i="24" s="1"/>
  <c r="D452" i="24" s="1"/>
  <c r="D453" i="24" s="1"/>
  <c r="D454" i="24" s="1"/>
  <c r="D455" i="24" s="1"/>
  <c r="D456" i="24" s="1"/>
  <c r="D457" i="24" s="1"/>
  <c r="D458" i="24" s="1"/>
  <c r="D459" i="24" s="1"/>
  <c r="D460" i="24" s="1"/>
  <c r="D461" i="24" s="1"/>
  <c r="D462" i="24" s="1"/>
  <c r="D463" i="24" s="1"/>
  <c r="D464" i="24" s="1"/>
  <c r="D465" i="24" s="1"/>
  <c r="D466" i="24" s="1"/>
  <c r="D467" i="24" s="1"/>
  <c r="D468" i="24" s="1"/>
  <c r="D469" i="24" s="1"/>
  <c r="D470" i="24" s="1"/>
  <c r="D471" i="24" s="1"/>
  <c r="D472" i="24" s="1"/>
  <c r="D473" i="24" s="1"/>
  <c r="D474" i="24" s="1"/>
  <c r="D475" i="24" s="1"/>
  <c r="D476" i="24" s="1"/>
  <c r="D477" i="24" s="1"/>
  <c r="D478" i="24" s="1"/>
  <c r="D479" i="24" s="1"/>
  <c r="D480" i="24" s="1"/>
  <c r="D481" i="24" s="1"/>
  <c r="D482" i="24" s="1"/>
  <c r="D483" i="24" s="1"/>
  <c r="D484" i="24" s="1"/>
  <c r="D485" i="24" s="1"/>
  <c r="D486" i="24" s="1"/>
  <c r="D487" i="24" s="1"/>
  <c r="D488" i="24" s="1"/>
  <c r="D489" i="24" s="1"/>
  <c r="D490" i="24" s="1"/>
  <c r="D491" i="24" s="1"/>
  <c r="D492" i="24" s="1"/>
  <c r="D493" i="24" s="1"/>
  <c r="D494" i="24" s="1"/>
  <c r="D495" i="24" s="1"/>
  <c r="D496" i="24" s="1"/>
  <c r="D497" i="24" s="1"/>
  <c r="D498" i="24" s="1"/>
  <c r="D499" i="24" s="1"/>
  <c r="D500" i="24" s="1"/>
  <c r="D501" i="24" s="1"/>
  <c r="D502" i="24" s="1"/>
  <c r="D503" i="24" s="1"/>
  <c r="D504" i="24" s="1"/>
  <c r="D505" i="24" s="1"/>
  <c r="D506" i="24" s="1"/>
  <c r="D507" i="24" s="1"/>
  <c r="D508" i="24" s="1"/>
  <c r="D509" i="24" s="1"/>
  <c r="D510" i="24" s="1"/>
  <c r="D511" i="24" s="1"/>
  <c r="D512" i="24" s="1"/>
  <c r="D513" i="24" s="1"/>
  <c r="D514" i="24" s="1"/>
  <c r="D515" i="24" s="1"/>
  <c r="D516" i="24" s="1"/>
  <c r="D517" i="24" s="1"/>
  <c r="D518" i="24" s="1"/>
  <c r="D519" i="24" s="1"/>
  <c r="D520" i="24" s="1"/>
  <c r="D521" i="24" s="1"/>
  <c r="D522" i="24" s="1"/>
  <c r="D523" i="24" s="1"/>
  <c r="D524" i="24" s="1"/>
  <c r="D525" i="24" s="1"/>
  <c r="D526" i="24" s="1"/>
  <c r="D527" i="24" s="1"/>
  <c r="D528" i="24" s="1"/>
  <c r="D529" i="24" s="1"/>
  <c r="D530" i="24" s="1"/>
  <c r="D531" i="24" s="1"/>
  <c r="D532" i="24" s="1"/>
  <c r="D533" i="24" s="1"/>
  <c r="D534" i="24" s="1"/>
  <c r="D535" i="24" s="1"/>
  <c r="D536" i="24" s="1"/>
  <c r="D537" i="24" s="1"/>
  <c r="D538" i="24" s="1"/>
  <c r="D539" i="24" s="1"/>
  <c r="D540" i="24" s="1"/>
  <c r="D541" i="24" s="1"/>
  <c r="D542" i="24" s="1"/>
  <c r="D543" i="24" s="1"/>
  <c r="D544" i="24" s="1"/>
  <c r="D545" i="24" s="1"/>
  <c r="D546" i="24" s="1"/>
  <c r="D547" i="24" s="1"/>
  <c r="D548" i="24" s="1"/>
  <c r="D549" i="24" s="1"/>
  <c r="D550" i="24" s="1"/>
  <c r="D551" i="24" s="1"/>
  <c r="D552" i="24" s="1"/>
  <c r="D553" i="24" s="1"/>
  <c r="D554" i="24" s="1"/>
  <c r="D555" i="24" s="1"/>
  <c r="D556" i="24" s="1"/>
  <c r="D557" i="24" s="1"/>
  <c r="D558" i="24" s="1"/>
  <c r="D559" i="24" s="1"/>
  <c r="D560" i="24" s="1"/>
  <c r="D561" i="24" s="1"/>
  <c r="D562" i="24" s="1"/>
  <c r="D563" i="24" s="1"/>
  <c r="D564" i="24" s="1"/>
  <c r="D565" i="24" s="1"/>
  <c r="D566" i="24" s="1"/>
  <c r="D567" i="24" s="1"/>
  <c r="D568" i="24" s="1"/>
  <c r="D569" i="24" s="1"/>
  <c r="D570" i="24" s="1"/>
  <c r="D571" i="24" s="1"/>
  <c r="D572" i="24" s="1"/>
  <c r="D573" i="24" s="1"/>
  <c r="D574" i="24" s="1"/>
  <c r="D575" i="24" s="1"/>
  <c r="D576" i="24" s="1"/>
  <c r="D577" i="24" s="1"/>
  <c r="D578" i="24" s="1"/>
  <c r="D579" i="24" s="1"/>
  <c r="D580" i="24" s="1"/>
  <c r="D581" i="24" s="1"/>
  <c r="D582" i="24" s="1"/>
  <c r="D583" i="24" s="1"/>
  <c r="D584" i="24" s="1"/>
  <c r="D585" i="24" s="1"/>
  <c r="D586" i="24" s="1"/>
  <c r="D587" i="24" s="1"/>
  <c r="D588" i="24" s="1"/>
  <c r="D589" i="24" s="1"/>
  <c r="D590" i="24" s="1"/>
  <c r="D591" i="24" s="1"/>
  <c r="D592" i="24" s="1"/>
  <c r="D593" i="24" s="1"/>
  <c r="D594" i="24" s="1"/>
  <c r="D595" i="24" s="1"/>
  <c r="D596" i="24" s="1"/>
  <c r="D597" i="24" s="1"/>
  <c r="D598" i="24" s="1"/>
  <c r="D599" i="24" s="1"/>
  <c r="D600" i="24" s="1"/>
  <c r="D601" i="24" s="1"/>
  <c r="D602" i="24" s="1"/>
  <c r="D603" i="24" s="1"/>
  <c r="D604" i="24" s="1"/>
  <c r="D605" i="24" s="1"/>
  <c r="D606" i="24" s="1"/>
  <c r="D607" i="24" s="1"/>
  <c r="D608" i="24" s="1"/>
  <c r="D609" i="24" s="1"/>
  <c r="D610" i="24" s="1"/>
  <c r="D611" i="24" s="1"/>
  <c r="D612" i="24" s="1"/>
  <c r="D613" i="24" s="1"/>
  <c r="D614" i="24" s="1"/>
  <c r="D615" i="24" s="1"/>
  <c r="D616" i="24" s="1"/>
  <c r="D617" i="24" s="1"/>
  <c r="D618" i="24" s="1"/>
  <c r="D619" i="24" s="1"/>
  <c r="D620" i="24" s="1"/>
  <c r="D621" i="24" s="1"/>
  <c r="D622" i="24" s="1"/>
  <c r="D623" i="24" s="1"/>
  <c r="D624" i="24" s="1"/>
  <c r="D625" i="24" s="1"/>
  <c r="D626" i="24" s="1"/>
  <c r="D627" i="24" s="1"/>
  <c r="D628" i="24" s="1"/>
  <c r="D629" i="24" s="1"/>
  <c r="D630" i="24" s="1"/>
  <c r="D631" i="24" s="1"/>
  <c r="D632" i="24" s="1"/>
  <c r="D633" i="24" s="1"/>
  <c r="D634" i="24" s="1"/>
  <c r="D635" i="24" s="1"/>
  <c r="D636" i="24" s="1"/>
  <c r="D637" i="24" s="1"/>
  <c r="D638" i="24" s="1"/>
  <c r="D639" i="24" s="1"/>
  <c r="D640" i="24" s="1"/>
  <c r="D641" i="24" s="1"/>
  <c r="D642" i="24" s="1"/>
  <c r="D643" i="24" s="1"/>
  <c r="D644" i="24" s="1"/>
  <c r="D645" i="24" s="1"/>
  <c r="D646" i="24" s="1"/>
  <c r="D647" i="24" s="1"/>
  <c r="D648" i="24" s="1"/>
  <c r="D649" i="24" s="1"/>
  <c r="D650" i="24" s="1"/>
  <c r="D651" i="24" s="1"/>
  <c r="D652" i="24" s="1"/>
  <c r="D653" i="24" s="1"/>
  <c r="D654" i="24" s="1"/>
  <c r="D655" i="24" s="1"/>
  <c r="D656" i="24" s="1"/>
  <c r="D657" i="24" s="1"/>
  <c r="D658" i="24" s="1"/>
  <c r="D659" i="24" s="1"/>
  <c r="D660" i="24" s="1"/>
  <c r="D661" i="24" s="1"/>
  <c r="D662" i="24" s="1"/>
  <c r="D663" i="24" s="1"/>
  <c r="D664" i="24" s="1"/>
  <c r="D665" i="24" s="1"/>
  <c r="D666" i="24" s="1"/>
  <c r="D667" i="24" s="1"/>
  <c r="D668" i="24" s="1"/>
  <c r="D669" i="24" s="1"/>
  <c r="D670" i="24" s="1"/>
  <c r="D671" i="24" s="1"/>
  <c r="D672" i="24" s="1"/>
  <c r="D673" i="24" s="1"/>
  <c r="D674" i="24" s="1"/>
  <c r="D675" i="24" s="1"/>
  <c r="D676" i="24" s="1"/>
  <c r="D677" i="24" s="1"/>
  <c r="D678" i="24" s="1"/>
  <c r="D679" i="24" s="1"/>
  <c r="D680" i="24" s="1"/>
  <c r="D681" i="24" s="1"/>
  <c r="D682" i="24" s="1"/>
  <c r="D683" i="24" s="1"/>
  <c r="D684" i="24" s="1"/>
  <c r="D685" i="24" s="1"/>
  <c r="D686" i="24" s="1"/>
  <c r="D687" i="24" s="1"/>
  <c r="D688" i="24" s="1"/>
  <c r="D689" i="24" s="1"/>
  <c r="D690" i="24" s="1"/>
  <c r="D691" i="24" s="1"/>
  <c r="D692" i="24" s="1"/>
  <c r="D693" i="24" s="1"/>
  <c r="D694" i="24" s="1"/>
  <c r="D695" i="24" s="1"/>
  <c r="D696" i="24" s="1"/>
  <c r="D697" i="24" s="1"/>
  <c r="D698" i="24" s="1"/>
  <c r="D699" i="24" s="1"/>
  <c r="D700" i="24" s="1"/>
  <c r="D701" i="24" s="1"/>
  <c r="D702" i="24" s="1"/>
  <c r="D703" i="24" s="1"/>
  <c r="D704" i="24" s="1"/>
  <c r="D705" i="24" s="1"/>
  <c r="D706" i="24" s="1"/>
  <c r="D707" i="24" s="1"/>
  <c r="D708" i="24" s="1"/>
  <c r="D709" i="24" s="1"/>
  <c r="D710" i="24" s="1"/>
  <c r="D711" i="24" s="1"/>
  <c r="D712" i="24" s="1"/>
  <c r="D713" i="24" s="1"/>
  <c r="D714" i="24" s="1"/>
  <c r="D715" i="24" s="1"/>
  <c r="D716" i="24" s="1"/>
  <c r="D717" i="24" s="1"/>
  <c r="D718" i="24" s="1"/>
  <c r="D719" i="24" s="1"/>
  <c r="D720" i="24" s="1"/>
  <c r="D721" i="24" s="1"/>
  <c r="D722" i="24" s="1"/>
  <c r="D723" i="24" s="1"/>
  <c r="D724" i="24" s="1"/>
  <c r="D725" i="24" s="1"/>
  <c r="D726" i="24" s="1"/>
  <c r="D727" i="24" s="1"/>
  <c r="D728" i="24" s="1"/>
  <c r="D729" i="24" s="1"/>
  <c r="D730" i="24" s="1"/>
  <c r="D731" i="24" s="1"/>
  <c r="D732" i="24" s="1"/>
  <c r="D733" i="24" s="1"/>
  <c r="D734" i="24" s="1"/>
  <c r="D735" i="24" s="1"/>
  <c r="D736" i="24" s="1"/>
  <c r="D737" i="24" s="1"/>
  <c r="D738" i="24" s="1"/>
  <c r="D739" i="24" s="1"/>
  <c r="D740" i="24" s="1"/>
  <c r="D741" i="24" s="1"/>
  <c r="D742" i="24" s="1"/>
  <c r="D743" i="24" s="1"/>
  <c r="D744" i="24" s="1"/>
  <c r="D745" i="24" s="1"/>
  <c r="D746" i="24" s="1"/>
  <c r="D747" i="24" s="1"/>
  <c r="D748" i="24" s="1"/>
  <c r="D749" i="24" s="1"/>
  <c r="D750" i="24" s="1"/>
  <c r="D751" i="24" s="1"/>
  <c r="D752" i="24" s="1"/>
  <c r="D753" i="24" s="1"/>
  <c r="D754" i="24" s="1"/>
  <c r="D755" i="24" s="1"/>
  <c r="D756" i="24" s="1"/>
  <c r="D757" i="24" s="1"/>
  <c r="D758" i="24" s="1"/>
  <c r="D759" i="24" s="1"/>
  <c r="D760" i="24" s="1"/>
  <c r="D761" i="24" s="1"/>
  <c r="D762" i="24" s="1"/>
  <c r="D763" i="24" s="1"/>
  <c r="D764" i="24" s="1"/>
  <c r="D765" i="24" s="1"/>
  <c r="D766" i="24" s="1"/>
  <c r="D767" i="24" s="1"/>
  <c r="D768" i="24" s="1"/>
  <c r="D769" i="24" s="1"/>
  <c r="D770" i="24" s="1"/>
  <c r="D771" i="24" s="1"/>
  <c r="D772" i="24" s="1"/>
  <c r="H1" i="24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G469" i="24" s="1"/>
  <c r="G470" i="24" s="1"/>
  <c r="G471" i="24" s="1"/>
  <c r="G472" i="24" s="1"/>
  <c r="G473" i="24" s="1"/>
  <c r="G474" i="24" s="1"/>
  <c r="G475" i="24" s="1"/>
  <c r="G476" i="24" s="1"/>
  <c r="G477" i="24" s="1"/>
  <c r="G478" i="24" s="1"/>
  <c r="G479" i="24" s="1"/>
  <c r="G480" i="24" s="1"/>
  <c r="G481" i="24" s="1"/>
  <c r="G482" i="24" s="1"/>
  <c r="G483" i="24" s="1"/>
  <c r="G484" i="24" s="1"/>
  <c r="G485" i="24" s="1"/>
  <c r="G486" i="24" s="1"/>
  <c r="G487" i="24" s="1"/>
  <c r="G488" i="24" s="1"/>
  <c r="G489" i="24" s="1"/>
  <c r="G490" i="24" s="1"/>
  <c r="G491" i="24" s="1"/>
  <c r="G492" i="24" s="1"/>
  <c r="G493" i="24" s="1"/>
  <c r="G494" i="24" s="1"/>
  <c r="G495" i="24" s="1"/>
  <c r="G496" i="24" s="1"/>
  <c r="G497" i="24" s="1"/>
  <c r="G498" i="24" s="1"/>
  <c r="G499" i="24" s="1"/>
  <c r="G500" i="24" s="1"/>
  <c r="G501" i="24" s="1"/>
  <c r="G502" i="24" s="1"/>
  <c r="G503" i="24" s="1"/>
  <c r="G504" i="24" s="1"/>
  <c r="G505" i="24" s="1"/>
  <c r="G506" i="24" s="1"/>
  <c r="G507" i="24" s="1"/>
  <c r="G508" i="24" s="1"/>
  <c r="G509" i="24" s="1"/>
  <c r="G510" i="24" s="1"/>
  <c r="G511" i="24" s="1"/>
  <c r="G512" i="24" s="1"/>
  <c r="G513" i="24" s="1"/>
  <c r="G514" i="24" s="1"/>
  <c r="G515" i="24" s="1"/>
  <c r="G516" i="24" s="1"/>
  <c r="G517" i="24" s="1"/>
  <c r="G518" i="24" s="1"/>
  <c r="G519" i="24" s="1"/>
  <c r="G520" i="24" s="1"/>
  <c r="G521" i="24" s="1"/>
  <c r="G522" i="24" s="1"/>
  <c r="G523" i="24" s="1"/>
  <c r="G524" i="24" s="1"/>
  <c r="G525" i="24" s="1"/>
  <c r="G526" i="24" s="1"/>
  <c r="G527" i="24" s="1"/>
  <c r="G528" i="24" s="1"/>
  <c r="G529" i="24" s="1"/>
  <c r="G530" i="24" s="1"/>
  <c r="G531" i="24" s="1"/>
  <c r="G532" i="24" s="1"/>
  <c r="G533" i="24" s="1"/>
  <c r="G534" i="24" s="1"/>
  <c r="G535" i="24" s="1"/>
  <c r="G536" i="24" s="1"/>
  <c r="G537" i="24" s="1"/>
  <c r="G538" i="24" s="1"/>
  <c r="G539" i="24" s="1"/>
  <c r="G540" i="24" s="1"/>
  <c r="G541" i="24" s="1"/>
  <c r="G542" i="24" s="1"/>
  <c r="G543" i="24" s="1"/>
  <c r="G544" i="24" s="1"/>
  <c r="G545" i="24" s="1"/>
  <c r="G546" i="24" s="1"/>
  <c r="G547" i="24" s="1"/>
  <c r="G548" i="24" s="1"/>
  <c r="G549" i="24" s="1"/>
  <c r="G550" i="24" s="1"/>
  <c r="G551" i="24" s="1"/>
  <c r="G552" i="24" s="1"/>
  <c r="G553" i="24" s="1"/>
  <c r="G554" i="24" s="1"/>
  <c r="G555" i="24" s="1"/>
  <c r="G556" i="24" s="1"/>
  <c r="G557" i="24" s="1"/>
  <c r="G558" i="24" s="1"/>
  <c r="G559" i="24" s="1"/>
  <c r="G560" i="24" s="1"/>
  <c r="G561" i="24" s="1"/>
  <c r="G562" i="24" s="1"/>
  <c r="G563" i="24" s="1"/>
  <c r="G564" i="24" s="1"/>
  <c r="G565" i="24" s="1"/>
  <c r="G566" i="24" s="1"/>
  <c r="G567" i="24" s="1"/>
  <c r="G568" i="24" s="1"/>
  <c r="G569" i="24" s="1"/>
  <c r="G570" i="24" s="1"/>
  <c r="G571" i="24" s="1"/>
  <c r="G572" i="24" s="1"/>
  <c r="G573" i="24" s="1"/>
  <c r="G574" i="24" s="1"/>
  <c r="G575" i="24" s="1"/>
  <c r="G576" i="24" s="1"/>
  <c r="G577" i="24" s="1"/>
  <c r="G578" i="24" s="1"/>
  <c r="G579" i="24" s="1"/>
  <c r="G580" i="24" s="1"/>
  <c r="G581" i="24" s="1"/>
  <c r="G582" i="24" s="1"/>
  <c r="G583" i="24" s="1"/>
  <c r="G584" i="24" s="1"/>
  <c r="G585" i="24" s="1"/>
  <c r="G586" i="24" s="1"/>
  <c r="G587" i="24" s="1"/>
  <c r="G588" i="24" s="1"/>
  <c r="G589" i="24" s="1"/>
  <c r="G590" i="24" s="1"/>
  <c r="G591" i="24" s="1"/>
  <c r="G592" i="24" s="1"/>
  <c r="G593" i="24" s="1"/>
  <c r="G594" i="24" s="1"/>
  <c r="G595" i="24" s="1"/>
  <c r="G596" i="24" s="1"/>
  <c r="G597" i="24" s="1"/>
  <c r="G598" i="24" s="1"/>
  <c r="G599" i="24" s="1"/>
  <c r="G600" i="24" s="1"/>
  <c r="G601" i="24" s="1"/>
  <c r="G602" i="24" s="1"/>
  <c r="G603" i="24" s="1"/>
  <c r="G604" i="24" s="1"/>
  <c r="G605" i="24" s="1"/>
  <c r="G606" i="24" s="1"/>
  <c r="G607" i="24" s="1"/>
  <c r="G608" i="24" s="1"/>
  <c r="G609" i="24" s="1"/>
  <c r="G610" i="24" s="1"/>
  <c r="G611" i="24" s="1"/>
  <c r="G612" i="24" s="1"/>
  <c r="G613" i="24" s="1"/>
  <c r="G614" i="24" s="1"/>
  <c r="G615" i="24" s="1"/>
  <c r="G616" i="24" s="1"/>
  <c r="G617" i="24" s="1"/>
  <c r="G618" i="24" s="1"/>
  <c r="G619" i="24" s="1"/>
  <c r="G620" i="24" s="1"/>
  <c r="G621" i="24" s="1"/>
  <c r="G622" i="24" s="1"/>
  <c r="G623" i="24" s="1"/>
  <c r="G624" i="24" s="1"/>
  <c r="G625" i="24" s="1"/>
  <c r="G626" i="24" s="1"/>
  <c r="G627" i="24" s="1"/>
  <c r="G628" i="24" s="1"/>
  <c r="G629" i="24" s="1"/>
  <c r="G630" i="24" s="1"/>
  <c r="G631" i="24" s="1"/>
  <c r="G632" i="24" s="1"/>
  <c r="G633" i="24" s="1"/>
  <c r="G634" i="24" s="1"/>
  <c r="G635" i="24" s="1"/>
  <c r="G636" i="24" s="1"/>
  <c r="G637" i="24" s="1"/>
  <c r="G638" i="24" s="1"/>
  <c r="G639" i="24" s="1"/>
  <c r="G640" i="24" s="1"/>
  <c r="G641" i="24" s="1"/>
  <c r="G642" i="24" s="1"/>
  <c r="G643" i="24" s="1"/>
  <c r="G644" i="24" s="1"/>
  <c r="G645" i="24" s="1"/>
  <c r="G646" i="24" s="1"/>
  <c r="G647" i="24" s="1"/>
  <c r="G648" i="24" s="1"/>
  <c r="G649" i="24" s="1"/>
  <c r="G650" i="24" s="1"/>
  <c r="G651" i="24" s="1"/>
  <c r="G652" i="24" s="1"/>
  <c r="G653" i="24" s="1"/>
  <c r="G654" i="24" s="1"/>
  <c r="G655" i="24" s="1"/>
  <c r="G656" i="24" s="1"/>
  <c r="G657" i="24" s="1"/>
  <c r="G658" i="24" s="1"/>
  <c r="G659" i="24" s="1"/>
  <c r="G660" i="24" s="1"/>
  <c r="G661" i="24" s="1"/>
  <c r="G662" i="24" s="1"/>
  <c r="G663" i="24" s="1"/>
  <c r="G664" i="24" s="1"/>
  <c r="G665" i="24" s="1"/>
  <c r="G666" i="24" s="1"/>
  <c r="G667" i="24" s="1"/>
  <c r="G668" i="24" s="1"/>
  <c r="G669" i="24" s="1"/>
  <c r="G670" i="24" s="1"/>
  <c r="G671" i="24" s="1"/>
  <c r="G672" i="24" s="1"/>
  <c r="G673" i="24" s="1"/>
  <c r="G674" i="24" s="1"/>
  <c r="G675" i="24" s="1"/>
  <c r="G676" i="24" s="1"/>
  <c r="G677" i="24" s="1"/>
  <c r="G678" i="24" s="1"/>
  <c r="G679" i="24" s="1"/>
  <c r="G680" i="24" s="1"/>
  <c r="G681" i="24" s="1"/>
  <c r="G682" i="24" s="1"/>
  <c r="G683" i="24" s="1"/>
  <c r="G684" i="24" s="1"/>
  <c r="G685" i="24" s="1"/>
  <c r="G686" i="24" s="1"/>
  <c r="G687" i="24" s="1"/>
  <c r="G688" i="24" s="1"/>
  <c r="G689" i="24" s="1"/>
  <c r="G690" i="24" s="1"/>
  <c r="G691" i="24" s="1"/>
  <c r="G692" i="24" s="1"/>
  <c r="G693" i="24" s="1"/>
  <c r="G694" i="24" s="1"/>
  <c r="G695" i="24" s="1"/>
  <c r="G696" i="24" s="1"/>
  <c r="G697" i="24" s="1"/>
  <c r="G698" i="24" s="1"/>
  <c r="G699" i="24" s="1"/>
  <c r="G700" i="24" s="1"/>
  <c r="G701" i="24" s="1"/>
  <c r="G702" i="24" s="1"/>
  <c r="G703" i="24" s="1"/>
  <c r="G704" i="24" s="1"/>
  <c r="G705" i="24" s="1"/>
  <c r="G706" i="24" s="1"/>
  <c r="G707" i="24" s="1"/>
  <c r="G708" i="24" s="1"/>
  <c r="G709" i="24" s="1"/>
  <c r="G710" i="24" s="1"/>
  <c r="G711" i="24" s="1"/>
  <c r="G712" i="24" s="1"/>
  <c r="G713" i="24" s="1"/>
  <c r="G714" i="24" s="1"/>
  <c r="G715" i="24" s="1"/>
  <c r="G716" i="24" s="1"/>
  <c r="G717" i="24" s="1"/>
  <c r="G718" i="24" s="1"/>
  <c r="G719" i="24" s="1"/>
  <c r="G720" i="24" s="1"/>
  <c r="G721" i="24" s="1"/>
  <c r="G722" i="24" s="1"/>
  <c r="G723" i="24" s="1"/>
  <c r="G724" i="24" s="1"/>
  <c r="G725" i="24" s="1"/>
  <c r="G726" i="24" s="1"/>
  <c r="G727" i="24" s="1"/>
  <c r="G728" i="24" s="1"/>
  <c r="G729" i="24" s="1"/>
  <c r="G730" i="24" s="1"/>
  <c r="G731" i="24" s="1"/>
  <c r="G732" i="24" s="1"/>
  <c r="G733" i="24" s="1"/>
  <c r="G734" i="24" s="1"/>
  <c r="G735" i="24" s="1"/>
  <c r="G736" i="24" s="1"/>
  <c r="G737" i="24" s="1"/>
  <c r="G738" i="24" s="1"/>
  <c r="E1" i="24"/>
  <c r="E2" i="24"/>
  <c r="H2" i="24" s="1"/>
  <c r="D2" i="24"/>
  <c r="G2" i="24" s="1"/>
  <c r="A4" i="24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A224" i="24" s="1"/>
  <c r="A225" i="24" s="1"/>
  <c r="A226" i="24" s="1"/>
  <c r="A227" i="24" s="1"/>
  <c r="A228" i="24" s="1"/>
  <c r="A229" i="24" s="1"/>
  <c r="A230" i="24" s="1"/>
  <c r="A231" i="24" s="1"/>
  <c r="A232" i="24" s="1"/>
  <c r="A233" i="24" s="1"/>
  <c r="A234" i="24" s="1"/>
  <c r="A235" i="24" s="1"/>
  <c r="A236" i="24" s="1"/>
  <c r="A237" i="24" s="1"/>
  <c r="A238" i="24" s="1"/>
  <c r="A239" i="24" s="1"/>
  <c r="A240" i="24" s="1"/>
  <c r="A241" i="24" s="1"/>
  <c r="A242" i="24" s="1"/>
  <c r="A243" i="24" s="1"/>
  <c r="A244" i="24" s="1"/>
  <c r="A245" i="24" s="1"/>
  <c r="A246" i="24" s="1"/>
  <c r="A247" i="24" s="1"/>
  <c r="A248" i="24" s="1"/>
  <c r="A249" i="24" s="1"/>
  <c r="A250" i="24" s="1"/>
  <c r="A251" i="24" s="1"/>
  <c r="A252" i="24" s="1"/>
  <c r="A253" i="24" s="1"/>
  <c r="A254" i="24" s="1"/>
  <c r="A255" i="24" s="1"/>
  <c r="A256" i="24" s="1"/>
  <c r="A257" i="24" s="1"/>
  <c r="A258" i="24" s="1"/>
  <c r="A259" i="24" s="1"/>
  <c r="A260" i="24" s="1"/>
  <c r="A261" i="24" s="1"/>
  <c r="A262" i="24" s="1"/>
  <c r="A263" i="24" s="1"/>
  <c r="A264" i="24" s="1"/>
  <c r="A265" i="24" s="1"/>
  <c r="A266" i="24" s="1"/>
  <c r="A267" i="24" s="1"/>
  <c r="A268" i="24" s="1"/>
  <c r="A269" i="24" s="1"/>
  <c r="A270" i="24" s="1"/>
  <c r="A271" i="24" s="1"/>
  <c r="A272" i="24" s="1"/>
  <c r="A273" i="24" s="1"/>
  <c r="A274" i="24" s="1"/>
  <c r="A275" i="24" s="1"/>
  <c r="A276" i="24" s="1"/>
  <c r="A277" i="24" s="1"/>
  <c r="A278" i="24" s="1"/>
  <c r="A279" i="24" s="1"/>
  <c r="A280" i="24" s="1"/>
  <c r="A281" i="24" s="1"/>
  <c r="A282" i="24" s="1"/>
  <c r="A283" i="24" s="1"/>
  <c r="A284" i="24" s="1"/>
  <c r="A285" i="24" s="1"/>
  <c r="A286" i="24" s="1"/>
  <c r="A287" i="24" s="1"/>
  <c r="A288" i="24" s="1"/>
  <c r="A289" i="24" s="1"/>
  <c r="A290" i="24" s="1"/>
  <c r="A291" i="24" s="1"/>
  <c r="A292" i="24" s="1"/>
  <c r="A293" i="24" s="1"/>
  <c r="A294" i="24" s="1"/>
  <c r="A295" i="24" s="1"/>
  <c r="A296" i="24" s="1"/>
  <c r="A297" i="24" s="1"/>
  <c r="A298" i="24" s="1"/>
  <c r="A299" i="24" s="1"/>
  <c r="A300" i="24" s="1"/>
  <c r="A301" i="24" s="1"/>
  <c r="A302" i="24" s="1"/>
  <c r="A303" i="24" s="1"/>
  <c r="A304" i="24" s="1"/>
  <c r="A305" i="24" s="1"/>
  <c r="A306" i="24" s="1"/>
  <c r="A307" i="24" s="1"/>
  <c r="A308" i="24" s="1"/>
  <c r="A309" i="24" s="1"/>
  <c r="A310" i="24" s="1"/>
  <c r="A311" i="24" s="1"/>
  <c r="A312" i="24" s="1"/>
  <c r="A313" i="24" s="1"/>
  <c r="A314" i="24" s="1"/>
  <c r="A315" i="24" s="1"/>
  <c r="A316" i="24" s="1"/>
  <c r="A317" i="24" s="1"/>
  <c r="A318" i="24" s="1"/>
  <c r="A319" i="24" s="1"/>
  <c r="A320" i="24" s="1"/>
  <c r="A321" i="24" s="1"/>
  <c r="A322" i="24" s="1"/>
  <c r="A323" i="24" s="1"/>
  <c r="A324" i="24" s="1"/>
  <c r="A325" i="24" s="1"/>
  <c r="A326" i="24" s="1"/>
  <c r="A327" i="24" s="1"/>
  <c r="A328" i="24" s="1"/>
  <c r="A329" i="24" s="1"/>
  <c r="A330" i="24" s="1"/>
  <c r="A331" i="24" s="1"/>
  <c r="A332" i="24" s="1"/>
  <c r="A333" i="24" s="1"/>
  <c r="A334" i="24" s="1"/>
  <c r="A335" i="24" s="1"/>
  <c r="A336" i="24" s="1"/>
  <c r="A337" i="24" s="1"/>
  <c r="A338" i="24" s="1"/>
  <c r="A339" i="24" s="1"/>
  <c r="A340" i="24" s="1"/>
  <c r="A341" i="24" s="1"/>
  <c r="A342" i="24" s="1"/>
  <c r="A343" i="24" s="1"/>
  <c r="A344" i="24" s="1"/>
  <c r="A345" i="24" s="1"/>
  <c r="A346" i="24" s="1"/>
  <c r="A347" i="24" s="1"/>
  <c r="A348" i="24" s="1"/>
  <c r="A349" i="24" s="1"/>
  <c r="A350" i="24" s="1"/>
  <c r="A351" i="24" s="1"/>
  <c r="A352" i="24" s="1"/>
  <c r="A353" i="24" s="1"/>
  <c r="A354" i="24" s="1"/>
  <c r="A355" i="24" s="1"/>
  <c r="A356" i="24" s="1"/>
  <c r="A357" i="24" s="1"/>
  <c r="A358" i="24" s="1"/>
  <c r="A359" i="24" s="1"/>
  <c r="A360" i="24" s="1"/>
  <c r="A361" i="24" s="1"/>
  <c r="A362" i="24" s="1"/>
  <c r="A363" i="24" s="1"/>
  <c r="A364" i="24" s="1"/>
  <c r="A365" i="24" s="1"/>
  <c r="A366" i="24" s="1"/>
  <c r="A367" i="24" s="1"/>
  <c r="A368" i="24" s="1"/>
  <c r="A369" i="24" s="1"/>
  <c r="A370" i="24" s="1"/>
  <c r="A371" i="24" s="1"/>
  <c r="A372" i="24" s="1"/>
  <c r="A373" i="24" s="1"/>
  <c r="A374" i="24" s="1"/>
  <c r="A375" i="24" s="1"/>
  <c r="A376" i="24" s="1"/>
  <c r="A377" i="24" s="1"/>
  <c r="A378" i="24" s="1"/>
  <c r="A379" i="24" s="1"/>
  <c r="A380" i="24" s="1"/>
  <c r="A381" i="24" s="1"/>
  <c r="A382" i="24" s="1"/>
  <c r="A383" i="24" s="1"/>
  <c r="A384" i="24" s="1"/>
  <c r="A385" i="24" s="1"/>
  <c r="A386" i="24" s="1"/>
  <c r="A387" i="24" s="1"/>
  <c r="A388" i="24" s="1"/>
  <c r="A389" i="24" s="1"/>
  <c r="A390" i="24" s="1"/>
  <c r="A391" i="24" s="1"/>
  <c r="A392" i="24" s="1"/>
  <c r="A393" i="24" s="1"/>
  <c r="A394" i="24" s="1"/>
  <c r="A395" i="24" s="1"/>
  <c r="A396" i="24" s="1"/>
  <c r="A397" i="24" s="1"/>
  <c r="A398" i="24" s="1"/>
  <c r="A399" i="24" s="1"/>
  <c r="A400" i="24" s="1"/>
  <c r="A401" i="24" s="1"/>
  <c r="A402" i="24" s="1"/>
  <c r="A403" i="24" s="1"/>
  <c r="A404" i="24" s="1"/>
  <c r="A405" i="24" s="1"/>
  <c r="A406" i="24" s="1"/>
  <c r="A407" i="24" s="1"/>
  <c r="A408" i="24" s="1"/>
  <c r="A409" i="24" s="1"/>
  <c r="A410" i="24" s="1"/>
  <c r="A411" i="24" s="1"/>
  <c r="A412" i="24" s="1"/>
  <c r="A413" i="24" s="1"/>
  <c r="A414" i="24" s="1"/>
  <c r="A415" i="24" s="1"/>
  <c r="A416" i="24" s="1"/>
  <c r="A417" i="24" s="1"/>
  <c r="A418" i="24" s="1"/>
  <c r="A419" i="24" s="1"/>
  <c r="A420" i="24" s="1"/>
  <c r="A421" i="24" s="1"/>
  <c r="A422" i="24" s="1"/>
  <c r="A423" i="24" s="1"/>
  <c r="A424" i="24" s="1"/>
  <c r="A425" i="24" s="1"/>
  <c r="A426" i="24" s="1"/>
  <c r="A427" i="24" s="1"/>
  <c r="A428" i="24" s="1"/>
  <c r="A429" i="24" s="1"/>
  <c r="A430" i="24" s="1"/>
  <c r="A431" i="24" s="1"/>
  <c r="A432" i="24" s="1"/>
  <c r="A433" i="24" s="1"/>
  <c r="A434" i="24" s="1"/>
  <c r="A435" i="24" s="1"/>
  <c r="A436" i="24" s="1"/>
  <c r="A437" i="24" s="1"/>
  <c r="A438" i="24" s="1"/>
  <c r="A439" i="24" s="1"/>
  <c r="A440" i="24" s="1"/>
  <c r="A441" i="24" s="1"/>
  <c r="A442" i="24" s="1"/>
  <c r="A443" i="24" s="1"/>
  <c r="A444" i="24" s="1"/>
  <c r="A445" i="24" s="1"/>
  <c r="A446" i="24" s="1"/>
  <c r="A447" i="24" s="1"/>
  <c r="A448" i="24" s="1"/>
  <c r="A449" i="24" s="1"/>
  <c r="A450" i="24" s="1"/>
  <c r="A451" i="24" s="1"/>
  <c r="A452" i="24" s="1"/>
  <c r="A453" i="24" s="1"/>
  <c r="A454" i="24" s="1"/>
  <c r="A455" i="24" s="1"/>
  <c r="A456" i="24" s="1"/>
  <c r="A457" i="24" s="1"/>
  <c r="A458" i="24" s="1"/>
  <c r="A459" i="24" s="1"/>
  <c r="A460" i="24" s="1"/>
  <c r="A461" i="24" s="1"/>
  <c r="A462" i="24" s="1"/>
  <c r="A463" i="24" s="1"/>
  <c r="A464" i="24" s="1"/>
  <c r="A465" i="24" s="1"/>
  <c r="A466" i="24" s="1"/>
  <c r="A467" i="24" s="1"/>
  <c r="A468" i="24" s="1"/>
  <c r="A469" i="24" s="1"/>
  <c r="A470" i="24" s="1"/>
  <c r="A471" i="24" s="1"/>
  <c r="A472" i="24" s="1"/>
  <c r="A473" i="24" s="1"/>
  <c r="A474" i="24" s="1"/>
  <c r="A475" i="24" s="1"/>
  <c r="A476" i="24" s="1"/>
  <c r="A477" i="24" s="1"/>
  <c r="A478" i="24" s="1"/>
  <c r="A479" i="24" s="1"/>
  <c r="A480" i="24" s="1"/>
  <c r="A481" i="24" s="1"/>
  <c r="A482" i="24" s="1"/>
  <c r="A483" i="24" s="1"/>
  <c r="A484" i="24" s="1"/>
  <c r="A485" i="24" s="1"/>
  <c r="A486" i="24" s="1"/>
  <c r="A487" i="24" s="1"/>
  <c r="A488" i="24" s="1"/>
  <c r="A489" i="24" s="1"/>
  <c r="A490" i="24" s="1"/>
  <c r="A491" i="24" s="1"/>
  <c r="A492" i="24" s="1"/>
  <c r="A493" i="24" s="1"/>
  <c r="A494" i="24" s="1"/>
  <c r="A495" i="24" s="1"/>
  <c r="A496" i="24" s="1"/>
  <c r="A497" i="24" s="1"/>
  <c r="A498" i="24" s="1"/>
  <c r="A499" i="24" s="1"/>
  <c r="A500" i="24" s="1"/>
  <c r="A501" i="24" s="1"/>
  <c r="A502" i="24" s="1"/>
  <c r="A503" i="24" s="1"/>
  <c r="A504" i="24" s="1"/>
  <c r="A505" i="24" s="1"/>
  <c r="A506" i="24" s="1"/>
  <c r="A507" i="24" s="1"/>
  <c r="A508" i="24" s="1"/>
  <c r="A509" i="24" s="1"/>
  <c r="A510" i="24" s="1"/>
  <c r="A511" i="24" s="1"/>
  <c r="A512" i="24" s="1"/>
  <c r="A513" i="24" s="1"/>
  <c r="A514" i="24" s="1"/>
  <c r="A515" i="24" s="1"/>
  <c r="A516" i="24" s="1"/>
  <c r="A517" i="24" s="1"/>
  <c r="A518" i="24" s="1"/>
  <c r="A519" i="24" s="1"/>
  <c r="A520" i="24" s="1"/>
  <c r="A521" i="24" s="1"/>
  <c r="A522" i="24" s="1"/>
  <c r="A523" i="24" s="1"/>
  <c r="A524" i="24" s="1"/>
  <c r="A525" i="24" s="1"/>
  <c r="A526" i="24" s="1"/>
  <c r="A527" i="24" s="1"/>
  <c r="A528" i="24" s="1"/>
  <c r="A529" i="24" s="1"/>
  <c r="A530" i="24" s="1"/>
  <c r="A531" i="24" s="1"/>
  <c r="A532" i="24" s="1"/>
  <c r="A533" i="24" s="1"/>
  <c r="A534" i="24" s="1"/>
  <c r="A535" i="24" s="1"/>
  <c r="A536" i="24" s="1"/>
  <c r="A537" i="24" s="1"/>
  <c r="A538" i="24" s="1"/>
  <c r="A539" i="24" s="1"/>
  <c r="A540" i="24" s="1"/>
  <c r="A541" i="24" s="1"/>
  <c r="A542" i="24" s="1"/>
  <c r="A543" i="24" s="1"/>
  <c r="A544" i="24" s="1"/>
  <c r="A545" i="24" s="1"/>
  <c r="A546" i="24" s="1"/>
  <c r="A547" i="24" s="1"/>
  <c r="A548" i="24" s="1"/>
  <c r="A549" i="24" s="1"/>
  <c r="A550" i="24" s="1"/>
  <c r="A551" i="24" s="1"/>
  <c r="A552" i="24" s="1"/>
  <c r="A553" i="24" s="1"/>
  <c r="A554" i="24" s="1"/>
  <c r="A555" i="24" s="1"/>
  <c r="A556" i="24" s="1"/>
  <c r="A557" i="24" s="1"/>
  <c r="A558" i="24" s="1"/>
  <c r="A559" i="24" s="1"/>
  <c r="A560" i="24" s="1"/>
  <c r="A561" i="24" s="1"/>
  <c r="A562" i="24" s="1"/>
  <c r="A563" i="24" s="1"/>
  <c r="A564" i="24" s="1"/>
  <c r="A565" i="24" s="1"/>
  <c r="A566" i="24" s="1"/>
  <c r="A567" i="24" s="1"/>
  <c r="A568" i="24" s="1"/>
  <c r="A569" i="24" s="1"/>
  <c r="A570" i="24" s="1"/>
  <c r="A571" i="24" s="1"/>
  <c r="A572" i="24" s="1"/>
  <c r="A573" i="24" s="1"/>
  <c r="A574" i="24" s="1"/>
  <c r="A575" i="24" s="1"/>
  <c r="A576" i="24" s="1"/>
  <c r="A577" i="24" s="1"/>
  <c r="A578" i="24" s="1"/>
  <c r="A579" i="24" s="1"/>
  <c r="A580" i="24" s="1"/>
  <c r="A581" i="24" s="1"/>
  <c r="A582" i="24" s="1"/>
  <c r="A583" i="24" s="1"/>
  <c r="A584" i="24" s="1"/>
  <c r="A585" i="24" s="1"/>
  <c r="A586" i="24" s="1"/>
  <c r="A587" i="24" s="1"/>
  <c r="A588" i="24" s="1"/>
  <c r="A589" i="24" s="1"/>
  <c r="A590" i="24" s="1"/>
  <c r="A591" i="24" s="1"/>
  <c r="A592" i="24" s="1"/>
  <c r="A593" i="24" s="1"/>
  <c r="A594" i="24" s="1"/>
  <c r="A595" i="24" s="1"/>
  <c r="A596" i="24" s="1"/>
  <c r="A597" i="24" s="1"/>
  <c r="A598" i="24" s="1"/>
  <c r="A599" i="24" s="1"/>
  <c r="A600" i="24" s="1"/>
  <c r="A601" i="24" s="1"/>
  <c r="A602" i="24" s="1"/>
  <c r="A603" i="24" s="1"/>
  <c r="A604" i="24" s="1"/>
  <c r="A605" i="24" s="1"/>
  <c r="A606" i="24" s="1"/>
  <c r="A607" i="24" s="1"/>
  <c r="A608" i="24" s="1"/>
  <c r="A609" i="24" s="1"/>
  <c r="A610" i="24" s="1"/>
  <c r="A611" i="24" s="1"/>
  <c r="A612" i="24" s="1"/>
  <c r="A613" i="24" s="1"/>
  <c r="A614" i="24" s="1"/>
  <c r="A615" i="24" s="1"/>
  <c r="A616" i="24" s="1"/>
  <c r="A617" i="24" s="1"/>
  <c r="A618" i="24" s="1"/>
  <c r="A619" i="24" s="1"/>
  <c r="A620" i="24" s="1"/>
  <c r="A621" i="24" s="1"/>
  <c r="A622" i="24" s="1"/>
  <c r="A623" i="24" s="1"/>
  <c r="A624" i="24" s="1"/>
  <c r="A625" i="24" s="1"/>
  <c r="A626" i="24" s="1"/>
  <c r="A627" i="24" s="1"/>
  <c r="A628" i="24" s="1"/>
  <c r="A629" i="24" s="1"/>
  <c r="A630" i="24" s="1"/>
  <c r="A631" i="24" s="1"/>
  <c r="A632" i="24" s="1"/>
  <c r="A633" i="24" s="1"/>
  <c r="A634" i="24" s="1"/>
  <c r="A635" i="24" s="1"/>
  <c r="A636" i="24" s="1"/>
  <c r="A637" i="24" s="1"/>
  <c r="A638" i="24" s="1"/>
  <c r="A639" i="24" s="1"/>
  <c r="A640" i="24" s="1"/>
  <c r="A641" i="24" s="1"/>
  <c r="A642" i="24" s="1"/>
  <c r="A643" i="24" s="1"/>
  <c r="A644" i="24" s="1"/>
  <c r="A645" i="24" s="1"/>
  <c r="A646" i="24" s="1"/>
  <c r="A647" i="24" s="1"/>
  <c r="A648" i="24" s="1"/>
  <c r="A649" i="24" s="1"/>
  <c r="A650" i="24" s="1"/>
  <c r="A651" i="24" s="1"/>
  <c r="A652" i="24" s="1"/>
  <c r="A653" i="24" s="1"/>
  <c r="A654" i="24" s="1"/>
  <c r="A655" i="24" s="1"/>
  <c r="A656" i="24" s="1"/>
  <c r="A657" i="24" s="1"/>
  <c r="A658" i="24" s="1"/>
  <c r="A659" i="24" s="1"/>
  <c r="A660" i="24" s="1"/>
  <c r="A661" i="24" s="1"/>
  <c r="A662" i="24" s="1"/>
  <c r="A663" i="24" s="1"/>
  <c r="A664" i="24" s="1"/>
  <c r="A665" i="24" s="1"/>
  <c r="A666" i="24" s="1"/>
  <c r="A667" i="24" s="1"/>
  <c r="A668" i="24" s="1"/>
  <c r="A669" i="24" s="1"/>
  <c r="A670" i="24" s="1"/>
  <c r="A671" i="24" s="1"/>
  <c r="A672" i="24" s="1"/>
  <c r="A673" i="24" s="1"/>
  <c r="A674" i="24" s="1"/>
  <c r="A675" i="24" s="1"/>
  <c r="A676" i="24" s="1"/>
  <c r="A677" i="24" s="1"/>
  <c r="A678" i="24" s="1"/>
  <c r="A679" i="24" s="1"/>
  <c r="A680" i="24" s="1"/>
  <c r="A681" i="24" s="1"/>
  <c r="A682" i="24" s="1"/>
  <c r="A683" i="24" s="1"/>
  <c r="A684" i="24" s="1"/>
  <c r="A685" i="24" s="1"/>
  <c r="A686" i="24" s="1"/>
  <c r="A687" i="24" s="1"/>
  <c r="A688" i="24" s="1"/>
  <c r="A689" i="24" s="1"/>
  <c r="A690" i="24" s="1"/>
  <c r="A691" i="24" s="1"/>
  <c r="A692" i="24" s="1"/>
  <c r="A693" i="24" s="1"/>
  <c r="A694" i="24" s="1"/>
  <c r="A695" i="24" s="1"/>
  <c r="A696" i="24" s="1"/>
  <c r="A697" i="24" s="1"/>
  <c r="A698" i="24" s="1"/>
  <c r="A699" i="24" s="1"/>
  <c r="A700" i="24" s="1"/>
  <c r="A701" i="24" s="1"/>
  <c r="A702" i="24" s="1"/>
  <c r="A703" i="24" s="1"/>
  <c r="A704" i="24" s="1"/>
  <c r="A705" i="24" s="1"/>
  <c r="A706" i="24" s="1"/>
  <c r="A707" i="24" s="1"/>
  <c r="A708" i="24" s="1"/>
  <c r="A709" i="24" s="1"/>
  <c r="A710" i="24" s="1"/>
  <c r="A711" i="24" s="1"/>
  <c r="A712" i="24" s="1"/>
  <c r="A713" i="24" s="1"/>
  <c r="A714" i="24" s="1"/>
  <c r="A715" i="24" s="1"/>
  <c r="A716" i="24" s="1"/>
  <c r="A717" i="24" s="1"/>
  <c r="A718" i="24" s="1"/>
  <c r="A719" i="24" s="1"/>
  <c r="A720" i="24" s="1"/>
  <c r="A721" i="24" s="1"/>
  <c r="A722" i="24" s="1"/>
  <c r="A723" i="24" s="1"/>
  <c r="A724" i="24" s="1"/>
  <c r="A725" i="24" s="1"/>
  <c r="A726" i="24" s="1"/>
  <c r="A727" i="24" s="1"/>
  <c r="A728" i="24" s="1"/>
  <c r="A729" i="24" s="1"/>
  <c r="A730" i="24" s="1"/>
  <c r="A731" i="24" s="1"/>
  <c r="A732" i="24" s="1"/>
  <c r="A733" i="24" s="1"/>
  <c r="A734" i="24" s="1"/>
  <c r="A735" i="24" s="1"/>
  <c r="A736" i="24" s="1"/>
  <c r="A737" i="24" s="1"/>
  <c r="A738" i="24" s="1"/>
  <c r="A739" i="24" s="1"/>
  <c r="A740" i="24" s="1"/>
  <c r="A741" i="24" s="1"/>
  <c r="A742" i="24" s="1"/>
  <c r="A743" i="24" s="1"/>
  <c r="A744" i="24" s="1"/>
  <c r="A745" i="24" s="1"/>
  <c r="A746" i="24" s="1"/>
  <c r="A747" i="24" s="1"/>
  <c r="A748" i="24" s="1"/>
  <c r="A749" i="24" s="1"/>
  <c r="A750" i="24" s="1"/>
  <c r="A751" i="24" s="1"/>
  <c r="A752" i="24" s="1"/>
  <c r="A753" i="24" s="1"/>
  <c r="A754" i="24" s="1"/>
  <c r="A755" i="24" s="1"/>
  <c r="A756" i="24" s="1"/>
  <c r="A757" i="24" s="1"/>
  <c r="A758" i="24" s="1"/>
  <c r="A759" i="24" s="1"/>
  <c r="A760" i="24" s="1"/>
  <c r="A761" i="24" s="1"/>
  <c r="A762" i="24" s="1"/>
  <c r="A763" i="24" s="1"/>
  <c r="A764" i="24" s="1"/>
  <c r="A765" i="24" s="1"/>
  <c r="A766" i="24" s="1"/>
  <c r="A767" i="24" s="1"/>
  <c r="A768" i="24" s="1"/>
  <c r="A769" i="24" s="1"/>
  <c r="A770" i="24" s="1"/>
  <c r="A771" i="24" s="1"/>
  <c r="A772" i="24" s="1"/>
  <c r="A773" i="24" s="1"/>
  <c r="A774" i="24" s="1"/>
  <c r="A775" i="24" s="1"/>
  <c r="A776" i="24" s="1"/>
  <c r="A777" i="24" s="1"/>
  <c r="A778" i="24" s="1"/>
  <c r="A779" i="24" s="1"/>
  <c r="A780" i="24" s="1"/>
  <c r="A781" i="24" s="1"/>
  <c r="A782" i="24" s="1"/>
  <c r="A783" i="24" s="1"/>
  <c r="A784" i="24" s="1"/>
  <c r="A785" i="24" s="1"/>
  <c r="A786" i="24" s="1"/>
  <c r="A787" i="24" s="1"/>
  <c r="A788" i="24" s="1"/>
  <c r="A789" i="24" s="1"/>
  <c r="A790" i="24" s="1"/>
  <c r="A791" i="24" s="1"/>
  <c r="A792" i="24" s="1"/>
  <c r="A793" i="24" s="1"/>
  <c r="A794" i="24" s="1"/>
  <c r="A795" i="24" s="1"/>
  <c r="A796" i="24" s="1"/>
  <c r="A797" i="24" s="1"/>
  <c r="A798" i="24" s="1"/>
  <c r="A799" i="24" s="1"/>
  <c r="A800" i="24" s="1"/>
  <c r="A801" i="24" s="1"/>
  <c r="A802" i="24" s="1"/>
  <c r="A803" i="24" s="1"/>
  <c r="A804" i="24" s="1"/>
  <c r="A805" i="24" s="1"/>
  <c r="A806" i="24" s="1"/>
  <c r="A807" i="24" s="1"/>
  <c r="A808" i="24" s="1"/>
  <c r="A809" i="24" s="1"/>
  <c r="A810" i="24" s="1"/>
  <c r="A811" i="24" s="1"/>
  <c r="A812" i="24" s="1"/>
  <c r="A813" i="24" s="1"/>
  <c r="A814" i="24" s="1"/>
  <c r="A815" i="24" s="1"/>
  <c r="A816" i="24" s="1"/>
  <c r="A817" i="24" s="1"/>
  <c r="A818" i="24" s="1"/>
  <c r="A819" i="24" s="1"/>
  <c r="A820" i="24" s="1"/>
  <c r="A821" i="24" s="1"/>
  <c r="A822" i="24" s="1"/>
  <c r="A823" i="24" s="1"/>
  <c r="A824" i="24" s="1"/>
  <c r="A825" i="24" s="1"/>
  <c r="A826" i="24" s="1"/>
  <c r="A827" i="24" s="1"/>
  <c r="A828" i="24" s="1"/>
  <c r="A829" i="24" s="1"/>
  <c r="A830" i="24" s="1"/>
  <c r="A831" i="24" s="1"/>
  <c r="A832" i="24" s="1"/>
  <c r="A833" i="24" s="1"/>
  <c r="A834" i="24" s="1"/>
  <c r="A3" i="24"/>
  <c r="B2" i="24"/>
  <c r="A2" i="24"/>
  <c r="B1" i="24"/>
  <c r="H5" i="20" a="1"/>
  <c r="H5" i="20" l="1"/>
  <c r="I5" i="20"/>
  <c r="J5" i="20"/>
  <c r="K5" i="20"/>
  <c r="L5" i="20"/>
  <c r="G740" i="24"/>
  <c r="H740" i="24" s="1" a="1"/>
  <c r="H740" i="24" s="1"/>
  <c r="D106" i="20" a="1"/>
  <c r="D46" i="20" a="1"/>
  <c r="D72" i="20" a="1"/>
  <c r="D44" i="20" a="1"/>
  <c r="D27" i="20" a="1"/>
  <c r="D92" i="20" a="1"/>
  <c r="D52" i="20" a="1"/>
  <c r="D40" i="20" a="1"/>
  <c r="D23" i="20" a="1"/>
  <c r="D117" i="20" a="1"/>
  <c r="D65" i="20" a="1"/>
  <c r="D114" i="20" a="1"/>
  <c r="D89" i="20" a="1"/>
  <c r="D51" i="20" a="1"/>
  <c r="D78" i="20" a="1"/>
  <c r="D26" i="20" a="1"/>
  <c r="D13" i="20" a="1"/>
  <c r="D25" i="20" a="1"/>
  <c r="D14" i="20" a="1"/>
  <c r="D55" i="20" a="1"/>
  <c r="D60" i="20" a="1"/>
  <c r="D116" i="20" a="1"/>
  <c r="D97" i="20" a="1"/>
  <c r="D68" i="20" a="1"/>
  <c r="D34" i="20" a="1"/>
  <c r="D84" i="20" a="1"/>
  <c r="D50" i="20" a="1"/>
  <c r="D9" i="20" a="1"/>
  <c r="D77" i="20" a="1"/>
  <c r="D35" i="20" a="1"/>
  <c r="D101" i="20" a="1"/>
  <c r="D67" i="20" a="1"/>
  <c r="D36" i="20" a="1"/>
  <c r="D94" i="20" a="1"/>
  <c r="D123" i="20" a="1"/>
  <c r="D95" i="20" a="1"/>
  <c r="D87" i="20" a="1"/>
  <c r="D80" i="20" a="1"/>
  <c r="D57" i="20" a="1"/>
  <c r="D102" i="20" a="1"/>
  <c r="D49" i="20" a="1"/>
  <c r="D16" i="20" a="1"/>
  <c r="D99" i="20" a="1"/>
  <c r="D75" i="20" a="1"/>
  <c r="D113" i="20" a="1"/>
  <c r="D32" i="20" a="1"/>
  <c r="D24" i="20" a="1"/>
  <c r="D103" i="20" a="1"/>
  <c r="D125" i="20" a="1"/>
  <c r="D96" i="20" a="1"/>
  <c r="D59" i="20" a="1"/>
  <c r="D69" i="20" a="1"/>
  <c r="D76" i="20" a="1"/>
  <c r="D107" i="20" a="1"/>
  <c r="D100" i="20" a="1"/>
  <c r="D104" i="20" a="1"/>
  <c r="D20" i="20" a="1"/>
  <c r="D118" i="20" a="1"/>
  <c r="D109" i="20" a="1"/>
  <c r="D86" i="20" a="1"/>
  <c r="D128" i="20" a="1"/>
  <c r="D98" i="20" a="1"/>
  <c r="D47" i="20" a="1"/>
  <c r="D63" i="20" a="1"/>
  <c r="D81" i="20" a="1"/>
  <c r="D121" i="20" a="1"/>
  <c r="D61" i="20" a="1"/>
  <c r="D122" i="20" a="1"/>
  <c r="D79" i="20" a="1"/>
  <c r="D91" i="20" a="1"/>
  <c r="D48" i="20" a="1"/>
  <c r="D53" i="20" a="1"/>
  <c r="D88" i="20" a="1"/>
  <c r="D12" i="20" a="1"/>
  <c r="D33" i="20" a="1"/>
  <c r="D71" i="20" a="1"/>
  <c r="D82" i="20" a="1"/>
  <c r="D31" i="20" a="1"/>
  <c r="D11" i="20" a="1"/>
  <c r="D41" i="20" a="1"/>
  <c r="D105" i="20" a="1"/>
  <c r="D120" i="20" a="1"/>
  <c r="D30" i="20" a="1"/>
  <c r="D111" i="20" a="1"/>
  <c r="D18" i="20" a="1"/>
  <c r="D73" i="20" a="1"/>
  <c r="D17" i="20" a="1"/>
  <c r="D66" i="20" a="1"/>
  <c r="D45" i="20" a="1"/>
  <c r="D37" i="20" a="1"/>
  <c r="D93" i="20" a="1"/>
  <c r="D110" i="20" a="1"/>
  <c r="D15" i="20" a="1"/>
  <c r="D43" i="20" a="1"/>
  <c r="D42" i="20" a="1"/>
  <c r="D115" i="20" a="1"/>
  <c r="D119" i="20" a="1"/>
  <c r="D38" i="20" a="1"/>
  <c r="D83" i="20" a="1"/>
  <c r="D70" i="20" a="1"/>
  <c r="D58" i="20" a="1"/>
  <c r="D126" i="20" a="1"/>
  <c r="D64" i="20" a="1"/>
  <c r="D127" i="20" a="1"/>
  <c r="D85" i="20" a="1"/>
  <c r="D74" i="20" a="1"/>
  <c r="D124" i="20" a="1"/>
  <c r="D39" i="20" a="1"/>
  <c r="D10" i="20" a="1"/>
  <c r="D112" i="20" a="1"/>
  <c r="D56" i="20" a="1"/>
  <c r="D29" i="20" a="1"/>
  <c r="D62" i="20" a="1"/>
  <c r="D21" i="20" a="1"/>
  <c r="D90" i="20" a="1"/>
  <c r="D22" i="20" a="1"/>
  <c r="D19" i="20" a="1"/>
  <c r="D54" i="20" a="1"/>
  <c r="D28" i="20" a="1"/>
  <c r="D108" i="20" a="1"/>
  <c r="C13" i="35" l="1" a="1"/>
  <c r="C13" i="35" s="1"/>
  <c r="D10" i="20"/>
  <c r="D16" i="20"/>
  <c r="D22" i="20"/>
  <c r="D28" i="20"/>
  <c r="D34" i="20"/>
  <c r="D40" i="20"/>
  <c r="D46" i="20"/>
  <c r="D52" i="20"/>
  <c r="F52" i="20" s="1"/>
  <c r="D58" i="20"/>
  <c r="F58" i="20" s="1"/>
  <c r="D64" i="20"/>
  <c r="F64" i="20" s="1"/>
  <c r="D70" i="20"/>
  <c r="F70" i="20" s="1"/>
  <c r="D76" i="20"/>
  <c r="F76" i="20" s="1"/>
  <c r="D82" i="20"/>
  <c r="F82" i="20" s="1"/>
  <c r="D88" i="20"/>
  <c r="F88" i="20" s="1"/>
  <c r="D94" i="20"/>
  <c r="F94" i="20" s="1"/>
  <c r="D100" i="20"/>
  <c r="D106" i="20"/>
  <c r="D112" i="20"/>
  <c r="D118" i="20"/>
  <c r="F118" i="20" s="1"/>
  <c r="D124" i="20"/>
  <c r="F124" i="20" s="1"/>
  <c r="D11" i="20"/>
  <c r="F11" i="20" s="1"/>
  <c r="D17" i="20"/>
  <c r="F17" i="20" s="1"/>
  <c r="D23" i="20"/>
  <c r="F23" i="20" s="1"/>
  <c r="D29" i="20"/>
  <c r="F29" i="20" s="1"/>
  <c r="D35" i="20"/>
  <c r="D41" i="20"/>
  <c r="F41" i="20" s="1"/>
  <c r="D47" i="20"/>
  <c r="F47" i="20" s="1"/>
  <c r="D53" i="20"/>
  <c r="D59" i="20"/>
  <c r="F59" i="20" s="1"/>
  <c r="D65" i="20"/>
  <c r="F65" i="20" s="1"/>
  <c r="D71" i="20"/>
  <c r="F71" i="20" s="1"/>
  <c r="D77" i="20"/>
  <c r="F77" i="20" s="1"/>
  <c r="D83" i="20"/>
  <c r="F83" i="20" s="1"/>
  <c r="D89" i="20"/>
  <c r="F89" i="20" s="1"/>
  <c r="D95" i="20"/>
  <c r="F95" i="20" s="1"/>
  <c r="D101" i="20"/>
  <c r="F101" i="20" s="1"/>
  <c r="D107" i="20"/>
  <c r="D113" i="20"/>
  <c r="F113" i="20" s="1"/>
  <c r="D119" i="20"/>
  <c r="F119" i="20" s="1"/>
  <c r="D125" i="20"/>
  <c r="D12" i="20"/>
  <c r="D18" i="20"/>
  <c r="F18" i="20" s="1"/>
  <c r="D24" i="20"/>
  <c r="F24" i="20" s="1"/>
  <c r="D30" i="20"/>
  <c r="F30" i="20" s="1"/>
  <c r="D36" i="20"/>
  <c r="F36" i="20" s="1"/>
  <c r="D42" i="20"/>
  <c r="F42" i="20" s="1"/>
  <c r="D48" i="20"/>
  <c r="F48" i="20" s="1"/>
  <c r="D54" i="20"/>
  <c r="F54" i="20" s="1"/>
  <c r="D60" i="20"/>
  <c r="D66" i="20"/>
  <c r="F66" i="20" s="1"/>
  <c r="D72" i="20"/>
  <c r="D78" i="20"/>
  <c r="D84" i="20"/>
  <c r="D90" i="20"/>
  <c r="F90" i="20" s="1"/>
  <c r="D96" i="20"/>
  <c r="F96" i="20" s="1"/>
  <c r="D102" i="20"/>
  <c r="F102" i="20" s="1"/>
  <c r="D108" i="20"/>
  <c r="F108" i="20" s="1"/>
  <c r="D114" i="20"/>
  <c r="F114" i="20" s="1"/>
  <c r="D120" i="20"/>
  <c r="F120" i="20" s="1"/>
  <c r="D126" i="20"/>
  <c r="F126" i="20" s="1"/>
  <c r="D13" i="20"/>
  <c r="F13" i="20" s="1"/>
  <c r="D19" i="20"/>
  <c r="F19" i="20" s="1"/>
  <c r="D25" i="20"/>
  <c r="F25" i="20" s="1"/>
  <c r="D31" i="20"/>
  <c r="D37" i="20"/>
  <c r="D43" i="20"/>
  <c r="D49" i="20"/>
  <c r="F49" i="20" s="1"/>
  <c r="D55" i="20"/>
  <c r="F55" i="20" s="1"/>
  <c r="D61" i="20"/>
  <c r="F61" i="20" s="1"/>
  <c r="D67" i="20"/>
  <c r="F67" i="20" s="1"/>
  <c r="D73" i="20"/>
  <c r="F73" i="20" s="1"/>
  <c r="D79" i="20"/>
  <c r="F79" i="20" s="1"/>
  <c r="D85" i="20"/>
  <c r="D91" i="20"/>
  <c r="F91" i="20" s="1"/>
  <c r="D97" i="20"/>
  <c r="F97" i="20" s="1"/>
  <c r="D103" i="20"/>
  <c r="F103" i="20" s="1"/>
  <c r="D109" i="20"/>
  <c r="F109" i="20" s="1"/>
  <c r="D115" i="20"/>
  <c r="F115" i="20" s="1"/>
  <c r="D121" i="20"/>
  <c r="F121" i="20" s="1"/>
  <c r="D127" i="20"/>
  <c r="F127" i="20" s="1"/>
  <c r="D14" i="20"/>
  <c r="D20" i="20"/>
  <c r="F20" i="20" s="1"/>
  <c r="D26" i="20"/>
  <c r="F26" i="20" s="1"/>
  <c r="D32" i="20"/>
  <c r="F32" i="20" s="1"/>
  <c r="D38" i="20"/>
  <c r="F38" i="20" s="1"/>
  <c r="D44" i="20"/>
  <c r="F44" i="20" s="1"/>
  <c r="D50" i="20"/>
  <c r="F50" i="20" s="1"/>
  <c r="D56" i="20"/>
  <c r="D62" i="20"/>
  <c r="F62" i="20" s="1"/>
  <c r="D68" i="20"/>
  <c r="F68" i="20" s="1"/>
  <c r="D74" i="20"/>
  <c r="F74" i="20" s="1"/>
  <c r="D80" i="20"/>
  <c r="F80" i="20" s="1"/>
  <c r="D86" i="20"/>
  <c r="F86" i="20" s="1"/>
  <c r="D92" i="20"/>
  <c r="F92" i="20" s="1"/>
  <c r="D98" i="20"/>
  <c r="F98" i="20" s="1"/>
  <c r="D104" i="20"/>
  <c r="F104" i="20" s="1"/>
  <c r="D110" i="20"/>
  <c r="D116" i="20"/>
  <c r="F116" i="20" s="1"/>
  <c r="D122" i="20"/>
  <c r="D128" i="20"/>
  <c r="D15" i="20"/>
  <c r="D21" i="20"/>
  <c r="F21" i="20" s="1"/>
  <c r="D27" i="20"/>
  <c r="F27" i="20" s="1"/>
  <c r="D33" i="20"/>
  <c r="F33" i="20" s="1"/>
  <c r="D39" i="20"/>
  <c r="F39" i="20" s="1"/>
  <c r="D45" i="20"/>
  <c r="F45" i="20" s="1"/>
  <c r="D51" i="20"/>
  <c r="F51" i="20" s="1"/>
  <c r="D57" i="20"/>
  <c r="F57" i="20" s="1"/>
  <c r="D63" i="20"/>
  <c r="F63" i="20" s="1"/>
  <c r="D69" i="20"/>
  <c r="F69" i="20" s="1"/>
  <c r="D75" i="20"/>
  <c r="F75" i="20" s="1"/>
  <c r="D81" i="20"/>
  <c r="D87" i="20"/>
  <c r="D93" i="20"/>
  <c r="F93" i="20" s="1"/>
  <c r="D99" i="20"/>
  <c r="F99" i="20" s="1"/>
  <c r="D105" i="20"/>
  <c r="F105" i="20" s="1"/>
  <c r="D111" i="20"/>
  <c r="F111" i="20" s="1"/>
  <c r="D117" i="20"/>
  <c r="F117" i="20" s="1"/>
  <c r="D123" i="20"/>
  <c r="F123" i="20" s="1"/>
  <c r="D9" i="20"/>
  <c r="F9" i="20" s="1"/>
  <c r="AF95" i="20"/>
  <c r="AF91" i="20"/>
  <c r="AF87" i="20"/>
  <c r="AF83" i="20"/>
  <c r="AF79" i="20"/>
  <c r="AF75" i="20"/>
  <c r="AF71" i="20"/>
  <c r="AF67" i="20"/>
  <c r="AF63" i="20"/>
  <c r="AF59" i="20"/>
  <c r="AF55" i="20"/>
  <c r="AF51" i="20"/>
  <c r="AF47" i="20"/>
  <c r="AF43" i="20"/>
  <c r="AF39" i="20"/>
  <c r="AF35" i="20"/>
  <c r="AF31" i="20"/>
  <c r="AF27" i="20"/>
  <c r="AF23" i="20"/>
  <c r="AF19" i="20"/>
  <c r="AF15" i="20"/>
  <c r="AF11" i="20"/>
  <c r="S115" i="20"/>
  <c r="S111" i="20"/>
  <c r="S107" i="20"/>
  <c r="S103" i="20"/>
  <c r="S99" i="20"/>
  <c r="S95" i="20"/>
  <c r="S91" i="20"/>
  <c r="S87" i="20"/>
  <c r="S83" i="20"/>
  <c r="S79" i="20"/>
  <c r="S75" i="20"/>
  <c r="S71" i="20"/>
  <c r="S67" i="20"/>
  <c r="S63" i="20"/>
  <c r="S59" i="20"/>
  <c r="S55" i="20"/>
  <c r="S51" i="20"/>
  <c r="S47" i="20"/>
  <c r="S43" i="20"/>
  <c r="S39" i="20"/>
  <c r="S35" i="20"/>
  <c r="S31" i="20"/>
  <c r="S27" i="20"/>
  <c r="S23" i="20"/>
  <c r="S19" i="20"/>
  <c r="S15" i="20"/>
  <c r="S11" i="20"/>
  <c r="S118" i="20"/>
  <c r="S106" i="20"/>
  <c r="S102" i="20"/>
  <c r="S98" i="20"/>
  <c r="S94" i="20"/>
  <c r="S90" i="20"/>
  <c r="S82" i="20"/>
  <c r="S78" i="20"/>
  <c r="S70" i="20"/>
  <c r="S58" i="20"/>
  <c r="S50" i="20"/>
  <c r="S34" i="20"/>
  <c r="S22" i="20"/>
  <c r="S110" i="20"/>
  <c r="S86" i="20"/>
  <c r="S74" i="20"/>
  <c r="S62" i="20"/>
  <c r="S54" i="20"/>
  <c r="S46" i="20"/>
  <c r="S38" i="20"/>
  <c r="S30" i="20"/>
  <c r="S18" i="20"/>
  <c r="S10" i="20"/>
  <c r="S114" i="20"/>
  <c r="S66" i="20"/>
  <c r="S42" i="20"/>
  <c r="S26" i="20"/>
  <c r="S14" i="20"/>
  <c r="AF94" i="20"/>
  <c r="AF90" i="20"/>
  <c r="AF86" i="20"/>
  <c r="AF82" i="20"/>
  <c r="AF78" i="20"/>
  <c r="AF74" i="20"/>
  <c r="AF70" i="20"/>
  <c r="AF66" i="20"/>
  <c r="AF62" i="20"/>
  <c r="AF58" i="20"/>
  <c r="AF54" i="20"/>
  <c r="AF50" i="20"/>
  <c r="AF46" i="20"/>
  <c r="AF42" i="20"/>
  <c r="AF38" i="20"/>
  <c r="AF34" i="20"/>
  <c r="AF30" i="20"/>
  <c r="AF26" i="20"/>
  <c r="AF22" i="20"/>
  <c r="AF18" i="20"/>
  <c r="AF14" i="20"/>
  <c r="AF10" i="20"/>
  <c r="AF93" i="20"/>
  <c r="AF89" i="20"/>
  <c r="AF85" i="20"/>
  <c r="AF81" i="20"/>
  <c r="AF77" i="20"/>
  <c r="AF73" i="20"/>
  <c r="AF69" i="20"/>
  <c r="AF65" i="20"/>
  <c r="AF61" i="20"/>
  <c r="AF57" i="20"/>
  <c r="AF53" i="20"/>
  <c r="AF49" i="20"/>
  <c r="AF45" i="20"/>
  <c r="AF41" i="20"/>
  <c r="AF37" i="20"/>
  <c r="AF33" i="20"/>
  <c r="AF29" i="20"/>
  <c r="AF25" i="20"/>
  <c r="AF21" i="20"/>
  <c r="AF17" i="20"/>
  <c r="AF13" i="20"/>
  <c r="AF9" i="20"/>
  <c r="S117" i="20"/>
  <c r="S113" i="20"/>
  <c r="S109" i="20"/>
  <c r="S105" i="20"/>
  <c r="S101" i="20"/>
  <c r="S97" i="20"/>
  <c r="S93" i="20"/>
  <c r="S89" i="20"/>
  <c r="S85" i="20"/>
  <c r="S81" i="20"/>
  <c r="S77" i="20"/>
  <c r="S73" i="20"/>
  <c r="S69" i="20"/>
  <c r="S65" i="20"/>
  <c r="S61" i="20"/>
  <c r="S57" i="20"/>
  <c r="S53" i="20"/>
  <c r="S49" i="20"/>
  <c r="S45" i="20"/>
  <c r="S41" i="20"/>
  <c r="S37" i="20"/>
  <c r="S33" i="20"/>
  <c r="S29" i="20"/>
  <c r="S25" i="20"/>
  <c r="S21" i="20"/>
  <c r="S17" i="20"/>
  <c r="S13" i="20"/>
  <c r="S9" i="20"/>
  <c r="AF92" i="20"/>
  <c r="AF88" i="20"/>
  <c r="AF84" i="20"/>
  <c r="AF80" i="20"/>
  <c r="AF76" i="20"/>
  <c r="AF72" i="20"/>
  <c r="AF68" i="20"/>
  <c r="AF64" i="20"/>
  <c r="AF60" i="20"/>
  <c r="AF56" i="20"/>
  <c r="AF52" i="20"/>
  <c r="AF48" i="20"/>
  <c r="AF44" i="20"/>
  <c r="AF40" i="20"/>
  <c r="AF36" i="20"/>
  <c r="AF32" i="20"/>
  <c r="AF28" i="20"/>
  <c r="AF24" i="20"/>
  <c r="AF20" i="20"/>
  <c r="AF16" i="20"/>
  <c r="AF12" i="20"/>
  <c r="S116" i="20"/>
  <c r="S112" i="20"/>
  <c r="S108" i="20"/>
  <c r="S104" i="20"/>
  <c r="S100" i="20"/>
  <c r="S96" i="20"/>
  <c r="S92" i="20"/>
  <c r="S88" i="20"/>
  <c r="S84" i="20"/>
  <c r="S80" i="20"/>
  <c r="S76" i="20"/>
  <c r="S72" i="20"/>
  <c r="S68" i="20"/>
  <c r="S64" i="20"/>
  <c r="S60" i="20"/>
  <c r="S56" i="20"/>
  <c r="S52" i="20"/>
  <c r="S48" i="20"/>
  <c r="S44" i="20"/>
  <c r="S40" i="20"/>
  <c r="S36" i="20"/>
  <c r="S32" i="20"/>
  <c r="S28" i="20"/>
  <c r="S24" i="20"/>
  <c r="S20" i="20"/>
  <c r="S16" i="20"/>
  <c r="S12" i="20"/>
  <c r="F16" i="20"/>
  <c r="F10" i="20"/>
  <c r="F15" i="20"/>
  <c r="F14" i="20"/>
  <c r="F22" i="20"/>
  <c r="F28" i="20"/>
  <c r="F40" i="20"/>
  <c r="F100" i="20"/>
  <c r="F12" i="20"/>
  <c r="F60" i="20"/>
  <c r="F72" i="20"/>
  <c r="F78" i="20"/>
  <c r="F84" i="20"/>
  <c r="F53" i="20"/>
  <c r="F31" i="20"/>
  <c r="F37" i="20"/>
  <c r="F43" i="20"/>
  <c r="F56" i="20"/>
  <c r="F110" i="20"/>
  <c r="F122" i="20"/>
  <c r="F128" i="20"/>
  <c r="F81" i="20"/>
  <c r="F87" i="20"/>
  <c r="F107" i="20"/>
  <c r="F125" i="20"/>
  <c r="F85" i="20"/>
  <c r="F35" i="20"/>
  <c r="F112" i="20"/>
  <c r="F46" i="20"/>
  <c r="F106" i="20"/>
  <c r="F34" i="20"/>
  <c r="S7" i="20" l="1"/>
  <c r="AF7" i="20"/>
  <c r="F7" i="20"/>
  <c r="A568" i="2" l="1"/>
  <c r="A569" i="2"/>
  <c r="A570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E470" i="2"/>
  <c r="E476" i="2"/>
  <c r="E482" i="2"/>
  <c r="E488" i="2"/>
  <c r="E494" i="2"/>
  <c r="E500" i="2"/>
  <c r="C504" i="2"/>
  <c r="B466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3" i="2"/>
  <c r="H570" i="16"/>
  <c r="E570" i="2" s="1"/>
  <c r="H569" i="16"/>
  <c r="E569" i="2" s="1"/>
  <c r="H568" i="16"/>
  <c r="E568" i="2" s="1"/>
  <c r="H567" i="16"/>
  <c r="E567" i="2" s="1"/>
  <c r="H566" i="16"/>
  <c r="E566" i="2" s="1"/>
  <c r="H565" i="16"/>
  <c r="E565" i="2" s="1"/>
  <c r="H564" i="16"/>
  <c r="E564" i="2" s="1"/>
  <c r="H563" i="16"/>
  <c r="E563" i="2" s="1"/>
  <c r="H562" i="16"/>
  <c r="E562" i="2" s="1"/>
  <c r="H561" i="16"/>
  <c r="E561" i="2" s="1"/>
  <c r="H560" i="16"/>
  <c r="E560" i="2" s="1"/>
  <c r="H559" i="16"/>
  <c r="E559" i="2" s="1"/>
  <c r="H558" i="16"/>
  <c r="E558" i="2" s="1"/>
  <c r="H557" i="16"/>
  <c r="E557" i="2" s="1"/>
  <c r="H556" i="16"/>
  <c r="E556" i="2" s="1"/>
  <c r="H555" i="16"/>
  <c r="E555" i="2" s="1"/>
  <c r="H554" i="16"/>
  <c r="E554" i="2" s="1"/>
  <c r="H553" i="16"/>
  <c r="E553" i="2" s="1"/>
  <c r="H552" i="16"/>
  <c r="E552" i="2" s="1"/>
  <c r="H551" i="16"/>
  <c r="E551" i="2" s="1"/>
  <c r="H550" i="16"/>
  <c r="E550" i="2" s="1"/>
  <c r="H549" i="16"/>
  <c r="E549" i="2" s="1"/>
  <c r="H548" i="16"/>
  <c r="E548" i="2" s="1"/>
  <c r="H547" i="16"/>
  <c r="E547" i="2" s="1"/>
  <c r="H546" i="16"/>
  <c r="E546" i="2" s="1"/>
  <c r="H545" i="16"/>
  <c r="E545" i="2" s="1"/>
  <c r="H544" i="16"/>
  <c r="E544" i="2" s="1"/>
  <c r="H543" i="16"/>
  <c r="E543" i="2" s="1"/>
  <c r="H542" i="16"/>
  <c r="E542" i="2" s="1"/>
  <c r="H541" i="16"/>
  <c r="E541" i="2" s="1"/>
  <c r="H540" i="16"/>
  <c r="E540" i="2" s="1"/>
  <c r="H539" i="16"/>
  <c r="E539" i="2" s="1"/>
  <c r="H538" i="16"/>
  <c r="E538" i="2" s="1"/>
  <c r="H537" i="16"/>
  <c r="E537" i="2" s="1"/>
  <c r="H536" i="16"/>
  <c r="E536" i="2" s="1"/>
  <c r="H535" i="16"/>
  <c r="E535" i="2" s="1"/>
  <c r="H534" i="16"/>
  <c r="E534" i="2" s="1"/>
  <c r="H533" i="16"/>
  <c r="E533" i="2" s="1"/>
  <c r="H532" i="16"/>
  <c r="E532" i="2" s="1"/>
  <c r="H531" i="16"/>
  <c r="E531" i="2" s="1"/>
  <c r="H530" i="16"/>
  <c r="E530" i="2" s="1"/>
  <c r="H529" i="16"/>
  <c r="E529" i="2" s="1"/>
  <c r="H528" i="16"/>
  <c r="E528" i="2" s="1"/>
  <c r="H527" i="16"/>
  <c r="E527" i="2" s="1"/>
  <c r="H526" i="16"/>
  <c r="E526" i="2" s="1"/>
  <c r="H525" i="16"/>
  <c r="E525" i="2" s="1"/>
  <c r="H524" i="16"/>
  <c r="E524" i="2" s="1"/>
  <c r="H523" i="16"/>
  <c r="E523" i="2" s="1"/>
  <c r="H522" i="16"/>
  <c r="E522" i="2" s="1"/>
  <c r="H521" i="16"/>
  <c r="E521" i="2" s="1"/>
  <c r="H520" i="16"/>
  <c r="E520" i="2" s="1"/>
  <c r="H519" i="16"/>
  <c r="E519" i="2" s="1"/>
  <c r="H518" i="16"/>
  <c r="E518" i="2" s="1"/>
  <c r="H517" i="16"/>
  <c r="E517" i="2" s="1"/>
  <c r="H516" i="16"/>
  <c r="E516" i="2" s="1"/>
  <c r="H515" i="16"/>
  <c r="E515" i="2" s="1"/>
  <c r="H514" i="16"/>
  <c r="E514" i="2" s="1"/>
  <c r="H513" i="16"/>
  <c r="E513" i="2" s="1"/>
  <c r="H512" i="16"/>
  <c r="E512" i="2" s="1"/>
  <c r="H511" i="16"/>
  <c r="E511" i="2" s="1"/>
  <c r="H510" i="16"/>
  <c r="E510" i="2" s="1"/>
  <c r="H509" i="16"/>
  <c r="E509" i="2" s="1"/>
  <c r="H508" i="16"/>
  <c r="E508" i="2" s="1"/>
  <c r="H507" i="16"/>
  <c r="E507" i="2" s="1"/>
  <c r="H506" i="16"/>
  <c r="E506" i="2" s="1"/>
  <c r="H505" i="16"/>
  <c r="E505" i="2" s="1"/>
  <c r="H504" i="16"/>
  <c r="E504" i="2" s="1"/>
  <c r="H503" i="16"/>
  <c r="E503" i="2" s="1"/>
  <c r="H502" i="16"/>
  <c r="E502" i="2" s="1"/>
  <c r="H501" i="16"/>
  <c r="E501" i="2" s="1"/>
  <c r="H500" i="16"/>
  <c r="H499" i="16"/>
  <c r="E499" i="2" s="1"/>
  <c r="H498" i="16"/>
  <c r="E498" i="2" s="1"/>
  <c r="H497" i="16"/>
  <c r="E497" i="2" s="1"/>
  <c r="H496" i="16"/>
  <c r="E496" i="2" s="1"/>
  <c r="H495" i="16"/>
  <c r="E495" i="2" s="1"/>
  <c r="H494" i="16"/>
  <c r="H493" i="16"/>
  <c r="E493" i="2" s="1"/>
  <c r="H492" i="16"/>
  <c r="E492" i="2" s="1"/>
  <c r="H491" i="16"/>
  <c r="E491" i="2" s="1"/>
  <c r="H490" i="16"/>
  <c r="E490" i="2" s="1"/>
  <c r="H489" i="16"/>
  <c r="E489" i="2" s="1"/>
  <c r="H488" i="16"/>
  <c r="H487" i="16"/>
  <c r="E487" i="2" s="1"/>
  <c r="H486" i="16"/>
  <c r="E486" i="2" s="1"/>
  <c r="H485" i="16"/>
  <c r="E485" i="2" s="1"/>
  <c r="H484" i="16"/>
  <c r="E484" i="2" s="1"/>
  <c r="H483" i="16"/>
  <c r="E483" i="2" s="1"/>
  <c r="H482" i="16"/>
  <c r="H481" i="16"/>
  <c r="E481" i="2" s="1"/>
  <c r="H480" i="16"/>
  <c r="E480" i="2" s="1"/>
  <c r="H479" i="16"/>
  <c r="E479" i="2" s="1"/>
  <c r="H478" i="16"/>
  <c r="E478" i="2" s="1"/>
  <c r="H477" i="16"/>
  <c r="E477" i="2" s="1"/>
  <c r="H476" i="16"/>
  <c r="H475" i="16"/>
  <c r="E475" i="2" s="1"/>
  <c r="H474" i="16"/>
  <c r="E474" i="2" s="1"/>
  <c r="H473" i="16"/>
  <c r="E473" i="2" s="1"/>
  <c r="H472" i="16"/>
  <c r="E472" i="2" s="1"/>
  <c r="H471" i="16"/>
  <c r="E471" i="2" s="1"/>
  <c r="H470" i="16"/>
  <c r="H469" i="16"/>
  <c r="E469" i="2" s="1"/>
  <c r="H468" i="16"/>
  <c r="E468" i="2" s="1"/>
  <c r="H467" i="16"/>
  <c r="E467" i="2" s="1"/>
  <c r="H466" i="16"/>
  <c r="E466" i="2" s="1"/>
  <c r="H465" i="16"/>
  <c r="E465" i="2" s="1"/>
  <c r="H464" i="16"/>
  <c r="E464" i="2" s="1"/>
  <c r="H463" i="16"/>
  <c r="E463" i="2" s="1"/>
  <c r="H462" i="16"/>
  <c r="E462" i="2" s="1"/>
  <c r="H461" i="16"/>
  <c r="E461" i="2" s="1"/>
  <c r="H460" i="16"/>
  <c r="E460" i="2" s="1"/>
  <c r="H459" i="16"/>
  <c r="E459" i="2" s="1"/>
  <c r="H458" i="16"/>
  <c r="E458" i="2" s="1"/>
  <c r="H457" i="16"/>
  <c r="E457" i="2" s="1"/>
  <c r="H456" i="16"/>
  <c r="E456" i="2" s="1"/>
  <c r="H455" i="16"/>
  <c r="E455" i="2" s="1"/>
  <c r="H454" i="16"/>
  <c r="E454" i="2" s="1"/>
  <c r="H453" i="16"/>
  <c r="E453" i="2" s="1"/>
  <c r="H452" i="16"/>
  <c r="E452" i="2" s="1"/>
  <c r="H451" i="16"/>
  <c r="E451" i="2" s="1"/>
  <c r="H450" i="16"/>
  <c r="E450" i="2" s="1"/>
  <c r="H449" i="16"/>
  <c r="E449" i="2" s="1"/>
  <c r="H448" i="16"/>
  <c r="E448" i="2" s="1"/>
  <c r="H447" i="16"/>
  <c r="E447" i="2" s="1"/>
  <c r="H446" i="16"/>
  <c r="E446" i="2" s="1"/>
  <c r="H445" i="16"/>
  <c r="E445" i="2" s="1"/>
  <c r="H444" i="16"/>
  <c r="E444" i="2" s="1"/>
  <c r="H443" i="16"/>
  <c r="E443" i="2" s="1"/>
  <c r="H442" i="16"/>
  <c r="E442" i="2" s="1"/>
  <c r="H441" i="16"/>
  <c r="E441" i="2" s="1"/>
  <c r="H440" i="16"/>
  <c r="E440" i="2" s="1"/>
  <c r="H439" i="16"/>
  <c r="E439" i="2" s="1"/>
  <c r="H438" i="16"/>
  <c r="E438" i="2" s="1"/>
  <c r="H437" i="16"/>
  <c r="E437" i="2" s="1"/>
  <c r="H436" i="16"/>
  <c r="E436" i="2" s="1"/>
  <c r="H435" i="16"/>
  <c r="E435" i="2" s="1"/>
  <c r="H434" i="16"/>
  <c r="E434" i="2" s="1"/>
  <c r="H433" i="16"/>
  <c r="E433" i="2" s="1"/>
  <c r="H432" i="16"/>
  <c r="E432" i="2" s="1"/>
  <c r="H431" i="16"/>
  <c r="E431" i="2" s="1"/>
  <c r="H430" i="16"/>
  <c r="E430" i="2" s="1"/>
  <c r="H429" i="16"/>
  <c r="E429" i="2" s="1"/>
  <c r="H428" i="16"/>
  <c r="E428" i="2" s="1"/>
  <c r="H427" i="16"/>
  <c r="E427" i="2" s="1"/>
  <c r="H426" i="16"/>
  <c r="E426" i="2" s="1"/>
  <c r="H425" i="16"/>
  <c r="E425" i="2" s="1"/>
  <c r="H424" i="16"/>
  <c r="E424" i="2" s="1"/>
  <c r="H423" i="16"/>
  <c r="E423" i="2" s="1"/>
  <c r="H422" i="16"/>
  <c r="E422" i="2" s="1"/>
  <c r="H421" i="16"/>
  <c r="E421" i="2" s="1"/>
  <c r="H420" i="16"/>
  <c r="E420" i="2" s="1"/>
  <c r="H419" i="16"/>
  <c r="E419" i="2" s="1"/>
  <c r="H418" i="16"/>
  <c r="E418" i="2" s="1"/>
  <c r="H417" i="16"/>
  <c r="E417" i="2" s="1"/>
  <c r="H416" i="16"/>
  <c r="E416" i="2" s="1"/>
  <c r="H415" i="16"/>
  <c r="E415" i="2" s="1"/>
  <c r="H414" i="16"/>
  <c r="E414" i="2" s="1"/>
  <c r="H413" i="16"/>
  <c r="E413" i="2" s="1"/>
  <c r="H412" i="16"/>
  <c r="E412" i="2" s="1"/>
  <c r="H411" i="16"/>
  <c r="E411" i="2" s="1"/>
  <c r="H410" i="16"/>
  <c r="E410" i="2" s="1"/>
  <c r="H409" i="16"/>
  <c r="E409" i="2" s="1"/>
  <c r="H408" i="16"/>
  <c r="E408" i="2" s="1"/>
  <c r="H407" i="16"/>
  <c r="E407" i="2" s="1"/>
  <c r="H406" i="16"/>
  <c r="E406" i="2" s="1"/>
  <c r="H405" i="16"/>
  <c r="E405" i="2" s="1"/>
  <c r="H404" i="16"/>
  <c r="E404" i="2" s="1"/>
  <c r="H403" i="16"/>
  <c r="E403" i="2" s="1"/>
  <c r="H402" i="16"/>
  <c r="E402" i="2" s="1"/>
  <c r="H401" i="16"/>
  <c r="E401" i="2" s="1"/>
  <c r="H400" i="16"/>
  <c r="E400" i="2" s="1"/>
  <c r="H399" i="16"/>
  <c r="E399" i="2" s="1"/>
  <c r="H398" i="16"/>
  <c r="E398" i="2" s="1"/>
  <c r="H397" i="16"/>
  <c r="E397" i="2" s="1"/>
  <c r="H396" i="16"/>
  <c r="E396" i="2" s="1"/>
  <c r="H395" i="16"/>
  <c r="E395" i="2" s="1"/>
  <c r="H394" i="16"/>
  <c r="E394" i="2" s="1"/>
  <c r="H393" i="16"/>
  <c r="E393" i="2" s="1"/>
  <c r="H392" i="16"/>
  <c r="E392" i="2" s="1"/>
  <c r="H391" i="16"/>
  <c r="E391" i="2" s="1"/>
  <c r="H390" i="16"/>
  <c r="E390" i="2" s="1"/>
  <c r="H389" i="16"/>
  <c r="E389" i="2" s="1"/>
  <c r="H388" i="16"/>
  <c r="E388" i="2" s="1"/>
  <c r="H387" i="16"/>
  <c r="E387" i="2" s="1"/>
  <c r="H386" i="16"/>
  <c r="E386" i="2" s="1"/>
  <c r="H385" i="16"/>
  <c r="E385" i="2" s="1"/>
  <c r="H384" i="16"/>
  <c r="E384" i="2" s="1"/>
  <c r="H383" i="16"/>
  <c r="E383" i="2" s="1"/>
  <c r="H382" i="16"/>
  <c r="E382" i="2" s="1"/>
  <c r="H381" i="16"/>
  <c r="E381" i="2" s="1"/>
  <c r="H380" i="16"/>
  <c r="E380" i="2" s="1"/>
  <c r="H379" i="16"/>
  <c r="E379" i="2" s="1"/>
  <c r="H378" i="16"/>
  <c r="E378" i="2" s="1"/>
  <c r="H377" i="16"/>
  <c r="E377" i="2" s="1"/>
  <c r="H376" i="16"/>
  <c r="E376" i="2" s="1"/>
  <c r="H375" i="16"/>
  <c r="E375" i="2" s="1"/>
  <c r="H374" i="16"/>
  <c r="E374" i="2" s="1"/>
  <c r="H373" i="16"/>
  <c r="E373" i="2" s="1"/>
  <c r="H372" i="16"/>
  <c r="E372" i="2" s="1"/>
  <c r="H371" i="16"/>
  <c r="E371" i="2" s="1"/>
  <c r="H370" i="16"/>
  <c r="E370" i="2" s="1"/>
  <c r="H369" i="16"/>
  <c r="E369" i="2" s="1"/>
  <c r="H368" i="16"/>
  <c r="E368" i="2" s="1"/>
  <c r="H367" i="16"/>
  <c r="E367" i="2" s="1"/>
  <c r="H366" i="16"/>
  <c r="E366" i="2" s="1"/>
  <c r="H365" i="16"/>
  <c r="E365" i="2" s="1"/>
  <c r="H364" i="16"/>
  <c r="E364" i="2" s="1"/>
  <c r="H363" i="16"/>
  <c r="E363" i="2" s="1"/>
  <c r="H362" i="16"/>
  <c r="E362" i="2" s="1"/>
  <c r="H361" i="16"/>
  <c r="E361" i="2" s="1"/>
  <c r="H360" i="16"/>
  <c r="E360" i="2" s="1"/>
  <c r="H359" i="16"/>
  <c r="E359" i="2" s="1"/>
  <c r="H358" i="16"/>
  <c r="E358" i="2" s="1"/>
  <c r="H357" i="16"/>
  <c r="E357" i="2" s="1"/>
  <c r="H356" i="16"/>
  <c r="E356" i="2" s="1"/>
  <c r="H355" i="16"/>
  <c r="E355" i="2" s="1"/>
  <c r="H354" i="16"/>
  <c r="E354" i="2" s="1"/>
  <c r="H353" i="16"/>
  <c r="E353" i="2" s="1"/>
  <c r="H352" i="16"/>
  <c r="E352" i="2" s="1"/>
  <c r="H351" i="16"/>
  <c r="E351" i="2" s="1"/>
  <c r="H350" i="16"/>
  <c r="E350" i="2" s="1"/>
  <c r="H349" i="16"/>
  <c r="E349" i="2" s="1"/>
  <c r="H348" i="16"/>
  <c r="E348" i="2" s="1"/>
  <c r="H347" i="16"/>
  <c r="E347" i="2" s="1"/>
  <c r="H346" i="16"/>
  <c r="E346" i="2" s="1"/>
  <c r="H345" i="16"/>
  <c r="E345" i="2" s="1"/>
  <c r="H344" i="16"/>
  <c r="E344" i="2" s="1"/>
  <c r="H343" i="16"/>
  <c r="E343" i="2" s="1"/>
  <c r="H342" i="16"/>
  <c r="E342" i="2" s="1"/>
  <c r="H341" i="16"/>
  <c r="E341" i="2" s="1"/>
  <c r="H340" i="16"/>
  <c r="E340" i="2" s="1"/>
  <c r="H339" i="16"/>
  <c r="E339" i="2" s="1"/>
  <c r="H338" i="16"/>
  <c r="E338" i="2" s="1"/>
  <c r="H337" i="16"/>
  <c r="E337" i="2" s="1"/>
  <c r="H336" i="16"/>
  <c r="E336" i="2" s="1"/>
  <c r="H335" i="16"/>
  <c r="E335" i="2" s="1"/>
  <c r="H334" i="16"/>
  <c r="E334" i="2" s="1"/>
  <c r="H333" i="16"/>
  <c r="E333" i="2" s="1"/>
  <c r="H332" i="16"/>
  <c r="E332" i="2" s="1"/>
  <c r="H331" i="16"/>
  <c r="E331" i="2" s="1"/>
  <c r="H330" i="16"/>
  <c r="E330" i="2" s="1"/>
  <c r="H329" i="16"/>
  <c r="E329" i="2" s="1"/>
  <c r="H328" i="16"/>
  <c r="E328" i="2" s="1"/>
  <c r="H327" i="16"/>
  <c r="E327" i="2" s="1"/>
  <c r="H326" i="16"/>
  <c r="E326" i="2" s="1"/>
  <c r="H325" i="16"/>
  <c r="E325" i="2" s="1"/>
  <c r="H324" i="16"/>
  <c r="E324" i="2" s="1"/>
  <c r="H323" i="16"/>
  <c r="E323" i="2" s="1"/>
  <c r="H322" i="16"/>
  <c r="E322" i="2" s="1"/>
  <c r="H321" i="16"/>
  <c r="E321" i="2" s="1"/>
  <c r="H320" i="16"/>
  <c r="E320" i="2" s="1"/>
  <c r="H319" i="16"/>
  <c r="E319" i="2" s="1"/>
  <c r="H318" i="16"/>
  <c r="E318" i="2" s="1"/>
  <c r="H317" i="16"/>
  <c r="E317" i="2" s="1"/>
  <c r="H316" i="16"/>
  <c r="E316" i="2" s="1"/>
  <c r="H315" i="16"/>
  <c r="E315" i="2" s="1"/>
  <c r="H314" i="16"/>
  <c r="E314" i="2" s="1"/>
  <c r="H313" i="16"/>
  <c r="E313" i="2" s="1"/>
  <c r="H312" i="16"/>
  <c r="E312" i="2" s="1"/>
  <c r="H311" i="16"/>
  <c r="E311" i="2" s="1"/>
  <c r="H310" i="16"/>
  <c r="E310" i="2" s="1"/>
  <c r="H309" i="16"/>
  <c r="E309" i="2" s="1"/>
  <c r="H308" i="16"/>
  <c r="E308" i="2" s="1"/>
  <c r="H307" i="16"/>
  <c r="E307" i="2" s="1"/>
  <c r="H306" i="16"/>
  <c r="E306" i="2" s="1"/>
  <c r="H305" i="16"/>
  <c r="E305" i="2" s="1"/>
  <c r="H304" i="16"/>
  <c r="E304" i="2" s="1"/>
  <c r="H303" i="16"/>
  <c r="E303" i="2" s="1"/>
  <c r="H302" i="16"/>
  <c r="E302" i="2" s="1"/>
  <c r="H301" i="16"/>
  <c r="E301" i="2" s="1"/>
  <c r="H300" i="16"/>
  <c r="E300" i="2" s="1"/>
  <c r="H299" i="16"/>
  <c r="E299" i="2" s="1"/>
  <c r="H298" i="16"/>
  <c r="E298" i="2" s="1"/>
  <c r="H297" i="16"/>
  <c r="E297" i="2" s="1"/>
  <c r="H296" i="16"/>
  <c r="E296" i="2" s="1"/>
  <c r="H295" i="16"/>
  <c r="E295" i="2" s="1"/>
  <c r="H294" i="16"/>
  <c r="E294" i="2" s="1"/>
  <c r="H293" i="16"/>
  <c r="E293" i="2" s="1"/>
  <c r="H292" i="16"/>
  <c r="E292" i="2" s="1"/>
  <c r="H291" i="16"/>
  <c r="E291" i="2" s="1"/>
  <c r="H290" i="16"/>
  <c r="E290" i="2" s="1"/>
  <c r="H289" i="16"/>
  <c r="E289" i="2" s="1"/>
  <c r="H288" i="16"/>
  <c r="E288" i="2" s="1"/>
  <c r="H287" i="16"/>
  <c r="E287" i="2" s="1"/>
  <c r="H286" i="16"/>
  <c r="E286" i="2" s="1"/>
  <c r="H285" i="16"/>
  <c r="E285" i="2" s="1"/>
  <c r="H284" i="16"/>
  <c r="E284" i="2" s="1"/>
  <c r="H283" i="16"/>
  <c r="E283" i="2" s="1"/>
  <c r="H282" i="16"/>
  <c r="E282" i="2" s="1"/>
  <c r="H281" i="16"/>
  <c r="E281" i="2" s="1"/>
  <c r="H280" i="16"/>
  <c r="E280" i="2" s="1"/>
  <c r="H279" i="16"/>
  <c r="E279" i="2" s="1"/>
  <c r="H278" i="16"/>
  <c r="E278" i="2" s="1"/>
  <c r="H277" i="16"/>
  <c r="E277" i="2" s="1"/>
  <c r="H276" i="16"/>
  <c r="E276" i="2" s="1"/>
  <c r="H275" i="16"/>
  <c r="E275" i="2" s="1"/>
  <c r="H274" i="16"/>
  <c r="E274" i="2" s="1"/>
  <c r="H273" i="16"/>
  <c r="E273" i="2" s="1"/>
  <c r="H272" i="16"/>
  <c r="E272" i="2" s="1"/>
  <c r="H271" i="16"/>
  <c r="E271" i="2" s="1"/>
  <c r="H270" i="16"/>
  <c r="E270" i="2" s="1"/>
  <c r="H269" i="16"/>
  <c r="E269" i="2" s="1"/>
  <c r="H268" i="16"/>
  <c r="E268" i="2" s="1"/>
  <c r="H267" i="16"/>
  <c r="E267" i="2" s="1"/>
  <c r="H266" i="16"/>
  <c r="E266" i="2" s="1"/>
  <c r="H265" i="16"/>
  <c r="E265" i="2" s="1"/>
  <c r="H264" i="16"/>
  <c r="E264" i="2" s="1"/>
  <c r="H263" i="16"/>
  <c r="E263" i="2" s="1"/>
  <c r="H262" i="16"/>
  <c r="E262" i="2" s="1"/>
  <c r="H261" i="16"/>
  <c r="E261" i="2" s="1"/>
  <c r="H260" i="16"/>
  <c r="E260" i="2" s="1"/>
  <c r="H259" i="16"/>
  <c r="E259" i="2" s="1"/>
  <c r="H258" i="16"/>
  <c r="E258" i="2" s="1"/>
  <c r="H257" i="16"/>
  <c r="E257" i="2" s="1"/>
  <c r="H256" i="16"/>
  <c r="E256" i="2" s="1"/>
  <c r="H255" i="16"/>
  <c r="E255" i="2" s="1"/>
  <c r="H254" i="16"/>
  <c r="E254" i="2" s="1"/>
  <c r="H253" i="16"/>
  <c r="E253" i="2" s="1"/>
  <c r="H252" i="16"/>
  <c r="E252" i="2" s="1"/>
  <c r="H251" i="16"/>
  <c r="E251" i="2" s="1"/>
  <c r="H250" i="16"/>
  <c r="E250" i="2" s="1"/>
  <c r="H249" i="16"/>
  <c r="E249" i="2" s="1"/>
  <c r="H248" i="16"/>
  <c r="E248" i="2" s="1"/>
  <c r="H247" i="16"/>
  <c r="E247" i="2" s="1"/>
  <c r="H246" i="16"/>
  <c r="E246" i="2" s="1"/>
  <c r="H245" i="16"/>
  <c r="E245" i="2" s="1"/>
  <c r="H244" i="16"/>
  <c r="E244" i="2" s="1"/>
  <c r="H243" i="16"/>
  <c r="E243" i="2" s="1"/>
  <c r="H242" i="16"/>
  <c r="E242" i="2" s="1"/>
  <c r="H241" i="16"/>
  <c r="E241" i="2" s="1"/>
  <c r="H240" i="16"/>
  <c r="E240" i="2" s="1"/>
  <c r="H239" i="16"/>
  <c r="E239" i="2" s="1"/>
  <c r="H238" i="16"/>
  <c r="E238" i="2" s="1"/>
  <c r="H237" i="16"/>
  <c r="E237" i="2" s="1"/>
  <c r="H236" i="16"/>
  <c r="E236" i="2" s="1"/>
  <c r="H235" i="16"/>
  <c r="E235" i="2" s="1"/>
  <c r="H234" i="16"/>
  <c r="E234" i="2" s="1"/>
  <c r="H233" i="16"/>
  <c r="E233" i="2" s="1"/>
  <c r="H232" i="16"/>
  <c r="E232" i="2" s="1"/>
  <c r="H231" i="16"/>
  <c r="E231" i="2" s="1"/>
  <c r="H230" i="16"/>
  <c r="E230" i="2" s="1"/>
  <c r="H229" i="16"/>
  <c r="E229" i="2" s="1"/>
  <c r="H228" i="16"/>
  <c r="E228" i="2" s="1"/>
  <c r="H227" i="16"/>
  <c r="E227" i="2" s="1"/>
  <c r="H226" i="16"/>
  <c r="E226" i="2" s="1"/>
  <c r="H225" i="16"/>
  <c r="E225" i="2" s="1"/>
  <c r="H224" i="16"/>
  <c r="E224" i="2" s="1"/>
  <c r="H223" i="16"/>
  <c r="E223" i="2" s="1"/>
  <c r="H222" i="16"/>
  <c r="E222" i="2" s="1"/>
  <c r="H221" i="16"/>
  <c r="E221" i="2" s="1"/>
  <c r="H220" i="16"/>
  <c r="E220" i="2" s="1"/>
  <c r="H219" i="16"/>
  <c r="E219" i="2" s="1"/>
  <c r="H218" i="16"/>
  <c r="E218" i="2" s="1"/>
  <c r="H217" i="16"/>
  <c r="E217" i="2" s="1"/>
  <c r="H216" i="16"/>
  <c r="E216" i="2" s="1"/>
  <c r="H215" i="16"/>
  <c r="E215" i="2" s="1"/>
  <c r="H214" i="16"/>
  <c r="E214" i="2" s="1"/>
  <c r="H213" i="16"/>
  <c r="E213" i="2" s="1"/>
  <c r="H212" i="16"/>
  <c r="E212" i="2" s="1"/>
  <c r="H211" i="16"/>
  <c r="E211" i="2" s="1"/>
  <c r="H210" i="16"/>
  <c r="E210" i="2" s="1"/>
  <c r="H209" i="16"/>
  <c r="E209" i="2" s="1"/>
  <c r="H208" i="16"/>
  <c r="E208" i="2" s="1"/>
  <c r="H207" i="16"/>
  <c r="E207" i="2" s="1"/>
  <c r="H206" i="16"/>
  <c r="E206" i="2" s="1"/>
  <c r="H205" i="16"/>
  <c r="E205" i="2" s="1"/>
  <c r="H204" i="16"/>
  <c r="E204" i="2" s="1"/>
  <c r="H203" i="16"/>
  <c r="E203" i="2" s="1"/>
  <c r="H202" i="16"/>
  <c r="E202" i="2" s="1"/>
  <c r="H201" i="16"/>
  <c r="E201" i="2" s="1"/>
  <c r="H200" i="16"/>
  <c r="E200" i="2" s="1"/>
  <c r="H199" i="16"/>
  <c r="E199" i="2" s="1"/>
  <c r="H198" i="16"/>
  <c r="E198" i="2" s="1"/>
  <c r="H197" i="16"/>
  <c r="E197" i="2" s="1"/>
  <c r="H196" i="16"/>
  <c r="E196" i="2" s="1"/>
  <c r="H195" i="16"/>
  <c r="E195" i="2" s="1"/>
  <c r="H194" i="16"/>
  <c r="E194" i="2" s="1"/>
  <c r="H193" i="16"/>
  <c r="E193" i="2" s="1"/>
  <c r="H192" i="16"/>
  <c r="E192" i="2" s="1"/>
  <c r="H191" i="16"/>
  <c r="E191" i="2" s="1"/>
  <c r="H190" i="16"/>
  <c r="E190" i="2" s="1"/>
  <c r="H189" i="16"/>
  <c r="E189" i="2" s="1"/>
  <c r="H188" i="16"/>
  <c r="E188" i="2" s="1"/>
  <c r="H187" i="16"/>
  <c r="E187" i="2" s="1"/>
  <c r="H186" i="16"/>
  <c r="E186" i="2" s="1"/>
  <c r="H185" i="16"/>
  <c r="E185" i="2" s="1"/>
  <c r="H184" i="16"/>
  <c r="E184" i="2" s="1"/>
  <c r="H183" i="16"/>
  <c r="E183" i="2" s="1"/>
  <c r="H182" i="16"/>
  <c r="E182" i="2" s="1"/>
  <c r="H181" i="16"/>
  <c r="E181" i="2" s="1"/>
  <c r="H180" i="16"/>
  <c r="E180" i="2" s="1"/>
  <c r="H179" i="16"/>
  <c r="E179" i="2" s="1"/>
  <c r="H178" i="16"/>
  <c r="E178" i="2" s="1"/>
  <c r="H177" i="16"/>
  <c r="E177" i="2" s="1"/>
  <c r="H176" i="16"/>
  <c r="E176" i="2" s="1"/>
  <c r="H175" i="16"/>
  <c r="E175" i="2" s="1"/>
  <c r="H174" i="16"/>
  <c r="E174" i="2" s="1"/>
  <c r="H173" i="16"/>
  <c r="E173" i="2" s="1"/>
  <c r="H172" i="16"/>
  <c r="E172" i="2" s="1"/>
  <c r="H171" i="16"/>
  <c r="E171" i="2" s="1"/>
  <c r="H170" i="16"/>
  <c r="E170" i="2" s="1"/>
  <c r="H169" i="16"/>
  <c r="E169" i="2" s="1"/>
  <c r="H168" i="16"/>
  <c r="E168" i="2" s="1"/>
  <c r="H167" i="16"/>
  <c r="E167" i="2" s="1"/>
  <c r="H166" i="16"/>
  <c r="E166" i="2" s="1"/>
  <c r="H165" i="16"/>
  <c r="E165" i="2" s="1"/>
  <c r="H164" i="16"/>
  <c r="E164" i="2" s="1"/>
  <c r="H163" i="16"/>
  <c r="E163" i="2" s="1"/>
  <c r="H162" i="16"/>
  <c r="E162" i="2" s="1"/>
  <c r="H161" i="16"/>
  <c r="E161" i="2" s="1"/>
  <c r="H160" i="16"/>
  <c r="E160" i="2" s="1"/>
  <c r="H159" i="16"/>
  <c r="E159" i="2" s="1"/>
  <c r="H158" i="16"/>
  <c r="E158" i="2" s="1"/>
  <c r="H157" i="16"/>
  <c r="E157" i="2" s="1"/>
  <c r="H156" i="16"/>
  <c r="E156" i="2" s="1"/>
  <c r="H155" i="16"/>
  <c r="E155" i="2" s="1"/>
  <c r="H154" i="16"/>
  <c r="E154" i="2" s="1"/>
  <c r="H153" i="16"/>
  <c r="E153" i="2" s="1"/>
  <c r="H152" i="16"/>
  <c r="E152" i="2" s="1"/>
  <c r="H151" i="16"/>
  <c r="E151" i="2" s="1"/>
  <c r="H150" i="16"/>
  <c r="E150" i="2" s="1"/>
  <c r="H149" i="16"/>
  <c r="E149" i="2" s="1"/>
  <c r="H148" i="16"/>
  <c r="E148" i="2" s="1"/>
  <c r="H147" i="16"/>
  <c r="E147" i="2" s="1"/>
  <c r="H146" i="16"/>
  <c r="E146" i="2" s="1"/>
  <c r="H145" i="16"/>
  <c r="E145" i="2" s="1"/>
  <c r="H144" i="16"/>
  <c r="E144" i="2" s="1"/>
  <c r="H143" i="16"/>
  <c r="E143" i="2" s="1"/>
  <c r="H142" i="16"/>
  <c r="E142" i="2" s="1"/>
  <c r="H141" i="16"/>
  <c r="E141" i="2" s="1"/>
  <c r="H140" i="16"/>
  <c r="E140" i="2" s="1"/>
  <c r="H139" i="16"/>
  <c r="E139" i="2" s="1"/>
  <c r="H138" i="16"/>
  <c r="E138" i="2" s="1"/>
  <c r="H137" i="16"/>
  <c r="E137" i="2" s="1"/>
  <c r="H136" i="16"/>
  <c r="E136" i="2" s="1"/>
  <c r="H135" i="16"/>
  <c r="E135" i="2" s="1"/>
  <c r="H134" i="16"/>
  <c r="E134" i="2" s="1"/>
  <c r="H133" i="16"/>
  <c r="E133" i="2" s="1"/>
  <c r="H132" i="16"/>
  <c r="E132" i="2" s="1"/>
  <c r="H131" i="16"/>
  <c r="E131" i="2" s="1"/>
  <c r="H130" i="16"/>
  <c r="E130" i="2" s="1"/>
  <c r="H129" i="16"/>
  <c r="E129" i="2" s="1"/>
  <c r="H128" i="16"/>
  <c r="E128" i="2" s="1"/>
  <c r="H127" i="16"/>
  <c r="E127" i="2" s="1"/>
  <c r="H126" i="16"/>
  <c r="E126" i="2" s="1"/>
  <c r="H125" i="16"/>
  <c r="E125" i="2" s="1"/>
  <c r="H124" i="16"/>
  <c r="E124" i="2" s="1"/>
  <c r="H123" i="16"/>
  <c r="E123" i="2" s="1"/>
  <c r="H122" i="16"/>
  <c r="E122" i="2" s="1"/>
  <c r="H121" i="16"/>
  <c r="E121" i="2" s="1"/>
  <c r="H120" i="16"/>
  <c r="E120" i="2" s="1"/>
  <c r="H119" i="16"/>
  <c r="E119" i="2" s="1"/>
  <c r="H118" i="16"/>
  <c r="E118" i="2" s="1"/>
  <c r="H117" i="16"/>
  <c r="E117" i="2" s="1"/>
  <c r="H116" i="16"/>
  <c r="E116" i="2" s="1"/>
  <c r="H115" i="16"/>
  <c r="E115" i="2" s="1"/>
  <c r="H114" i="16"/>
  <c r="E114" i="2" s="1"/>
  <c r="H113" i="16"/>
  <c r="E113" i="2" s="1"/>
  <c r="H112" i="16"/>
  <c r="E112" i="2" s="1"/>
  <c r="H111" i="16"/>
  <c r="E111" i="2" s="1"/>
  <c r="H110" i="16"/>
  <c r="E110" i="2" s="1"/>
  <c r="H109" i="16"/>
  <c r="E109" i="2" s="1"/>
  <c r="H108" i="16"/>
  <c r="E108" i="2" s="1"/>
  <c r="H107" i="16"/>
  <c r="E107" i="2" s="1"/>
  <c r="H106" i="16"/>
  <c r="E106" i="2" s="1"/>
  <c r="H105" i="16"/>
  <c r="E105" i="2" s="1"/>
  <c r="H104" i="16"/>
  <c r="E104" i="2" s="1"/>
  <c r="H103" i="16"/>
  <c r="E103" i="2" s="1"/>
  <c r="H102" i="16"/>
  <c r="E102" i="2" s="1"/>
  <c r="H101" i="16"/>
  <c r="E101" i="2" s="1"/>
  <c r="H100" i="16"/>
  <c r="E100" i="2" s="1"/>
  <c r="H99" i="16"/>
  <c r="E99" i="2" s="1"/>
  <c r="H98" i="16"/>
  <c r="E98" i="2" s="1"/>
  <c r="H97" i="16"/>
  <c r="E97" i="2" s="1"/>
  <c r="H96" i="16"/>
  <c r="E96" i="2" s="1"/>
  <c r="H95" i="16"/>
  <c r="E95" i="2" s="1"/>
  <c r="H94" i="16"/>
  <c r="E94" i="2" s="1"/>
  <c r="H93" i="16"/>
  <c r="E93" i="2" s="1"/>
  <c r="H92" i="16"/>
  <c r="E92" i="2" s="1"/>
  <c r="H91" i="16"/>
  <c r="E91" i="2" s="1"/>
  <c r="H90" i="16"/>
  <c r="E90" i="2" s="1"/>
  <c r="H89" i="16"/>
  <c r="E89" i="2" s="1"/>
  <c r="H88" i="16"/>
  <c r="E88" i="2" s="1"/>
  <c r="H87" i="16"/>
  <c r="E87" i="2" s="1"/>
  <c r="H86" i="16"/>
  <c r="E86" i="2" s="1"/>
  <c r="H85" i="16"/>
  <c r="E85" i="2" s="1"/>
  <c r="H84" i="16"/>
  <c r="E84" i="2" s="1"/>
  <c r="H83" i="16"/>
  <c r="E83" i="2" s="1"/>
  <c r="H82" i="16"/>
  <c r="E82" i="2" s="1"/>
  <c r="H81" i="16"/>
  <c r="E81" i="2" s="1"/>
  <c r="H80" i="16"/>
  <c r="E80" i="2" s="1"/>
  <c r="H79" i="16"/>
  <c r="E79" i="2" s="1"/>
  <c r="H78" i="16"/>
  <c r="E78" i="2" s="1"/>
  <c r="H77" i="16"/>
  <c r="E77" i="2" s="1"/>
  <c r="H76" i="16"/>
  <c r="E76" i="2" s="1"/>
  <c r="H75" i="16"/>
  <c r="E75" i="2" s="1"/>
  <c r="H74" i="16"/>
  <c r="E74" i="2" s="1"/>
  <c r="H73" i="16"/>
  <c r="E73" i="2" s="1"/>
  <c r="H72" i="16"/>
  <c r="E72" i="2" s="1"/>
  <c r="H71" i="16"/>
  <c r="E71" i="2" s="1"/>
  <c r="H70" i="16"/>
  <c r="E70" i="2" s="1"/>
  <c r="H69" i="16"/>
  <c r="E69" i="2" s="1"/>
  <c r="H68" i="16"/>
  <c r="E68" i="2" s="1"/>
  <c r="H67" i="16"/>
  <c r="E67" i="2" s="1"/>
  <c r="H66" i="16"/>
  <c r="E66" i="2" s="1"/>
  <c r="H65" i="16"/>
  <c r="E65" i="2" s="1"/>
  <c r="H64" i="16"/>
  <c r="E64" i="2" s="1"/>
  <c r="H63" i="16"/>
  <c r="E63" i="2" s="1"/>
  <c r="H62" i="16"/>
  <c r="E62" i="2" s="1"/>
  <c r="H61" i="16"/>
  <c r="E61" i="2" s="1"/>
  <c r="H60" i="16"/>
  <c r="E60" i="2" s="1"/>
  <c r="H59" i="16"/>
  <c r="E59" i="2" s="1"/>
  <c r="H58" i="16"/>
  <c r="E58" i="2" s="1"/>
  <c r="H57" i="16"/>
  <c r="E57" i="2" s="1"/>
  <c r="H56" i="16"/>
  <c r="E56" i="2" s="1"/>
  <c r="H55" i="16"/>
  <c r="E55" i="2" s="1"/>
  <c r="H54" i="16"/>
  <c r="E54" i="2" s="1"/>
  <c r="H53" i="16"/>
  <c r="E53" i="2" s="1"/>
  <c r="H52" i="16"/>
  <c r="E52" i="2" s="1"/>
  <c r="H51" i="16"/>
  <c r="E51" i="2" s="1"/>
  <c r="H50" i="16"/>
  <c r="E50" i="2" s="1"/>
  <c r="H49" i="16"/>
  <c r="E49" i="2" s="1"/>
  <c r="H48" i="16"/>
  <c r="E48" i="2" s="1"/>
  <c r="H47" i="16"/>
  <c r="E47" i="2" s="1"/>
  <c r="H46" i="16"/>
  <c r="E46" i="2" s="1"/>
  <c r="H45" i="16"/>
  <c r="E45" i="2" s="1"/>
  <c r="H44" i="16"/>
  <c r="E44" i="2" s="1"/>
  <c r="H43" i="16"/>
  <c r="E43" i="2" s="1"/>
  <c r="H42" i="16"/>
  <c r="E42" i="2" s="1"/>
  <c r="H41" i="16"/>
  <c r="E41" i="2" s="1"/>
  <c r="H40" i="16"/>
  <c r="E40" i="2" s="1"/>
  <c r="H39" i="16"/>
  <c r="E39" i="2" s="1"/>
  <c r="H38" i="16"/>
  <c r="E38" i="2" s="1"/>
  <c r="H37" i="16"/>
  <c r="E37" i="2" s="1"/>
  <c r="H36" i="16"/>
  <c r="E36" i="2" s="1"/>
  <c r="H35" i="16"/>
  <c r="E35" i="2" s="1"/>
  <c r="H34" i="16"/>
  <c r="E34" i="2" s="1"/>
  <c r="H33" i="16"/>
  <c r="E33" i="2" s="1"/>
  <c r="H32" i="16"/>
  <c r="E32" i="2" s="1"/>
  <c r="H31" i="16"/>
  <c r="E31" i="2" s="1"/>
  <c r="H30" i="16"/>
  <c r="E30" i="2" s="1"/>
  <c r="H29" i="16"/>
  <c r="E29" i="2" s="1"/>
  <c r="H28" i="16"/>
  <c r="E28" i="2" s="1"/>
  <c r="H27" i="16"/>
  <c r="E27" i="2" s="1"/>
  <c r="H26" i="16"/>
  <c r="E26" i="2" s="1"/>
  <c r="H25" i="16"/>
  <c r="E25" i="2" s="1"/>
  <c r="H24" i="16"/>
  <c r="E24" i="2" s="1"/>
  <c r="H23" i="16"/>
  <c r="E23" i="2" s="1"/>
  <c r="H22" i="16"/>
  <c r="E22" i="2" s="1"/>
  <c r="H21" i="16"/>
  <c r="E21" i="2" s="1"/>
  <c r="H20" i="16"/>
  <c r="E20" i="2" s="1"/>
  <c r="H19" i="16"/>
  <c r="E19" i="2" s="1"/>
  <c r="H18" i="16"/>
  <c r="E18" i="2" s="1"/>
  <c r="H17" i="16"/>
  <c r="E17" i="2" s="1"/>
  <c r="H16" i="16"/>
  <c r="E16" i="2" s="1"/>
  <c r="H15" i="16"/>
  <c r="E15" i="2" s="1"/>
  <c r="H14" i="16"/>
  <c r="E14" i="2" s="1"/>
  <c r="H13" i="16"/>
  <c r="E13" i="2" s="1"/>
  <c r="H12" i="16"/>
  <c r="E12" i="2" s="1"/>
  <c r="H11" i="16"/>
  <c r="E11" i="2" s="1"/>
  <c r="H10" i="16"/>
  <c r="E10" i="2" s="1"/>
  <c r="H9" i="16"/>
  <c r="E9" i="2" s="1"/>
  <c r="H8" i="16"/>
  <c r="E8" i="2" s="1"/>
  <c r="H7" i="16"/>
  <c r="E7" i="2" s="1"/>
  <c r="H6" i="16"/>
  <c r="E6" i="2" s="1"/>
  <c r="H5" i="16"/>
  <c r="E5" i="2" s="1"/>
  <c r="H4" i="16"/>
  <c r="E4" i="2" s="1"/>
  <c r="H3" i="16"/>
  <c r="E3" i="2" s="1"/>
  <c r="H570" i="15"/>
  <c r="F570" i="2" s="1"/>
  <c r="H569" i="15"/>
  <c r="F569" i="2" s="1"/>
  <c r="H568" i="15"/>
  <c r="F568" i="2" s="1"/>
  <c r="H567" i="15"/>
  <c r="F567" i="2" s="1"/>
  <c r="H566" i="15"/>
  <c r="F566" i="2" s="1"/>
  <c r="H565" i="15"/>
  <c r="F565" i="2" s="1"/>
  <c r="H564" i="15"/>
  <c r="F564" i="2" s="1"/>
  <c r="H563" i="15"/>
  <c r="F563" i="2" s="1"/>
  <c r="H562" i="15"/>
  <c r="F562" i="2" s="1"/>
  <c r="H561" i="15"/>
  <c r="F561" i="2" s="1"/>
  <c r="H560" i="15"/>
  <c r="F560" i="2" s="1"/>
  <c r="H559" i="15"/>
  <c r="F559" i="2" s="1"/>
  <c r="H558" i="15"/>
  <c r="F558" i="2" s="1"/>
  <c r="H557" i="15"/>
  <c r="F557" i="2" s="1"/>
  <c r="H556" i="15"/>
  <c r="F556" i="2" s="1"/>
  <c r="H555" i="15"/>
  <c r="F555" i="2" s="1"/>
  <c r="H554" i="15"/>
  <c r="F554" i="2" s="1"/>
  <c r="H553" i="15"/>
  <c r="F553" i="2" s="1"/>
  <c r="H552" i="15"/>
  <c r="F552" i="2" s="1"/>
  <c r="H551" i="15"/>
  <c r="F551" i="2" s="1"/>
  <c r="H550" i="15"/>
  <c r="F550" i="2" s="1"/>
  <c r="H549" i="15"/>
  <c r="F549" i="2" s="1"/>
  <c r="H548" i="15"/>
  <c r="F548" i="2" s="1"/>
  <c r="H547" i="15"/>
  <c r="F547" i="2" s="1"/>
  <c r="H546" i="15"/>
  <c r="F546" i="2" s="1"/>
  <c r="H545" i="15"/>
  <c r="F545" i="2" s="1"/>
  <c r="H544" i="15"/>
  <c r="F544" i="2" s="1"/>
  <c r="H543" i="15"/>
  <c r="F543" i="2" s="1"/>
  <c r="H542" i="15"/>
  <c r="F542" i="2" s="1"/>
  <c r="H541" i="15"/>
  <c r="F541" i="2" s="1"/>
  <c r="H540" i="15"/>
  <c r="F540" i="2" s="1"/>
  <c r="H539" i="15"/>
  <c r="F539" i="2" s="1"/>
  <c r="H538" i="15"/>
  <c r="F538" i="2" s="1"/>
  <c r="H537" i="15"/>
  <c r="F537" i="2" s="1"/>
  <c r="H536" i="15"/>
  <c r="F536" i="2" s="1"/>
  <c r="H535" i="15"/>
  <c r="F535" i="2" s="1"/>
  <c r="H534" i="15"/>
  <c r="F534" i="2" s="1"/>
  <c r="H533" i="15"/>
  <c r="F533" i="2" s="1"/>
  <c r="H532" i="15"/>
  <c r="F532" i="2" s="1"/>
  <c r="H531" i="15"/>
  <c r="F531" i="2" s="1"/>
  <c r="H530" i="15"/>
  <c r="F530" i="2" s="1"/>
  <c r="H529" i="15"/>
  <c r="F529" i="2" s="1"/>
  <c r="H528" i="15"/>
  <c r="F528" i="2" s="1"/>
  <c r="H527" i="15"/>
  <c r="F527" i="2" s="1"/>
  <c r="H526" i="15"/>
  <c r="F526" i="2" s="1"/>
  <c r="H525" i="15"/>
  <c r="F525" i="2" s="1"/>
  <c r="H524" i="15"/>
  <c r="F524" i="2" s="1"/>
  <c r="H523" i="15"/>
  <c r="F523" i="2" s="1"/>
  <c r="H522" i="15"/>
  <c r="F522" i="2" s="1"/>
  <c r="H521" i="15"/>
  <c r="F521" i="2" s="1"/>
  <c r="H520" i="15"/>
  <c r="F520" i="2" s="1"/>
  <c r="H519" i="15"/>
  <c r="F519" i="2" s="1"/>
  <c r="H518" i="15"/>
  <c r="F518" i="2" s="1"/>
  <c r="H517" i="15"/>
  <c r="F517" i="2" s="1"/>
  <c r="H516" i="15"/>
  <c r="F516" i="2" s="1"/>
  <c r="H515" i="15"/>
  <c r="F515" i="2" s="1"/>
  <c r="H514" i="15"/>
  <c r="F514" i="2" s="1"/>
  <c r="H513" i="15"/>
  <c r="F513" i="2" s="1"/>
  <c r="H512" i="15"/>
  <c r="F512" i="2" s="1"/>
  <c r="H511" i="15"/>
  <c r="F511" i="2" s="1"/>
  <c r="H510" i="15"/>
  <c r="F510" i="2" s="1"/>
  <c r="H509" i="15"/>
  <c r="F509" i="2" s="1"/>
  <c r="H508" i="15"/>
  <c r="F508" i="2" s="1"/>
  <c r="H507" i="15"/>
  <c r="F507" i="2" s="1"/>
  <c r="H506" i="15"/>
  <c r="F506" i="2" s="1"/>
  <c r="H505" i="15"/>
  <c r="F505" i="2" s="1"/>
  <c r="H504" i="15"/>
  <c r="F504" i="2" s="1"/>
  <c r="H503" i="15"/>
  <c r="F503" i="2" s="1"/>
  <c r="H502" i="15"/>
  <c r="F502" i="2" s="1"/>
  <c r="H501" i="15"/>
  <c r="F501" i="2" s="1"/>
  <c r="H500" i="15"/>
  <c r="F500" i="2" s="1"/>
  <c r="H499" i="15"/>
  <c r="F499" i="2" s="1"/>
  <c r="H498" i="15"/>
  <c r="F498" i="2" s="1"/>
  <c r="H497" i="15"/>
  <c r="F497" i="2" s="1"/>
  <c r="H496" i="15"/>
  <c r="F496" i="2" s="1"/>
  <c r="H495" i="15"/>
  <c r="F495" i="2" s="1"/>
  <c r="H494" i="15"/>
  <c r="F494" i="2" s="1"/>
  <c r="H493" i="15"/>
  <c r="F493" i="2" s="1"/>
  <c r="H492" i="15"/>
  <c r="F492" i="2" s="1"/>
  <c r="H491" i="15"/>
  <c r="F491" i="2" s="1"/>
  <c r="H490" i="15"/>
  <c r="F490" i="2" s="1"/>
  <c r="H489" i="15"/>
  <c r="F489" i="2" s="1"/>
  <c r="H488" i="15"/>
  <c r="F488" i="2" s="1"/>
  <c r="H487" i="15"/>
  <c r="F487" i="2" s="1"/>
  <c r="H486" i="15"/>
  <c r="F486" i="2" s="1"/>
  <c r="H485" i="15"/>
  <c r="F485" i="2" s="1"/>
  <c r="H484" i="15"/>
  <c r="F484" i="2" s="1"/>
  <c r="H483" i="15"/>
  <c r="F483" i="2" s="1"/>
  <c r="H482" i="15"/>
  <c r="F482" i="2" s="1"/>
  <c r="H481" i="15"/>
  <c r="F481" i="2" s="1"/>
  <c r="H480" i="15"/>
  <c r="F480" i="2" s="1"/>
  <c r="H479" i="15"/>
  <c r="F479" i="2" s="1"/>
  <c r="H478" i="15"/>
  <c r="F478" i="2" s="1"/>
  <c r="H477" i="15"/>
  <c r="F477" i="2" s="1"/>
  <c r="H476" i="15"/>
  <c r="F476" i="2" s="1"/>
  <c r="H475" i="15"/>
  <c r="F475" i="2" s="1"/>
  <c r="H474" i="15"/>
  <c r="F474" i="2" s="1"/>
  <c r="H473" i="15"/>
  <c r="F473" i="2" s="1"/>
  <c r="H472" i="15"/>
  <c r="F472" i="2" s="1"/>
  <c r="H471" i="15"/>
  <c r="F471" i="2" s="1"/>
  <c r="H470" i="15"/>
  <c r="F470" i="2" s="1"/>
  <c r="H469" i="15"/>
  <c r="F469" i="2" s="1"/>
  <c r="H468" i="15"/>
  <c r="F468" i="2" s="1"/>
  <c r="H467" i="15"/>
  <c r="F467" i="2" s="1"/>
  <c r="H466" i="15"/>
  <c r="F466" i="2" s="1"/>
  <c r="H465" i="15"/>
  <c r="F465" i="2" s="1"/>
  <c r="H464" i="15"/>
  <c r="F464" i="2" s="1"/>
  <c r="H463" i="15"/>
  <c r="F463" i="2" s="1"/>
  <c r="H462" i="15"/>
  <c r="F462" i="2" s="1"/>
  <c r="H461" i="15"/>
  <c r="F461" i="2" s="1"/>
  <c r="H460" i="15"/>
  <c r="F460" i="2" s="1"/>
  <c r="H459" i="15"/>
  <c r="F459" i="2" s="1"/>
  <c r="H458" i="15"/>
  <c r="F458" i="2" s="1"/>
  <c r="H457" i="15"/>
  <c r="F457" i="2" s="1"/>
  <c r="H456" i="15"/>
  <c r="F456" i="2" s="1"/>
  <c r="H455" i="15"/>
  <c r="F455" i="2" s="1"/>
  <c r="H454" i="15"/>
  <c r="F454" i="2" s="1"/>
  <c r="H453" i="15"/>
  <c r="F453" i="2" s="1"/>
  <c r="H452" i="15"/>
  <c r="F452" i="2" s="1"/>
  <c r="H451" i="15"/>
  <c r="F451" i="2" s="1"/>
  <c r="H450" i="15"/>
  <c r="F450" i="2" s="1"/>
  <c r="H449" i="15"/>
  <c r="F449" i="2" s="1"/>
  <c r="H448" i="15"/>
  <c r="F448" i="2" s="1"/>
  <c r="H447" i="15"/>
  <c r="F447" i="2" s="1"/>
  <c r="H446" i="15"/>
  <c r="F446" i="2" s="1"/>
  <c r="H445" i="15"/>
  <c r="F445" i="2" s="1"/>
  <c r="H444" i="15"/>
  <c r="F444" i="2" s="1"/>
  <c r="H443" i="15"/>
  <c r="F443" i="2" s="1"/>
  <c r="H442" i="15"/>
  <c r="F442" i="2" s="1"/>
  <c r="H441" i="15"/>
  <c r="F441" i="2" s="1"/>
  <c r="H440" i="15"/>
  <c r="F440" i="2" s="1"/>
  <c r="H439" i="15"/>
  <c r="F439" i="2" s="1"/>
  <c r="H438" i="15"/>
  <c r="F438" i="2" s="1"/>
  <c r="H437" i="15"/>
  <c r="F437" i="2" s="1"/>
  <c r="H436" i="15"/>
  <c r="F436" i="2" s="1"/>
  <c r="H435" i="15"/>
  <c r="F435" i="2" s="1"/>
  <c r="H434" i="15"/>
  <c r="F434" i="2" s="1"/>
  <c r="H433" i="15"/>
  <c r="F433" i="2" s="1"/>
  <c r="H432" i="15"/>
  <c r="F432" i="2" s="1"/>
  <c r="H431" i="15"/>
  <c r="F431" i="2" s="1"/>
  <c r="H430" i="15"/>
  <c r="F430" i="2" s="1"/>
  <c r="H429" i="15"/>
  <c r="F429" i="2" s="1"/>
  <c r="H428" i="15"/>
  <c r="F428" i="2" s="1"/>
  <c r="H427" i="15"/>
  <c r="F427" i="2" s="1"/>
  <c r="H426" i="15"/>
  <c r="F426" i="2" s="1"/>
  <c r="H425" i="15"/>
  <c r="F425" i="2" s="1"/>
  <c r="H424" i="15"/>
  <c r="F424" i="2" s="1"/>
  <c r="H423" i="15"/>
  <c r="F423" i="2" s="1"/>
  <c r="H422" i="15"/>
  <c r="F422" i="2" s="1"/>
  <c r="H421" i="15"/>
  <c r="F421" i="2" s="1"/>
  <c r="H420" i="15"/>
  <c r="F420" i="2" s="1"/>
  <c r="H419" i="15"/>
  <c r="F419" i="2" s="1"/>
  <c r="H418" i="15"/>
  <c r="F418" i="2" s="1"/>
  <c r="H417" i="15"/>
  <c r="F417" i="2" s="1"/>
  <c r="H416" i="15"/>
  <c r="F416" i="2" s="1"/>
  <c r="H415" i="15"/>
  <c r="F415" i="2" s="1"/>
  <c r="H414" i="15"/>
  <c r="F414" i="2" s="1"/>
  <c r="H413" i="15"/>
  <c r="F413" i="2" s="1"/>
  <c r="H412" i="15"/>
  <c r="F412" i="2" s="1"/>
  <c r="H411" i="15"/>
  <c r="F411" i="2" s="1"/>
  <c r="H410" i="15"/>
  <c r="F410" i="2" s="1"/>
  <c r="H409" i="15"/>
  <c r="F409" i="2" s="1"/>
  <c r="H408" i="15"/>
  <c r="F408" i="2" s="1"/>
  <c r="H407" i="15"/>
  <c r="F407" i="2" s="1"/>
  <c r="H406" i="15"/>
  <c r="F406" i="2" s="1"/>
  <c r="H405" i="15"/>
  <c r="F405" i="2" s="1"/>
  <c r="H404" i="15"/>
  <c r="F404" i="2" s="1"/>
  <c r="H403" i="15"/>
  <c r="F403" i="2" s="1"/>
  <c r="H402" i="15"/>
  <c r="F402" i="2" s="1"/>
  <c r="H401" i="15"/>
  <c r="F401" i="2" s="1"/>
  <c r="H400" i="15"/>
  <c r="F400" i="2" s="1"/>
  <c r="H399" i="15"/>
  <c r="F399" i="2" s="1"/>
  <c r="H398" i="15"/>
  <c r="F398" i="2" s="1"/>
  <c r="H397" i="15"/>
  <c r="F397" i="2" s="1"/>
  <c r="H396" i="15"/>
  <c r="F396" i="2" s="1"/>
  <c r="H395" i="15"/>
  <c r="F395" i="2" s="1"/>
  <c r="H394" i="15"/>
  <c r="F394" i="2" s="1"/>
  <c r="H393" i="15"/>
  <c r="F393" i="2" s="1"/>
  <c r="H392" i="15"/>
  <c r="F392" i="2" s="1"/>
  <c r="H391" i="15"/>
  <c r="F391" i="2" s="1"/>
  <c r="H390" i="15"/>
  <c r="F390" i="2" s="1"/>
  <c r="H389" i="15"/>
  <c r="F389" i="2" s="1"/>
  <c r="H388" i="15"/>
  <c r="F388" i="2" s="1"/>
  <c r="H387" i="15"/>
  <c r="F387" i="2" s="1"/>
  <c r="H386" i="15"/>
  <c r="F386" i="2" s="1"/>
  <c r="H385" i="15"/>
  <c r="F385" i="2" s="1"/>
  <c r="H384" i="15"/>
  <c r="F384" i="2" s="1"/>
  <c r="H383" i="15"/>
  <c r="F383" i="2" s="1"/>
  <c r="H382" i="15"/>
  <c r="F382" i="2" s="1"/>
  <c r="H381" i="15"/>
  <c r="F381" i="2" s="1"/>
  <c r="H380" i="15"/>
  <c r="F380" i="2" s="1"/>
  <c r="H379" i="15"/>
  <c r="F379" i="2" s="1"/>
  <c r="H378" i="15"/>
  <c r="F378" i="2" s="1"/>
  <c r="H377" i="15"/>
  <c r="F377" i="2" s="1"/>
  <c r="H376" i="15"/>
  <c r="F376" i="2" s="1"/>
  <c r="H375" i="15"/>
  <c r="F375" i="2" s="1"/>
  <c r="H374" i="15"/>
  <c r="F374" i="2" s="1"/>
  <c r="H373" i="15"/>
  <c r="F373" i="2" s="1"/>
  <c r="H372" i="15"/>
  <c r="F372" i="2" s="1"/>
  <c r="H371" i="15"/>
  <c r="F371" i="2" s="1"/>
  <c r="H370" i="15"/>
  <c r="F370" i="2" s="1"/>
  <c r="H369" i="15"/>
  <c r="F369" i="2" s="1"/>
  <c r="H368" i="15"/>
  <c r="F368" i="2" s="1"/>
  <c r="H367" i="15"/>
  <c r="F367" i="2" s="1"/>
  <c r="H366" i="15"/>
  <c r="F366" i="2" s="1"/>
  <c r="H365" i="15"/>
  <c r="F365" i="2" s="1"/>
  <c r="H364" i="15"/>
  <c r="F364" i="2" s="1"/>
  <c r="H363" i="15"/>
  <c r="F363" i="2" s="1"/>
  <c r="H362" i="15"/>
  <c r="F362" i="2" s="1"/>
  <c r="H361" i="15"/>
  <c r="F361" i="2" s="1"/>
  <c r="H360" i="15"/>
  <c r="F360" i="2" s="1"/>
  <c r="H359" i="15"/>
  <c r="F359" i="2" s="1"/>
  <c r="H358" i="15"/>
  <c r="F358" i="2" s="1"/>
  <c r="H357" i="15"/>
  <c r="F357" i="2" s="1"/>
  <c r="H356" i="15"/>
  <c r="F356" i="2" s="1"/>
  <c r="H355" i="15"/>
  <c r="F355" i="2" s="1"/>
  <c r="H354" i="15"/>
  <c r="F354" i="2" s="1"/>
  <c r="H353" i="15"/>
  <c r="F353" i="2" s="1"/>
  <c r="H352" i="15"/>
  <c r="F352" i="2" s="1"/>
  <c r="H351" i="15"/>
  <c r="F351" i="2" s="1"/>
  <c r="H350" i="15"/>
  <c r="F350" i="2" s="1"/>
  <c r="H349" i="15"/>
  <c r="F349" i="2" s="1"/>
  <c r="H348" i="15"/>
  <c r="F348" i="2" s="1"/>
  <c r="H347" i="15"/>
  <c r="F347" i="2" s="1"/>
  <c r="H346" i="15"/>
  <c r="F346" i="2" s="1"/>
  <c r="H345" i="15"/>
  <c r="F345" i="2" s="1"/>
  <c r="H344" i="15"/>
  <c r="F344" i="2" s="1"/>
  <c r="H343" i="15"/>
  <c r="F343" i="2" s="1"/>
  <c r="H342" i="15"/>
  <c r="F342" i="2" s="1"/>
  <c r="H341" i="15"/>
  <c r="F341" i="2" s="1"/>
  <c r="H340" i="15"/>
  <c r="F340" i="2" s="1"/>
  <c r="H339" i="15"/>
  <c r="F339" i="2" s="1"/>
  <c r="H338" i="15"/>
  <c r="F338" i="2" s="1"/>
  <c r="H337" i="15"/>
  <c r="F337" i="2" s="1"/>
  <c r="H336" i="15"/>
  <c r="F336" i="2" s="1"/>
  <c r="H335" i="15"/>
  <c r="F335" i="2" s="1"/>
  <c r="H334" i="15"/>
  <c r="F334" i="2" s="1"/>
  <c r="H333" i="15"/>
  <c r="F333" i="2" s="1"/>
  <c r="H332" i="15"/>
  <c r="F332" i="2" s="1"/>
  <c r="H331" i="15"/>
  <c r="F331" i="2" s="1"/>
  <c r="H330" i="15"/>
  <c r="F330" i="2" s="1"/>
  <c r="H329" i="15"/>
  <c r="F329" i="2" s="1"/>
  <c r="H328" i="15"/>
  <c r="F328" i="2" s="1"/>
  <c r="H327" i="15"/>
  <c r="F327" i="2" s="1"/>
  <c r="H326" i="15"/>
  <c r="F326" i="2" s="1"/>
  <c r="H325" i="15"/>
  <c r="F325" i="2" s="1"/>
  <c r="H324" i="15"/>
  <c r="F324" i="2" s="1"/>
  <c r="H323" i="15"/>
  <c r="F323" i="2" s="1"/>
  <c r="H322" i="15"/>
  <c r="F322" i="2" s="1"/>
  <c r="H321" i="15"/>
  <c r="F321" i="2" s="1"/>
  <c r="H320" i="15"/>
  <c r="F320" i="2" s="1"/>
  <c r="H319" i="15"/>
  <c r="F319" i="2" s="1"/>
  <c r="H318" i="15"/>
  <c r="F318" i="2" s="1"/>
  <c r="H317" i="15"/>
  <c r="F317" i="2" s="1"/>
  <c r="H316" i="15"/>
  <c r="F316" i="2" s="1"/>
  <c r="H315" i="15"/>
  <c r="F315" i="2" s="1"/>
  <c r="H314" i="15"/>
  <c r="F314" i="2" s="1"/>
  <c r="H313" i="15"/>
  <c r="F313" i="2" s="1"/>
  <c r="H312" i="15"/>
  <c r="F312" i="2" s="1"/>
  <c r="H311" i="15"/>
  <c r="F311" i="2" s="1"/>
  <c r="H310" i="15"/>
  <c r="F310" i="2" s="1"/>
  <c r="H309" i="15"/>
  <c r="F309" i="2" s="1"/>
  <c r="H308" i="15"/>
  <c r="F308" i="2" s="1"/>
  <c r="H307" i="15"/>
  <c r="F307" i="2" s="1"/>
  <c r="H306" i="15"/>
  <c r="F306" i="2" s="1"/>
  <c r="H305" i="15"/>
  <c r="F305" i="2" s="1"/>
  <c r="H304" i="15"/>
  <c r="F304" i="2" s="1"/>
  <c r="H303" i="15"/>
  <c r="F303" i="2" s="1"/>
  <c r="H302" i="15"/>
  <c r="F302" i="2" s="1"/>
  <c r="H301" i="15"/>
  <c r="F301" i="2" s="1"/>
  <c r="H300" i="15"/>
  <c r="F300" i="2" s="1"/>
  <c r="H299" i="15"/>
  <c r="F299" i="2" s="1"/>
  <c r="H298" i="15"/>
  <c r="F298" i="2" s="1"/>
  <c r="H297" i="15"/>
  <c r="F297" i="2" s="1"/>
  <c r="H296" i="15"/>
  <c r="F296" i="2" s="1"/>
  <c r="H295" i="15"/>
  <c r="F295" i="2" s="1"/>
  <c r="H294" i="15"/>
  <c r="F294" i="2" s="1"/>
  <c r="H293" i="15"/>
  <c r="F293" i="2" s="1"/>
  <c r="H292" i="15"/>
  <c r="F292" i="2" s="1"/>
  <c r="H291" i="15"/>
  <c r="F291" i="2" s="1"/>
  <c r="H290" i="15"/>
  <c r="F290" i="2" s="1"/>
  <c r="H289" i="15"/>
  <c r="F289" i="2" s="1"/>
  <c r="H288" i="15"/>
  <c r="F288" i="2" s="1"/>
  <c r="H287" i="15"/>
  <c r="F287" i="2" s="1"/>
  <c r="H286" i="15"/>
  <c r="F286" i="2" s="1"/>
  <c r="H285" i="15"/>
  <c r="F285" i="2" s="1"/>
  <c r="H284" i="15"/>
  <c r="F284" i="2" s="1"/>
  <c r="H283" i="15"/>
  <c r="F283" i="2" s="1"/>
  <c r="H282" i="15"/>
  <c r="F282" i="2" s="1"/>
  <c r="H281" i="15"/>
  <c r="F281" i="2" s="1"/>
  <c r="H280" i="15"/>
  <c r="F280" i="2" s="1"/>
  <c r="H279" i="15"/>
  <c r="F279" i="2" s="1"/>
  <c r="H278" i="15"/>
  <c r="F278" i="2" s="1"/>
  <c r="H277" i="15"/>
  <c r="F277" i="2" s="1"/>
  <c r="H276" i="15"/>
  <c r="F276" i="2" s="1"/>
  <c r="H275" i="15"/>
  <c r="F275" i="2" s="1"/>
  <c r="H274" i="15"/>
  <c r="F274" i="2" s="1"/>
  <c r="H273" i="15"/>
  <c r="F273" i="2" s="1"/>
  <c r="H272" i="15"/>
  <c r="F272" i="2" s="1"/>
  <c r="H271" i="15"/>
  <c r="F271" i="2" s="1"/>
  <c r="H270" i="15"/>
  <c r="F270" i="2" s="1"/>
  <c r="H269" i="15"/>
  <c r="F269" i="2" s="1"/>
  <c r="H268" i="15"/>
  <c r="F268" i="2" s="1"/>
  <c r="H267" i="15"/>
  <c r="F267" i="2" s="1"/>
  <c r="H266" i="15"/>
  <c r="F266" i="2" s="1"/>
  <c r="H265" i="15"/>
  <c r="F265" i="2" s="1"/>
  <c r="H264" i="15"/>
  <c r="F264" i="2" s="1"/>
  <c r="H263" i="15"/>
  <c r="F263" i="2" s="1"/>
  <c r="H262" i="15"/>
  <c r="F262" i="2" s="1"/>
  <c r="H261" i="15"/>
  <c r="F261" i="2" s="1"/>
  <c r="H260" i="15"/>
  <c r="F260" i="2" s="1"/>
  <c r="H259" i="15"/>
  <c r="F259" i="2" s="1"/>
  <c r="H258" i="15"/>
  <c r="F258" i="2" s="1"/>
  <c r="H257" i="15"/>
  <c r="F257" i="2" s="1"/>
  <c r="H256" i="15"/>
  <c r="F256" i="2" s="1"/>
  <c r="H255" i="15"/>
  <c r="F255" i="2" s="1"/>
  <c r="H254" i="15"/>
  <c r="F254" i="2" s="1"/>
  <c r="H253" i="15"/>
  <c r="F253" i="2" s="1"/>
  <c r="H252" i="15"/>
  <c r="F252" i="2" s="1"/>
  <c r="H251" i="15"/>
  <c r="F251" i="2" s="1"/>
  <c r="H250" i="15"/>
  <c r="F250" i="2" s="1"/>
  <c r="H249" i="15"/>
  <c r="F249" i="2" s="1"/>
  <c r="H248" i="15"/>
  <c r="F248" i="2" s="1"/>
  <c r="H247" i="15"/>
  <c r="F247" i="2" s="1"/>
  <c r="H246" i="15"/>
  <c r="F246" i="2" s="1"/>
  <c r="H245" i="15"/>
  <c r="F245" i="2" s="1"/>
  <c r="H244" i="15"/>
  <c r="F244" i="2" s="1"/>
  <c r="H243" i="15"/>
  <c r="F243" i="2" s="1"/>
  <c r="H242" i="15"/>
  <c r="F242" i="2" s="1"/>
  <c r="H241" i="15"/>
  <c r="F241" i="2" s="1"/>
  <c r="H240" i="15"/>
  <c r="F240" i="2" s="1"/>
  <c r="H239" i="15"/>
  <c r="F239" i="2" s="1"/>
  <c r="H238" i="15"/>
  <c r="F238" i="2" s="1"/>
  <c r="H237" i="15"/>
  <c r="F237" i="2" s="1"/>
  <c r="H236" i="15"/>
  <c r="F236" i="2" s="1"/>
  <c r="H235" i="15"/>
  <c r="F235" i="2" s="1"/>
  <c r="H234" i="15"/>
  <c r="F234" i="2" s="1"/>
  <c r="H233" i="15"/>
  <c r="F233" i="2" s="1"/>
  <c r="H232" i="15"/>
  <c r="F232" i="2" s="1"/>
  <c r="H231" i="15"/>
  <c r="F231" i="2" s="1"/>
  <c r="H230" i="15"/>
  <c r="F230" i="2" s="1"/>
  <c r="H229" i="15"/>
  <c r="F229" i="2" s="1"/>
  <c r="H228" i="15"/>
  <c r="F228" i="2" s="1"/>
  <c r="H227" i="15"/>
  <c r="F227" i="2" s="1"/>
  <c r="H226" i="15"/>
  <c r="F226" i="2" s="1"/>
  <c r="H225" i="15"/>
  <c r="F225" i="2" s="1"/>
  <c r="H224" i="15"/>
  <c r="F224" i="2" s="1"/>
  <c r="H223" i="15"/>
  <c r="F223" i="2" s="1"/>
  <c r="H222" i="15"/>
  <c r="F222" i="2" s="1"/>
  <c r="H221" i="15"/>
  <c r="F221" i="2" s="1"/>
  <c r="H220" i="15"/>
  <c r="F220" i="2" s="1"/>
  <c r="H219" i="15"/>
  <c r="F219" i="2" s="1"/>
  <c r="H218" i="15"/>
  <c r="F218" i="2" s="1"/>
  <c r="H217" i="15"/>
  <c r="F217" i="2" s="1"/>
  <c r="H216" i="15"/>
  <c r="F216" i="2" s="1"/>
  <c r="H215" i="15"/>
  <c r="F215" i="2" s="1"/>
  <c r="H214" i="15"/>
  <c r="F214" i="2" s="1"/>
  <c r="H213" i="15"/>
  <c r="F213" i="2" s="1"/>
  <c r="H212" i="15"/>
  <c r="F212" i="2" s="1"/>
  <c r="H211" i="15"/>
  <c r="F211" i="2" s="1"/>
  <c r="H210" i="15"/>
  <c r="F210" i="2" s="1"/>
  <c r="H209" i="15"/>
  <c r="F209" i="2" s="1"/>
  <c r="H208" i="15"/>
  <c r="F208" i="2" s="1"/>
  <c r="H207" i="15"/>
  <c r="F207" i="2" s="1"/>
  <c r="H206" i="15"/>
  <c r="F206" i="2" s="1"/>
  <c r="H205" i="15"/>
  <c r="F205" i="2" s="1"/>
  <c r="H204" i="15"/>
  <c r="F204" i="2" s="1"/>
  <c r="H203" i="15"/>
  <c r="F203" i="2" s="1"/>
  <c r="H202" i="15"/>
  <c r="F202" i="2" s="1"/>
  <c r="H201" i="15"/>
  <c r="F201" i="2" s="1"/>
  <c r="H200" i="15"/>
  <c r="F200" i="2" s="1"/>
  <c r="H199" i="15"/>
  <c r="F199" i="2" s="1"/>
  <c r="H198" i="15"/>
  <c r="F198" i="2" s="1"/>
  <c r="H197" i="15"/>
  <c r="F197" i="2" s="1"/>
  <c r="H196" i="15"/>
  <c r="F196" i="2" s="1"/>
  <c r="H195" i="15"/>
  <c r="F195" i="2" s="1"/>
  <c r="H194" i="15"/>
  <c r="F194" i="2" s="1"/>
  <c r="H193" i="15"/>
  <c r="F193" i="2" s="1"/>
  <c r="H192" i="15"/>
  <c r="F192" i="2" s="1"/>
  <c r="H191" i="15"/>
  <c r="F191" i="2" s="1"/>
  <c r="H190" i="15"/>
  <c r="F190" i="2" s="1"/>
  <c r="H189" i="15"/>
  <c r="F189" i="2" s="1"/>
  <c r="H188" i="15"/>
  <c r="F188" i="2" s="1"/>
  <c r="H187" i="15"/>
  <c r="F187" i="2" s="1"/>
  <c r="H186" i="15"/>
  <c r="F186" i="2" s="1"/>
  <c r="H185" i="15"/>
  <c r="F185" i="2" s="1"/>
  <c r="H184" i="15"/>
  <c r="F184" i="2" s="1"/>
  <c r="H183" i="15"/>
  <c r="F183" i="2" s="1"/>
  <c r="H182" i="15"/>
  <c r="F182" i="2" s="1"/>
  <c r="H181" i="15"/>
  <c r="F181" i="2" s="1"/>
  <c r="H180" i="15"/>
  <c r="F180" i="2" s="1"/>
  <c r="H179" i="15"/>
  <c r="F179" i="2" s="1"/>
  <c r="H178" i="15"/>
  <c r="F178" i="2" s="1"/>
  <c r="H177" i="15"/>
  <c r="F177" i="2" s="1"/>
  <c r="H176" i="15"/>
  <c r="F176" i="2" s="1"/>
  <c r="H175" i="15"/>
  <c r="F175" i="2" s="1"/>
  <c r="H174" i="15"/>
  <c r="F174" i="2" s="1"/>
  <c r="H173" i="15"/>
  <c r="F173" i="2" s="1"/>
  <c r="H172" i="15"/>
  <c r="F172" i="2" s="1"/>
  <c r="H171" i="15"/>
  <c r="F171" i="2" s="1"/>
  <c r="H170" i="15"/>
  <c r="F170" i="2" s="1"/>
  <c r="H169" i="15"/>
  <c r="F169" i="2" s="1"/>
  <c r="H168" i="15"/>
  <c r="F168" i="2" s="1"/>
  <c r="H167" i="15"/>
  <c r="F167" i="2" s="1"/>
  <c r="H166" i="15"/>
  <c r="F166" i="2" s="1"/>
  <c r="H165" i="15"/>
  <c r="F165" i="2" s="1"/>
  <c r="H164" i="15"/>
  <c r="F164" i="2" s="1"/>
  <c r="H163" i="15"/>
  <c r="F163" i="2" s="1"/>
  <c r="H162" i="15"/>
  <c r="F162" i="2" s="1"/>
  <c r="H161" i="15"/>
  <c r="F161" i="2" s="1"/>
  <c r="H160" i="15"/>
  <c r="F160" i="2" s="1"/>
  <c r="H159" i="15"/>
  <c r="F159" i="2" s="1"/>
  <c r="H158" i="15"/>
  <c r="F158" i="2" s="1"/>
  <c r="H157" i="15"/>
  <c r="F157" i="2" s="1"/>
  <c r="H156" i="15"/>
  <c r="F156" i="2" s="1"/>
  <c r="H155" i="15"/>
  <c r="F155" i="2" s="1"/>
  <c r="H154" i="15"/>
  <c r="F154" i="2" s="1"/>
  <c r="H153" i="15"/>
  <c r="F153" i="2" s="1"/>
  <c r="H152" i="15"/>
  <c r="F152" i="2" s="1"/>
  <c r="H151" i="15"/>
  <c r="F151" i="2" s="1"/>
  <c r="H150" i="15"/>
  <c r="F150" i="2" s="1"/>
  <c r="H149" i="15"/>
  <c r="F149" i="2" s="1"/>
  <c r="H148" i="15"/>
  <c r="F148" i="2" s="1"/>
  <c r="H147" i="15"/>
  <c r="F147" i="2" s="1"/>
  <c r="H146" i="15"/>
  <c r="F146" i="2" s="1"/>
  <c r="H145" i="15"/>
  <c r="F145" i="2" s="1"/>
  <c r="H144" i="15"/>
  <c r="F144" i="2" s="1"/>
  <c r="H143" i="15"/>
  <c r="F143" i="2" s="1"/>
  <c r="H142" i="15"/>
  <c r="F142" i="2" s="1"/>
  <c r="H141" i="15"/>
  <c r="F141" i="2" s="1"/>
  <c r="H140" i="15"/>
  <c r="F140" i="2" s="1"/>
  <c r="H139" i="15"/>
  <c r="F139" i="2" s="1"/>
  <c r="H138" i="15"/>
  <c r="F138" i="2" s="1"/>
  <c r="H137" i="15"/>
  <c r="F137" i="2" s="1"/>
  <c r="H136" i="15"/>
  <c r="F136" i="2" s="1"/>
  <c r="H135" i="15"/>
  <c r="F135" i="2" s="1"/>
  <c r="H134" i="15"/>
  <c r="F134" i="2" s="1"/>
  <c r="H133" i="15"/>
  <c r="F133" i="2" s="1"/>
  <c r="H132" i="15"/>
  <c r="F132" i="2" s="1"/>
  <c r="H131" i="15"/>
  <c r="F131" i="2" s="1"/>
  <c r="H130" i="15"/>
  <c r="F130" i="2" s="1"/>
  <c r="H129" i="15"/>
  <c r="F129" i="2" s="1"/>
  <c r="H128" i="15"/>
  <c r="F128" i="2" s="1"/>
  <c r="H127" i="15"/>
  <c r="F127" i="2" s="1"/>
  <c r="H126" i="15"/>
  <c r="F126" i="2" s="1"/>
  <c r="H125" i="15"/>
  <c r="F125" i="2" s="1"/>
  <c r="H124" i="15"/>
  <c r="F124" i="2" s="1"/>
  <c r="H123" i="15"/>
  <c r="F123" i="2" s="1"/>
  <c r="H122" i="15"/>
  <c r="F122" i="2" s="1"/>
  <c r="H121" i="15"/>
  <c r="F121" i="2" s="1"/>
  <c r="H120" i="15"/>
  <c r="F120" i="2" s="1"/>
  <c r="H119" i="15"/>
  <c r="F119" i="2" s="1"/>
  <c r="H118" i="15"/>
  <c r="F118" i="2" s="1"/>
  <c r="H117" i="15"/>
  <c r="F117" i="2" s="1"/>
  <c r="H116" i="15"/>
  <c r="F116" i="2" s="1"/>
  <c r="H115" i="15"/>
  <c r="F115" i="2" s="1"/>
  <c r="H114" i="15"/>
  <c r="F114" i="2" s="1"/>
  <c r="H113" i="15"/>
  <c r="F113" i="2" s="1"/>
  <c r="H112" i="15"/>
  <c r="F112" i="2" s="1"/>
  <c r="H111" i="15"/>
  <c r="F111" i="2" s="1"/>
  <c r="H110" i="15"/>
  <c r="F110" i="2" s="1"/>
  <c r="H109" i="15"/>
  <c r="F109" i="2" s="1"/>
  <c r="H108" i="15"/>
  <c r="F108" i="2" s="1"/>
  <c r="H107" i="15"/>
  <c r="F107" i="2" s="1"/>
  <c r="H106" i="15"/>
  <c r="F106" i="2" s="1"/>
  <c r="H105" i="15"/>
  <c r="F105" i="2" s="1"/>
  <c r="H104" i="15"/>
  <c r="F104" i="2" s="1"/>
  <c r="H103" i="15"/>
  <c r="F103" i="2" s="1"/>
  <c r="H102" i="15"/>
  <c r="F102" i="2" s="1"/>
  <c r="H101" i="15"/>
  <c r="F101" i="2" s="1"/>
  <c r="H100" i="15"/>
  <c r="F100" i="2" s="1"/>
  <c r="H99" i="15"/>
  <c r="F99" i="2" s="1"/>
  <c r="H98" i="15"/>
  <c r="F98" i="2" s="1"/>
  <c r="H97" i="15"/>
  <c r="F97" i="2" s="1"/>
  <c r="H96" i="15"/>
  <c r="F96" i="2" s="1"/>
  <c r="H95" i="15"/>
  <c r="F95" i="2" s="1"/>
  <c r="H94" i="15"/>
  <c r="F94" i="2" s="1"/>
  <c r="H93" i="15"/>
  <c r="F93" i="2" s="1"/>
  <c r="H92" i="15"/>
  <c r="F92" i="2" s="1"/>
  <c r="H91" i="15"/>
  <c r="F91" i="2" s="1"/>
  <c r="H90" i="15"/>
  <c r="F90" i="2" s="1"/>
  <c r="H89" i="15"/>
  <c r="F89" i="2" s="1"/>
  <c r="H88" i="15"/>
  <c r="F88" i="2" s="1"/>
  <c r="H87" i="15"/>
  <c r="F87" i="2" s="1"/>
  <c r="H86" i="15"/>
  <c r="F86" i="2" s="1"/>
  <c r="H85" i="15"/>
  <c r="F85" i="2" s="1"/>
  <c r="H84" i="15"/>
  <c r="F84" i="2" s="1"/>
  <c r="H83" i="15"/>
  <c r="F83" i="2" s="1"/>
  <c r="H82" i="15"/>
  <c r="F82" i="2" s="1"/>
  <c r="H81" i="15"/>
  <c r="F81" i="2" s="1"/>
  <c r="H80" i="15"/>
  <c r="F80" i="2" s="1"/>
  <c r="H79" i="15"/>
  <c r="F79" i="2" s="1"/>
  <c r="H78" i="15"/>
  <c r="F78" i="2" s="1"/>
  <c r="H77" i="15"/>
  <c r="F77" i="2" s="1"/>
  <c r="H76" i="15"/>
  <c r="F76" i="2" s="1"/>
  <c r="H75" i="15"/>
  <c r="F75" i="2" s="1"/>
  <c r="H74" i="15"/>
  <c r="F74" i="2" s="1"/>
  <c r="H73" i="15"/>
  <c r="F73" i="2" s="1"/>
  <c r="H72" i="15"/>
  <c r="F72" i="2" s="1"/>
  <c r="H71" i="15"/>
  <c r="F71" i="2" s="1"/>
  <c r="H70" i="15"/>
  <c r="F70" i="2" s="1"/>
  <c r="H69" i="15"/>
  <c r="F69" i="2" s="1"/>
  <c r="H68" i="15"/>
  <c r="F68" i="2" s="1"/>
  <c r="H67" i="15"/>
  <c r="F67" i="2" s="1"/>
  <c r="H66" i="15"/>
  <c r="F66" i="2" s="1"/>
  <c r="H65" i="15"/>
  <c r="F65" i="2" s="1"/>
  <c r="H64" i="15"/>
  <c r="F64" i="2" s="1"/>
  <c r="H63" i="15"/>
  <c r="F63" i="2" s="1"/>
  <c r="H62" i="15"/>
  <c r="F62" i="2" s="1"/>
  <c r="H61" i="15"/>
  <c r="F61" i="2" s="1"/>
  <c r="H60" i="15"/>
  <c r="F60" i="2" s="1"/>
  <c r="H59" i="15"/>
  <c r="F59" i="2" s="1"/>
  <c r="H58" i="15"/>
  <c r="F58" i="2" s="1"/>
  <c r="H57" i="15"/>
  <c r="F57" i="2" s="1"/>
  <c r="H56" i="15"/>
  <c r="F56" i="2" s="1"/>
  <c r="H55" i="15"/>
  <c r="F55" i="2" s="1"/>
  <c r="H54" i="15"/>
  <c r="F54" i="2" s="1"/>
  <c r="H53" i="15"/>
  <c r="F53" i="2" s="1"/>
  <c r="H52" i="15"/>
  <c r="F52" i="2" s="1"/>
  <c r="H51" i="15"/>
  <c r="F51" i="2" s="1"/>
  <c r="H50" i="15"/>
  <c r="F50" i="2" s="1"/>
  <c r="H49" i="15"/>
  <c r="F49" i="2" s="1"/>
  <c r="H48" i="15"/>
  <c r="F48" i="2" s="1"/>
  <c r="H47" i="15"/>
  <c r="F47" i="2" s="1"/>
  <c r="H46" i="15"/>
  <c r="F46" i="2" s="1"/>
  <c r="H45" i="15"/>
  <c r="F45" i="2" s="1"/>
  <c r="H44" i="15"/>
  <c r="F44" i="2" s="1"/>
  <c r="H43" i="15"/>
  <c r="F43" i="2" s="1"/>
  <c r="H42" i="15"/>
  <c r="F42" i="2" s="1"/>
  <c r="H41" i="15"/>
  <c r="F41" i="2" s="1"/>
  <c r="H40" i="15"/>
  <c r="F40" i="2" s="1"/>
  <c r="H39" i="15"/>
  <c r="F39" i="2" s="1"/>
  <c r="H38" i="15"/>
  <c r="F38" i="2" s="1"/>
  <c r="H37" i="15"/>
  <c r="F37" i="2" s="1"/>
  <c r="H36" i="15"/>
  <c r="F36" i="2" s="1"/>
  <c r="H35" i="15"/>
  <c r="F35" i="2" s="1"/>
  <c r="H34" i="15"/>
  <c r="F34" i="2" s="1"/>
  <c r="H33" i="15"/>
  <c r="F33" i="2" s="1"/>
  <c r="H32" i="15"/>
  <c r="F32" i="2" s="1"/>
  <c r="H31" i="15"/>
  <c r="F31" i="2" s="1"/>
  <c r="H30" i="15"/>
  <c r="F30" i="2" s="1"/>
  <c r="H29" i="15"/>
  <c r="F29" i="2" s="1"/>
  <c r="H28" i="15"/>
  <c r="F28" i="2" s="1"/>
  <c r="H27" i="15"/>
  <c r="F27" i="2" s="1"/>
  <c r="H26" i="15"/>
  <c r="F26" i="2" s="1"/>
  <c r="H25" i="15"/>
  <c r="F25" i="2" s="1"/>
  <c r="H24" i="15"/>
  <c r="F24" i="2" s="1"/>
  <c r="H23" i="15"/>
  <c r="F23" i="2" s="1"/>
  <c r="H22" i="15"/>
  <c r="F22" i="2" s="1"/>
  <c r="H21" i="15"/>
  <c r="F21" i="2" s="1"/>
  <c r="H20" i="15"/>
  <c r="F20" i="2" s="1"/>
  <c r="H19" i="15"/>
  <c r="F19" i="2" s="1"/>
  <c r="H18" i="15"/>
  <c r="F18" i="2" s="1"/>
  <c r="H17" i="15"/>
  <c r="F17" i="2" s="1"/>
  <c r="H16" i="15"/>
  <c r="F16" i="2" s="1"/>
  <c r="H15" i="15"/>
  <c r="F15" i="2" s="1"/>
  <c r="H14" i="15"/>
  <c r="F14" i="2" s="1"/>
  <c r="H13" i="15"/>
  <c r="F13" i="2" s="1"/>
  <c r="H12" i="15"/>
  <c r="F12" i="2" s="1"/>
  <c r="H11" i="15"/>
  <c r="F11" i="2" s="1"/>
  <c r="H10" i="15"/>
  <c r="F10" i="2" s="1"/>
  <c r="H9" i="15"/>
  <c r="F9" i="2" s="1"/>
  <c r="H8" i="15"/>
  <c r="F8" i="2" s="1"/>
  <c r="H7" i="15"/>
  <c r="F7" i="2" s="1"/>
  <c r="H6" i="15"/>
  <c r="F6" i="2" s="1"/>
  <c r="H5" i="15"/>
  <c r="F5" i="2" s="1"/>
  <c r="H4" i="15"/>
  <c r="F4" i="2" s="1"/>
  <c r="H3" i="15"/>
  <c r="F3" i="2" s="1"/>
  <c r="H570" i="17"/>
  <c r="D570" i="2" s="1"/>
  <c r="H569" i="17"/>
  <c r="D569" i="2" s="1"/>
  <c r="H568" i="17"/>
  <c r="D568" i="2" s="1"/>
  <c r="H567" i="17"/>
  <c r="D567" i="2" s="1"/>
  <c r="H566" i="17"/>
  <c r="D566" i="2" s="1"/>
  <c r="H565" i="17"/>
  <c r="D565" i="2" s="1"/>
  <c r="H564" i="17"/>
  <c r="D564" i="2" s="1"/>
  <c r="H563" i="17"/>
  <c r="D563" i="2" s="1"/>
  <c r="H562" i="17"/>
  <c r="D562" i="2" s="1"/>
  <c r="H561" i="17"/>
  <c r="D561" i="2" s="1"/>
  <c r="H560" i="17"/>
  <c r="D560" i="2" s="1"/>
  <c r="H559" i="17"/>
  <c r="D559" i="2" s="1"/>
  <c r="H558" i="17"/>
  <c r="D558" i="2" s="1"/>
  <c r="H557" i="17"/>
  <c r="D557" i="2" s="1"/>
  <c r="H556" i="17"/>
  <c r="D556" i="2" s="1"/>
  <c r="H555" i="17"/>
  <c r="D555" i="2" s="1"/>
  <c r="H554" i="17"/>
  <c r="D554" i="2" s="1"/>
  <c r="H553" i="17"/>
  <c r="D553" i="2" s="1"/>
  <c r="H552" i="17"/>
  <c r="D552" i="2" s="1"/>
  <c r="H551" i="17"/>
  <c r="D551" i="2" s="1"/>
  <c r="H550" i="17"/>
  <c r="D550" i="2" s="1"/>
  <c r="H549" i="17"/>
  <c r="D549" i="2" s="1"/>
  <c r="H548" i="17"/>
  <c r="D548" i="2" s="1"/>
  <c r="H547" i="17"/>
  <c r="D547" i="2" s="1"/>
  <c r="H546" i="17"/>
  <c r="D546" i="2" s="1"/>
  <c r="H545" i="17"/>
  <c r="D545" i="2" s="1"/>
  <c r="H544" i="17"/>
  <c r="D544" i="2" s="1"/>
  <c r="H543" i="17"/>
  <c r="D543" i="2" s="1"/>
  <c r="H542" i="17"/>
  <c r="D542" i="2" s="1"/>
  <c r="H541" i="17"/>
  <c r="D541" i="2" s="1"/>
  <c r="H540" i="17"/>
  <c r="D540" i="2" s="1"/>
  <c r="H539" i="17"/>
  <c r="D539" i="2" s="1"/>
  <c r="H538" i="17"/>
  <c r="D538" i="2" s="1"/>
  <c r="H537" i="17"/>
  <c r="D537" i="2" s="1"/>
  <c r="H536" i="17"/>
  <c r="D536" i="2" s="1"/>
  <c r="H535" i="17"/>
  <c r="D535" i="2" s="1"/>
  <c r="H534" i="17"/>
  <c r="D534" i="2" s="1"/>
  <c r="H533" i="17"/>
  <c r="D533" i="2" s="1"/>
  <c r="H532" i="17"/>
  <c r="D532" i="2" s="1"/>
  <c r="H531" i="17"/>
  <c r="D531" i="2" s="1"/>
  <c r="H530" i="17"/>
  <c r="D530" i="2" s="1"/>
  <c r="H529" i="17"/>
  <c r="D529" i="2" s="1"/>
  <c r="H528" i="17"/>
  <c r="D528" i="2" s="1"/>
  <c r="H527" i="17"/>
  <c r="D527" i="2" s="1"/>
  <c r="H526" i="17"/>
  <c r="D526" i="2" s="1"/>
  <c r="H525" i="17"/>
  <c r="D525" i="2" s="1"/>
  <c r="H524" i="17"/>
  <c r="D524" i="2" s="1"/>
  <c r="H523" i="17"/>
  <c r="D523" i="2" s="1"/>
  <c r="H522" i="17"/>
  <c r="D522" i="2" s="1"/>
  <c r="H521" i="17"/>
  <c r="D521" i="2" s="1"/>
  <c r="H520" i="17"/>
  <c r="D520" i="2" s="1"/>
  <c r="H519" i="17"/>
  <c r="D519" i="2" s="1"/>
  <c r="H518" i="17"/>
  <c r="D518" i="2" s="1"/>
  <c r="H517" i="17"/>
  <c r="D517" i="2" s="1"/>
  <c r="H516" i="17"/>
  <c r="D516" i="2" s="1"/>
  <c r="H515" i="17"/>
  <c r="D515" i="2" s="1"/>
  <c r="H514" i="17"/>
  <c r="D514" i="2" s="1"/>
  <c r="H513" i="17"/>
  <c r="D513" i="2" s="1"/>
  <c r="H512" i="17"/>
  <c r="D512" i="2" s="1"/>
  <c r="H511" i="17"/>
  <c r="D511" i="2" s="1"/>
  <c r="H510" i="17"/>
  <c r="D510" i="2" s="1"/>
  <c r="H509" i="17"/>
  <c r="D509" i="2" s="1"/>
  <c r="H508" i="17"/>
  <c r="D508" i="2" s="1"/>
  <c r="H507" i="17"/>
  <c r="D507" i="2" s="1"/>
  <c r="H506" i="17"/>
  <c r="D506" i="2" s="1"/>
  <c r="H505" i="17"/>
  <c r="D505" i="2" s="1"/>
  <c r="H504" i="17"/>
  <c r="D504" i="2" s="1"/>
  <c r="H503" i="17"/>
  <c r="D503" i="2" s="1"/>
  <c r="H502" i="17"/>
  <c r="D502" i="2" s="1"/>
  <c r="H501" i="17"/>
  <c r="D501" i="2" s="1"/>
  <c r="H500" i="17"/>
  <c r="D500" i="2" s="1"/>
  <c r="H499" i="17"/>
  <c r="D499" i="2" s="1"/>
  <c r="H498" i="17"/>
  <c r="D498" i="2" s="1"/>
  <c r="H497" i="17"/>
  <c r="D497" i="2" s="1"/>
  <c r="H496" i="17"/>
  <c r="D496" i="2" s="1"/>
  <c r="H495" i="17"/>
  <c r="D495" i="2" s="1"/>
  <c r="H494" i="17"/>
  <c r="D494" i="2" s="1"/>
  <c r="H493" i="17"/>
  <c r="D493" i="2" s="1"/>
  <c r="H492" i="17"/>
  <c r="D492" i="2" s="1"/>
  <c r="H491" i="17"/>
  <c r="D491" i="2" s="1"/>
  <c r="H490" i="17"/>
  <c r="D490" i="2" s="1"/>
  <c r="H489" i="17"/>
  <c r="D489" i="2" s="1"/>
  <c r="H488" i="17"/>
  <c r="D488" i="2" s="1"/>
  <c r="H487" i="17"/>
  <c r="D487" i="2" s="1"/>
  <c r="H486" i="17"/>
  <c r="D486" i="2" s="1"/>
  <c r="H485" i="17"/>
  <c r="D485" i="2" s="1"/>
  <c r="H484" i="17"/>
  <c r="D484" i="2" s="1"/>
  <c r="H483" i="17"/>
  <c r="D483" i="2" s="1"/>
  <c r="H482" i="17"/>
  <c r="D482" i="2" s="1"/>
  <c r="H481" i="17"/>
  <c r="D481" i="2" s="1"/>
  <c r="H480" i="17"/>
  <c r="D480" i="2" s="1"/>
  <c r="H479" i="17"/>
  <c r="D479" i="2" s="1"/>
  <c r="H478" i="17"/>
  <c r="D478" i="2" s="1"/>
  <c r="H477" i="17"/>
  <c r="D477" i="2" s="1"/>
  <c r="H476" i="17"/>
  <c r="D476" i="2" s="1"/>
  <c r="H475" i="17"/>
  <c r="D475" i="2" s="1"/>
  <c r="H474" i="17"/>
  <c r="D474" i="2" s="1"/>
  <c r="H473" i="17"/>
  <c r="D473" i="2" s="1"/>
  <c r="H472" i="17"/>
  <c r="D472" i="2" s="1"/>
  <c r="H471" i="17"/>
  <c r="D471" i="2" s="1"/>
  <c r="H470" i="17"/>
  <c r="D470" i="2" s="1"/>
  <c r="H469" i="17"/>
  <c r="D469" i="2" s="1"/>
  <c r="H468" i="17"/>
  <c r="D468" i="2" s="1"/>
  <c r="H467" i="17"/>
  <c r="D467" i="2" s="1"/>
  <c r="H466" i="17"/>
  <c r="D466" i="2" s="1"/>
  <c r="H465" i="17"/>
  <c r="D465" i="2" s="1"/>
  <c r="H464" i="17"/>
  <c r="D464" i="2" s="1"/>
  <c r="H463" i="17"/>
  <c r="D463" i="2" s="1"/>
  <c r="H462" i="17"/>
  <c r="D462" i="2" s="1"/>
  <c r="H461" i="17"/>
  <c r="D461" i="2" s="1"/>
  <c r="H460" i="17"/>
  <c r="D460" i="2" s="1"/>
  <c r="H459" i="17"/>
  <c r="D459" i="2" s="1"/>
  <c r="H458" i="17"/>
  <c r="D458" i="2" s="1"/>
  <c r="H457" i="17"/>
  <c r="D457" i="2" s="1"/>
  <c r="H456" i="17"/>
  <c r="D456" i="2" s="1"/>
  <c r="H455" i="17"/>
  <c r="D455" i="2" s="1"/>
  <c r="H454" i="17"/>
  <c r="D454" i="2" s="1"/>
  <c r="H453" i="17"/>
  <c r="D453" i="2" s="1"/>
  <c r="H452" i="17"/>
  <c r="D452" i="2" s="1"/>
  <c r="H451" i="17"/>
  <c r="D451" i="2" s="1"/>
  <c r="H450" i="17"/>
  <c r="D450" i="2" s="1"/>
  <c r="H449" i="17"/>
  <c r="D449" i="2" s="1"/>
  <c r="H448" i="17"/>
  <c r="D448" i="2" s="1"/>
  <c r="H447" i="17"/>
  <c r="D447" i="2" s="1"/>
  <c r="H446" i="17"/>
  <c r="D446" i="2" s="1"/>
  <c r="H445" i="17"/>
  <c r="D445" i="2" s="1"/>
  <c r="H444" i="17"/>
  <c r="D444" i="2" s="1"/>
  <c r="H443" i="17"/>
  <c r="D443" i="2" s="1"/>
  <c r="H442" i="17"/>
  <c r="D442" i="2" s="1"/>
  <c r="H441" i="17"/>
  <c r="D441" i="2" s="1"/>
  <c r="H440" i="17"/>
  <c r="D440" i="2" s="1"/>
  <c r="H439" i="17"/>
  <c r="D439" i="2" s="1"/>
  <c r="H438" i="17"/>
  <c r="D438" i="2" s="1"/>
  <c r="H437" i="17"/>
  <c r="D437" i="2" s="1"/>
  <c r="H436" i="17"/>
  <c r="D436" i="2" s="1"/>
  <c r="H435" i="17"/>
  <c r="D435" i="2" s="1"/>
  <c r="H434" i="17"/>
  <c r="D434" i="2" s="1"/>
  <c r="H433" i="17"/>
  <c r="D433" i="2" s="1"/>
  <c r="H432" i="17"/>
  <c r="D432" i="2" s="1"/>
  <c r="H431" i="17"/>
  <c r="D431" i="2" s="1"/>
  <c r="H430" i="17"/>
  <c r="D430" i="2" s="1"/>
  <c r="H429" i="17"/>
  <c r="D429" i="2" s="1"/>
  <c r="H428" i="17"/>
  <c r="D428" i="2" s="1"/>
  <c r="H427" i="17"/>
  <c r="D427" i="2" s="1"/>
  <c r="H426" i="17"/>
  <c r="D426" i="2" s="1"/>
  <c r="H425" i="17"/>
  <c r="D425" i="2" s="1"/>
  <c r="H424" i="17"/>
  <c r="D424" i="2" s="1"/>
  <c r="H423" i="17"/>
  <c r="D423" i="2" s="1"/>
  <c r="H422" i="17"/>
  <c r="D422" i="2" s="1"/>
  <c r="H421" i="17"/>
  <c r="D421" i="2" s="1"/>
  <c r="H420" i="17"/>
  <c r="D420" i="2" s="1"/>
  <c r="H419" i="17"/>
  <c r="D419" i="2" s="1"/>
  <c r="H418" i="17"/>
  <c r="D418" i="2" s="1"/>
  <c r="H417" i="17"/>
  <c r="D417" i="2" s="1"/>
  <c r="H416" i="17"/>
  <c r="D416" i="2" s="1"/>
  <c r="H415" i="17"/>
  <c r="D415" i="2" s="1"/>
  <c r="H414" i="17"/>
  <c r="D414" i="2" s="1"/>
  <c r="H413" i="17"/>
  <c r="D413" i="2" s="1"/>
  <c r="H412" i="17"/>
  <c r="D412" i="2" s="1"/>
  <c r="H411" i="17"/>
  <c r="D411" i="2" s="1"/>
  <c r="H410" i="17"/>
  <c r="D410" i="2" s="1"/>
  <c r="H409" i="17"/>
  <c r="D409" i="2" s="1"/>
  <c r="H408" i="17"/>
  <c r="D408" i="2" s="1"/>
  <c r="H407" i="17"/>
  <c r="D407" i="2" s="1"/>
  <c r="H406" i="17"/>
  <c r="D406" i="2" s="1"/>
  <c r="H405" i="17"/>
  <c r="D405" i="2" s="1"/>
  <c r="H404" i="17"/>
  <c r="D404" i="2" s="1"/>
  <c r="H403" i="17"/>
  <c r="D403" i="2" s="1"/>
  <c r="H402" i="17"/>
  <c r="D402" i="2" s="1"/>
  <c r="H401" i="17"/>
  <c r="D401" i="2" s="1"/>
  <c r="H400" i="17"/>
  <c r="D400" i="2" s="1"/>
  <c r="H399" i="17"/>
  <c r="D399" i="2" s="1"/>
  <c r="H398" i="17"/>
  <c r="D398" i="2" s="1"/>
  <c r="H397" i="17"/>
  <c r="D397" i="2" s="1"/>
  <c r="H396" i="17"/>
  <c r="D396" i="2" s="1"/>
  <c r="H395" i="17"/>
  <c r="D395" i="2" s="1"/>
  <c r="H394" i="17"/>
  <c r="D394" i="2" s="1"/>
  <c r="H393" i="17"/>
  <c r="D393" i="2" s="1"/>
  <c r="H392" i="17"/>
  <c r="D392" i="2" s="1"/>
  <c r="H391" i="17"/>
  <c r="D391" i="2" s="1"/>
  <c r="H390" i="17"/>
  <c r="D390" i="2" s="1"/>
  <c r="H389" i="17"/>
  <c r="D389" i="2" s="1"/>
  <c r="H388" i="17"/>
  <c r="D388" i="2" s="1"/>
  <c r="H387" i="17"/>
  <c r="D387" i="2" s="1"/>
  <c r="H386" i="17"/>
  <c r="D386" i="2" s="1"/>
  <c r="H385" i="17"/>
  <c r="D385" i="2" s="1"/>
  <c r="H384" i="17"/>
  <c r="D384" i="2" s="1"/>
  <c r="H383" i="17"/>
  <c r="D383" i="2" s="1"/>
  <c r="H382" i="17"/>
  <c r="D382" i="2" s="1"/>
  <c r="H381" i="17"/>
  <c r="D381" i="2" s="1"/>
  <c r="H380" i="17"/>
  <c r="D380" i="2" s="1"/>
  <c r="H379" i="17"/>
  <c r="D379" i="2" s="1"/>
  <c r="H378" i="17"/>
  <c r="D378" i="2" s="1"/>
  <c r="H377" i="17"/>
  <c r="D377" i="2" s="1"/>
  <c r="H376" i="17"/>
  <c r="D376" i="2" s="1"/>
  <c r="H375" i="17"/>
  <c r="D375" i="2" s="1"/>
  <c r="H374" i="17"/>
  <c r="D374" i="2" s="1"/>
  <c r="H373" i="17"/>
  <c r="D373" i="2" s="1"/>
  <c r="H372" i="17"/>
  <c r="D372" i="2" s="1"/>
  <c r="H371" i="17"/>
  <c r="D371" i="2" s="1"/>
  <c r="H370" i="17"/>
  <c r="D370" i="2" s="1"/>
  <c r="H369" i="17"/>
  <c r="D369" i="2" s="1"/>
  <c r="H368" i="17"/>
  <c r="D368" i="2" s="1"/>
  <c r="H367" i="17"/>
  <c r="D367" i="2" s="1"/>
  <c r="H366" i="17"/>
  <c r="D366" i="2" s="1"/>
  <c r="H365" i="17"/>
  <c r="D365" i="2" s="1"/>
  <c r="H364" i="17"/>
  <c r="D364" i="2" s="1"/>
  <c r="H363" i="17"/>
  <c r="D363" i="2" s="1"/>
  <c r="H362" i="17"/>
  <c r="D362" i="2" s="1"/>
  <c r="H361" i="17"/>
  <c r="D361" i="2" s="1"/>
  <c r="H360" i="17"/>
  <c r="D360" i="2" s="1"/>
  <c r="H359" i="17"/>
  <c r="D359" i="2" s="1"/>
  <c r="H358" i="17"/>
  <c r="D358" i="2" s="1"/>
  <c r="H357" i="17"/>
  <c r="D357" i="2" s="1"/>
  <c r="H356" i="17"/>
  <c r="D356" i="2" s="1"/>
  <c r="H355" i="17"/>
  <c r="D355" i="2" s="1"/>
  <c r="H354" i="17"/>
  <c r="D354" i="2" s="1"/>
  <c r="H353" i="17"/>
  <c r="D353" i="2" s="1"/>
  <c r="H352" i="17"/>
  <c r="D352" i="2" s="1"/>
  <c r="H351" i="17"/>
  <c r="D351" i="2" s="1"/>
  <c r="H350" i="17"/>
  <c r="D350" i="2" s="1"/>
  <c r="H349" i="17"/>
  <c r="D349" i="2" s="1"/>
  <c r="H348" i="17"/>
  <c r="D348" i="2" s="1"/>
  <c r="H347" i="17"/>
  <c r="D347" i="2" s="1"/>
  <c r="H346" i="17"/>
  <c r="D346" i="2" s="1"/>
  <c r="H345" i="17"/>
  <c r="D345" i="2" s="1"/>
  <c r="H344" i="17"/>
  <c r="D344" i="2" s="1"/>
  <c r="H343" i="17"/>
  <c r="D343" i="2" s="1"/>
  <c r="H342" i="17"/>
  <c r="D342" i="2" s="1"/>
  <c r="H341" i="17"/>
  <c r="D341" i="2" s="1"/>
  <c r="H340" i="17"/>
  <c r="D340" i="2" s="1"/>
  <c r="H339" i="17"/>
  <c r="D339" i="2" s="1"/>
  <c r="H338" i="17"/>
  <c r="D338" i="2" s="1"/>
  <c r="H337" i="17"/>
  <c r="D337" i="2" s="1"/>
  <c r="H336" i="17"/>
  <c r="D336" i="2" s="1"/>
  <c r="H335" i="17"/>
  <c r="D335" i="2" s="1"/>
  <c r="H334" i="17"/>
  <c r="D334" i="2" s="1"/>
  <c r="H333" i="17"/>
  <c r="D333" i="2" s="1"/>
  <c r="H332" i="17"/>
  <c r="D332" i="2" s="1"/>
  <c r="H331" i="17"/>
  <c r="D331" i="2" s="1"/>
  <c r="H330" i="17"/>
  <c r="D330" i="2" s="1"/>
  <c r="H329" i="17"/>
  <c r="D329" i="2" s="1"/>
  <c r="H328" i="17"/>
  <c r="D328" i="2" s="1"/>
  <c r="H327" i="17"/>
  <c r="D327" i="2" s="1"/>
  <c r="H326" i="17"/>
  <c r="D326" i="2" s="1"/>
  <c r="H325" i="17"/>
  <c r="D325" i="2" s="1"/>
  <c r="H324" i="17"/>
  <c r="D324" i="2" s="1"/>
  <c r="H323" i="17"/>
  <c r="D323" i="2" s="1"/>
  <c r="H322" i="17"/>
  <c r="D322" i="2" s="1"/>
  <c r="H321" i="17"/>
  <c r="D321" i="2" s="1"/>
  <c r="H320" i="17"/>
  <c r="D320" i="2" s="1"/>
  <c r="H319" i="17"/>
  <c r="D319" i="2" s="1"/>
  <c r="H318" i="17"/>
  <c r="D318" i="2" s="1"/>
  <c r="H317" i="17"/>
  <c r="D317" i="2" s="1"/>
  <c r="H316" i="17"/>
  <c r="D316" i="2" s="1"/>
  <c r="H315" i="17"/>
  <c r="D315" i="2" s="1"/>
  <c r="H314" i="17"/>
  <c r="D314" i="2" s="1"/>
  <c r="H313" i="17"/>
  <c r="D313" i="2" s="1"/>
  <c r="H312" i="17"/>
  <c r="D312" i="2" s="1"/>
  <c r="H311" i="17"/>
  <c r="D311" i="2" s="1"/>
  <c r="H310" i="17"/>
  <c r="D310" i="2" s="1"/>
  <c r="H309" i="17"/>
  <c r="D309" i="2" s="1"/>
  <c r="H308" i="17"/>
  <c r="D308" i="2" s="1"/>
  <c r="H307" i="17"/>
  <c r="D307" i="2" s="1"/>
  <c r="H306" i="17"/>
  <c r="D306" i="2" s="1"/>
  <c r="H305" i="17"/>
  <c r="D305" i="2" s="1"/>
  <c r="H304" i="17"/>
  <c r="D304" i="2" s="1"/>
  <c r="H303" i="17"/>
  <c r="D303" i="2" s="1"/>
  <c r="H302" i="17"/>
  <c r="D302" i="2" s="1"/>
  <c r="H301" i="17"/>
  <c r="D301" i="2" s="1"/>
  <c r="H300" i="17"/>
  <c r="D300" i="2" s="1"/>
  <c r="H299" i="17"/>
  <c r="D299" i="2" s="1"/>
  <c r="H298" i="17"/>
  <c r="D298" i="2" s="1"/>
  <c r="H297" i="17"/>
  <c r="D297" i="2" s="1"/>
  <c r="H296" i="17"/>
  <c r="D296" i="2" s="1"/>
  <c r="H295" i="17"/>
  <c r="D295" i="2" s="1"/>
  <c r="H294" i="17"/>
  <c r="D294" i="2" s="1"/>
  <c r="H293" i="17"/>
  <c r="D293" i="2" s="1"/>
  <c r="H292" i="17"/>
  <c r="D292" i="2" s="1"/>
  <c r="H291" i="17"/>
  <c r="D291" i="2" s="1"/>
  <c r="H290" i="17"/>
  <c r="D290" i="2" s="1"/>
  <c r="H289" i="17"/>
  <c r="D289" i="2" s="1"/>
  <c r="H288" i="17"/>
  <c r="D288" i="2" s="1"/>
  <c r="H287" i="17"/>
  <c r="D287" i="2" s="1"/>
  <c r="H286" i="17"/>
  <c r="D286" i="2" s="1"/>
  <c r="H285" i="17"/>
  <c r="D285" i="2" s="1"/>
  <c r="H284" i="17"/>
  <c r="D284" i="2" s="1"/>
  <c r="H283" i="17"/>
  <c r="D283" i="2" s="1"/>
  <c r="H282" i="17"/>
  <c r="D282" i="2" s="1"/>
  <c r="H281" i="17"/>
  <c r="D281" i="2" s="1"/>
  <c r="H280" i="17"/>
  <c r="D280" i="2" s="1"/>
  <c r="H279" i="17"/>
  <c r="D279" i="2" s="1"/>
  <c r="H278" i="17"/>
  <c r="D278" i="2" s="1"/>
  <c r="H277" i="17"/>
  <c r="D277" i="2" s="1"/>
  <c r="H276" i="17"/>
  <c r="D276" i="2" s="1"/>
  <c r="H275" i="17"/>
  <c r="D275" i="2" s="1"/>
  <c r="H274" i="17"/>
  <c r="D274" i="2" s="1"/>
  <c r="H273" i="17"/>
  <c r="D273" i="2" s="1"/>
  <c r="H272" i="17"/>
  <c r="D272" i="2" s="1"/>
  <c r="H271" i="17"/>
  <c r="D271" i="2" s="1"/>
  <c r="H270" i="17"/>
  <c r="D270" i="2" s="1"/>
  <c r="H269" i="17"/>
  <c r="D269" i="2" s="1"/>
  <c r="H268" i="17"/>
  <c r="D268" i="2" s="1"/>
  <c r="H267" i="17"/>
  <c r="D267" i="2" s="1"/>
  <c r="H266" i="17"/>
  <c r="D266" i="2" s="1"/>
  <c r="H265" i="17"/>
  <c r="D265" i="2" s="1"/>
  <c r="H264" i="17"/>
  <c r="D264" i="2" s="1"/>
  <c r="H263" i="17"/>
  <c r="D263" i="2" s="1"/>
  <c r="H262" i="17"/>
  <c r="D262" i="2" s="1"/>
  <c r="H261" i="17"/>
  <c r="D261" i="2" s="1"/>
  <c r="H260" i="17"/>
  <c r="D260" i="2" s="1"/>
  <c r="H259" i="17"/>
  <c r="D259" i="2" s="1"/>
  <c r="H258" i="17"/>
  <c r="D258" i="2" s="1"/>
  <c r="H257" i="17"/>
  <c r="D257" i="2" s="1"/>
  <c r="H256" i="17"/>
  <c r="D256" i="2" s="1"/>
  <c r="H255" i="17"/>
  <c r="D255" i="2" s="1"/>
  <c r="H254" i="17"/>
  <c r="D254" i="2" s="1"/>
  <c r="H253" i="17"/>
  <c r="D253" i="2" s="1"/>
  <c r="H252" i="17"/>
  <c r="D252" i="2" s="1"/>
  <c r="H251" i="17"/>
  <c r="D251" i="2" s="1"/>
  <c r="H250" i="17"/>
  <c r="D250" i="2" s="1"/>
  <c r="H249" i="17"/>
  <c r="D249" i="2" s="1"/>
  <c r="H248" i="17"/>
  <c r="D248" i="2" s="1"/>
  <c r="H247" i="17"/>
  <c r="D247" i="2" s="1"/>
  <c r="H246" i="17"/>
  <c r="D246" i="2" s="1"/>
  <c r="H245" i="17"/>
  <c r="D245" i="2" s="1"/>
  <c r="H244" i="17"/>
  <c r="D244" i="2" s="1"/>
  <c r="H243" i="17"/>
  <c r="D243" i="2" s="1"/>
  <c r="H242" i="17"/>
  <c r="D242" i="2" s="1"/>
  <c r="H241" i="17"/>
  <c r="D241" i="2" s="1"/>
  <c r="H240" i="17"/>
  <c r="D240" i="2" s="1"/>
  <c r="H239" i="17"/>
  <c r="D239" i="2" s="1"/>
  <c r="H238" i="17"/>
  <c r="D238" i="2" s="1"/>
  <c r="H237" i="17"/>
  <c r="D237" i="2" s="1"/>
  <c r="H236" i="17"/>
  <c r="D236" i="2" s="1"/>
  <c r="H235" i="17"/>
  <c r="D235" i="2" s="1"/>
  <c r="H234" i="17"/>
  <c r="D234" i="2" s="1"/>
  <c r="H233" i="17"/>
  <c r="D233" i="2" s="1"/>
  <c r="H232" i="17"/>
  <c r="D232" i="2" s="1"/>
  <c r="H231" i="17"/>
  <c r="D231" i="2" s="1"/>
  <c r="H230" i="17"/>
  <c r="D230" i="2" s="1"/>
  <c r="H229" i="17"/>
  <c r="D229" i="2" s="1"/>
  <c r="H228" i="17"/>
  <c r="D228" i="2" s="1"/>
  <c r="H227" i="17"/>
  <c r="D227" i="2" s="1"/>
  <c r="H226" i="17"/>
  <c r="D226" i="2" s="1"/>
  <c r="H225" i="17"/>
  <c r="D225" i="2" s="1"/>
  <c r="H224" i="17"/>
  <c r="D224" i="2" s="1"/>
  <c r="H223" i="17"/>
  <c r="D223" i="2" s="1"/>
  <c r="H222" i="17"/>
  <c r="D222" i="2" s="1"/>
  <c r="H221" i="17"/>
  <c r="D221" i="2" s="1"/>
  <c r="H220" i="17"/>
  <c r="D220" i="2" s="1"/>
  <c r="H219" i="17"/>
  <c r="D219" i="2" s="1"/>
  <c r="H218" i="17"/>
  <c r="D218" i="2" s="1"/>
  <c r="H217" i="17"/>
  <c r="D217" i="2" s="1"/>
  <c r="H216" i="17"/>
  <c r="D216" i="2" s="1"/>
  <c r="H215" i="17"/>
  <c r="D215" i="2" s="1"/>
  <c r="H214" i="17"/>
  <c r="D214" i="2" s="1"/>
  <c r="H213" i="17"/>
  <c r="D213" i="2" s="1"/>
  <c r="H212" i="17"/>
  <c r="D212" i="2" s="1"/>
  <c r="H211" i="17"/>
  <c r="D211" i="2" s="1"/>
  <c r="H210" i="17"/>
  <c r="D210" i="2" s="1"/>
  <c r="H209" i="17"/>
  <c r="D209" i="2" s="1"/>
  <c r="H208" i="17"/>
  <c r="D208" i="2" s="1"/>
  <c r="H207" i="17"/>
  <c r="D207" i="2" s="1"/>
  <c r="H206" i="17"/>
  <c r="D206" i="2" s="1"/>
  <c r="H205" i="17"/>
  <c r="D205" i="2" s="1"/>
  <c r="H204" i="17"/>
  <c r="D204" i="2" s="1"/>
  <c r="H203" i="17"/>
  <c r="D203" i="2" s="1"/>
  <c r="H202" i="17"/>
  <c r="D202" i="2" s="1"/>
  <c r="H201" i="17"/>
  <c r="D201" i="2" s="1"/>
  <c r="H200" i="17"/>
  <c r="D200" i="2" s="1"/>
  <c r="H199" i="17"/>
  <c r="D199" i="2" s="1"/>
  <c r="H198" i="17"/>
  <c r="D198" i="2" s="1"/>
  <c r="H197" i="17"/>
  <c r="D197" i="2" s="1"/>
  <c r="H196" i="17"/>
  <c r="D196" i="2" s="1"/>
  <c r="H195" i="17"/>
  <c r="D195" i="2" s="1"/>
  <c r="H194" i="17"/>
  <c r="D194" i="2" s="1"/>
  <c r="H193" i="17"/>
  <c r="D193" i="2" s="1"/>
  <c r="H192" i="17"/>
  <c r="D192" i="2" s="1"/>
  <c r="H191" i="17"/>
  <c r="D191" i="2" s="1"/>
  <c r="H190" i="17"/>
  <c r="D190" i="2" s="1"/>
  <c r="H189" i="17"/>
  <c r="D189" i="2" s="1"/>
  <c r="H188" i="17"/>
  <c r="D188" i="2" s="1"/>
  <c r="H187" i="17"/>
  <c r="D187" i="2" s="1"/>
  <c r="H186" i="17"/>
  <c r="D186" i="2" s="1"/>
  <c r="H185" i="17"/>
  <c r="D185" i="2" s="1"/>
  <c r="H184" i="17"/>
  <c r="D184" i="2" s="1"/>
  <c r="H183" i="17"/>
  <c r="D183" i="2" s="1"/>
  <c r="H182" i="17"/>
  <c r="D182" i="2" s="1"/>
  <c r="H181" i="17"/>
  <c r="D181" i="2" s="1"/>
  <c r="H180" i="17"/>
  <c r="D180" i="2" s="1"/>
  <c r="H179" i="17"/>
  <c r="D179" i="2" s="1"/>
  <c r="H178" i="17"/>
  <c r="D178" i="2" s="1"/>
  <c r="H177" i="17"/>
  <c r="D177" i="2" s="1"/>
  <c r="H176" i="17"/>
  <c r="D176" i="2" s="1"/>
  <c r="H175" i="17"/>
  <c r="D175" i="2" s="1"/>
  <c r="H174" i="17"/>
  <c r="D174" i="2" s="1"/>
  <c r="H173" i="17"/>
  <c r="D173" i="2" s="1"/>
  <c r="H172" i="17"/>
  <c r="D172" i="2" s="1"/>
  <c r="H171" i="17"/>
  <c r="D171" i="2" s="1"/>
  <c r="H170" i="17"/>
  <c r="D170" i="2" s="1"/>
  <c r="H169" i="17"/>
  <c r="D169" i="2" s="1"/>
  <c r="H168" i="17"/>
  <c r="D168" i="2" s="1"/>
  <c r="H167" i="17"/>
  <c r="D167" i="2" s="1"/>
  <c r="H166" i="17"/>
  <c r="D166" i="2" s="1"/>
  <c r="H165" i="17"/>
  <c r="D165" i="2" s="1"/>
  <c r="H164" i="17"/>
  <c r="D164" i="2" s="1"/>
  <c r="H163" i="17"/>
  <c r="D163" i="2" s="1"/>
  <c r="H162" i="17"/>
  <c r="D162" i="2" s="1"/>
  <c r="H161" i="17"/>
  <c r="D161" i="2" s="1"/>
  <c r="H160" i="17"/>
  <c r="D160" i="2" s="1"/>
  <c r="H159" i="17"/>
  <c r="D159" i="2" s="1"/>
  <c r="H158" i="17"/>
  <c r="D158" i="2" s="1"/>
  <c r="H157" i="17"/>
  <c r="D157" i="2" s="1"/>
  <c r="H156" i="17"/>
  <c r="D156" i="2" s="1"/>
  <c r="H155" i="17"/>
  <c r="D155" i="2" s="1"/>
  <c r="H154" i="17"/>
  <c r="D154" i="2" s="1"/>
  <c r="H153" i="17"/>
  <c r="D153" i="2" s="1"/>
  <c r="H152" i="17"/>
  <c r="D152" i="2" s="1"/>
  <c r="H151" i="17"/>
  <c r="D151" i="2" s="1"/>
  <c r="H150" i="17"/>
  <c r="D150" i="2" s="1"/>
  <c r="H149" i="17"/>
  <c r="D149" i="2" s="1"/>
  <c r="H148" i="17"/>
  <c r="D148" i="2" s="1"/>
  <c r="H147" i="17"/>
  <c r="D147" i="2" s="1"/>
  <c r="H146" i="17"/>
  <c r="D146" i="2" s="1"/>
  <c r="H145" i="17"/>
  <c r="D145" i="2" s="1"/>
  <c r="H144" i="17"/>
  <c r="D144" i="2" s="1"/>
  <c r="H143" i="17"/>
  <c r="D143" i="2" s="1"/>
  <c r="H142" i="17"/>
  <c r="D142" i="2" s="1"/>
  <c r="H141" i="17"/>
  <c r="D141" i="2" s="1"/>
  <c r="H140" i="17"/>
  <c r="D140" i="2" s="1"/>
  <c r="H139" i="17"/>
  <c r="D139" i="2" s="1"/>
  <c r="H138" i="17"/>
  <c r="D138" i="2" s="1"/>
  <c r="H137" i="17"/>
  <c r="D137" i="2" s="1"/>
  <c r="H136" i="17"/>
  <c r="D136" i="2" s="1"/>
  <c r="H135" i="17"/>
  <c r="D135" i="2" s="1"/>
  <c r="H134" i="17"/>
  <c r="D134" i="2" s="1"/>
  <c r="H133" i="17"/>
  <c r="D133" i="2" s="1"/>
  <c r="H132" i="17"/>
  <c r="D132" i="2" s="1"/>
  <c r="H131" i="17"/>
  <c r="D131" i="2" s="1"/>
  <c r="H130" i="17"/>
  <c r="D130" i="2" s="1"/>
  <c r="H129" i="17"/>
  <c r="D129" i="2" s="1"/>
  <c r="H128" i="17"/>
  <c r="D128" i="2" s="1"/>
  <c r="H127" i="17"/>
  <c r="D127" i="2" s="1"/>
  <c r="H126" i="17"/>
  <c r="D126" i="2" s="1"/>
  <c r="H125" i="17"/>
  <c r="D125" i="2" s="1"/>
  <c r="H124" i="17"/>
  <c r="D124" i="2" s="1"/>
  <c r="H123" i="17"/>
  <c r="D123" i="2" s="1"/>
  <c r="H122" i="17"/>
  <c r="D122" i="2" s="1"/>
  <c r="H121" i="17"/>
  <c r="D121" i="2" s="1"/>
  <c r="H120" i="17"/>
  <c r="D120" i="2" s="1"/>
  <c r="H119" i="17"/>
  <c r="D119" i="2" s="1"/>
  <c r="H118" i="17"/>
  <c r="D118" i="2" s="1"/>
  <c r="H117" i="17"/>
  <c r="D117" i="2" s="1"/>
  <c r="H116" i="17"/>
  <c r="D116" i="2" s="1"/>
  <c r="H115" i="17"/>
  <c r="D115" i="2" s="1"/>
  <c r="H114" i="17"/>
  <c r="D114" i="2" s="1"/>
  <c r="H113" i="17"/>
  <c r="D113" i="2" s="1"/>
  <c r="H112" i="17"/>
  <c r="D112" i="2" s="1"/>
  <c r="H111" i="17"/>
  <c r="D111" i="2" s="1"/>
  <c r="H110" i="17"/>
  <c r="D110" i="2" s="1"/>
  <c r="H109" i="17"/>
  <c r="D109" i="2" s="1"/>
  <c r="H108" i="17"/>
  <c r="D108" i="2" s="1"/>
  <c r="H107" i="17"/>
  <c r="D107" i="2" s="1"/>
  <c r="H106" i="17"/>
  <c r="D106" i="2" s="1"/>
  <c r="H105" i="17"/>
  <c r="D105" i="2" s="1"/>
  <c r="H104" i="17"/>
  <c r="D104" i="2" s="1"/>
  <c r="H103" i="17"/>
  <c r="D103" i="2" s="1"/>
  <c r="H102" i="17"/>
  <c r="D102" i="2" s="1"/>
  <c r="H101" i="17"/>
  <c r="D101" i="2" s="1"/>
  <c r="H100" i="17"/>
  <c r="D100" i="2" s="1"/>
  <c r="H99" i="17"/>
  <c r="D99" i="2" s="1"/>
  <c r="H98" i="17"/>
  <c r="D98" i="2" s="1"/>
  <c r="H97" i="17"/>
  <c r="D97" i="2" s="1"/>
  <c r="H96" i="17"/>
  <c r="D96" i="2" s="1"/>
  <c r="H95" i="17"/>
  <c r="D95" i="2" s="1"/>
  <c r="H94" i="17"/>
  <c r="D94" i="2" s="1"/>
  <c r="H93" i="17"/>
  <c r="D93" i="2" s="1"/>
  <c r="H92" i="17"/>
  <c r="D92" i="2" s="1"/>
  <c r="H91" i="17"/>
  <c r="D91" i="2" s="1"/>
  <c r="H90" i="17"/>
  <c r="D90" i="2" s="1"/>
  <c r="H89" i="17"/>
  <c r="D89" i="2" s="1"/>
  <c r="H88" i="17"/>
  <c r="D88" i="2" s="1"/>
  <c r="H87" i="17"/>
  <c r="D87" i="2" s="1"/>
  <c r="H86" i="17"/>
  <c r="D86" i="2" s="1"/>
  <c r="H85" i="17"/>
  <c r="D85" i="2" s="1"/>
  <c r="H84" i="17"/>
  <c r="D84" i="2" s="1"/>
  <c r="H83" i="17"/>
  <c r="D83" i="2" s="1"/>
  <c r="H82" i="17"/>
  <c r="D82" i="2" s="1"/>
  <c r="H81" i="17"/>
  <c r="D81" i="2" s="1"/>
  <c r="H80" i="17"/>
  <c r="D80" i="2" s="1"/>
  <c r="H79" i="17"/>
  <c r="D79" i="2" s="1"/>
  <c r="H78" i="17"/>
  <c r="D78" i="2" s="1"/>
  <c r="H77" i="17"/>
  <c r="D77" i="2" s="1"/>
  <c r="H76" i="17"/>
  <c r="D76" i="2" s="1"/>
  <c r="H75" i="17"/>
  <c r="D75" i="2" s="1"/>
  <c r="H74" i="17"/>
  <c r="D74" i="2" s="1"/>
  <c r="H73" i="17"/>
  <c r="D73" i="2" s="1"/>
  <c r="H72" i="17"/>
  <c r="D72" i="2" s="1"/>
  <c r="H71" i="17"/>
  <c r="D71" i="2" s="1"/>
  <c r="H70" i="17"/>
  <c r="D70" i="2" s="1"/>
  <c r="H69" i="17"/>
  <c r="D69" i="2" s="1"/>
  <c r="H68" i="17"/>
  <c r="D68" i="2" s="1"/>
  <c r="H67" i="17"/>
  <c r="D67" i="2" s="1"/>
  <c r="H66" i="17"/>
  <c r="D66" i="2" s="1"/>
  <c r="H65" i="17"/>
  <c r="D65" i="2" s="1"/>
  <c r="H64" i="17"/>
  <c r="D64" i="2" s="1"/>
  <c r="H63" i="17"/>
  <c r="D63" i="2" s="1"/>
  <c r="H62" i="17"/>
  <c r="D62" i="2" s="1"/>
  <c r="H61" i="17"/>
  <c r="D61" i="2" s="1"/>
  <c r="H60" i="17"/>
  <c r="D60" i="2" s="1"/>
  <c r="H59" i="17"/>
  <c r="D59" i="2" s="1"/>
  <c r="H58" i="17"/>
  <c r="D58" i="2" s="1"/>
  <c r="H57" i="17"/>
  <c r="D57" i="2" s="1"/>
  <c r="H56" i="17"/>
  <c r="D56" i="2" s="1"/>
  <c r="H55" i="17"/>
  <c r="D55" i="2" s="1"/>
  <c r="H54" i="17"/>
  <c r="D54" i="2" s="1"/>
  <c r="H53" i="17"/>
  <c r="D53" i="2" s="1"/>
  <c r="H52" i="17"/>
  <c r="D52" i="2" s="1"/>
  <c r="H51" i="17"/>
  <c r="D51" i="2" s="1"/>
  <c r="H50" i="17"/>
  <c r="D50" i="2" s="1"/>
  <c r="H49" i="17"/>
  <c r="D49" i="2" s="1"/>
  <c r="H48" i="17"/>
  <c r="D48" i="2" s="1"/>
  <c r="H47" i="17"/>
  <c r="D47" i="2" s="1"/>
  <c r="H46" i="17"/>
  <c r="D46" i="2" s="1"/>
  <c r="H45" i="17"/>
  <c r="D45" i="2" s="1"/>
  <c r="H44" i="17"/>
  <c r="D44" i="2" s="1"/>
  <c r="H43" i="17"/>
  <c r="D43" i="2" s="1"/>
  <c r="H42" i="17"/>
  <c r="D42" i="2" s="1"/>
  <c r="H41" i="17"/>
  <c r="D41" i="2" s="1"/>
  <c r="H40" i="17"/>
  <c r="D40" i="2" s="1"/>
  <c r="H39" i="17"/>
  <c r="D39" i="2" s="1"/>
  <c r="H38" i="17"/>
  <c r="D38" i="2" s="1"/>
  <c r="H37" i="17"/>
  <c r="D37" i="2" s="1"/>
  <c r="H36" i="17"/>
  <c r="D36" i="2" s="1"/>
  <c r="H35" i="17"/>
  <c r="D35" i="2" s="1"/>
  <c r="H34" i="17"/>
  <c r="D34" i="2" s="1"/>
  <c r="H33" i="17"/>
  <c r="D33" i="2" s="1"/>
  <c r="H32" i="17"/>
  <c r="D32" i="2" s="1"/>
  <c r="H31" i="17"/>
  <c r="D31" i="2" s="1"/>
  <c r="H30" i="17"/>
  <c r="D30" i="2" s="1"/>
  <c r="H29" i="17"/>
  <c r="D29" i="2" s="1"/>
  <c r="H28" i="17"/>
  <c r="D28" i="2" s="1"/>
  <c r="H27" i="17"/>
  <c r="D27" i="2" s="1"/>
  <c r="H26" i="17"/>
  <c r="D26" i="2" s="1"/>
  <c r="H25" i="17"/>
  <c r="D25" i="2" s="1"/>
  <c r="H24" i="17"/>
  <c r="D24" i="2" s="1"/>
  <c r="H23" i="17"/>
  <c r="D23" i="2" s="1"/>
  <c r="H22" i="17"/>
  <c r="D22" i="2" s="1"/>
  <c r="H21" i="17"/>
  <c r="D21" i="2" s="1"/>
  <c r="H20" i="17"/>
  <c r="D20" i="2" s="1"/>
  <c r="H19" i="17"/>
  <c r="D19" i="2" s="1"/>
  <c r="H18" i="17"/>
  <c r="D18" i="2" s="1"/>
  <c r="H17" i="17"/>
  <c r="D17" i="2" s="1"/>
  <c r="H16" i="17"/>
  <c r="D16" i="2" s="1"/>
  <c r="H15" i="17"/>
  <c r="D15" i="2" s="1"/>
  <c r="H14" i="17"/>
  <c r="D14" i="2" s="1"/>
  <c r="H13" i="17"/>
  <c r="D13" i="2" s="1"/>
  <c r="H12" i="17"/>
  <c r="D12" i="2" s="1"/>
  <c r="H11" i="17"/>
  <c r="D11" i="2" s="1"/>
  <c r="H10" i="17"/>
  <c r="D10" i="2" s="1"/>
  <c r="H9" i="17"/>
  <c r="D9" i="2" s="1"/>
  <c r="H8" i="17"/>
  <c r="D8" i="2" s="1"/>
  <c r="H7" i="17"/>
  <c r="D7" i="2" s="1"/>
  <c r="H6" i="17"/>
  <c r="D6" i="2" s="1"/>
  <c r="H5" i="17"/>
  <c r="D5" i="2" s="1"/>
  <c r="H4" i="17"/>
  <c r="D4" i="2" s="1"/>
  <c r="H3" i="17"/>
  <c r="D3" i="2" s="1"/>
  <c r="H570" i="18"/>
  <c r="C570" i="2" s="1"/>
  <c r="H569" i="18"/>
  <c r="C569" i="2" s="1"/>
  <c r="H568" i="18"/>
  <c r="C568" i="2" s="1"/>
  <c r="H567" i="18"/>
  <c r="C567" i="2" s="1"/>
  <c r="H566" i="18"/>
  <c r="C566" i="2" s="1"/>
  <c r="H565" i="18"/>
  <c r="C565" i="2" s="1"/>
  <c r="H564" i="18"/>
  <c r="C564" i="2" s="1"/>
  <c r="H563" i="18"/>
  <c r="C563" i="2" s="1"/>
  <c r="H562" i="18"/>
  <c r="C562" i="2" s="1"/>
  <c r="H561" i="18"/>
  <c r="C561" i="2" s="1"/>
  <c r="H560" i="18"/>
  <c r="C560" i="2" s="1"/>
  <c r="H559" i="18"/>
  <c r="C559" i="2" s="1"/>
  <c r="H558" i="18"/>
  <c r="C558" i="2" s="1"/>
  <c r="H557" i="18"/>
  <c r="C557" i="2" s="1"/>
  <c r="H556" i="18"/>
  <c r="C556" i="2" s="1"/>
  <c r="H555" i="18"/>
  <c r="C555" i="2" s="1"/>
  <c r="H554" i="18"/>
  <c r="C554" i="2" s="1"/>
  <c r="H553" i="18"/>
  <c r="C553" i="2" s="1"/>
  <c r="H552" i="18"/>
  <c r="C552" i="2" s="1"/>
  <c r="H551" i="18"/>
  <c r="C551" i="2" s="1"/>
  <c r="H550" i="18"/>
  <c r="C550" i="2" s="1"/>
  <c r="H549" i="18"/>
  <c r="C549" i="2" s="1"/>
  <c r="H548" i="18"/>
  <c r="C548" i="2" s="1"/>
  <c r="H547" i="18"/>
  <c r="C547" i="2" s="1"/>
  <c r="H546" i="18"/>
  <c r="C546" i="2" s="1"/>
  <c r="H545" i="18"/>
  <c r="C545" i="2" s="1"/>
  <c r="H544" i="18"/>
  <c r="C544" i="2" s="1"/>
  <c r="H543" i="18"/>
  <c r="C543" i="2" s="1"/>
  <c r="H542" i="18"/>
  <c r="C542" i="2" s="1"/>
  <c r="H541" i="18"/>
  <c r="C541" i="2" s="1"/>
  <c r="H540" i="18"/>
  <c r="C540" i="2" s="1"/>
  <c r="H539" i="18"/>
  <c r="C539" i="2" s="1"/>
  <c r="H538" i="18"/>
  <c r="C538" i="2" s="1"/>
  <c r="H537" i="18"/>
  <c r="C537" i="2" s="1"/>
  <c r="H536" i="18"/>
  <c r="C536" i="2" s="1"/>
  <c r="H535" i="18"/>
  <c r="C535" i="2" s="1"/>
  <c r="H534" i="18"/>
  <c r="C534" i="2" s="1"/>
  <c r="H533" i="18"/>
  <c r="C533" i="2" s="1"/>
  <c r="H532" i="18"/>
  <c r="C532" i="2" s="1"/>
  <c r="H531" i="18"/>
  <c r="C531" i="2" s="1"/>
  <c r="H530" i="18"/>
  <c r="C530" i="2" s="1"/>
  <c r="H529" i="18"/>
  <c r="C529" i="2" s="1"/>
  <c r="H528" i="18"/>
  <c r="C528" i="2" s="1"/>
  <c r="H527" i="18"/>
  <c r="C527" i="2" s="1"/>
  <c r="H526" i="18"/>
  <c r="C526" i="2" s="1"/>
  <c r="H525" i="18"/>
  <c r="C525" i="2" s="1"/>
  <c r="H524" i="18"/>
  <c r="C524" i="2" s="1"/>
  <c r="H523" i="18"/>
  <c r="C523" i="2" s="1"/>
  <c r="H522" i="18"/>
  <c r="C522" i="2" s="1"/>
  <c r="H521" i="18"/>
  <c r="C521" i="2" s="1"/>
  <c r="H520" i="18"/>
  <c r="C520" i="2" s="1"/>
  <c r="H519" i="18"/>
  <c r="C519" i="2" s="1"/>
  <c r="H518" i="18"/>
  <c r="C518" i="2" s="1"/>
  <c r="H517" i="18"/>
  <c r="C517" i="2" s="1"/>
  <c r="H516" i="18"/>
  <c r="C516" i="2" s="1"/>
  <c r="H515" i="18"/>
  <c r="C515" i="2" s="1"/>
  <c r="H514" i="18"/>
  <c r="C514" i="2" s="1"/>
  <c r="H513" i="18"/>
  <c r="C513" i="2" s="1"/>
  <c r="H512" i="18"/>
  <c r="C512" i="2" s="1"/>
  <c r="H511" i="18"/>
  <c r="C511" i="2" s="1"/>
  <c r="H510" i="18"/>
  <c r="C510" i="2" s="1"/>
  <c r="H509" i="18"/>
  <c r="C509" i="2" s="1"/>
  <c r="H508" i="18"/>
  <c r="C508" i="2" s="1"/>
  <c r="H507" i="18"/>
  <c r="C507" i="2" s="1"/>
  <c r="H506" i="18"/>
  <c r="C506" i="2" s="1"/>
  <c r="H505" i="18"/>
  <c r="C505" i="2" s="1"/>
  <c r="H504" i="18"/>
  <c r="H503" i="18"/>
  <c r="C503" i="2" s="1"/>
  <c r="H502" i="18"/>
  <c r="C502" i="2" s="1"/>
  <c r="H501" i="18"/>
  <c r="C501" i="2" s="1"/>
  <c r="H500" i="18"/>
  <c r="C500" i="2" s="1"/>
  <c r="H499" i="18"/>
  <c r="C499" i="2" s="1"/>
  <c r="H498" i="18"/>
  <c r="C498" i="2" s="1"/>
  <c r="H497" i="18"/>
  <c r="C497" i="2" s="1"/>
  <c r="H496" i="18"/>
  <c r="C496" i="2" s="1"/>
  <c r="H495" i="18"/>
  <c r="C495" i="2" s="1"/>
  <c r="H494" i="18"/>
  <c r="C494" i="2" s="1"/>
  <c r="H493" i="18"/>
  <c r="C493" i="2" s="1"/>
  <c r="H492" i="18"/>
  <c r="C492" i="2" s="1"/>
  <c r="H491" i="18"/>
  <c r="C491" i="2" s="1"/>
  <c r="H490" i="18"/>
  <c r="C490" i="2" s="1"/>
  <c r="H489" i="18"/>
  <c r="C489" i="2" s="1"/>
  <c r="H488" i="18"/>
  <c r="C488" i="2" s="1"/>
  <c r="H487" i="18"/>
  <c r="C487" i="2" s="1"/>
  <c r="H486" i="18"/>
  <c r="C486" i="2" s="1"/>
  <c r="H485" i="18"/>
  <c r="C485" i="2" s="1"/>
  <c r="H484" i="18"/>
  <c r="C484" i="2" s="1"/>
  <c r="H483" i="18"/>
  <c r="C483" i="2" s="1"/>
  <c r="H482" i="18"/>
  <c r="C482" i="2" s="1"/>
  <c r="H481" i="18"/>
  <c r="C481" i="2" s="1"/>
  <c r="H480" i="18"/>
  <c r="C480" i="2" s="1"/>
  <c r="H479" i="18"/>
  <c r="C479" i="2" s="1"/>
  <c r="H478" i="18"/>
  <c r="C478" i="2" s="1"/>
  <c r="H477" i="18"/>
  <c r="C477" i="2" s="1"/>
  <c r="H476" i="18"/>
  <c r="C476" i="2" s="1"/>
  <c r="H475" i="18"/>
  <c r="C475" i="2" s="1"/>
  <c r="H474" i="18"/>
  <c r="C474" i="2" s="1"/>
  <c r="H473" i="18"/>
  <c r="C473" i="2" s="1"/>
  <c r="H472" i="18"/>
  <c r="C472" i="2" s="1"/>
  <c r="H471" i="18"/>
  <c r="C471" i="2" s="1"/>
  <c r="H470" i="18"/>
  <c r="C470" i="2" s="1"/>
  <c r="H469" i="18"/>
  <c r="C469" i="2" s="1"/>
  <c r="H468" i="18"/>
  <c r="C468" i="2" s="1"/>
  <c r="H467" i="18"/>
  <c r="C467" i="2" s="1"/>
  <c r="H466" i="18"/>
  <c r="C466" i="2" s="1"/>
  <c r="H465" i="18"/>
  <c r="C465" i="2" s="1"/>
  <c r="H464" i="18"/>
  <c r="C464" i="2" s="1"/>
  <c r="H463" i="18"/>
  <c r="C463" i="2" s="1"/>
  <c r="H462" i="18"/>
  <c r="C462" i="2" s="1"/>
  <c r="H461" i="18"/>
  <c r="C461" i="2" s="1"/>
  <c r="H460" i="18"/>
  <c r="C460" i="2" s="1"/>
  <c r="H459" i="18"/>
  <c r="C459" i="2" s="1"/>
  <c r="H458" i="18"/>
  <c r="C458" i="2" s="1"/>
  <c r="H457" i="18"/>
  <c r="C457" i="2" s="1"/>
  <c r="H456" i="18"/>
  <c r="C456" i="2" s="1"/>
  <c r="H455" i="18"/>
  <c r="C455" i="2" s="1"/>
  <c r="H454" i="18"/>
  <c r="C454" i="2" s="1"/>
  <c r="H453" i="18"/>
  <c r="C453" i="2" s="1"/>
  <c r="H452" i="18"/>
  <c r="C452" i="2" s="1"/>
  <c r="H451" i="18"/>
  <c r="C451" i="2" s="1"/>
  <c r="H450" i="18"/>
  <c r="C450" i="2" s="1"/>
  <c r="H449" i="18"/>
  <c r="C449" i="2" s="1"/>
  <c r="H448" i="18"/>
  <c r="C448" i="2" s="1"/>
  <c r="H447" i="18"/>
  <c r="C447" i="2" s="1"/>
  <c r="H446" i="18"/>
  <c r="C446" i="2" s="1"/>
  <c r="H445" i="18"/>
  <c r="C445" i="2" s="1"/>
  <c r="H444" i="18"/>
  <c r="C444" i="2" s="1"/>
  <c r="H443" i="18"/>
  <c r="C443" i="2" s="1"/>
  <c r="H442" i="18"/>
  <c r="C442" i="2" s="1"/>
  <c r="H441" i="18"/>
  <c r="C441" i="2" s="1"/>
  <c r="H440" i="18"/>
  <c r="C440" i="2" s="1"/>
  <c r="H439" i="18"/>
  <c r="C439" i="2" s="1"/>
  <c r="H438" i="18"/>
  <c r="C438" i="2" s="1"/>
  <c r="H437" i="18"/>
  <c r="C437" i="2" s="1"/>
  <c r="H436" i="18"/>
  <c r="C436" i="2" s="1"/>
  <c r="H435" i="18"/>
  <c r="C435" i="2" s="1"/>
  <c r="H434" i="18"/>
  <c r="C434" i="2" s="1"/>
  <c r="H433" i="18"/>
  <c r="C433" i="2" s="1"/>
  <c r="H432" i="18"/>
  <c r="C432" i="2" s="1"/>
  <c r="H431" i="18"/>
  <c r="C431" i="2" s="1"/>
  <c r="H430" i="18"/>
  <c r="C430" i="2" s="1"/>
  <c r="H429" i="18"/>
  <c r="C429" i="2" s="1"/>
  <c r="H428" i="18"/>
  <c r="C428" i="2" s="1"/>
  <c r="H427" i="18"/>
  <c r="C427" i="2" s="1"/>
  <c r="H426" i="18"/>
  <c r="C426" i="2" s="1"/>
  <c r="H425" i="18"/>
  <c r="C425" i="2" s="1"/>
  <c r="H424" i="18"/>
  <c r="C424" i="2" s="1"/>
  <c r="H423" i="18"/>
  <c r="C423" i="2" s="1"/>
  <c r="H422" i="18"/>
  <c r="C422" i="2" s="1"/>
  <c r="H421" i="18"/>
  <c r="C421" i="2" s="1"/>
  <c r="H420" i="18"/>
  <c r="C420" i="2" s="1"/>
  <c r="H419" i="18"/>
  <c r="C419" i="2" s="1"/>
  <c r="H418" i="18"/>
  <c r="C418" i="2" s="1"/>
  <c r="H417" i="18"/>
  <c r="C417" i="2" s="1"/>
  <c r="H416" i="18"/>
  <c r="C416" i="2" s="1"/>
  <c r="H415" i="18"/>
  <c r="C415" i="2" s="1"/>
  <c r="H414" i="18"/>
  <c r="C414" i="2" s="1"/>
  <c r="H413" i="18"/>
  <c r="C413" i="2" s="1"/>
  <c r="H412" i="18"/>
  <c r="C412" i="2" s="1"/>
  <c r="H411" i="18"/>
  <c r="C411" i="2" s="1"/>
  <c r="H410" i="18"/>
  <c r="C410" i="2" s="1"/>
  <c r="H409" i="18"/>
  <c r="C409" i="2" s="1"/>
  <c r="H408" i="18"/>
  <c r="C408" i="2" s="1"/>
  <c r="H407" i="18"/>
  <c r="C407" i="2" s="1"/>
  <c r="H406" i="18"/>
  <c r="C406" i="2" s="1"/>
  <c r="H405" i="18"/>
  <c r="C405" i="2" s="1"/>
  <c r="H404" i="18"/>
  <c r="C404" i="2" s="1"/>
  <c r="H403" i="18"/>
  <c r="C403" i="2" s="1"/>
  <c r="H402" i="18"/>
  <c r="C402" i="2" s="1"/>
  <c r="H401" i="18"/>
  <c r="C401" i="2" s="1"/>
  <c r="H400" i="18"/>
  <c r="C400" i="2" s="1"/>
  <c r="H399" i="18"/>
  <c r="C399" i="2" s="1"/>
  <c r="H398" i="18"/>
  <c r="C398" i="2" s="1"/>
  <c r="H397" i="18"/>
  <c r="C397" i="2" s="1"/>
  <c r="H396" i="18"/>
  <c r="C396" i="2" s="1"/>
  <c r="H395" i="18"/>
  <c r="C395" i="2" s="1"/>
  <c r="H394" i="18"/>
  <c r="C394" i="2" s="1"/>
  <c r="H393" i="18"/>
  <c r="C393" i="2" s="1"/>
  <c r="H392" i="18"/>
  <c r="C392" i="2" s="1"/>
  <c r="H391" i="18"/>
  <c r="C391" i="2" s="1"/>
  <c r="H390" i="18"/>
  <c r="C390" i="2" s="1"/>
  <c r="H389" i="18"/>
  <c r="C389" i="2" s="1"/>
  <c r="H388" i="18"/>
  <c r="C388" i="2" s="1"/>
  <c r="H387" i="18"/>
  <c r="C387" i="2" s="1"/>
  <c r="H386" i="18"/>
  <c r="C386" i="2" s="1"/>
  <c r="H385" i="18"/>
  <c r="C385" i="2" s="1"/>
  <c r="H384" i="18"/>
  <c r="C384" i="2" s="1"/>
  <c r="H383" i="18"/>
  <c r="C383" i="2" s="1"/>
  <c r="H382" i="18"/>
  <c r="C382" i="2" s="1"/>
  <c r="H381" i="18"/>
  <c r="C381" i="2" s="1"/>
  <c r="H380" i="18"/>
  <c r="C380" i="2" s="1"/>
  <c r="H379" i="18"/>
  <c r="C379" i="2" s="1"/>
  <c r="H378" i="18"/>
  <c r="C378" i="2" s="1"/>
  <c r="H377" i="18"/>
  <c r="C377" i="2" s="1"/>
  <c r="H376" i="18"/>
  <c r="C376" i="2" s="1"/>
  <c r="H375" i="18"/>
  <c r="C375" i="2" s="1"/>
  <c r="H374" i="18"/>
  <c r="C374" i="2" s="1"/>
  <c r="H373" i="18"/>
  <c r="C373" i="2" s="1"/>
  <c r="H372" i="18"/>
  <c r="C372" i="2" s="1"/>
  <c r="H371" i="18"/>
  <c r="C371" i="2" s="1"/>
  <c r="H370" i="18"/>
  <c r="C370" i="2" s="1"/>
  <c r="H369" i="18"/>
  <c r="C369" i="2" s="1"/>
  <c r="H368" i="18"/>
  <c r="C368" i="2" s="1"/>
  <c r="H367" i="18"/>
  <c r="C367" i="2" s="1"/>
  <c r="H366" i="18"/>
  <c r="C366" i="2" s="1"/>
  <c r="H365" i="18"/>
  <c r="C365" i="2" s="1"/>
  <c r="H364" i="18"/>
  <c r="C364" i="2" s="1"/>
  <c r="H363" i="18"/>
  <c r="C363" i="2" s="1"/>
  <c r="H362" i="18"/>
  <c r="C362" i="2" s="1"/>
  <c r="H361" i="18"/>
  <c r="C361" i="2" s="1"/>
  <c r="H360" i="18"/>
  <c r="C360" i="2" s="1"/>
  <c r="H359" i="18"/>
  <c r="C359" i="2" s="1"/>
  <c r="H358" i="18"/>
  <c r="C358" i="2" s="1"/>
  <c r="H357" i="18"/>
  <c r="C357" i="2" s="1"/>
  <c r="H356" i="18"/>
  <c r="C356" i="2" s="1"/>
  <c r="H355" i="18"/>
  <c r="C355" i="2" s="1"/>
  <c r="H354" i="18"/>
  <c r="C354" i="2" s="1"/>
  <c r="H353" i="18"/>
  <c r="C353" i="2" s="1"/>
  <c r="H352" i="18"/>
  <c r="C352" i="2" s="1"/>
  <c r="H351" i="18"/>
  <c r="C351" i="2" s="1"/>
  <c r="H350" i="18"/>
  <c r="C350" i="2" s="1"/>
  <c r="H349" i="18"/>
  <c r="C349" i="2" s="1"/>
  <c r="H348" i="18"/>
  <c r="C348" i="2" s="1"/>
  <c r="H347" i="18"/>
  <c r="C347" i="2" s="1"/>
  <c r="H346" i="18"/>
  <c r="C346" i="2" s="1"/>
  <c r="H345" i="18"/>
  <c r="C345" i="2" s="1"/>
  <c r="H344" i="18"/>
  <c r="C344" i="2" s="1"/>
  <c r="H343" i="18"/>
  <c r="C343" i="2" s="1"/>
  <c r="H342" i="18"/>
  <c r="C342" i="2" s="1"/>
  <c r="H341" i="18"/>
  <c r="C341" i="2" s="1"/>
  <c r="H340" i="18"/>
  <c r="C340" i="2" s="1"/>
  <c r="H339" i="18"/>
  <c r="C339" i="2" s="1"/>
  <c r="H338" i="18"/>
  <c r="C338" i="2" s="1"/>
  <c r="H337" i="18"/>
  <c r="C337" i="2" s="1"/>
  <c r="H336" i="18"/>
  <c r="C336" i="2" s="1"/>
  <c r="H335" i="18"/>
  <c r="C335" i="2" s="1"/>
  <c r="H334" i="18"/>
  <c r="C334" i="2" s="1"/>
  <c r="H333" i="18"/>
  <c r="C333" i="2" s="1"/>
  <c r="H332" i="18"/>
  <c r="C332" i="2" s="1"/>
  <c r="H331" i="18"/>
  <c r="C331" i="2" s="1"/>
  <c r="H330" i="18"/>
  <c r="C330" i="2" s="1"/>
  <c r="H329" i="18"/>
  <c r="C329" i="2" s="1"/>
  <c r="H328" i="18"/>
  <c r="C328" i="2" s="1"/>
  <c r="H327" i="18"/>
  <c r="C327" i="2" s="1"/>
  <c r="H326" i="18"/>
  <c r="C326" i="2" s="1"/>
  <c r="H325" i="18"/>
  <c r="C325" i="2" s="1"/>
  <c r="H324" i="18"/>
  <c r="C324" i="2" s="1"/>
  <c r="H323" i="18"/>
  <c r="C323" i="2" s="1"/>
  <c r="H322" i="18"/>
  <c r="C322" i="2" s="1"/>
  <c r="H321" i="18"/>
  <c r="C321" i="2" s="1"/>
  <c r="H320" i="18"/>
  <c r="C320" i="2" s="1"/>
  <c r="H319" i="18"/>
  <c r="C319" i="2" s="1"/>
  <c r="H318" i="18"/>
  <c r="C318" i="2" s="1"/>
  <c r="H317" i="18"/>
  <c r="C317" i="2" s="1"/>
  <c r="H316" i="18"/>
  <c r="C316" i="2" s="1"/>
  <c r="H315" i="18"/>
  <c r="C315" i="2" s="1"/>
  <c r="H314" i="18"/>
  <c r="C314" i="2" s="1"/>
  <c r="H313" i="18"/>
  <c r="C313" i="2" s="1"/>
  <c r="H312" i="18"/>
  <c r="C312" i="2" s="1"/>
  <c r="H311" i="18"/>
  <c r="C311" i="2" s="1"/>
  <c r="H310" i="18"/>
  <c r="C310" i="2" s="1"/>
  <c r="H309" i="18"/>
  <c r="C309" i="2" s="1"/>
  <c r="H308" i="18"/>
  <c r="C308" i="2" s="1"/>
  <c r="H307" i="18"/>
  <c r="C307" i="2" s="1"/>
  <c r="H306" i="18"/>
  <c r="C306" i="2" s="1"/>
  <c r="H305" i="18"/>
  <c r="C305" i="2" s="1"/>
  <c r="H304" i="18"/>
  <c r="C304" i="2" s="1"/>
  <c r="H303" i="18"/>
  <c r="C303" i="2" s="1"/>
  <c r="H302" i="18"/>
  <c r="C302" i="2" s="1"/>
  <c r="H301" i="18"/>
  <c r="C301" i="2" s="1"/>
  <c r="H300" i="18"/>
  <c r="C300" i="2" s="1"/>
  <c r="H299" i="18"/>
  <c r="C299" i="2" s="1"/>
  <c r="H298" i="18"/>
  <c r="C298" i="2" s="1"/>
  <c r="H297" i="18"/>
  <c r="C297" i="2" s="1"/>
  <c r="H296" i="18"/>
  <c r="C296" i="2" s="1"/>
  <c r="H295" i="18"/>
  <c r="C295" i="2" s="1"/>
  <c r="H294" i="18"/>
  <c r="C294" i="2" s="1"/>
  <c r="H293" i="18"/>
  <c r="C293" i="2" s="1"/>
  <c r="H292" i="18"/>
  <c r="C292" i="2" s="1"/>
  <c r="H291" i="18"/>
  <c r="C291" i="2" s="1"/>
  <c r="H290" i="18"/>
  <c r="C290" i="2" s="1"/>
  <c r="H289" i="18"/>
  <c r="C289" i="2" s="1"/>
  <c r="H288" i="18"/>
  <c r="C288" i="2" s="1"/>
  <c r="H287" i="18"/>
  <c r="C287" i="2" s="1"/>
  <c r="H286" i="18"/>
  <c r="C286" i="2" s="1"/>
  <c r="H285" i="18"/>
  <c r="C285" i="2" s="1"/>
  <c r="H284" i="18"/>
  <c r="C284" i="2" s="1"/>
  <c r="H283" i="18"/>
  <c r="C283" i="2" s="1"/>
  <c r="H282" i="18"/>
  <c r="C282" i="2" s="1"/>
  <c r="H281" i="18"/>
  <c r="C281" i="2" s="1"/>
  <c r="H280" i="18"/>
  <c r="C280" i="2" s="1"/>
  <c r="H279" i="18"/>
  <c r="C279" i="2" s="1"/>
  <c r="H278" i="18"/>
  <c r="C278" i="2" s="1"/>
  <c r="H277" i="18"/>
  <c r="C277" i="2" s="1"/>
  <c r="H276" i="18"/>
  <c r="C276" i="2" s="1"/>
  <c r="H275" i="18"/>
  <c r="C275" i="2" s="1"/>
  <c r="H274" i="18"/>
  <c r="C274" i="2" s="1"/>
  <c r="H273" i="18"/>
  <c r="C273" i="2" s="1"/>
  <c r="H272" i="18"/>
  <c r="C272" i="2" s="1"/>
  <c r="H271" i="18"/>
  <c r="C271" i="2" s="1"/>
  <c r="H270" i="18"/>
  <c r="C270" i="2" s="1"/>
  <c r="H269" i="18"/>
  <c r="C269" i="2" s="1"/>
  <c r="H268" i="18"/>
  <c r="C268" i="2" s="1"/>
  <c r="H267" i="18"/>
  <c r="C267" i="2" s="1"/>
  <c r="H266" i="18"/>
  <c r="C266" i="2" s="1"/>
  <c r="H265" i="18"/>
  <c r="C265" i="2" s="1"/>
  <c r="H264" i="18"/>
  <c r="C264" i="2" s="1"/>
  <c r="H263" i="18"/>
  <c r="C263" i="2" s="1"/>
  <c r="H262" i="18"/>
  <c r="C262" i="2" s="1"/>
  <c r="H261" i="18"/>
  <c r="C261" i="2" s="1"/>
  <c r="H260" i="18"/>
  <c r="C260" i="2" s="1"/>
  <c r="H259" i="18"/>
  <c r="C259" i="2" s="1"/>
  <c r="H258" i="18"/>
  <c r="C258" i="2" s="1"/>
  <c r="H257" i="18"/>
  <c r="C257" i="2" s="1"/>
  <c r="H256" i="18"/>
  <c r="C256" i="2" s="1"/>
  <c r="H255" i="18"/>
  <c r="C255" i="2" s="1"/>
  <c r="H254" i="18"/>
  <c r="C254" i="2" s="1"/>
  <c r="H253" i="18"/>
  <c r="C253" i="2" s="1"/>
  <c r="H252" i="18"/>
  <c r="C252" i="2" s="1"/>
  <c r="H251" i="18"/>
  <c r="C251" i="2" s="1"/>
  <c r="H250" i="18"/>
  <c r="C250" i="2" s="1"/>
  <c r="H249" i="18"/>
  <c r="C249" i="2" s="1"/>
  <c r="H248" i="18"/>
  <c r="C248" i="2" s="1"/>
  <c r="H247" i="18"/>
  <c r="C247" i="2" s="1"/>
  <c r="H246" i="18"/>
  <c r="C246" i="2" s="1"/>
  <c r="H245" i="18"/>
  <c r="C245" i="2" s="1"/>
  <c r="H244" i="18"/>
  <c r="C244" i="2" s="1"/>
  <c r="H243" i="18"/>
  <c r="C243" i="2" s="1"/>
  <c r="H242" i="18"/>
  <c r="C242" i="2" s="1"/>
  <c r="H241" i="18"/>
  <c r="C241" i="2" s="1"/>
  <c r="H240" i="18"/>
  <c r="C240" i="2" s="1"/>
  <c r="H239" i="18"/>
  <c r="C239" i="2" s="1"/>
  <c r="H238" i="18"/>
  <c r="C238" i="2" s="1"/>
  <c r="H237" i="18"/>
  <c r="C237" i="2" s="1"/>
  <c r="H236" i="18"/>
  <c r="C236" i="2" s="1"/>
  <c r="H235" i="18"/>
  <c r="C235" i="2" s="1"/>
  <c r="H234" i="18"/>
  <c r="C234" i="2" s="1"/>
  <c r="H233" i="18"/>
  <c r="C233" i="2" s="1"/>
  <c r="H232" i="18"/>
  <c r="C232" i="2" s="1"/>
  <c r="H231" i="18"/>
  <c r="C231" i="2" s="1"/>
  <c r="H230" i="18"/>
  <c r="C230" i="2" s="1"/>
  <c r="H229" i="18"/>
  <c r="C229" i="2" s="1"/>
  <c r="H228" i="18"/>
  <c r="C228" i="2" s="1"/>
  <c r="H227" i="18"/>
  <c r="C227" i="2" s="1"/>
  <c r="H226" i="18"/>
  <c r="C226" i="2" s="1"/>
  <c r="H225" i="18"/>
  <c r="C225" i="2" s="1"/>
  <c r="H224" i="18"/>
  <c r="C224" i="2" s="1"/>
  <c r="H223" i="18"/>
  <c r="C223" i="2" s="1"/>
  <c r="H222" i="18"/>
  <c r="C222" i="2" s="1"/>
  <c r="H221" i="18"/>
  <c r="C221" i="2" s="1"/>
  <c r="H220" i="18"/>
  <c r="C220" i="2" s="1"/>
  <c r="H219" i="18"/>
  <c r="C219" i="2" s="1"/>
  <c r="H218" i="18"/>
  <c r="C218" i="2" s="1"/>
  <c r="H217" i="18"/>
  <c r="C217" i="2" s="1"/>
  <c r="H216" i="18"/>
  <c r="C216" i="2" s="1"/>
  <c r="H215" i="18"/>
  <c r="C215" i="2" s="1"/>
  <c r="H214" i="18"/>
  <c r="C214" i="2" s="1"/>
  <c r="H213" i="18"/>
  <c r="C213" i="2" s="1"/>
  <c r="H212" i="18"/>
  <c r="C212" i="2" s="1"/>
  <c r="H211" i="18"/>
  <c r="C211" i="2" s="1"/>
  <c r="H210" i="18"/>
  <c r="C210" i="2" s="1"/>
  <c r="H209" i="18"/>
  <c r="C209" i="2" s="1"/>
  <c r="H208" i="18"/>
  <c r="C208" i="2" s="1"/>
  <c r="H207" i="18"/>
  <c r="C207" i="2" s="1"/>
  <c r="H206" i="18"/>
  <c r="C206" i="2" s="1"/>
  <c r="H205" i="18"/>
  <c r="C205" i="2" s="1"/>
  <c r="H204" i="18"/>
  <c r="C204" i="2" s="1"/>
  <c r="H203" i="18"/>
  <c r="C203" i="2" s="1"/>
  <c r="H202" i="18"/>
  <c r="C202" i="2" s="1"/>
  <c r="H201" i="18"/>
  <c r="C201" i="2" s="1"/>
  <c r="H200" i="18"/>
  <c r="C200" i="2" s="1"/>
  <c r="H199" i="18"/>
  <c r="C199" i="2" s="1"/>
  <c r="H198" i="18"/>
  <c r="C198" i="2" s="1"/>
  <c r="H197" i="18"/>
  <c r="C197" i="2" s="1"/>
  <c r="H196" i="18"/>
  <c r="C196" i="2" s="1"/>
  <c r="H195" i="18"/>
  <c r="C195" i="2" s="1"/>
  <c r="H194" i="18"/>
  <c r="C194" i="2" s="1"/>
  <c r="H193" i="18"/>
  <c r="C193" i="2" s="1"/>
  <c r="H192" i="18"/>
  <c r="C192" i="2" s="1"/>
  <c r="H191" i="18"/>
  <c r="C191" i="2" s="1"/>
  <c r="H190" i="18"/>
  <c r="C190" i="2" s="1"/>
  <c r="H189" i="18"/>
  <c r="C189" i="2" s="1"/>
  <c r="H188" i="18"/>
  <c r="C188" i="2" s="1"/>
  <c r="H187" i="18"/>
  <c r="C187" i="2" s="1"/>
  <c r="H186" i="18"/>
  <c r="C186" i="2" s="1"/>
  <c r="H185" i="18"/>
  <c r="C185" i="2" s="1"/>
  <c r="H184" i="18"/>
  <c r="C184" i="2" s="1"/>
  <c r="H183" i="18"/>
  <c r="C183" i="2" s="1"/>
  <c r="H182" i="18"/>
  <c r="C182" i="2" s="1"/>
  <c r="H181" i="18"/>
  <c r="C181" i="2" s="1"/>
  <c r="H180" i="18"/>
  <c r="C180" i="2" s="1"/>
  <c r="H179" i="18"/>
  <c r="C179" i="2" s="1"/>
  <c r="H178" i="18"/>
  <c r="C178" i="2" s="1"/>
  <c r="H177" i="18"/>
  <c r="C177" i="2" s="1"/>
  <c r="H176" i="18"/>
  <c r="C176" i="2" s="1"/>
  <c r="H175" i="18"/>
  <c r="C175" i="2" s="1"/>
  <c r="H174" i="18"/>
  <c r="C174" i="2" s="1"/>
  <c r="H173" i="18"/>
  <c r="C173" i="2" s="1"/>
  <c r="H172" i="18"/>
  <c r="C172" i="2" s="1"/>
  <c r="H171" i="18"/>
  <c r="C171" i="2" s="1"/>
  <c r="H170" i="18"/>
  <c r="C170" i="2" s="1"/>
  <c r="H169" i="18"/>
  <c r="C169" i="2" s="1"/>
  <c r="H168" i="18"/>
  <c r="C168" i="2" s="1"/>
  <c r="H167" i="18"/>
  <c r="C167" i="2" s="1"/>
  <c r="H166" i="18"/>
  <c r="C166" i="2" s="1"/>
  <c r="H165" i="18"/>
  <c r="C165" i="2" s="1"/>
  <c r="H164" i="18"/>
  <c r="C164" i="2" s="1"/>
  <c r="H163" i="18"/>
  <c r="C163" i="2" s="1"/>
  <c r="H162" i="18"/>
  <c r="C162" i="2" s="1"/>
  <c r="H161" i="18"/>
  <c r="C161" i="2" s="1"/>
  <c r="H160" i="18"/>
  <c r="C160" i="2" s="1"/>
  <c r="H159" i="18"/>
  <c r="C159" i="2" s="1"/>
  <c r="H158" i="18"/>
  <c r="C158" i="2" s="1"/>
  <c r="H157" i="18"/>
  <c r="C157" i="2" s="1"/>
  <c r="H156" i="18"/>
  <c r="C156" i="2" s="1"/>
  <c r="H155" i="18"/>
  <c r="C155" i="2" s="1"/>
  <c r="H154" i="18"/>
  <c r="C154" i="2" s="1"/>
  <c r="H153" i="18"/>
  <c r="C153" i="2" s="1"/>
  <c r="H152" i="18"/>
  <c r="C152" i="2" s="1"/>
  <c r="H151" i="18"/>
  <c r="C151" i="2" s="1"/>
  <c r="H150" i="18"/>
  <c r="C150" i="2" s="1"/>
  <c r="H149" i="18"/>
  <c r="C149" i="2" s="1"/>
  <c r="H148" i="18"/>
  <c r="C148" i="2" s="1"/>
  <c r="H147" i="18"/>
  <c r="C147" i="2" s="1"/>
  <c r="H146" i="18"/>
  <c r="C146" i="2" s="1"/>
  <c r="H145" i="18"/>
  <c r="C145" i="2" s="1"/>
  <c r="H144" i="18"/>
  <c r="C144" i="2" s="1"/>
  <c r="H143" i="18"/>
  <c r="C143" i="2" s="1"/>
  <c r="H142" i="18"/>
  <c r="C142" i="2" s="1"/>
  <c r="H141" i="18"/>
  <c r="C141" i="2" s="1"/>
  <c r="H140" i="18"/>
  <c r="C140" i="2" s="1"/>
  <c r="H139" i="18"/>
  <c r="C139" i="2" s="1"/>
  <c r="H138" i="18"/>
  <c r="C138" i="2" s="1"/>
  <c r="H137" i="18"/>
  <c r="C137" i="2" s="1"/>
  <c r="H136" i="18"/>
  <c r="C136" i="2" s="1"/>
  <c r="H135" i="18"/>
  <c r="C135" i="2" s="1"/>
  <c r="H134" i="18"/>
  <c r="C134" i="2" s="1"/>
  <c r="H133" i="18"/>
  <c r="C133" i="2" s="1"/>
  <c r="H132" i="18"/>
  <c r="C132" i="2" s="1"/>
  <c r="H131" i="18"/>
  <c r="C131" i="2" s="1"/>
  <c r="H130" i="18"/>
  <c r="C130" i="2" s="1"/>
  <c r="H129" i="18"/>
  <c r="C129" i="2" s="1"/>
  <c r="H128" i="18"/>
  <c r="C128" i="2" s="1"/>
  <c r="H127" i="18"/>
  <c r="C127" i="2" s="1"/>
  <c r="H126" i="18"/>
  <c r="C126" i="2" s="1"/>
  <c r="H125" i="18"/>
  <c r="C125" i="2" s="1"/>
  <c r="H124" i="18"/>
  <c r="C124" i="2" s="1"/>
  <c r="H123" i="18"/>
  <c r="C123" i="2" s="1"/>
  <c r="H122" i="18"/>
  <c r="C122" i="2" s="1"/>
  <c r="H121" i="18"/>
  <c r="C121" i="2" s="1"/>
  <c r="H120" i="18"/>
  <c r="C120" i="2" s="1"/>
  <c r="H119" i="18"/>
  <c r="C119" i="2" s="1"/>
  <c r="H118" i="18"/>
  <c r="C118" i="2" s="1"/>
  <c r="H117" i="18"/>
  <c r="C117" i="2" s="1"/>
  <c r="H116" i="18"/>
  <c r="C116" i="2" s="1"/>
  <c r="H115" i="18"/>
  <c r="C115" i="2" s="1"/>
  <c r="H114" i="18"/>
  <c r="C114" i="2" s="1"/>
  <c r="H113" i="18"/>
  <c r="C113" i="2" s="1"/>
  <c r="H112" i="18"/>
  <c r="C112" i="2" s="1"/>
  <c r="H111" i="18"/>
  <c r="C111" i="2" s="1"/>
  <c r="H110" i="18"/>
  <c r="C110" i="2" s="1"/>
  <c r="H109" i="18"/>
  <c r="C109" i="2" s="1"/>
  <c r="H108" i="18"/>
  <c r="C108" i="2" s="1"/>
  <c r="H107" i="18"/>
  <c r="C107" i="2" s="1"/>
  <c r="H106" i="18"/>
  <c r="C106" i="2" s="1"/>
  <c r="H105" i="18"/>
  <c r="C105" i="2" s="1"/>
  <c r="H104" i="18"/>
  <c r="C104" i="2" s="1"/>
  <c r="H103" i="18"/>
  <c r="C103" i="2" s="1"/>
  <c r="H102" i="18"/>
  <c r="C102" i="2" s="1"/>
  <c r="H101" i="18"/>
  <c r="C101" i="2" s="1"/>
  <c r="H100" i="18"/>
  <c r="C100" i="2" s="1"/>
  <c r="H99" i="18"/>
  <c r="C99" i="2" s="1"/>
  <c r="H98" i="18"/>
  <c r="C98" i="2" s="1"/>
  <c r="H97" i="18"/>
  <c r="C97" i="2" s="1"/>
  <c r="H96" i="18"/>
  <c r="C96" i="2" s="1"/>
  <c r="H95" i="18"/>
  <c r="C95" i="2" s="1"/>
  <c r="H94" i="18"/>
  <c r="C94" i="2" s="1"/>
  <c r="H93" i="18"/>
  <c r="C93" i="2" s="1"/>
  <c r="H92" i="18"/>
  <c r="C92" i="2" s="1"/>
  <c r="H91" i="18"/>
  <c r="C91" i="2" s="1"/>
  <c r="H90" i="18"/>
  <c r="C90" i="2" s="1"/>
  <c r="H89" i="18"/>
  <c r="C89" i="2" s="1"/>
  <c r="H88" i="18"/>
  <c r="C88" i="2" s="1"/>
  <c r="H87" i="18"/>
  <c r="C87" i="2" s="1"/>
  <c r="H86" i="18"/>
  <c r="C86" i="2" s="1"/>
  <c r="H85" i="18"/>
  <c r="C85" i="2" s="1"/>
  <c r="H84" i="18"/>
  <c r="C84" i="2" s="1"/>
  <c r="H83" i="18"/>
  <c r="C83" i="2" s="1"/>
  <c r="H82" i="18"/>
  <c r="C82" i="2" s="1"/>
  <c r="H81" i="18"/>
  <c r="C81" i="2" s="1"/>
  <c r="H80" i="18"/>
  <c r="C80" i="2" s="1"/>
  <c r="H79" i="18"/>
  <c r="C79" i="2" s="1"/>
  <c r="H78" i="18"/>
  <c r="C78" i="2" s="1"/>
  <c r="H77" i="18"/>
  <c r="C77" i="2" s="1"/>
  <c r="H76" i="18"/>
  <c r="C76" i="2" s="1"/>
  <c r="H75" i="18"/>
  <c r="C75" i="2" s="1"/>
  <c r="H74" i="18"/>
  <c r="C74" i="2" s="1"/>
  <c r="H73" i="18"/>
  <c r="C73" i="2" s="1"/>
  <c r="H72" i="18"/>
  <c r="C72" i="2" s="1"/>
  <c r="H71" i="18"/>
  <c r="C71" i="2" s="1"/>
  <c r="H70" i="18"/>
  <c r="C70" i="2" s="1"/>
  <c r="H69" i="18"/>
  <c r="C69" i="2" s="1"/>
  <c r="H68" i="18"/>
  <c r="C68" i="2" s="1"/>
  <c r="H67" i="18"/>
  <c r="C67" i="2" s="1"/>
  <c r="H66" i="18"/>
  <c r="C66" i="2" s="1"/>
  <c r="H65" i="18"/>
  <c r="C65" i="2" s="1"/>
  <c r="H64" i="18"/>
  <c r="C64" i="2" s="1"/>
  <c r="H63" i="18"/>
  <c r="C63" i="2" s="1"/>
  <c r="H62" i="18"/>
  <c r="C62" i="2" s="1"/>
  <c r="H61" i="18"/>
  <c r="C61" i="2" s="1"/>
  <c r="H60" i="18"/>
  <c r="C60" i="2" s="1"/>
  <c r="H59" i="18"/>
  <c r="C59" i="2" s="1"/>
  <c r="H58" i="18"/>
  <c r="C58" i="2" s="1"/>
  <c r="H57" i="18"/>
  <c r="C57" i="2" s="1"/>
  <c r="H56" i="18"/>
  <c r="C56" i="2" s="1"/>
  <c r="H55" i="18"/>
  <c r="C55" i="2" s="1"/>
  <c r="H54" i="18"/>
  <c r="C54" i="2" s="1"/>
  <c r="H53" i="18"/>
  <c r="C53" i="2" s="1"/>
  <c r="H52" i="18"/>
  <c r="C52" i="2" s="1"/>
  <c r="H51" i="18"/>
  <c r="C51" i="2" s="1"/>
  <c r="H50" i="18"/>
  <c r="C50" i="2" s="1"/>
  <c r="H49" i="18"/>
  <c r="C49" i="2" s="1"/>
  <c r="H48" i="18"/>
  <c r="C48" i="2" s="1"/>
  <c r="H47" i="18"/>
  <c r="C47" i="2" s="1"/>
  <c r="H46" i="18"/>
  <c r="C46" i="2" s="1"/>
  <c r="H45" i="18"/>
  <c r="C45" i="2" s="1"/>
  <c r="H44" i="18"/>
  <c r="C44" i="2" s="1"/>
  <c r="H43" i="18"/>
  <c r="C43" i="2" s="1"/>
  <c r="H42" i="18"/>
  <c r="C42" i="2" s="1"/>
  <c r="H41" i="18"/>
  <c r="C41" i="2" s="1"/>
  <c r="H40" i="18"/>
  <c r="C40" i="2" s="1"/>
  <c r="H39" i="18"/>
  <c r="C39" i="2" s="1"/>
  <c r="H38" i="18"/>
  <c r="C38" i="2" s="1"/>
  <c r="H37" i="18"/>
  <c r="C37" i="2" s="1"/>
  <c r="H36" i="18"/>
  <c r="C36" i="2" s="1"/>
  <c r="H35" i="18"/>
  <c r="C35" i="2" s="1"/>
  <c r="H34" i="18"/>
  <c r="C34" i="2" s="1"/>
  <c r="H33" i="18"/>
  <c r="C33" i="2" s="1"/>
  <c r="H32" i="18"/>
  <c r="C32" i="2" s="1"/>
  <c r="H31" i="18"/>
  <c r="C31" i="2" s="1"/>
  <c r="H30" i="18"/>
  <c r="C30" i="2" s="1"/>
  <c r="H29" i="18"/>
  <c r="C29" i="2" s="1"/>
  <c r="H28" i="18"/>
  <c r="C28" i="2" s="1"/>
  <c r="H27" i="18"/>
  <c r="C27" i="2" s="1"/>
  <c r="H26" i="18"/>
  <c r="C26" i="2" s="1"/>
  <c r="H25" i="18"/>
  <c r="C25" i="2" s="1"/>
  <c r="H24" i="18"/>
  <c r="C24" i="2" s="1"/>
  <c r="H23" i="18"/>
  <c r="C23" i="2" s="1"/>
  <c r="H22" i="18"/>
  <c r="C22" i="2" s="1"/>
  <c r="H21" i="18"/>
  <c r="C21" i="2" s="1"/>
  <c r="H20" i="18"/>
  <c r="C20" i="2" s="1"/>
  <c r="H19" i="18"/>
  <c r="C19" i="2" s="1"/>
  <c r="H18" i="18"/>
  <c r="C18" i="2" s="1"/>
  <c r="H17" i="18"/>
  <c r="C17" i="2" s="1"/>
  <c r="H16" i="18"/>
  <c r="C16" i="2" s="1"/>
  <c r="H15" i="18"/>
  <c r="C15" i="2" s="1"/>
  <c r="H14" i="18"/>
  <c r="C14" i="2" s="1"/>
  <c r="H13" i="18"/>
  <c r="C13" i="2" s="1"/>
  <c r="H12" i="18"/>
  <c r="C12" i="2" s="1"/>
  <c r="H11" i="18"/>
  <c r="C11" i="2" s="1"/>
  <c r="H10" i="18"/>
  <c r="C10" i="2" s="1"/>
  <c r="H9" i="18"/>
  <c r="C9" i="2" s="1"/>
  <c r="H8" i="18"/>
  <c r="C8" i="2" s="1"/>
  <c r="H7" i="18"/>
  <c r="C7" i="2" s="1"/>
  <c r="H6" i="18"/>
  <c r="C6" i="2" s="1"/>
  <c r="H5" i="18"/>
  <c r="C5" i="2" s="1"/>
  <c r="H4" i="18"/>
  <c r="C4" i="2" s="1"/>
  <c r="H3" i="18"/>
  <c r="C3" i="2" s="1"/>
  <c r="H4" i="19"/>
  <c r="B4" i="2" s="1"/>
  <c r="H5" i="19"/>
  <c r="B5" i="2" s="1"/>
  <c r="H6" i="19"/>
  <c r="B6" i="2" s="1"/>
  <c r="H7" i="19"/>
  <c r="B7" i="2" s="1"/>
  <c r="H8" i="19"/>
  <c r="B8" i="2" s="1"/>
  <c r="B9" i="2"/>
  <c r="B10" i="2"/>
  <c r="H11" i="19"/>
  <c r="B11" i="2" s="1"/>
  <c r="H12" i="19"/>
  <c r="B12" i="2" s="1"/>
  <c r="H13" i="19"/>
  <c r="B13" i="2" s="1"/>
  <c r="H14" i="19"/>
  <c r="B14" i="2" s="1"/>
  <c r="H15" i="19"/>
  <c r="B15" i="2" s="1"/>
  <c r="H16" i="19"/>
  <c r="B16" i="2" s="1"/>
  <c r="H17" i="19"/>
  <c r="B17" i="2" s="1"/>
  <c r="H18" i="19"/>
  <c r="B18" i="2" s="1"/>
  <c r="H19" i="19"/>
  <c r="B19" i="2" s="1"/>
  <c r="H20" i="19"/>
  <c r="B20" i="2" s="1"/>
  <c r="H21" i="19"/>
  <c r="B21" i="2" s="1"/>
  <c r="H22" i="19"/>
  <c r="B22" i="2" s="1"/>
  <c r="H23" i="19"/>
  <c r="B23" i="2" s="1"/>
  <c r="H24" i="19"/>
  <c r="B24" i="2" s="1"/>
  <c r="H25" i="19"/>
  <c r="B25" i="2" s="1"/>
  <c r="H26" i="19"/>
  <c r="B26" i="2" s="1"/>
  <c r="H27" i="19"/>
  <c r="B27" i="2" s="1"/>
  <c r="H28" i="19"/>
  <c r="B28" i="2" s="1"/>
  <c r="H29" i="19"/>
  <c r="B29" i="2" s="1"/>
  <c r="H30" i="19"/>
  <c r="B30" i="2" s="1"/>
  <c r="H31" i="19"/>
  <c r="B31" i="2" s="1"/>
  <c r="H32" i="19"/>
  <c r="B32" i="2" s="1"/>
  <c r="H33" i="19"/>
  <c r="B33" i="2" s="1"/>
  <c r="H34" i="19"/>
  <c r="B34" i="2" s="1"/>
  <c r="H35" i="19"/>
  <c r="B35" i="2" s="1"/>
  <c r="H36" i="19"/>
  <c r="B36" i="2" s="1"/>
  <c r="H37" i="19"/>
  <c r="B37" i="2" s="1"/>
  <c r="H38" i="19"/>
  <c r="B38" i="2" s="1"/>
  <c r="H39" i="19"/>
  <c r="B39" i="2" s="1"/>
  <c r="H40" i="19"/>
  <c r="B40" i="2" s="1"/>
  <c r="H41" i="19"/>
  <c r="B41" i="2" s="1"/>
  <c r="H42" i="19"/>
  <c r="B42" i="2" s="1"/>
  <c r="H43" i="19"/>
  <c r="B43" i="2" s="1"/>
  <c r="H44" i="19"/>
  <c r="B44" i="2" s="1"/>
  <c r="H45" i="19"/>
  <c r="B45" i="2" s="1"/>
  <c r="H46" i="19"/>
  <c r="B46" i="2" s="1"/>
  <c r="H47" i="19"/>
  <c r="B47" i="2" s="1"/>
  <c r="H48" i="19"/>
  <c r="B48" i="2" s="1"/>
  <c r="H49" i="19"/>
  <c r="B49" i="2" s="1"/>
  <c r="H50" i="19"/>
  <c r="B50" i="2" s="1"/>
  <c r="H51" i="19"/>
  <c r="B51" i="2" s="1"/>
  <c r="H52" i="19"/>
  <c r="B52" i="2" s="1"/>
  <c r="H53" i="19"/>
  <c r="B53" i="2" s="1"/>
  <c r="H54" i="19"/>
  <c r="B54" i="2" s="1"/>
  <c r="H55" i="19"/>
  <c r="B55" i="2" s="1"/>
  <c r="H56" i="19"/>
  <c r="B56" i="2" s="1"/>
  <c r="H57" i="19"/>
  <c r="B57" i="2" s="1"/>
  <c r="H58" i="19"/>
  <c r="B58" i="2" s="1"/>
  <c r="H59" i="19"/>
  <c r="B59" i="2" s="1"/>
  <c r="H60" i="19"/>
  <c r="B60" i="2" s="1"/>
  <c r="H61" i="19"/>
  <c r="B61" i="2" s="1"/>
  <c r="H62" i="19"/>
  <c r="B62" i="2" s="1"/>
  <c r="H63" i="19"/>
  <c r="B63" i="2" s="1"/>
  <c r="H64" i="19"/>
  <c r="B64" i="2" s="1"/>
  <c r="H65" i="19"/>
  <c r="B65" i="2" s="1"/>
  <c r="H66" i="19"/>
  <c r="B66" i="2" s="1"/>
  <c r="H67" i="19"/>
  <c r="B67" i="2" s="1"/>
  <c r="H68" i="19"/>
  <c r="B68" i="2" s="1"/>
  <c r="H69" i="19"/>
  <c r="B69" i="2" s="1"/>
  <c r="H70" i="19"/>
  <c r="B70" i="2" s="1"/>
  <c r="H71" i="19"/>
  <c r="B71" i="2" s="1"/>
  <c r="H72" i="19"/>
  <c r="B72" i="2" s="1"/>
  <c r="H73" i="19"/>
  <c r="B73" i="2" s="1"/>
  <c r="H74" i="19"/>
  <c r="B74" i="2" s="1"/>
  <c r="H75" i="19"/>
  <c r="B75" i="2" s="1"/>
  <c r="H76" i="19"/>
  <c r="B76" i="2" s="1"/>
  <c r="H77" i="19"/>
  <c r="B77" i="2" s="1"/>
  <c r="H78" i="19"/>
  <c r="B78" i="2" s="1"/>
  <c r="H79" i="19"/>
  <c r="B79" i="2" s="1"/>
  <c r="H80" i="19"/>
  <c r="B80" i="2" s="1"/>
  <c r="H81" i="19"/>
  <c r="B81" i="2" s="1"/>
  <c r="H82" i="19"/>
  <c r="B82" i="2" s="1"/>
  <c r="H83" i="19"/>
  <c r="B83" i="2" s="1"/>
  <c r="H84" i="19"/>
  <c r="B84" i="2" s="1"/>
  <c r="H85" i="19"/>
  <c r="B85" i="2" s="1"/>
  <c r="H86" i="19"/>
  <c r="B86" i="2" s="1"/>
  <c r="H87" i="19"/>
  <c r="B87" i="2" s="1"/>
  <c r="H88" i="19"/>
  <c r="B88" i="2" s="1"/>
  <c r="H89" i="19"/>
  <c r="B89" i="2" s="1"/>
  <c r="H90" i="19"/>
  <c r="B90" i="2" s="1"/>
  <c r="H91" i="19"/>
  <c r="B91" i="2" s="1"/>
  <c r="H92" i="19"/>
  <c r="B92" i="2" s="1"/>
  <c r="H93" i="19"/>
  <c r="B93" i="2" s="1"/>
  <c r="H94" i="19"/>
  <c r="B94" i="2" s="1"/>
  <c r="H95" i="19"/>
  <c r="B95" i="2" s="1"/>
  <c r="H96" i="19"/>
  <c r="B96" i="2" s="1"/>
  <c r="H97" i="19"/>
  <c r="B97" i="2" s="1"/>
  <c r="H98" i="19"/>
  <c r="B98" i="2" s="1"/>
  <c r="H99" i="19"/>
  <c r="B99" i="2" s="1"/>
  <c r="H100" i="19"/>
  <c r="B100" i="2" s="1"/>
  <c r="H101" i="19"/>
  <c r="B101" i="2" s="1"/>
  <c r="H102" i="19"/>
  <c r="B102" i="2" s="1"/>
  <c r="H103" i="19"/>
  <c r="B103" i="2" s="1"/>
  <c r="H104" i="19"/>
  <c r="B104" i="2" s="1"/>
  <c r="H105" i="19"/>
  <c r="B105" i="2" s="1"/>
  <c r="H106" i="19"/>
  <c r="B106" i="2" s="1"/>
  <c r="H107" i="19"/>
  <c r="B107" i="2" s="1"/>
  <c r="H108" i="19"/>
  <c r="B108" i="2" s="1"/>
  <c r="H109" i="19"/>
  <c r="B109" i="2" s="1"/>
  <c r="H110" i="19"/>
  <c r="B110" i="2" s="1"/>
  <c r="H111" i="19"/>
  <c r="B111" i="2" s="1"/>
  <c r="H112" i="19"/>
  <c r="B112" i="2" s="1"/>
  <c r="H113" i="19"/>
  <c r="B113" i="2" s="1"/>
  <c r="H114" i="19"/>
  <c r="B114" i="2" s="1"/>
  <c r="H115" i="19"/>
  <c r="B115" i="2" s="1"/>
  <c r="H116" i="19"/>
  <c r="B116" i="2" s="1"/>
  <c r="H117" i="19"/>
  <c r="B117" i="2" s="1"/>
  <c r="H118" i="19"/>
  <c r="B118" i="2" s="1"/>
  <c r="H119" i="19"/>
  <c r="B119" i="2" s="1"/>
  <c r="H120" i="19"/>
  <c r="B120" i="2" s="1"/>
  <c r="H121" i="19"/>
  <c r="B121" i="2" s="1"/>
  <c r="H122" i="19"/>
  <c r="B122" i="2" s="1"/>
  <c r="H123" i="19"/>
  <c r="B123" i="2" s="1"/>
  <c r="H124" i="19"/>
  <c r="B124" i="2" s="1"/>
  <c r="H125" i="19"/>
  <c r="B125" i="2" s="1"/>
  <c r="H126" i="19"/>
  <c r="B126" i="2" s="1"/>
  <c r="H127" i="19"/>
  <c r="B127" i="2" s="1"/>
  <c r="H128" i="19"/>
  <c r="B128" i="2" s="1"/>
  <c r="H129" i="19"/>
  <c r="B129" i="2" s="1"/>
  <c r="H130" i="19"/>
  <c r="B130" i="2" s="1"/>
  <c r="H131" i="19"/>
  <c r="B131" i="2" s="1"/>
  <c r="H132" i="19"/>
  <c r="B132" i="2" s="1"/>
  <c r="H133" i="19"/>
  <c r="B133" i="2" s="1"/>
  <c r="H134" i="19"/>
  <c r="B134" i="2" s="1"/>
  <c r="H135" i="19"/>
  <c r="B135" i="2" s="1"/>
  <c r="H136" i="19"/>
  <c r="B136" i="2" s="1"/>
  <c r="H137" i="19"/>
  <c r="B137" i="2" s="1"/>
  <c r="H138" i="19"/>
  <c r="B138" i="2" s="1"/>
  <c r="H139" i="19"/>
  <c r="B139" i="2" s="1"/>
  <c r="H140" i="19"/>
  <c r="B140" i="2" s="1"/>
  <c r="H141" i="19"/>
  <c r="B141" i="2" s="1"/>
  <c r="H142" i="19"/>
  <c r="B142" i="2" s="1"/>
  <c r="H143" i="19"/>
  <c r="B143" i="2" s="1"/>
  <c r="H144" i="19"/>
  <c r="B144" i="2" s="1"/>
  <c r="H145" i="19"/>
  <c r="B145" i="2" s="1"/>
  <c r="H146" i="19"/>
  <c r="B146" i="2" s="1"/>
  <c r="H147" i="19"/>
  <c r="B147" i="2" s="1"/>
  <c r="H148" i="19"/>
  <c r="B148" i="2" s="1"/>
  <c r="H149" i="19"/>
  <c r="B149" i="2" s="1"/>
  <c r="H150" i="19"/>
  <c r="B150" i="2" s="1"/>
  <c r="H151" i="19"/>
  <c r="B151" i="2" s="1"/>
  <c r="H152" i="19"/>
  <c r="B152" i="2" s="1"/>
  <c r="H153" i="19"/>
  <c r="B153" i="2" s="1"/>
  <c r="H154" i="19"/>
  <c r="B154" i="2" s="1"/>
  <c r="H155" i="19"/>
  <c r="B155" i="2" s="1"/>
  <c r="H156" i="19"/>
  <c r="B156" i="2" s="1"/>
  <c r="H157" i="19"/>
  <c r="B157" i="2" s="1"/>
  <c r="H158" i="19"/>
  <c r="B158" i="2" s="1"/>
  <c r="H159" i="19"/>
  <c r="B159" i="2" s="1"/>
  <c r="H160" i="19"/>
  <c r="B160" i="2" s="1"/>
  <c r="H161" i="19"/>
  <c r="B161" i="2" s="1"/>
  <c r="H162" i="19"/>
  <c r="B162" i="2" s="1"/>
  <c r="H163" i="19"/>
  <c r="B163" i="2" s="1"/>
  <c r="H164" i="19"/>
  <c r="B164" i="2" s="1"/>
  <c r="H165" i="19"/>
  <c r="B165" i="2" s="1"/>
  <c r="H166" i="19"/>
  <c r="B166" i="2" s="1"/>
  <c r="H167" i="19"/>
  <c r="B167" i="2" s="1"/>
  <c r="H168" i="19"/>
  <c r="B168" i="2" s="1"/>
  <c r="H169" i="19"/>
  <c r="B169" i="2" s="1"/>
  <c r="H170" i="19"/>
  <c r="B170" i="2" s="1"/>
  <c r="H171" i="19"/>
  <c r="B171" i="2" s="1"/>
  <c r="H172" i="19"/>
  <c r="B172" i="2" s="1"/>
  <c r="H173" i="19"/>
  <c r="B173" i="2" s="1"/>
  <c r="H174" i="19"/>
  <c r="B174" i="2" s="1"/>
  <c r="H175" i="19"/>
  <c r="B175" i="2" s="1"/>
  <c r="H176" i="19"/>
  <c r="B176" i="2" s="1"/>
  <c r="H177" i="19"/>
  <c r="B177" i="2" s="1"/>
  <c r="H178" i="19"/>
  <c r="B178" i="2" s="1"/>
  <c r="H179" i="19"/>
  <c r="B179" i="2" s="1"/>
  <c r="H180" i="19"/>
  <c r="B180" i="2" s="1"/>
  <c r="H181" i="19"/>
  <c r="B181" i="2" s="1"/>
  <c r="H182" i="19"/>
  <c r="B182" i="2" s="1"/>
  <c r="H183" i="19"/>
  <c r="B183" i="2" s="1"/>
  <c r="H184" i="19"/>
  <c r="B184" i="2" s="1"/>
  <c r="H185" i="19"/>
  <c r="B185" i="2" s="1"/>
  <c r="H186" i="19"/>
  <c r="B186" i="2" s="1"/>
  <c r="H187" i="19"/>
  <c r="B187" i="2" s="1"/>
  <c r="H188" i="19"/>
  <c r="B188" i="2" s="1"/>
  <c r="H189" i="19"/>
  <c r="B189" i="2" s="1"/>
  <c r="H190" i="19"/>
  <c r="B190" i="2" s="1"/>
  <c r="H191" i="19"/>
  <c r="B191" i="2" s="1"/>
  <c r="H192" i="19"/>
  <c r="B192" i="2" s="1"/>
  <c r="H193" i="19"/>
  <c r="B193" i="2" s="1"/>
  <c r="H194" i="19"/>
  <c r="B194" i="2" s="1"/>
  <c r="H195" i="19"/>
  <c r="B195" i="2" s="1"/>
  <c r="H196" i="19"/>
  <c r="B196" i="2" s="1"/>
  <c r="H197" i="19"/>
  <c r="B197" i="2" s="1"/>
  <c r="H198" i="19"/>
  <c r="B198" i="2" s="1"/>
  <c r="H199" i="19"/>
  <c r="B199" i="2" s="1"/>
  <c r="H200" i="19"/>
  <c r="B200" i="2" s="1"/>
  <c r="H201" i="19"/>
  <c r="B201" i="2" s="1"/>
  <c r="H202" i="19"/>
  <c r="B202" i="2" s="1"/>
  <c r="H203" i="19"/>
  <c r="B203" i="2" s="1"/>
  <c r="H204" i="19"/>
  <c r="B204" i="2" s="1"/>
  <c r="H205" i="19"/>
  <c r="B205" i="2" s="1"/>
  <c r="H206" i="19"/>
  <c r="B206" i="2" s="1"/>
  <c r="H207" i="19"/>
  <c r="B207" i="2" s="1"/>
  <c r="H208" i="19"/>
  <c r="B208" i="2" s="1"/>
  <c r="H209" i="19"/>
  <c r="B209" i="2" s="1"/>
  <c r="H210" i="19"/>
  <c r="B210" i="2" s="1"/>
  <c r="H211" i="19"/>
  <c r="B211" i="2" s="1"/>
  <c r="H212" i="19"/>
  <c r="B212" i="2" s="1"/>
  <c r="H213" i="19"/>
  <c r="B213" i="2" s="1"/>
  <c r="H214" i="19"/>
  <c r="B214" i="2" s="1"/>
  <c r="H215" i="19"/>
  <c r="B215" i="2" s="1"/>
  <c r="H216" i="19"/>
  <c r="B216" i="2" s="1"/>
  <c r="H217" i="19"/>
  <c r="B217" i="2" s="1"/>
  <c r="H218" i="19"/>
  <c r="B218" i="2" s="1"/>
  <c r="H219" i="19"/>
  <c r="B219" i="2" s="1"/>
  <c r="H220" i="19"/>
  <c r="B220" i="2" s="1"/>
  <c r="H221" i="19"/>
  <c r="B221" i="2" s="1"/>
  <c r="H222" i="19"/>
  <c r="B222" i="2" s="1"/>
  <c r="H223" i="19"/>
  <c r="B223" i="2" s="1"/>
  <c r="H224" i="19"/>
  <c r="B224" i="2" s="1"/>
  <c r="H225" i="19"/>
  <c r="B225" i="2" s="1"/>
  <c r="H226" i="19"/>
  <c r="B226" i="2" s="1"/>
  <c r="H227" i="19"/>
  <c r="B227" i="2" s="1"/>
  <c r="H228" i="19"/>
  <c r="B228" i="2" s="1"/>
  <c r="H229" i="19"/>
  <c r="B229" i="2" s="1"/>
  <c r="H230" i="19"/>
  <c r="B230" i="2" s="1"/>
  <c r="H231" i="19"/>
  <c r="B231" i="2" s="1"/>
  <c r="H232" i="19"/>
  <c r="B232" i="2" s="1"/>
  <c r="H233" i="19"/>
  <c r="B233" i="2" s="1"/>
  <c r="H234" i="19"/>
  <c r="B234" i="2" s="1"/>
  <c r="H235" i="19"/>
  <c r="B235" i="2" s="1"/>
  <c r="H236" i="19"/>
  <c r="B236" i="2" s="1"/>
  <c r="H237" i="19"/>
  <c r="B237" i="2" s="1"/>
  <c r="H238" i="19"/>
  <c r="B238" i="2" s="1"/>
  <c r="H239" i="19"/>
  <c r="B239" i="2" s="1"/>
  <c r="H240" i="19"/>
  <c r="B240" i="2" s="1"/>
  <c r="H241" i="19"/>
  <c r="B241" i="2" s="1"/>
  <c r="H242" i="19"/>
  <c r="B242" i="2" s="1"/>
  <c r="H243" i="19"/>
  <c r="B243" i="2" s="1"/>
  <c r="H244" i="19"/>
  <c r="B244" i="2" s="1"/>
  <c r="H245" i="19"/>
  <c r="B245" i="2" s="1"/>
  <c r="H246" i="19"/>
  <c r="B246" i="2" s="1"/>
  <c r="H247" i="19"/>
  <c r="B247" i="2" s="1"/>
  <c r="H248" i="19"/>
  <c r="B248" i="2" s="1"/>
  <c r="H249" i="19"/>
  <c r="B249" i="2" s="1"/>
  <c r="H250" i="19"/>
  <c r="B250" i="2" s="1"/>
  <c r="H251" i="19"/>
  <c r="B251" i="2" s="1"/>
  <c r="H252" i="19"/>
  <c r="B252" i="2" s="1"/>
  <c r="H253" i="19"/>
  <c r="B253" i="2" s="1"/>
  <c r="H254" i="19"/>
  <c r="B254" i="2" s="1"/>
  <c r="H255" i="19"/>
  <c r="B255" i="2" s="1"/>
  <c r="H256" i="19"/>
  <c r="B256" i="2" s="1"/>
  <c r="H257" i="19"/>
  <c r="B257" i="2" s="1"/>
  <c r="H258" i="19"/>
  <c r="B258" i="2" s="1"/>
  <c r="H259" i="19"/>
  <c r="B259" i="2" s="1"/>
  <c r="H260" i="19"/>
  <c r="B260" i="2" s="1"/>
  <c r="H261" i="19"/>
  <c r="B261" i="2" s="1"/>
  <c r="H262" i="19"/>
  <c r="B262" i="2" s="1"/>
  <c r="H263" i="19"/>
  <c r="B263" i="2" s="1"/>
  <c r="H264" i="19"/>
  <c r="B264" i="2" s="1"/>
  <c r="H265" i="19"/>
  <c r="B265" i="2" s="1"/>
  <c r="H266" i="19"/>
  <c r="B266" i="2" s="1"/>
  <c r="H267" i="19"/>
  <c r="B267" i="2" s="1"/>
  <c r="H268" i="19"/>
  <c r="B268" i="2" s="1"/>
  <c r="H269" i="19"/>
  <c r="B269" i="2" s="1"/>
  <c r="H270" i="19"/>
  <c r="B270" i="2" s="1"/>
  <c r="H271" i="19"/>
  <c r="B271" i="2" s="1"/>
  <c r="H272" i="19"/>
  <c r="B272" i="2" s="1"/>
  <c r="H273" i="19"/>
  <c r="B273" i="2" s="1"/>
  <c r="H274" i="19"/>
  <c r="B274" i="2" s="1"/>
  <c r="H275" i="19"/>
  <c r="B275" i="2" s="1"/>
  <c r="H276" i="19"/>
  <c r="B276" i="2" s="1"/>
  <c r="H277" i="19"/>
  <c r="B277" i="2" s="1"/>
  <c r="H278" i="19"/>
  <c r="B278" i="2" s="1"/>
  <c r="H279" i="19"/>
  <c r="B279" i="2" s="1"/>
  <c r="H280" i="19"/>
  <c r="B280" i="2" s="1"/>
  <c r="H281" i="19"/>
  <c r="B281" i="2" s="1"/>
  <c r="H282" i="19"/>
  <c r="B282" i="2" s="1"/>
  <c r="H283" i="19"/>
  <c r="B283" i="2" s="1"/>
  <c r="H284" i="19"/>
  <c r="B284" i="2" s="1"/>
  <c r="H285" i="19"/>
  <c r="B285" i="2" s="1"/>
  <c r="H286" i="19"/>
  <c r="B286" i="2" s="1"/>
  <c r="H287" i="19"/>
  <c r="B287" i="2" s="1"/>
  <c r="H288" i="19"/>
  <c r="B288" i="2" s="1"/>
  <c r="H289" i="19"/>
  <c r="B289" i="2" s="1"/>
  <c r="H290" i="19"/>
  <c r="B290" i="2" s="1"/>
  <c r="H291" i="19"/>
  <c r="B291" i="2" s="1"/>
  <c r="H292" i="19"/>
  <c r="B292" i="2" s="1"/>
  <c r="H293" i="19"/>
  <c r="B293" i="2" s="1"/>
  <c r="H294" i="19"/>
  <c r="B294" i="2" s="1"/>
  <c r="H295" i="19"/>
  <c r="B295" i="2" s="1"/>
  <c r="H296" i="19"/>
  <c r="B296" i="2" s="1"/>
  <c r="H297" i="19"/>
  <c r="B297" i="2" s="1"/>
  <c r="H298" i="19"/>
  <c r="B298" i="2" s="1"/>
  <c r="H299" i="19"/>
  <c r="B299" i="2" s="1"/>
  <c r="H300" i="19"/>
  <c r="B300" i="2" s="1"/>
  <c r="H301" i="19"/>
  <c r="B301" i="2" s="1"/>
  <c r="H302" i="19"/>
  <c r="B302" i="2" s="1"/>
  <c r="H303" i="19"/>
  <c r="B303" i="2" s="1"/>
  <c r="H304" i="19"/>
  <c r="B304" i="2" s="1"/>
  <c r="H305" i="19"/>
  <c r="B305" i="2" s="1"/>
  <c r="H306" i="19"/>
  <c r="B306" i="2" s="1"/>
  <c r="H307" i="19"/>
  <c r="B307" i="2" s="1"/>
  <c r="H308" i="19"/>
  <c r="B308" i="2" s="1"/>
  <c r="H309" i="19"/>
  <c r="B309" i="2" s="1"/>
  <c r="H310" i="19"/>
  <c r="B310" i="2" s="1"/>
  <c r="H311" i="19"/>
  <c r="B311" i="2" s="1"/>
  <c r="H312" i="19"/>
  <c r="B312" i="2" s="1"/>
  <c r="H313" i="19"/>
  <c r="B313" i="2" s="1"/>
  <c r="H314" i="19"/>
  <c r="B314" i="2" s="1"/>
  <c r="H315" i="19"/>
  <c r="B315" i="2" s="1"/>
  <c r="H316" i="19"/>
  <c r="B316" i="2" s="1"/>
  <c r="H317" i="19"/>
  <c r="B317" i="2" s="1"/>
  <c r="H318" i="19"/>
  <c r="B318" i="2" s="1"/>
  <c r="H319" i="19"/>
  <c r="B319" i="2" s="1"/>
  <c r="H320" i="19"/>
  <c r="B320" i="2" s="1"/>
  <c r="H321" i="19"/>
  <c r="B321" i="2" s="1"/>
  <c r="H322" i="19"/>
  <c r="B322" i="2" s="1"/>
  <c r="H323" i="19"/>
  <c r="B323" i="2" s="1"/>
  <c r="H324" i="19"/>
  <c r="B324" i="2" s="1"/>
  <c r="H325" i="19"/>
  <c r="B325" i="2" s="1"/>
  <c r="H326" i="19"/>
  <c r="B326" i="2" s="1"/>
  <c r="H327" i="19"/>
  <c r="B327" i="2" s="1"/>
  <c r="H328" i="19"/>
  <c r="B328" i="2" s="1"/>
  <c r="H329" i="19"/>
  <c r="B329" i="2" s="1"/>
  <c r="H330" i="19"/>
  <c r="B330" i="2" s="1"/>
  <c r="H331" i="19"/>
  <c r="B331" i="2" s="1"/>
  <c r="H332" i="19"/>
  <c r="B332" i="2" s="1"/>
  <c r="H333" i="19"/>
  <c r="B333" i="2" s="1"/>
  <c r="H334" i="19"/>
  <c r="B334" i="2" s="1"/>
  <c r="H335" i="19"/>
  <c r="B335" i="2" s="1"/>
  <c r="H336" i="19"/>
  <c r="B336" i="2" s="1"/>
  <c r="H337" i="19"/>
  <c r="B337" i="2" s="1"/>
  <c r="H338" i="19"/>
  <c r="B338" i="2" s="1"/>
  <c r="H339" i="19"/>
  <c r="B339" i="2" s="1"/>
  <c r="H340" i="19"/>
  <c r="B340" i="2" s="1"/>
  <c r="H341" i="19"/>
  <c r="B341" i="2" s="1"/>
  <c r="H342" i="19"/>
  <c r="B342" i="2" s="1"/>
  <c r="H343" i="19"/>
  <c r="B343" i="2" s="1"/>
  <c r="H344" i="19"/>
  <c r="B344" i="2" s="1"/>
  <c r="H345" i="19"/>
  <c r="B345" i="2" s="1"/>
  <c r="H346" i="19"/>
  <c r="B346" i="2" s="1"/>
  <c r="H347" i="19"/>
  <c r="B347" i="2" s="1"/>
  <c r="H348" i="19"/>
  <c r="B348" i="2" s="1"/>
  <c r="H349" i="19"/>
  <c r="B349" i="2" s="1"/>
  <c r="H350" i="19"/>
  <c r="B350" i="2" s="1"/>
  <c r="H351" i="19"/>
  <c r="B351" i="2" s="1"/>
  <c r="H352" i="19"/>
  <c r="B352" i="2" s="1"/>
  <c r="H353" i="19"/>
  <c r="B353" i="2" s="1"/>
  <c r="H354" i="19"/>
  <c r="B354" i="2" s="1"/>
  <c r="H355" i="19"/>
  <c r="B355" i="2" s="1"/>
  <c r="H356" i="19"/>
  <c r="B356" i="2" s="1"/>
  <c r="H357" i="19"/>
  <c r="B357" i="2" s="1"/>
  <c r="H358" i="19"/>
  <c r="B358" i="2" s="1"/>
  <c r="H359" i="19"/>
  <c r="B359" i="2" s="1"/>
  <c r="H360" i="19"/>
  <c r="B360" i="2" s="1"/>
  <c r="H361" i="19"/>
  <c r="B361" i="2" s="1"/>
  <c r="H362" i="19"/>
  <c r="B362" i="2" s="1"/>
  <c r="H363" i="19"/>
  <c r="B363" i="2" s="1"/>
  <c r="H364" i="19"/>
  <c r="B364" i="2" s="1"/>
  <c r="H365" i="19"/>
  <c r="B365" i="2" s="1"/>
  <c r="H366" i="19"/>
  <c r="B366" i="2" s="1"/>
  <c r="H367" i="19"/>
  <c r="B367" i="2" s="1"/>
  <c r="H368" i="19"/>
  <c r="B368" i="2" s="1"/>
  <c r="H369" i="19"/>
  <c r="B369" i="2" s="1"/>
  <c r="H370" i="19"/>
  <c r="B370" i="2" s="1"/>
  <c r="H371" i="19"/>
  <c r="B371" i="2" s="1"/>
  <c r="H372" i="19"/>
  <c r="B372" i="2" s="1"/>
  <c r="H373" i="19"/>
  <c r="B373" i="2" s="1"/>
  <c r="H374" i="19"/>
  <c r="B374" i="2" s="1"/>
  <c r="H375" i="19"/>
  <c r="B375" i="2" s="1"/>
  <c r="H376" i="19"/>
  <c r="B376" i="2" s="1"/>
  <c r="H377" i="19"/>
  <c r="B377" i="2" s="1"/>
  <c r="H378" i="19"/>
  <c r="B378" i="2" s="1"/>
  <c r="H379" i="19"/>
  <c r="B379" i="2" s="1"/>
  <c r="H380" i="19"/>
  <c r="B380" i="2" s="1"/>
  <c r="H381" i="19"/>
  <c r="B381" i="2" s="1"/>
  <c r="H382" i="19"/>
  <c r="B382" i="2" s="1"/>
  <c r="H383" i="19"/>
  <c r="B383" i="2" s="1"/>
  <c r="H384" i="19"/>
  <c r="B384" i="2" s="1"/>
  <c r="H385" i="19"/>
  <c r="B385" i="2" s="1"/>
  <c r="H386" i="19"/>
  <c r="B386" i="2" s="1"/>
  <c r="H387" i="19"/>
  <c r="B387" i="2" s="1"/>
  <c r="H388" i="19"/>
  <c r="B388" i="2" s="1"/>
  <c r="H389" i="19"/>
  <c r="B389" i="2" s="1"/>
  <c r="H390" i="19"/>
  <c r="B390" i="2" s="1"/>
  <c r="H391" i="19"/>
  <c r="B391" i="2" s="1"/>
  <c r="H392" i="19"/>
  <c r="B392" i="2" s="1"/>
  <c r="H393" i="19"/>
  <c r="B393" i="2" s="1"/>
  <c r="H394" i="19"/>
  <c r="B394" i="2" s="1"/>
  <c r="H395" i="19"/>
  <c r="B395" i="2" s="1"/>
  <c r="H396" i="19"/>
  <c r="B396" i="2" s="1"/>
  <c r="H397" i="19"/>
  <c r="B397" i="2" s="1"/>
  <c r="H398" i="19"/>
  <c r="B398" i="2" s="1"/>
  <c r="H399" i="19"/>
  <c r="B399" i="2" s="1"/>
  <c r="H400" i="19"/>
  <c r="B400" i="2" s="1"/>
  <c r="H401" i="19"/>
  <c r="B401" i="2" s="1"/>
  <c r="H402" i="19"/>
  <c r="B402" i="2" s="1"/>
  <c r="H403" i="19"/>
  <c r="B403" i="2" s="1"/>
  <c r="H404" i="19"/>
  <c r="B404" i="2" s="1"/>
  <c r="H405" i="19"/>
  <c r="B405" i="2" s="1"/>
  <c r="H406" i="19"/>
  <c r="B406" i="2" s="1"/>
  <c r="H407" i="19"/>
  <c r="B407" i="2" s="1"/>
  <c r="H408" i="19"/>
  <c r="B408" i="2" s="1"/>
  <c r="H409" i="19"/>
  <c r="B409" i="2" s="1"/>
  <c r="H410" i="19"/>
  <c r="B410" i="2" s="1"/>
  <c r="H411" i="19"/>
  <c r="B411" i="2" s="1"/>
  <c r="H412" i="19"/>
  <c r="B412" i="2" s="1"/>
  <c r="H413" i="19"/>
  <c r="B413" i="2" s="1"/>
  <c r="H414" i="19"/>
  <c r="B414" i="2" s="1"/>
  <c r="H415" i="19"/>
  <c r="B415" i="2" s="1"/>
  <c r="H416" i="19"/>
  <c r="B416" i="2" s="1"/>
  <c r="H417" i="19"/>
  <c r="B417" i="2" s="1"/>
  <c r="H418" i="19"/>
  <c r="B418" i="2" s="1"/>
  <c r="H419" i="19"/>
  <c r="B419" i="2" s="1"/>
  <c r="H420" i="19"/>
  <c r="B420" i="2" s="1"/>
  <c r="H421" i="19"/>
  <c r="B421" i="2" s="1"/>
  <c r="H422" i="19"/>
  <c r="B422" i="2" s="1"/>
  <c r="H423" i="19"/>
  <c r="B423" i="2" s="1"/>
  <c r="H424" i="19"/>
  <c r="B424" i="2" s="1"/>
  <c r="H425" i="19"/>
  <c r="B425" i="2" s="1"/>
  <c r="H426" i="19"/>
  <c r="B426" i="2" s="1"/>
  <c r="H427" i="19"/>
  <c r="B427" i="2" s="1"/>
  <c r="H428" i="19"/>
  <c r="B428" i="2" s="1"/>
  <c r="H429" i="19"/>
  <c r="B429" i="2" s="1"/>
  <c r="H430" i="19"/>
  <c r="B430" i="2" s="1"/>
  <c r="H431" i="19"/>
  <c r="B431" i="2" s="1"/>
  <c r="H432" i="19"/>
  <c r="B432" i="2" s="1"/>
  <c r="H433" i="19"/>
  <c r="B433" i="2" s="1"/>
  <c r="H434" i="19"/>
  <c r="B434" i="2" s="1"/>
  <c r="H435" i="19"/>
  <c r="B435" i="2" s="1"/>
  <c r="H436" i="19"/>
  <c r="B436" i="2" s="1"/>
  <c r="H437" i="19"/>
  <c r="B437" i="2" s="1"/>
  <c r="H438" i="19"/>
  <c r="B438" i="2" s="1"/>
  <c r="H439" i="19"/>
  <c r="B439" i="2" s="1"/>
  <c r="H440" i="19"/>
  <c r="B440" i="2" s="1"/>
  <c r="H441" i="19"/>
  <c r="B441" i="2" s="1"/>
  <c r="H442" i="19"/>
  <c r="B442" i="2" s="1"/>
  <c r="H443" i="19"/>
  <c r="B443" i="2" s="1"/>
  <c r="H444" i="19"/>
  <c r="B444" i="2" s="1"/>
  <c r="H445" i="19"/>
  <c r="B445" i="2" s="1"/>
  <c r="H446" i="19"/>
  <c r="B446" i="2" s="1"/>
  <c r="H447" i="19"/>
  <c r="B447" i="2" s="1"/>
  <c r="H448" i="19"/>
  <c r="B448" i="2" s="1"/>
  <c r="H449" i="19"/>
  <c r="B449" i="2" s="1"/>
  <c r="H450" i="19"/>
  <c r="B450" i="2" s="1"/>
  <c r="H451" i="19"/>
  <c r="B451" i="2" s="1"/>
  <c r="H452" i="19"/>
  <c r="B452" i="2" s="1"/>
  <c r="H453" i="19"/>
  <c r="B453" i="2" s="1"/>
  <c r="H454" i="19"/>
  <c r="B454" i="2" s="1"/>
  <c r="H455" i="19"/>
  <c r="B455" i="2" s="1"/>
  <c r="H456" i="19"/>
  <c r="B456" i="2" s="1"/>
  <c r="H457" i="19"/>
  <c r="B457" i="2" s="1"/>
  <c r="H458" i="19"/>
  <c r="B458" i="2" s="1"/>
  <c r="H459" i="19"/>
  <c r="B459" i="2" s="1"/>
  <c r="H460" i="19"/>
  <c r="B460" i="2" s="1"/>
  <c r="H461" i="19"/>
  <c r="B461" i="2" s="1"/>
  <c r="H462" i="19"/>
  <c r="B462" i="2" s="1"/>
  <c r="H463" i="19"/>
  <c r="B463" i="2" s="1"/>
  <c r="H464" i="19"/>
  <c r="B464" i="2" s="1"/>
  <c r="H465" i="19"/>
  <c r="B465" i="2" s="1"/>
  <c r="H466" i="19"/>
  <c r="H467" i="19"/>
  <c r="B467" i="2" s="1"/>
  <c r="H468" i="19"/>
  <c r="B468" i="2" s="1"/>
  <c r="H469" i="19"/>
  <c r="B469" i="2" s="1"/>
  <c r="H470" i="19"/>
  <c r="B470" i="2" s="1"/>
  <c r="H471" i="19"/>
  <c r="B471" i="2" s="1"/>
  <c r="H472" i="19"/>
  <c r="B472" i="2" s="1"/>
  <c r="H473" i="19"/>
  <c r="B473" i="2" s="1"/>
  <c r="H474" i="19"/>
  <c r="B474" i="2" s="1"/>
  <c r="H475" i="19"/>
  <c r="B475" i="2" s="1"/>
  <c r="H476" i="19"/>
  <c r="B476" i="2" s="1"/>
  <c r="H477" i="19"/>
  <c r="B477" i="2" s="1"/>
  <c r="H478" i="19"/>
  <c r="B478" i="2" s="1"/>
  <c r="H479" i="19"/>
  <c r="B479" i="2" s="1"/>
  <c r="H480" i="19"/>
  <c r="B480" i="2" s="1"/>
  <c r="H481" i="19"/>
  <c r="B481" i="2" s="1"/>
  <c r="H482" i="19"/>
  <c r="B482" i="2" s="1"/>
  <c r="H483" i="19"/>
  <c r="B483" i="2" s="1"/>
  <c r="H484" i="19"/>
  <c r="B484" i="2" s="1"/>
  <c r="H485" i="19"/>
  <c r="B485" i="2" s="1"/>
  <c r="H486" i="19"/>
  <c r="B486" i="2" s="1"/>
  <c r="H487" i="19"/>
  <c r="B487" i="2" s="1"/>
  <c r="H488" i="19"/>
  <c r="B488" i="2" s="1"/>
  <c r="H489" i="19"/>
  <c r="B489" i="2" s="1"/>
  <c r="H490" i="19"/>
  <c r="B490" i="2" s="1"/>
  <c r="H491" i="19"/>
  <c r="B491" i="2" s="1"/>
  <c r="H492" i="19"/>
  <c r="B492" i="2" s="1"/>
  <c r="H493" i="19"/>
  <c r="B493" i="2" s="1"/>
  <c r="H494" i="19"/>
  <c r="B494" i="2" s="1"/>
  <c r="H495" i="19"/>
  <c r="B495" i="2" s="1"/>
  <c r="H496" i="19"/>
  <c r="B496" i="2" s="1"/>
  <c r="H497" i="19"/>
  <c r="B497" i="2" s="1"/>
  <c r="H498" i="19"/>
  <c r="B498" i="2" s="1"/>
  <c r="H499" i="19"/>
  <c r="B499" i="2" s="1"/>
  <c r="H500" i="19"/>
  <c r="B500" i="2" s="1"/>
  <c r="H501" i="19"/>
  <c r="B501" i="2" s="1"/>
  <c r="H502" i="19"/>
  <c r="B502" i="2" s="1"/>
  <c r="H503" i="19"/>
  <c r="B503" i="2" s="1"/>
  <c r="H504" i="19"/>
  <c r="B504" i="2" s="1"/>
  <c r="H505" i="19"/>
  <c r="B505" i="2" s="1"/>
  <c r="H506" i="19"/>
  <c r="B506" i="2" s="1"/>
  <c r="H507" i="19"/>
  <c r="B507" i="2" s="1"/>
  <c r="H508" i="19"/>
  <c r="B508" i="2" s="1"/>
  <c r="H509" i="19"/>
  <c r="B509" i="2" s="1"/>
  <c r="H510" i="19"/>
  <c r="B510" i="2" s="1"/>
  <c r="H511" i="19"/>
  <c r="B511" i="2" s="1"/>
  <c r="H512" i="19"/>
  <c r="B512" i="2" s="1"/>
  <c r="H513" i="19"/>
  <c r="B513" i="2" s="1"/>
  <c r="H514" i="19"/>
  <c r="B514" i="2" s="1"/>
  <c r="H515" i="19"/>
  <c r="B515" i="2" s="1"/>
  <c r="H516" i="19"/>
  <c r="B516" i="2" s="1"/>
  <c r="H517" i="19"/>
  <c r="B517" i="2" s="1"/>
  <c r="H518" i="19"/>
  <c r="B518" i="2" s="1"/>
  <c r="H519" i="19"/>
  <c r="B519" i="2" s="1"/>
  <c r="H520" i="19"/>
  <c r="B520" i="2" s="1"/>
  <c r="H521" i="19"/>
  <c r="B521" i="2" s="1"/>
  <c r="H522" i="19"/>
  <c r="B522" i="2" s="1"/>
  <c r="H523" i="19"/>
  <c r="B523" i="2" s="1"/>
  <c r="H524" i="19"/>
  <c r="B524" i="2" s="1"/>
  <c r="H525" i="19"/>
  <c r="B525" i="2" s="1"/>
  <c r="H526" i="19"/>
  <c r="B526" i="2" s="1"/>
  <c r="H527" i="19"/>
  <c r="B527" i="2" s="1"/>
  <c r="H528" i="19"/>
  <c r="B528" i="2" s="1"/>
  <c r="H529" i="19"/>
  <c r="B529" i="2" s="1"/>
  <c r="H530" i="19"/>
  <c r="B530" i="2" s="1"/>
  <c r="H531" i="19"/>
  <c r="B531" i="2" s="1"/>
  <c r="H532" i="19"/>
  <c r="B532" i="2" s="1"/>
  <c r="H533" i="19"/>
  <c r="B533" i="2" s="1"/>
  <c r="H534" i="19"/>
  <c r="B534" i="2" s="1"/>
  <c r="H535" i="19"/>
  <c r="B535" i="2" s="1"/>
  <c r="H536" i="19"/>
  <c r="B536" i="2" s="1"/>
  <c r="H537" i="19"/>
  <c r="B537" i="2" s="1"/>
  <c r="H538" i="19"/>
  <c r="B538" i="2" s="1"/>
  <c r="H539" i="19"/>
  <c r="B539" i="2" s="1"/>
  <c r="H540" i="19"/>
  <c r="B540" i="2" s="1"/>
  <c r="H541" i="19"/>
  <c r="B541" i="2" s="1"/>
  <c r="H542" i="19"/>
  <c r="B542" i="2" s="1"/>
  <c r="H543" i="19"/>
  <c r="B543" i="2" s="1"/>
  <c r="H544" i="19"/>
  <c r="B544" i="2" s="1"/>
  <c r="H545" i="19"/>
  <c r="B545" i="2" s="1"/>
  <c r="H546" i="19"/>
  <c r="B546" i="2" s="1"/>
  <c r="H547" i="19"/>
  <c r="B547" i="2" s="1"/>
  <c r="H548" i="19"/>
  <c r="B548" i="2" s="1"/>
  <c r="H549" i="19"/>
  <c r="B549" i="2" s="1"/>
  <c r="H550" i="19"/>
  <c r="B550" i="2" s="1"/>
  <c r="H551" i="19"/>
  <c r="B551" i="2" s="1"/>
  <c r="H552" i="19"/>
  <c r="B552" i="2" s="1"/>
  <c r="H553" i="19"/>
  <c r="B553" i="2" s="1"/>
  <c r="H554" i="19"/>
  <c r="B554" i="2" s="1"/>
  <c r="H555" i="19"/>
  <c r="B555" i="2" s="1"/>
  <c r="H556" i="19"/>
  <c r="B556" i="2" s="1"/>
  <c r="H557" i="19"/>
  <c r="B557" i="2" s="1"/>
  <c r="H558" i="19"/>
  <c r="B558" i="2" s="1"/>
  <c r="H559" i="19"/>
  <c r="B559" i="2" s="1"/>
  <c r="H560" i="19"/>
  <c r="B560" i="2" s="1"/>
  <c r="H561" i="19"/>
  <c r="B561" i="2" s="1"/>
  <c r="H562" i="19"/>
  <c r="B562" i="2" s="1"/>
  <c r="H563" i="19"/>
  <c r="B563" i="2" s="1"/>
  <c r="H564" i="19"/>
  <c r="B564" i="2" s="1"/>
  <c r="H565" i="19"/>
  <c r="B565" i="2" s="1"/>
  <c r="H566" i="19"/>
  <c r="B566" i="2" s="1"/>
  <c r="H567" i="19"/>
  <c r="B567" i="2" s="1"/>
  <c r="H568" i="19"/>
  <c r="B568" i="2" s="1"/>
  <c r="H569" i="19"/>
  <c r="B569" i="2" s="1"/>
  <c r="H570" i="19"/>
  <c r="B570" i="2" s="1"/>
  <c r="H3" i="19"/>
  <c r="B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AA303E-DEE6-4CC7-B95A-E2F082AA7FBF}" keepAlive="1" name="Zapytanie — AMZN" description="Połączenie z zapytaniem „AMZN” w skoroszycie." type="5" refreshedVersion="8" background="1" saveData="1">
    <dbPr connection="Provider=Microsoft.Mashup.OleDb.1;Data Source=$Workbook$;Location=AMZN;Extended Properties=&quot;&quot;" command="SELECT * FROM [AMZN]"/>
  </connection>
  <connection id="2" xr16:uid="{06673854-FA99-497C-BEA8-A02C5E0DC429}" keepAlive="1" name="Zapytanie — EBAY" description="Połączenie z zapytaniem „EBAY” w skoroszycie." type="5" refreshedVersion="8" background="1" saveData="1">
    <dbPr connection="Provider=Microsoft.Mashup.OleDb.1;Data Source=$Workbook$;Location=EBAY;Extended Properties=&quot;&quot;" command="SELECT * FROM [EBAY]"/>
  </connection>
  <connection id="3" xr16:uid="{203EC29B-B60E-495C-98E4-7A96A81E24AD}" keepAlive="1" name="Zapytanie — GOOG" description="Połączenie z zapytaniem „GOOG” w skoroszycie." type="5" refreshedVersion="8" background="1" saveData="1">
    <dbPr connection="Provider=Microsoft.Mashup.OleDb.1;Data Source=$Workbook$;Location=GOOG;Extended Properties=&quot;&quot;" command="SELECT * FROM [GOOG]"/>
  </connection>
  <connection id="4" xr16:uid="{CFDE3660-D99F-4791-8804-3C23B71DEBA5}" keepAlive="1" name="Zapytanie — META" description="Połączenie z zapytaniem „META” w skoroszycie." type="5" refreshedVersion="8" background="1" saveData="1">
    <dbPr connection="Provider=Microsoft.Mashup.OleDb.1;Data Source=$Workbook$;Location=META;Extended Properties=&quot;&quot;" command="SELECT * FROM [META]"/>
  </connection>
  <connection id="5" xr16:uid="{F2B75E11-5A65-493C-8297-19F015448CFF}" keepAlive="1" name="Zapytanie — NFLX" description="Połączenie z zapytaniem „NFLX” w skoroszycie." type="5" refreshedVersion="8" background="1" saveData="1">
    <dbPr connection="Provider=Microsoft.Mashup.OleDb.1;Data Source=$Workbook$;Location=NFLX;Extended Properties=&quot;&quot;" command="SELECT * FROM [NFL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<sst xmlns="http://schemas.openxmlformats.org/spreadsheetml/2006/main" count="854" uniqueCount="237">
  <si>
    <t>Instrukcja wypelniania arkusza przez użytkownika:</t>
  </si>
  <si>
    <t>Arkusze znajdujące się w skoroszycie:</t>
  </si>
  <si>
    <t>Zastosowanie:</t>
  </si>
  <si>
    <t>Correlation matrices</t>
  </si>
  <si>
    <t>Market data</t>
  </si>
  <si>
    <t>volatility wszystko</t>
  </si>
  <si>
    <t>Zaimportowane dane dotyczące stóp procentowych</t>
  </si>
  <si>
    <t>Kalkulacja i interpolacja stóp procentowych na kazdy dzień trwania opcji</t>
  </si>
  <si>
    <t>Is_weekend</t>
  </si>
  <si>
    <t>Legenda dotycząca formatowania komórek:</t>
  </si>
  <si>
    <t>Komórki, w których użytkownik powinien wpisać wartość</t>
  </si>
  <si>
    <t>Komórki, w których wartość jest wynikiem działania makr</t>
  </si>
  <si>
    <t>Komórki, w których wartość jest zaciągnięta z zewnętrznych danych/ustalona/policzona przy użyciu formuł</t>
  </si>
  <si>
    <t>Company</t>
  </si>
  <si>
    <t>Netflix</t>
  </si>
  <si>
    <t>sigma</t>
  </si>
  <si>
    <t>Meta</t>
  </si>
  <si>
    <t>Alphabet</t>
  </si>
  <si>
    <t>Ebay</t>
  </si>
  <si>
    <t>Amazon</t>
  </si>
  <si>
    <t>T_start</t>
  </si>
  <si>
    <t>T_1</t>
  </si>
  <si>
    <t>T_2</t>
  </si>
  <si>
    <t>T_3</t>
  </si>
  <si>
    <t>T_4</t>
  </si>
  <si>
    <t>Period 1</t>
  </si>
  <si>
    <t>Correlation Matrix</t>
  </si>
  <si>
    <t>Goog</t>
  </si>
  <si>
    <t>Cholesky Decomposition Matrix</t>
  </si>
  <si>
    <t>Period 2</t>
  </si>
  <si>
    <t>Period 3</t>
  </si>
  <si>
    <t>Rate of return</t>
  </si>
  <si>
    <t>Date</t>
  </si>
  <si>
    <t>Open</t>
  </si>
  <si>
    <t>High</t>
  </si>
  <si>
    <t>Low</t>
  </si>
  <si>
    <t>Close</t>
  </si>
  <si>
    <t>Adj Close</t>
  </si>
  <si>
    <t>Volume</t>
  </si>
  <si>
    <t>Stopa zwrotu</t>
  </si>
  <si>
    <t>stock</t>
  </si>
  <si>
    <t>rate</t>
  </si>
  <si>
    <t>a</t>
  </si>
  <si>
    <t>b</t>
  </si>
  <si>
    <t>rho</t>
  </si>
  <si>
    <t>m</t>
  </si>
  <si>
    <t>Propozycja parametrów początkowych</t>
  </si>
  <si>
    <t>Cena forward</t>
  </si>
  <si>
    <t>Parametry początkowe</t>
  </si>
  <si>
    <t>Okres (lata)</t>
  </si>
  <si>
    <t xml:space="preserve">Parametry dopasowane </t>
  </si>
  <si>
    <t>Strike</t>
  </si>
  <si>
    <t>Implied Volatility</t>
  </si>
  <si>
    <t xml:space="preserve">Przybliżenie zmienności </t>
  </si>
  <si>
    <t>błąd</t>
  </si>
  <si>
    <t>Option expiry date</t>
  </si>
  <si>
    <t>0#USDZ=R</t>
  </si>
  <si>
    <t>USDZ=</t>
  </si>
  <si>
    <t>USD 3M ZERO CURV</t>
  </si>
  <si>
    <t>ZERO/1</t>
  </si>
  <si>
    <t>Tenors</t>
  </si>
  <si>
    <t>USD Date</t>
  </si>
  <si>
    <t>Value</t>
  </si>
  <si>
    <t>Start</t>
  </si>
  <si>
    <t>USDONZ=R</t>
  </si>
  <si>
    <t>ON</t>
  </si>
  <si>
    <t>USDTNZ=R</t>
  </si>
  <si>
    <t>TN</t>
  </si>
  <si>
    <t>USDSNZ=R</t>
  </si>
  <si>
    <t>SN</t>
  </si>
  <si>
    <t>USD1WZ=R</t>
  </si>
  <si>
    <t>1W</t>
  </si>
  <si>
    <t>USD2WZ=R</t>
  </si>
  <si>
    <t>2W</t>
  </si>
  <si>
    <t>USD1MZ=R</t>
  </si>
  <si>
    <t>1M</t>
  </si>
  <si>
    <t>USD2MZ=R</t>
  </si>
  <si>
    <t>2M</t>
  </si>
  <si>
    <t>USD3MZ=R</t>
  </si>
  <si>
    <t>3M</t>
  </si>
  <si>
    <t>USD6MZ=R</t>
  </si>
  <si>
    <t>6M</t>
  </si>
  <si>
    <t>USD9MZ=R</t>
  </si>
  <si>
    <t>9M</t>
  </si>
  <si>
    <t>USD1YZ=R</t>
  </si>
  <si>
    <t>1Y</t>
  </si>
  <si>
    <t>USD1Y3MZ=R</t>
  </si>
  <si>
    <t>1Y3M</t>
  </si>
  <si>
    <t>USD1Y6MZ=R</t>
  </si>
  <si>
    <t>1Y6M</t>
  </si>
  <si>
    <t>USD1Y9MZ=R</t>
  </si>
  <si>
    <t>1Y9M</t>
  </si>
  <si>
    <t>USD2YZ=R</t>
  </si>
  <si>
    <t>2Y</t>
  </si>
  <si>
    <t>USD2Y3MZ=R</t>
  </si>
  <si>
    <t>2Y3M</t>
  </si>
  <si>
    <t>USD2Y6MZ=R</t>
  </si>
  <si>
    <t>2Y6M</t>
  </si>
  <si>
    <t>USD2Y9MZ=R</t>
  </si>
  <si>
    <t>2Y9M</t>
  </si>
  <si>
    <t>USD3YZ=R</t>
  </si>
  <si>
    <t>3Y</t>
  </si>
  <si>
    <t>USD3Y3MZ=R</t>
  </si>
  <si>
    <t>3Y3M</t>
  </si>
  <si>
    <t>USD3Y6MZ=R</t>
  </si>
  <si>
    <t>3Y6M</t>
  </si>
  <si>
    <t>USD3Y9MZ=R</t>
  </si>
  <si>
    <t>3Y9M</t>
  </si>
  <si>
    <t>USD4YZ=R</t>
  </si>
  <si>
    <t>4Y</t>
  </si>
  <si>
    <t>USD4Y3MZ=R</t>
  </si>
  <si>
    <t>4Y3M</t>
  </si>
  <si>
    <t>USD4Y6MZ=R</t>
  </si>
  <si>
    <t>4Y6M</t>
  </si>
  <si>
    <t>USD4Y9MZ=R</t>
  </si>
  <si>
    <t>4Y9M</t>
  </si>
  <si>
    <t>USD5YZ=R</t>
  </si>
  <si>
    <t>5Y</t>
  </si>
  <si>
    <t>USD5Y3MZ=R</t>
  </si>
  <si>
    <t>5Y3M</t>
  </si>
  <si>
    <t>USD5Y6MZ=R</t>
  </si>
  <si>
    <t>5Y6M</t>
  </si>
  <si>
    <t>USD5Y9MZ=R</t>
  </si>
  <si>
    <t>5Y9M</t>
  </si>
  <si>
    <t>USD6YZ=R</t>
  </si>
  <si>
    <t>6Y</t>
  </si>
  <si>
    <t>USD6Y3MZ=R</t>
  </si>
  <si>
    <t>6Y3M</t>
  </si>
  <si>
    <t>USD6Y6MZ=R</t>
  </si>
  <si>
    <t>6Y6M</t>
  </si>
  <si>
    <t>USD6Y9MZ=R</t>
  </si>
  <si>
    <t>6Y9M</t>
  </si>
  <si>
    <t>USD7YZ=R</t>
  </si>
  <si>
    <t>7Y</t>
  </si>
  <si>
    <t>USD7Y3MZ=R</t>
  </si>
  <si>
    <t>7Y3M</t>
  </si>
  <si>
    <t>USD7Y6MZ=R</t>
  </si>
  <si>
    <t>7Y6M</t>
  </si>
  <si>
    <t>USD7Y9MZ=R</t>
  </si>
  <si>
    <t>7Y9M</t>
  </si>
  <si>
    <t>USD8YZ=R</t>
  </si>
  <si>
    <t>8Y</t>
  </si>
  <si>
    <t>USD8Y3MZ=R</t>
  </si>
  <si>
    <t>8Y3M</t>
  </si>
  <si>
    <t>USD8Y6MZ=R</t>
  </si>
  <si>
    <t>8Y6M</t>
  </si>
  <si>
    <t>USD8Y9MZ=R</t>
  </si>
  <si>
    <t>8Y9M</t>
  </si>
  <si>
    <t>USD9YZ=R</t>
  </si>
  <si>
    <t>9Y</t>
  </si>
  <si>
    <t>USD9Y3MZ=R</t>
  </si>
  <si>
    <t>9Y3M</t>
  </si>
  <si>
    <t>USD9Y6MZ=R</t>
  </si>
  <si>
    <t>9Y6M</t>
  </si>
  <si>
    <t>USD9Y9MZ=R</t>
  </si>
  <si>
    <t>9Y9M</t>
  </si>
  <si>
    <t>USD10YZ=R</t>
  </si>
  <si>
    <t>10Y</t>
  </si>
  <si>
    <t>USD11YZ=R</t>
  </si>
  <si>
    <t>11Y</t>
  </si>
  <si>
    <t>USD12YZ=R</t>
  </si>
  <si>
    <t>12Y</t>
  </si>
  <si>
    <t>USD13YZ=R</t>
  </si>
  <si>
    <t>13Y</t>
  </si>
  <si>
    <t>USD14YZ=R</t>
  </si>
  <si>
    <t>14Y</t>
  </si>
  <si>
    <t>USD15YZ=R</t>
  </si>
  <si>
    <t>15Y</t>
  </si>
  <si>
    <t>USD20YZ=R</t>
  </si>
  <si>
    <t>20Y</t>
  </si>
  <si>
    <t>USD25YZ=R</t>
  </si>
  <si>
    <t>25Y</t>
  </si>
  <si>
    <t>USD30YZ=R</t>
  </si>
  <si>
    <t>30Y</t>
  </si>
  <si>
    <t>USD40YZ=R</t>
  </si>
  <si>
    <t>40Y</t>
  </si>
  <si>
    <t>USD50YZ=R</t>
  </si>
  <si>
    <t>50Y</t>
  </si>
  <si>
    <t>Start date:</t>
  </si>
  <si>
    <t>Rate</t>
  </si>
  <si>
    <t>1 data wyceny</t>
  </si>
  <si>
    <t>czy weekend</t>
  </si>
  <si>
    <t>2 data wyceny</t>
  </si>
  <si>
    <t>3 data wyceny</t>
  </si>
  <si>
    <t>Results</t>
  </si>
  <si>
    <t>Zawiera dane wejściowe i parametry konieczne do wykonania wyceny</t>
  </si>
  <si>
    <t>Zawiera wyniki końcowe, przy parametetrach wybranych przez użytkownika</t>
  </si>
  <si>
    <t>Zawiera dane rynkowe dotyczące stopy zwrotu każdej z opcji</t>
  </si>
  <si>
    <t>Ceny Startowe:</t>
  </si>
  <si>
    <t>Rozliczenie opcji:</t>
  </si>
  <si>
    <t>Sprawdzenie poprawności danych:</t>
  </si>
  <si>
    <t>Czy wczytane są wszystkie okresy?</t>
  </si>
  <si>
    <t>Czy daty okresów są w odpowiedniej kolejności?</t>
  </si>
  <si>
    <t>Czy podane są ceny startowe?</t>
  </si>
  <si>
    <t>Arkusze ukryte:</t>
  </si>
  <si>
    <t>NFLX</t>
  </si>
  <si>
    <t>META</t>
  </si>
  <si>
    <t>GOOG</t>
  </si>
  <si>
    <t>EBAY</t>
  </si>
  <si>
    <t>AMZN</t>
  </si>
  <si>
    <t>Zawiera dane rynkowe dotyczące Netflix</t>
  </si>
  <si>
    <t>Zawiera dane rynkowe dotyczące Google</t>
  </si>
  <si>
    <t>Zawiera dane rynkowe dotyczące Ebay</t>
  </si>
  <si>
    <t>Zawiera dane rynkowe dotyczące Meta</t>
  </si>
  <si>
    <t>Zawiera dane rynkowe dotyczące Amazon</t>
  </si>
  <si>
    <t>volatility meta call</t>
  </si>
  <si>
    <t>volatility netflix call</t>
  </si>
  <si>
    <t>volatility alphabet call</t>
  </si>
  <si>
    <t>volatility ebay call</t>
  </si>
  <si>
    <t>volatility amazon call</t>
  </si>
  <si>
    <t>Zawiera dane zmienności dotyczące Meta</t>
  </si>
  <si>
    <t>Zawiera dane zmienności dotyczące Netflix</t>
  </si>
  <si>
    <t>Zawiera dane zmienności dotyczące Ebay</t>
  </si>
  <si>
    <t>Zawiera dane zmienności dotyczące Amazon</t>
  </si>
  <si>
    <t>Zawiera dane zmienności dotyczące Google</t>
  </si>
  <si>
    <t>2. Odświeżyć zakładkę Input data</t>
  </si>
  <si>
    <t>3. Sprawdzić, czy wszystkie dane są poprawne (czy komórki w kolumnie F świecą się na zielono)</t>
  </si>
  <si>
    <t>Daty wyceny:</t>
  </si>
  <si>
    <t>Czy podane są daty wyceny?</t>
  </si>
  <si>
    <t>Wyniki dla podanych parametrów i dat:</t>
  </si>
  <si>
    <t>4. Przejść do zakładki Results i odswieżyć ją</t>
  </si>
  <si>
    <t>5. Wyniki pojawią się w kolumnie C</t>
  </si>
  <si>
    <t>Liczba iteracji:</t>
  </si>
  <si>
    <t>Input Data</t>
  </si>
  <si>
    <t>Kalkulacja danych zmienności dla każdej z opcji</t>
  </si>
  <si>
    <t>Arkusz pomocniczy z oznaczeniem dni roboczych</t>
  </si>
  <si>
    <t>Źródła wykorzystane w narzędziu:</t>
  </si>
  <si>
    <t>http://www.axelvogt.de/axalom/index.html#volatility_smile</t>
  </si>
  <si>
    <t>Algorytm wykorzsytany do dopasowania krzywej zmienności</t>
  </si>
  <si>
    <t>https://people.duke.edu/~hpgavin/ExperimentalSystems/lm.pdf</t>
  </si>
  <si>
    <t>Opis algorytmu LM wykorzystywanego przy dopasowaniu parametrów krzywej</t>
  </si>
  <si>
    <t>IR data</t>
  </si>
  <si>
    <t>IR interpolation</t>
  </si>
  <si>
    <t>Kalkulacja macierzy korelacji opcji a także ich dekompozycja Choleskiego</t>
  </si>
  <si>
    <t>Ostatni dzień roboczy przed:</t>
  </si>
  <si>
    <t>Nominał:</t>
  </si>
  <si>
    <t>1. W zakładce Input data wpisać daty wyceny, żądaną liczbę iteracji oraz nominał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</si>
</sst>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_-* #,##0_-;\-* #,##0_-;_-* &quot;-&quot;??_-;_-@_-"/>
  </numFmts>
  <fonts count="8" x14ac:knownFonts="1">
    <font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0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 style="medium">
        <color rgb="FF000000"/>
      </left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43" fontId="7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2" xfId="0" applyBorder="1"/>
    <xf numFmtId="0" fontId="0" fillId="0" borderId="3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4" fontId="3" fillId="0" borderId="0" xfId="0" applyNumberFormat="1" applyFont="1"/>
    <xf numFmtId="14" fontId="3" fillId="0" borderId="8" xfId="0" applyNumberFormat="1" applyFont="1" applyBorder="1"/>
    <xf numFmtId="14" fontId="3" fillId="0" borderId="11" xfId="0" applyNumberFormat="1" applyFont="1" applyBorder="1"/>
    <xf numFmtId="14" fontId="3" fillId="0" borderId="12" xfId="0" applyNumberFormat="1" applyFont="1" applyBorder="1"/>
    <xf numFmtId="14" fontId="3" fillId="0" borderId="15" xfId="0" applyNumberFormat="1" applyFont="1" applyBorder="1"/>
    <xf numFmtId="0" fontId="3" fillId="0" borderId="16" xfId="0" applyFont="1" applyBorder="1"/>
    <xf numFmtId="0" fontId="3" fillId="0" borderId="17" xfId="0" applyFont="1" applyBorder="1"/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8" xfId="0" applyBorder="1"/>
    <xf numFmtId="0" fontId="0" fillId="4" borderId="20" xfId="0" applyFill="1" applyBorder="1"/>
    <xf numFmtId="0" fontId="0" fillId="4" borderId="21" xfId="0" applyFill="1" applyBorder="1"/>
    <xf numFmtId="0" fontId="0" fillId="4" borderId="23" xfId="0" applyFill="1" applyBorder="1"/>
    <xf numFmtId="0" fontId="0" fillId="4" borderId="7" xfId="0" applyFill="1" applyBorder="1"/>
    <xf numFmtId="0" fontId="0" fillId="4" borderId="25" xfId="0" applyFill="1" applyBorder="1"/>
    <xf numFmtId="164" fontId="0" fillId="4" borderId="9" xfId="0" applyNumberFormat="1" applyFill="1" applyBorder="1"/>
    <xf numFmtId="164" fontId="0" fillId="4" borderId="10" xfId="0" applyNumberFormat="1" applyFill="1" applyBorder="1"/>
    <xf numFmtId="164" fontId="0" fillId="4" borderId="0" xfId="0" applyNumberFormat="1" applyFill="1"/>
    <xf numFmtId="164" fontId="0" fillId="4" borderId="1" xfId="0" applyNumberFormat="1" applyFill="1" applyBorder="1"/>
    <xf numFmtId="164" fontId="0" fillId="4" borderId="13" xfId="0" applyNumberFormat="1" applyFill="1" applyBorder="1"/>
    <xf numFmtId="164" fontId="0" fillId="4" borderId="14" xfId="0" applyNumberFormat="1" applyFill="1" applyBorder="1"/>
    <xf numFmtId="0" fontId="3" fillId="4" borderId="0" xfId="0" applyFont="1" applyFill="1"/>
    <xf numFmtId="0" fontId="3" fillId="4" borderId="7" xfId="0" applyFont="1" applyFill="1" applyBorder="1"/>
    <xf numFmtId="14" fontId="0" fillId="0" borderId="19" xfId="0" applyNumberFormat="1" applyBorder="1"/>
    <xf numFmtId="14" fontId="0" fillId="0" borderId="22" xfId="0" applyNumberFormat="1" applyBorder="1"/>
    <xf numFmtId="14" fontId="3" fillId="0" borderId="20" xfId="0" applyNumberFormat="1" applyFont="1" applyBorder="1"/>
    <xf numFmtId="0" fontId="0" fillId="0" borderId="5" xfId="0" applyBorder="1"/>
    <xf numFmtId="0" fontId="0" fillId="0" borderId="6" xfId="0" applyBorder="1"/>
    <xf numFmtId="0" fontId="3" fillId="0" borderId="26" xfId="0" applyFont="1" applyBorder="1"/>
    <xf numFmtId="0" fontId="3" fillId="0" borderId="5" xfId="0" applyFont="1" applyBorder="1"/>
    <xf numFmtId="0" fontId="3" fillId="0" borderId="6" xfId="0" applyFont="1" applyBorder="1"/>
    <xf numFmtId="164" fontId="0" fillId="4" borderId="23" xfId="0" applyNumberFormat="1" applyFill="1" applyBorder="1"/>
    <xf numFmtId="14" fontId="3" fillId="0" borderId="22" xfId="0" applyNumberFormat="1" applyFont="1" applyBorder="1"/>
    <xf numFmtId="14" fontId="0" fillId="4" borderId="0" xfId="0" applyNumberFormat="1" applyFill="1"/>
    <xf numFmtId="14" fontId="0" fillId="4" borderId="7" xfId="0" applyNumberFormat="1" applyFill="1" applyBorder="1"/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0" xfId="0" applyFill="1"/>
    <xf numFmtId="0" fontId="0" fillId="5" borderId="23" xfId="0" applyFill="1" applyBorder="1"/>
    <xf numFmtId="0" fontId="0" fillId="5" borderId="24" xfId="0" applyFill="1" applyBorder="1"/>
    <xf numFmtId="0" fontId="0" fillId="5" borderId="7" xfId="0" applyFill="1" applyBorder="1"/>
    <xf numFmtId="0" fontId="0" fillId="5" borderId="25" xfId="0" applyFill="1" applyBorder="1"/>
    <xf numFmtId="14" fontId="0" fillId="4" borderId="22" xfId="0" applyNumberFormat="1" applyFill="1" applyBorder="1"/>
    <xf numFmtId="14" fontId="0" fillId="4" borderId="24" xfId="0" applyNumberFormat="1" applyFill="1" applyBorder="1"/>
    <xf numFmtId="0" fontId="1" fillId="0" borderId="28" xfId="0" applyFont="1" applyBorder="1" applyAlignment="1">
      <alignment horizontal="center"/>
    </xf>
    <xf numFmtId="14" fontId="0" fillId="6" borderId="0" xfId="0" applyNumberFormat="1" applyFill="1"/>
    <xf numFmtId="0" fontId="0" fillId="0" borderId="32" xfId="0" applyBorder="1"/>
    <xf numFmtId="0" fontId="0" fillId="0" borderId="33" xfId="0" applyBorder="1"/>
    <xf numFmtId="0" fontId="0" fillId="0" borderId="34" xfId="0" applyBorder="1"/>
    <xf numFmtId="14" fontId="0" fillId="4" borderId="30" xfId="0" applyNumberFormat="1" applyFill="1" applyBorder="1"/>
    <xf numFmtId="14" fontId="0" fillId="4" borderId="27" xfId="0" applyNumberFormat="1" applyFill="1" applyBorder="1"/>
    <xf numFmtId="14" fontId="0" fillId="4" borderId="31" xfId="0" applyNumberFormat="1" applyFill="1" applyBorder="1"/>
    <xf numFmtId="14" fontId="0" fillId="4" borderId="29" xfId="0" applyNumberFormat="1" applyFill="1" applyBorder="1"/>
    <xf numFmtId="0" fontId="0" fillId="0" borderId="35" xfId="0" applyBorder="1"/>
    <xf numFmtId="14" fontId="1" fillId="0" borderId="36" xfId="0" applyNumberFormat="1" applyFont="1" applyBorder="1" applyAlignment="1">
      <alignment horizontal="center"/>
    </xf>
    <xf numFmtId="2" fontId="0" fillId="4" borderId="37" xfId="0" applyNumberFormat="1" applyFill="1" applyBorder="1" applyAlignment="1">
      <alignment horizontal="right"/>
    </xf>
    <xf numFmtId="2" fontId="0" fillId="4" borderId="38" xfId="0" applyNumberFormat="1" applyFill="1" applyBorder="1" applyAlignment="1">
      <alignment horizontal="right"/>
    </xf>
    <xf numFmtId="165" fontId="0" fillId="6" borderId="0" xfId="2" applyNumberFormat="1" applyFont="1" applyFill="1"/>
    <xf numFmtId="14" fontId="0" fillId="4" borderId="39" xfId="0" applyNumberFormat="1" applyFill="1" applyBorder="1"/>
    <xf numFmtId="0" fontId="0" fillId="5" borderId="39" xfId="0" applyFill="1" applyBorder="1"/>
    <xf numFmtId="2" fontId="0" fillId="4" borderId="0" xfId="0" applyNumberFormat="1" applyFill="1"/>
    <xf numFmtId="0" fontId="5" fillId="0" borderId="39" xfId="0" applyFont="1" applyBorder="1"/>
    <xf numFmtId="0" fontId="3" fillId="0" borderId="39" xfId="0" applyFont="1" applyBorder="1"/>
    <xf numFmtId="0" fontId="6" fillId="0" borderId="39" xfId="0" applyFont="1" applyBorder="1"/>
    <xf numFmtId="0" fontId="0" fillId="0" borderId="39" xfId="0" applyBorder="1"/>
    <xf numFmtId="0" fontId="4" fillId="0" borderId="39" xfId="0" applyFont="1" applyBorder="1"/>
    <xf numFmtId="0" fontId="0" fillId="2" borderId="39" xfId="0" applyFill="1" applyBorder="1"/>
    <xf numFmtId="0" fontId="0" fillId="3" borderId="39" xfId="0" applyFill="1" applyBorder="1"/>
    <xf numFmtId="0" fontId="0" fillId="4" borderId="39" xfId="0" applyFill="1" applyBorder="1"/>
  </cellXfs>
  <cellStyles count="3">
    <cellStyle name="Comma" xfId="2" builtinId="3"/>
    <cellStyle name="Normal" xfId="0" builtinId="0"/>
    <cellStyle name="Normalny 2" xfId="1" xr:uid="{C2CFA5F4-8C10-405F-B8CB-A33253093D8E}"/>
  </cellStyles>
  <dxfs count="52"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9" formatCode="dd/mm/yyyy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/>
      </font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9" formatCode="dd/mm/yyyy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/>
      </font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9" formatCode="dd/mm/yyyy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/>
      </font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9" formatCode="dd/mm/yyyy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/>
      </font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9" formatCode="dd/mm/yyyy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'volatility meta call'!$B$8</c:f>
              <c:strCache>
                <c:ptCount val="1"/>
                <c:pt idx="0">
                  <c:v>Implied Volatility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'volatility meta call'!$A$9:$A$128</c:f>
              <c:numCache>
                <c:formatCode>General</c:formatCode>
                <c:ptCount val="1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395</c:v>
                </c:pt>
                <c:pt idx="51">
                  <c:v>400</c:v>
                </c:pt>
                <c:pt idx="52">
                  <c:v>405</c:v>
                </c:pt>
                <c:pt idx="53">
                  <c:v>410</c:v>
                </c:pt>
                <c:pt idx="54">
                  <c:v>415</c:v>
                </c:pt>
                <c:pt idx="55">
                  <c:v>420</c:v>
                </c:pt>
                <c:pt idx="56">
                  <c:v>425</c:v>
                </c:pt>
                <c:pt idx="57">
                  <c:v>430</c:v>
                </c:pt>
                <c:pt idx="58">
                  <c:v>435</c:v>
                </c:pt>
                <c:pt idx="59">
                  <c:v>440</c:v>
                </c:pt>
                <c:pt idx="60">
                  <c:v>445</c:v>
                </c:pt>
                <c:pt idx="61">
                  <c:v>450</c:v>
                </c:pt>
                <c:pt idx="62">
                  <c:v>460</c:v>
                </c:pt>
                <c:pt idx="63">
                  <c:v>470</c:v>
                </c:pt>
                <c:pt idx="64">
                  <c:v>480</c:v>
                </c:pt>
                <c:pt idx="65">
                  <c:v>490</c:v>
                </c:pt>
                <c:pt idx="66">
                  <c:v>500</c:v>
                </c:pt>
                <c:pt idx="67">
                  <c:v>510</c:v>
                </c:pt>
                <c:pt idx="68">
                  <c:v>520</c:v>
                </c:pt>
                <c:pt idx="69">
                  <c:v>530</c:v>
                </c:pt>
                <c:pt idx="70">
                  <c:v>540</c:v>
                </c:pt>
                <c:pt idx="71">
                  <c:v>550</c:v>
                </c:pt>
                <c:pt idx="72">
                  <c:v>560</c:v>
                </c:pt>
                <c:pt idx="73">
                  <c:v>570</c:v>
                </c:pt>
                <c:pt idx="74">
                  <c:v>580</c:v>
                </c:pt>
                <c:pt idx="75">
                  <c:v>590</c:v>
                </c:pt>
                <c:pt idx="76">
                  <c:v>600</c:v>
                </c:pt>
                <c:pt idx="77">
                  <c:v>610</c:v>
                </c:pt>
                <c:pt idx="78">
                  <c:v>620</c:v>
                </c:pt>
                <c:pt idx="79">
                  <c:v>630</c:v>
                </c:pt>
                <c:pt idx="80">
                  <c:v>640</c:v>
                </c:pt>
                <c:pt idx="81">
                  <c:v>650</c:v>
                </c:pt>
                <c:pt idx="82">
                  <c:v>660</c:v>
                </c:pt>
                <c:pt idx="83">
                  <c:v>670</c:v>
                </c:pt>
                <c:pt idx="84">
                  <c:v>680</c:v>
                </c:pt>
                <c:pt idx="85">
                  <c:v>690</c:v>
                </c:pt>
                <c:pt idx="86">
                  <c:v>700</c:v>
                </c:pt>
                <c:pt idx="87">
                  <c:v>710</c:v>
                </c:pt>
                <c:pt idx="88">
                  <c:v>720</c:v>
                </c:pt>
                <c:pt idx="89">
                  <c:v>730</c:v>
                </c:pt>
                <c:pt idx="90">
                  <c:v>740</c:v>
                </c:pt>
                <c:pt idx="91">
                  <c:v>750</c:v>
                </c:pt>
                <c:pt idx="92">
                  <c:v>760</c:v>
                </c:pt>
                <c:pt idx="93">
                  <c:v>770</c:v>
                </c:pt>
                <c:pt idx="94">
                  <c:v>780</c:v>
                </c:pt>
                <c:pt idx="95">
                  <c:v>790</c:v>
                </c:pt>
                <c:pt idx="96">
                  <c:v>800</c:v>
                </c:pt>
                <c:pt idx="97">
                  <c:v>810</c:v>
                </c:pt>
                <c:pt idx="98">
                  <c:v>820</c:v>
                </c:pt>
                <c:pt idx="99">
                  <c:v>830</c:v>
                </c:pt>
                <c:pt idx="100">
                  <c:v>840</c:v>
                </c:pt>
                <c:pt idx="101">
                  <c:v>850</c:v>
                </c:pt>
                <c:pt idx="102">
                  <c:v>860</c:v>
                </c:pt>
                <c:pt idx="103">
                  <c:v>870</c:v>
                </c:pt>
                <c:pt idx="104">
                  <c:v>880</c:v>
                </c:pt>
                <c:pt idx="105">
                  <c:v>890</c:v>
                </c:pt>
                <c:pt idx="106">
                  <c:v>900</c:v>
                </c:pt>
                <c:pt idx="107">
                  <c:v>910</c:v>
                </c:pt>
                <c:pt idx="108">
                  <c:v>920</c:v>
                </c:pt>
                <c:pt idx="109">
                  <c:v>930</c:v>
                </c:pt>
                <c:pt idx="110">
                  <c:v>940</c:v>
                </c:pt>
                <c:pt idx="111">
                  <c:v>950</c:v>
                </c:pt>
                <c:pt idx="112">
                  <c:v>960</c:v>
                </c:pt>
                <c:pt idx="113">
                  <c:v>970</c:v>
                </c:pt>
                <c:pt idx="114">
                  <c:v>980</c:v>
                </c:pt>
                <c:pt idx="115">
                  <c:v>990</c:v>
                </c:pt>
                <c:pt idx="116">
                  <c:v>1000</c:v>
                </c:pt>
                <c:pt idx="117">
                  <c:v>1010</c:v>
                </c:pt>
                <c:pt idx="118">
                  <c:v>1020</c:v>
                </c:pt>
                <c:pt idx="119">
                  <c:v>1030</c:v>
                </c:pt>
              </c:numCache>
            </c:numRef>
          </c:cat>
          <c:val>
            <c:numRef>
              <c:f>'volatility meta call'!$B$9:$B$128</c:f>
              <c:numCache>
                <c:formatCode>General</c:formatCode>
                <c:ptCount val="120"/>
                <c:pt idx="0">
                  <c:v>338.28629999999998</c:v>
                </c:pt>
                <c:pt idx="1">
                  <c:v>175.91569999999999</c:v>
                </c:pt>
                <c:pt idx="2">
                  <c:v>140.2629</c:v>
                </c:pt>
                <c:pt idx="3">
                  <c:v>117.3549</c:v>
                </c:pt>
                <c:pt idx="4">
                  <c:v>98.906499999999994</c:v>
                </c:pt>
                <c:pt idx="5">
                  <c:v>88.1126</c:v>
                </c:pt>
                <c:pt idx="6">
                  <c:v>86.5642</c:v>
                </c:pt>
                <c:pt idx="7">
                  <c:v>82.392200000000003</c:v>
                </c:pt>
                <c:pt idx="8">
                  <c:v>79.442700000000002</c:v>
                </c:pt>
                <c:pt idx="9">
                  <c:v>76.707899999999995</c:v>
                </c:pt>
                <c:pt idx="10">
                  <c:v>71.672300000000007</c:v>
                </c:pt>
                <c:pt idx="11">
                  <c:v>67.868499999999997</c:v>
                </c:pt>
                <c:pt idx="12">
                  <c:v>65.904200000000003</c:v>
                </c:pt>
                <c:pt idx="13">
                  <c:v>62.647799999999997</c:v>
                </c:pt>
                <c:pt idx="14">
                  <c:v>59.782400000000003</c:v>
                </c:pt>
                <c:pt idx="15">
                  <c:v>58.941899999999997</c:v>
                </c:pt>
                <c:pt idx="16">
                  <c:v>58.183500000000002</c:v>
                </c:pt>
                <c:pt idx="17">
                  <c:v>53.589500000000001</c:v>
                </c:pt>
                <c:pt idx="18">
                  <c:v>52.883299999999998</c:v>
                </c:pt>
                <c:pt idx="19">
                  <c:v>51.570500000000003</c:v>
                </c:pt>
                <c:pt idx="20">
                  <c:v>51.784300000000002</c:v>
                </c:pt>
                <c:pt idx="21">
                  <c:v>50.545400000000001</c:v>
                </c:pt>
                <c:pt idx="22">
                  <c:v>50.773400000000002</c:v>
                </c:pt>
                <c:pt idx="23">
                  <c:v>49.600900000000003</c:v>
                </c:pt>
                <c:pt idx="24">
                  <c:v>49.840400000000002</c:v>
                </c:pt>
                <c:pt idx="25">
                  <c:v>49.400300000000001</c:v>
                </c:pt>
                <c:pt idx="26">
                  <c:v>48.976500000000001</c:v>
                </c:pt>
                <c:pt idx="27">
                  <c:v>49.084899999999998</c:v>
                </c:pt>
                <c:pt idx="28">
                  <c:v>48.392499999999998</c:v>
                </c:pt>
                <c:pt idx="29">
                  <c:v>47.722099999999998</c:v>
                </c:pt>
                <c:pt idx="30">
                  <c:v>47.485300000000002</c:v>
                </c:pt>
                <c:pt idx="31">
                  <c:v>47.034799999999997</c:v>
                </c:pt>
                <c:pt idx="32">
                  <c:v>46.613</c:v>
                </c:pt>
                <c:pt idx="33">
                  <c:v>46.217199999999998</c:v>
                </c:pt>
                <c:pt idx="34">
                  <c:v>45.770899999999997</c:v>
                </c:pt>
                <c:pt idx="35">
                  <c:v>45.107900000000001</c:v>
                </c:pt>
                <c:pt idx="36">
                  <c:v>44.461100000000002</c:v>
                </c:pt>
                <c:pt idx="37">
                  <c:v>44.110700000000001</c:v>
                </c:pt>
                <c:pt idx="38">
                  <c:v>43.778700000000001</c:v>
                </c:pt>
                <c:pt idx="39">
                  <c:v>43.482300000000002</c:v>
                </c:pt>
                <c:pt idx="40">
                  <c:v>43.470300000000002</c:v>
                </c:pt>
                <c:pt idx="41">
                  <c:v>43.046700000000001</c:v>
                </c:pt>
                <c:pt idx="42">
                  <c:v>42.628599999999999</c:v>
                </c:pt>
                <c:pt idx="43">
                  <c:v>42.2151</c:v>
                </c:pt>
                <c:pt idx="44">
                  <c:v>41.833599999999997</c:v>
                </c:pt>
                <c:pt idx="45">
                  <c:v>41.787199999999999</c:v>
                </c:pt>
                <c:pt idx="46">
                  <c:v>41.742899999999999</c:v>
                </c:pt>
                <c:pt idx="47">
                  <c:v>41.551499999999997</c:v>
                </c:pt>
                <c:pt idx="48">
                  <c:v>41.1004</c:v>
                </c:pt>
                <c:pt idx="49">
                  <c:v>40.379300000000001</c:v>
                </c:pt>
                <c:pt idx="50">
                  <c:v>40.431800000000003</c:v>
                </c:pt>
                <c:pt idx="51">
                  <c:v>40.544400000000003</c:v>
                </c:pt>
                <c:pt idx="52">
                  <c:v>40.436399999999999</c:v>
                </c:pt>
                <c:pt idx="53">
                  <c:v>40.330500000000001</c:v>
                </c:pt>
                <c:pt idx="54">
                  <c:v>40.429000000000002</c:v>
                </c:pt>
                <c:pt idx="55">
                  <c:v>40.242699999999999</c:v>
                </c:pt>
                <c:pt idx="56">
                  <c:v>40.283000000000001</c:v>
                </c:pt>
                <c:pt idx="57">
                  <c:v>40.344499999999996</c:v>
                </c:pt>
                <c:pt idx="58">
                  <c:v>40.172199999999997</c:v>
                </c:pt>
                <c:pt idx="59">
                  <c:v>40.082700000000003</c:v>
                </c:pt>
                <c:pt idx="60">
                  <c:v>40.006399999999999</c:v>
                </c:pt>
                <c:pt idx="61">
                  <c:v>39.702399999999997</c:v>
                </c:pt>
                <c:pt idx="62">
                  <c:v>39.456800000000001</c:v>
                </c:pt>
                <c:pt idx="63">
                  <c:v>39.377899999999997</c:v>
                </c:pt>
                <c:pt idx="64">
                  <c:v>39.214599999999997</c:v>
                </c:pt>
                <c:pt idx="65">
                  <c:v>39.076000000000001</c:v>
                </c:pt>
                <c:pt idx="66">
                  <c:v>38.979799999999997</c:v>
                </c:pt>
                <c:pt idx="67">
                  <c:v>38.8309</c:v>
                </c:pt>
                <c:pt idx="68">
                  <c:v>38.739800000000002</c:v>
                </c:pt>
                <c:pt idx="69">
                  <c:v>38.507800000000003</c:v>
                </c:pt>
                <c:pt idx="70">
                  <c:v>38.2119</c:v>
                </c:pt>
                <c:pt idx="71">
                  <c:v>38.117199999999997</c:v>
                </c:pt>
                <c:pt idx="72">
                  <c:v>37.965800000000002</c:v>
                </c:pt>
                <c:pt idx="73">
                  <c:v>38.029299999999999</c:v>
                </c:pt>
                <c:pt idx="74">
                  <c:v>37.885399999999997</c:v>
                </c:pt>
                <c:pt idx="75">
                  <c:v>37.774500000000003</c:v>
                </c:pt>
                <c:pt idx="76">
                  <c:v>37.897199999999998</c:v>
                </c:pt>
                <c:pt idx="77">
                  <c:v>37.631900000000002</c:v>
                </c:pt>
                <c:pt idx="78">
                  <c:v>37.260199999999998</c:v>
                </c:pt>
                <c:pt idx="79">
                  <c:v>37.1785</c:v>
                </c:pt>
                <c:pt idx="80">
                  <c:v>37.144399999999997</c:v>
                </c:pt>
                <c:pt idx="81">
                  <c:v>37.042099999999998</c:v>
                </c:pt>
                <c:pt idx="82">
                  <c:v>36.7789</c:v>
                </c:pt>
                <c:pt idx="83">
                  <c:v>36.7376</c:v>
                </c:pt>
                <c:pt idx="84">
                  <c:v>36.938499999999998</c:v>
                </c:pt>
                <c:pt idx="85">
                  <c:v>36.7254</c:v>
                </c:pt>
                <c:pt idx="86">
                  <c:v>36.7271</c:v>
                </c:pt>
                <c:pt idx="87">
                  <c:v>36.634700000000002</c:v>
                </c:pt>
                <c:pt idx="88">
                  <c:v>36.442300000000003</c:v>
                </c:pt>
                <c:pt idx="89">
                  <c:v>36.254800000000003</c:v>
                </c:pt>
                <c:pt idx="90">
                  <c:v>36.314300000000003</c:v>
                </c:pt>
                <c:pt idx="91">
                  <c:v>36.061900000000001</c:v>
                </c:pt>
                <c:pt idx="92">
                  <c:v>36.047400000000003</c:v>
                </c:pt>
                <c:pt idx="93">
                  <c:v>36.0381</c:v>
                </c:pt>
                <c:pt idx="94">
                  <c:v>36.1023</c:v>
                </c:pt>
                <c:pt idx="95">
                  <c:v>36.342700000000001</c:v>
                </c:pt>
                <c:pt idx="96">
                  <c:v>36.083100000000002</c:v>
                </c:pt>
                <c:pt idx="97">
                  <c:v>36.105400000000003</c:v>
                </c:pt>
                <c:pt idx="98">
                  <c:v>36.387999999999998</c:v>
                </c:pt>
                <c:pt idx="99">
                  <c:v>36.0321</c:v>
                </c:pt>
                <c:pt idx="100">
                  <c:v>36.014499999999998</c:v>
                </c:pt>
                <c:pt idx="101">
                  <c:v>35.910699999999999</c:v>
                </c:pt>
                <c:pt idx="102">
                  <c:v>36.046900000000001</c:v>
                </c:pt>
                <c:pt idx="103">
                  <c:v>35.738</c:v>
                </c:pt>
                <c:pt idx="104">
                  <c:v>35.994100000000003</c:v>
                </c:pt>
                <c:pt idx="105">
                  <c:v>35.802500000000002</c:v>
                </c:pt>
                <c:pt idx="106">
                  <c:v>36.007300000000001</c:v>
                </c:pt>
                <c:pt idx="107">
                  <c:v>36.045499999999997</c:v>
                </c:pt>
                <c:pt idx="108">
                  <c:v>36.082900000000002</c:v>
                </c:pt>
                <c:pt idx="109">
                  <c:v>36.238900000000001</c:v>
                </c:pt>
                <c:pt idx="110">
                  <c:v>36.323399999999999</c:v>
                </c:pt>
                <c:pt idx="111">
                  <c:v>36.300400000000003</c:v>
                </c:pt>
                <c:pt idx="112">
                  <c:v>36.2851</c:v>
                </c:pt>
                <c:pt idx="113">
                  <c:v>35.978499999999997</c:v>
                </c:pt>
                <c:pt idx="114">
                  <c:v>35.935699999999997</c:v>
                </c:pt>
                <c:pt idx="115">
                  <c:v>35.500500000000002</c:v>
                </c:pt>
                <c:pt idx="116">
                  <c:v>35.554299999999998</c:v>
                </c:pt>
                <c:pt idx="117">
                  <c:v>35.380800000000001</c:v>
                </c:pt>
                <c:pt idx="118">
                  <c:v>35.535699999999999</c:v>
                </c:pt>
                <c:pt idx="119">
                  <c:v>35.789000000000001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E6-4D06-B7BC-F725F7510ACA}"/>
            </c:ext>
          </c:extLst>
        </c:ser>
        <c:ser>
          <c:idx val="3"/>
          <c:order val="1"/>
          <c:tx>
            <c:strRef>
              <c:f>'volatility meta call'!$D$8</c:f>
              <c:strCache>
                <c:ptCount val="1"/>
                <c:pt idx="0">
                  <c:v>Przybliżenie zmienności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'volatility meta call'!$A$9:$A$128</c:f>
              <c:numCache>
                <c:formatCode>General</c:formatCode>
                <c:ptCount val="1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395</c:v>
                </c:pt>
                <c:pt idx="51">
                  <c:v>400</c:v>
                </c:pt>
                <c:pt idx="52">
                  <c:v>405</c:v>
                </c:pt>
                <c:pt idx="53">
                  <c:v>410</c:v>
                </c:pt>
                <c:pt idx="54">
                  <c:v>415</c:v>
                </c:pt>
                <c:pt idx="55">
                  <c:v>420</c:v>
                </c:pt>
                <c:pt idx="56">
                  <c:v>425</c:v>
                </c:pt>
                <c:pt idx="57">
                  <c:v>430</c:v>
                </c:pt>
                <c:pt idx="58">
                  <c:v>435</c:v>
                </c:pt>
                <c:pt idx="59">
                  <c:v>440</c:v>
                </c:pt>
                <c:pt idx="60">
                  <c:v>445</c:v>
                </c:pt>
                <c:pt idx="61">
                  <c:v>450</c:v>
                </c:pt>
                <c:pt idx="62">
                  <c:v>460</c:v>
                </c:pt>
                <c:pt idx="63">
                  <c:v>470</c:v>
                </c:pt>
                <c:pt idx="64">
                  <c:v>480</c:v>
                </c:pt>
                <c:pt idx="65">
                  <c:v>490</c:v>
                </c:pt>
                <c:pt idx="66">
                  <c:v>500</c:v>
                </c:pt>
                <c:pt idx="67">
                  <c:v>510</c:v>
                </c:pt>
                <c:pt idx="68">
                  <c:v>520</c:v>
                </c:pt>
                <c:pt idx="69">
                  <c:v>530</c:v>
                </c:pt>
                <c:pt idx="70">
                  <c:v>540</c:v>
                </c:pt>
                <c:pt idx="71">
                  <c:v>550</c:v>
                </c:pt>
                <c:pt idx="72">
                  <c:v>560</c:v>
                </c:pt>
                <c:pt idx="73">
                  <c:v>570</c:v>
                </c:pt>
                <c:pt idx="74">
                  <c:v>580</c:v>
                </c:pt>
                <c:pt idx="75">
                  <c:v>590</c:v>
                </c:pt>
                <c:pt idx="76">
                  <c:v>600</c:v>
                </c:pt>
                <c:pt idx="77">
                  <c:v>610</c:v>
                </c:pt>
                <c:pt idx="78">
                  <c:v>620</c:v>
                </c:pt>
                <c:pt idx="79">
                  <c:v>630</c:v>
                </c:pt>
                <c:pt idx="80">
                  <c:v>640</c:v>
                </c:pt>
                <c:pt idx="81">
                  <c:v>650</c:v>
                </c:pt>
                <c:pt idx="82">
                  <c:v>660</c:v>
                </c:pt>
                <c:pt idx="83">
                  <c:v>670</c:v>
                </c:pt>
                <c:pt idx="84">
                  <c:v>680</c:v>
                </c:pt>
                <c:pt idx="85">
                  <c:v>690</c:v>
                </c:pt>
                <c:pt idx="86">
                  <c:v>700</c:v>
                </c:pt>
                <c:pt idx="87">
                  <c:v>710</c:v>
                </c:pt>
                <c:pt idx="88">
                  <c:v>720</c:v>
                </c:pt>
                <c:pt idx="89">
                  <c:v>730</c:v>
                </c:pt>
                <c:pt idx="90">
                  <c:v>740</c:v>
                </c:pt>
                <c:pt idx="91">
                  <c:v>750</c:v>
                </c:pt>
                <c:pt idx="92">
                  <c:v>760</c:v>
                </c:pt>
                <c:pt idx="93">
                  <c:v>770</c:v>
                </c:pt>
                <c:pt idx="94">
                  <c:v>780</c:v>
                </c:pt>
                <c:pt idx="95">
                  <c:v>790</c:v>
                </c:pt>
                <c:pt idx="96">
                  <c:v>800</c:v>
                </c:pt>
                <c:pt idx="97">
                  <c:v>810</c:v>
                </c:pt>
                <c:pt idx="98">
                  <c:v>820</c:v>
                </c:pt>
                <c:pt idx="99">
                  <c:v>830</c:v>
                </c:pt>
                <c:pt idx="100">
                  <c:v>840</c:v>
                </c:pt>
                <c:pt idx="101">
                  <c:v>850</c:v>
                </c:pt>
                <c:pt idx="102">
                  <c:v>860</c:v>
                </c:pt>
                <c:pt idx="103">
                  <c:v>870</c:v>
                </c:pt>
                <c:pt idx="104">
                  <c:v>880</c:v>
                </c:pt>
                <c:pt idx="105">
                  <c:v>890</c:v>
                </c:pt>
                <c:pt idx="106">
                  <c:v>900</c:v>
                </c:pt>
                <c:pt idx="107">
                  <c:v>910</c:v>
                </c:pt>
                <c:pt idx="108">
                  <c:v>920</c:v>
                </c:pt>
                <c:pt idx="109">
                  <c:v>930</c:v>
                </c:pt>
                <c:pt idx="110">
                  <c:v>940</c:v>
                </c:pt>
                <c:pt idx="111">
                  <c:v>950</c:v>
                </c:pt>
                <c:pt idx="112">
                  <c:v>960</c:v>
                </c:pt>
                <c:pt idx="113">
                  <c:v>970</c:v>
                </c:pt>
                <c:pt idx="114">
                  <c:v>980</c:v>
                </c:pt>
                <c:pt idx="115">
                  <c:v>990</c:v>
                </c:pt>
                <c:pt idx="116">
                  <c:v>1000</c:v>
                </c:pt>
                <c:pt idx="117">
                  <c:v>1010</c:v>
                </c:pt>
                <c:pt idx="118">
                  <c:v>1020</c:v>
                </c:pt>
                <c:pt idx="119">
                  <c:v>1030</c:v>
                </c:pt>
              </c:numCache>
            </c:numRef>
          </c:cat>
          <c:val>
            <c:numRef>
              <c:f>'volatility meta call'!$D$9:$D$128</c:f>
              <c:numCache>
                <c:formatCode>General</c:formatCode>
                <c:ptCount val="120"/>
                <c:pt idx="0">
                  <c:v>348.74176954116558</c:v>
                </c:pt>
                <c:pt idx="1">
                  <c:v>233.63792132376719</c:v>
                </c:pt>
                <c:pt idx="2">
                  <c:v>166.16032619686962</c:v>
                </c:pt>
                <c:pt idx="3">
                  <c:v>129.79589974102106</c:v>
                </c:pt>
                <c:pt idx="4">
                  <c:v>109.33026618585869</c:v>
                </c:pt>
                <c:pt idx="5">
                  <c:v>96.477021410067294</c:v>
                </c:pt>
                <c:pt idx="6">
                  <c:v>87.637991858720028</c:v>
                </c:pt>
                <c:pt idx="7">
                  <c:v>81.150367381831515</c:v>
                </c:pt>
                <c:pt idx="8">
                  <c:v>76.159761953086374</c:v>
                </c:pt>
                <c:pt idx="9">
                  <c:v>72.184650096832684</c:v>
                </c:pt>
                <c:pt idx="10">
                  <c:v>66.216437827194483</c:v>
                </c:pt>
                <c:pt idx="11">
                  <c:v>61.920675111870828</c:v>
                </c:pt>
                <c:pt idx="12">
                  <c:v>58.663922068517437</c:v>
                </c:pt>
                <c:pt idx="13">
                  <c:v>56.102130591151827</c:v>
                </c:pt>
                <c:pt idx="14">
                  <c:v>54.030835290183092</c:v>
                </c:pt>
                <c:pt idx="15">
                  <c:v>52.32013640273378</c:v>
                </c:pt>
                <c:pt idx="16">
                  <c:v>50.883150998920186</c:v>
                </c:pt>
                <c:pt idx="17">
                  <c:v>49.659346128900154</c:v>
                </c:pt>
                <c:pt idx="18">
                  <c:v>48.605124429197531</c:v>
                </c:pt>
                <c:pt idx="19">
                  <c:v>48.131184614417009</c:v>
                </c:pt>
                <c:pt idx="20">
                  <c:v>47.688210751789484</c:v>
                </c:pt>
                <c:pt idx="21">
                  <c:v>47.273365293696088</c:v>
                </c:pt>
                <c:pt idx="22">
                  <c:v>46.884152370778871</c:v>
                </c:pt>
                <c:pt idx="23">
                  <c:v>46.518367076364399</c:v>
                </c:pt>
                <c:pt idx="24">
                  <c:v>46.174053628558767</c:v>
                </c:pt>
                <c:pt idx="25">
                  <c:v>45.849470633181234</c:v>
                </c:pt>
                <c:pt idx="26">
                  <c:v>45.543062068306106</c:v>
                </c:pt>
                <c:pt idx="27">
                  <c:v>45.253432910971007</c:v>
                </c:pt>
                <c:pt idx="28">
                  <c:v>44.979328554690483</c:v>
                </c:pt>
                <c:pt idx="29">
                  <c:v>44.719617341424907</c:v>
                </c:pt>
                <c:pt idx="30">
                  <c:v>44.473275667021966</c:v>
                </c:pt>
                <c:pt idx="31">
                  <c:v>44.017072033274694</c:v>
                </c:pt>
                <c:pt idx="32">
                  <c:v>43.604247531701958</c:v>
                </c:pt>
                <c:pt idx="33">
                  <c:v>43.229406891834692</c:v>
                </c:pt>
                <c:pt idx="34">
                  <c:v>42.88801333147417</c:v>
                </c:pt>
                <c:pt idx="35">
                  <c:v>42.576222890222049</c:v>
                </c:pt>
                <c:pt idx="36">
                  <c:v>42.290756024611184</c:v>
                </c:pt>
                <c:pt idx="37">
                  <c:v>42.028796972576373</c:v>
                </c:pt>
                <c:pt idx="38">
                  <c:v>41.787914076584229</c:v>
                </c:pt>
                <c:pt idx="39">
                  <c:v>41.565996109556899</c:v>
                </c:pt>
                <c:pt idx="40">
                  <c:v>41.361200950499381</c:v>
                </c:pt>
                <c:pt idx="41">
                  <c:v>41.171913884860764</c:v>
                </c:pt>
                <c:pt idx="42">
                  <c:v>40.996713474494399</c:v>
                </c:pt>
                <c:pt idx="43">
                  <c:v>40.834343431421999</c:v>
                </c:pt>
                <c:pt idx="44">
                  <c:v>40.683689291070799</c:v>
                </c:pt>
                <c:pt idx="45">
                  <c:v>40.5437589504809</c:v>
                </c:pt>
                <c:pt idx="46">
                  <c:v>40.413666340350439</c:v>
                </c:pt>
                <c:pt idx="47">
                  <c:v>40.292617654482363</c:v>
                </c:pt>
                <c:pt idx="48">
                  <c:v>40.179899678849488</c:v>
                </c:pt>
                <c:pt idx="49">
                  <c:v>40.074869854259845</c:v>
                </c:pt>
                <c:pt idx="50">
                  <c:v>40.025054401641889</c:v>
                </c:pt>
                <c:pt idx="51">
                  <c:v>39.976947778088523</c:v>
                </c:pt>
                <c:pt idx="52">
                  <c:v>39.930485948488517</c:v>
                </c:pt>
                <c:pt idx="53">
                  <c:v>39.885607906627925</c:v>
                </c:pt>
                <c:pt idx="54">
                  <c:v>39.842255499533437</c:v>
                </c:pt>
                <c:pt idx="55">
                  <c:v>39.800373263919724</c:v>
                </c:pt>
                <c:pt idx="56">
                  <c:v>39.759908273764481</c:v>
                </c:pt>
                <c:pt idx="57">
                  <c:v>39.720809998146599</c:v>
                </c:pt>
                <c:pt idx="58">
                  <c:v>39.683030168537144</c:v>
                </c:pt>
                <c:pt idx="59">
                  <c:v>39.646522654822022</c:v>
                </c:pt>
                <c:pt idx="60">
                  <c:v>39.611243349387969</c:v>
                </c:pt>
                <c:pt idx="61">
                  <c:v>39.577150058666206</c:v>
                </c:pt>
                <c:pt idx="62">
                  <c:v>39.512361714371103</c:v>
                </c:pt>
                <c:pt idx="63">
                  <c:v>39.451854651332617</c:v>
                </c:pt>
                <c:pt idx="64">
                  <c:v>39.395350649596587</c:v>
                </c:pt>
                <c:pt idx="65">
                  <c:v>39.342593794215048</c:v>
                </c:pt>
                <c:pt idx="66">
                  <c:v>39.293348313455695</c:v>
                </c:pt>
                <c:pt idx="67">
                  <c:v>39.247396663085894</c:v>
                </c:pt>
                <c:pt idx="68">
                  <c:v>39.20453782461739</c:v>
                </c:pt>
                <c:pt idx="69">
                  <c:v>39.164585790111204</c:v>
                </c:pt>
                <c:pt idx="70">
                  <c:v>39.127368210087525</c:v>
                </c:pt>
                <c:pt idx="71">
                  <c:v>39.092725184407797</c:v>
                </c:pt>
                <c:pt idx="72">
                  <c:v>39.060508178789156</c:v>
                </c:pt>
                <c:pt idx="73">
                  <c:v>39.03057905198078</c:v>
                </c:pt>
                <c:pt idx="74">
                  <c:v>39.002809180640362</c:v>
                </c:pt>
                <c:pt idx="75">
                  <c:v>38.977078670656226</c:v>
                </c:pt>
                <c:pt idx="76">
                  <c:v>38.953275645120208</c:v>
                </c:pt>
                <c:pt idx="77">
                  <c:v>38.931295600412156</c:v>
                </c:pt>
                <c:pt idx="78">
                  <c:v>38.911040822917236</c:v>
                </c:pt>
                <c:pt idx="79">
                  <c:v>38.892419859833474</c:v>
                </c:pt>
                <c:pt idx="80">
                  <c:v>38.875347038313677</c:v>
                </c:pt>
                <c:pt idx="81">
                  <c:v>38.859742027882227</c:v>
                </c:pt>
                <c:pt idx="82">
                  <c:v>38.845529441656232</c:v>
                </c:pt>
                <c:pt idx="83">
                  <c:v>38.832638472432336</c:v>
                </c:pt>
                <c:pt idx="84">
                  <c:v>38.821002560134438</c:v>
                </c:pt>
                <c:pt idx="85">
                  <c:v>38.810559087534244</c:v>
                </c:pt>
                <c:pt idx="86">
                  <c:v>38.801249101479272</c:v>
                </c:pt>
                <c:pt idx="87">
                  <c:v>38.793017057184144</c:v>
                </c:pt>
                <c:pt idx="88">
                  <c:v>38.785810583394031</c:v>
                </c:pt>
                <c:pt idx="89">
                  <c:v>38.779580266470113</c:v>
                </c:pt>
                <c:pt idx="90">
                  <c:v>38.774279451644738</c:v>
                </c:pt>
                <c:pt idx="91">
                  <c:v>38.769864059890331</c:v>
                </c:pt>
                <c:pt idx="92">
                  <c:v>38.766292418987653</c:v>
                </c:pt>
                <c:pt idx="93">
                  <c:v>38.763525107535166</c:v>
                </c:pt>
                <c:pt idx="94">
                  <c:v>38.761524810765863</c:v>
                </c:pt>
                <c:pt idx="95">
                  <c:v>38.760256187146652</c:v>
                </c:pt>
                <c:pt idx="96">
                  <c:v>38.759685744833227</c:v>
                </c:pt>
                <c:pt idx="97">
                  <c:v>38.759781727149949</c:v>
                </c:pt>
                <c:pt idx="98">
                  <c:v>38.760514006342518</c:v>
                </c:pt>
                <c:pt idx="99">
                  <c:v>38.761853984910552</c:v>
                </c:pt>
                <c:pt idx="100">
                  <c:v>38.763774503909104</c:v>
                </c:pt>
                <c:pt idx="101">
                  <c:v>38.766249757652822</c:v>
                </c:pt>
                <c:pt idx="102">
                  <c:v>38.769255214307968</c:v>
                </c:pt>
                <c:pt idx="103">
                  <c:v>38.772767541915414</c:v>
                </c:pt>
                <c:pt idx="104">
                  <c:v>38.776764539406855</c:v>
                </c:pt>
                <c:pt idx="105">
                  <c:v>38.781225072244716</c:v>
                </c:pt>
                <c:pt idx="106">
                  <c:v>38.786129012312166</c:v>
                </c:pt>
                <c:pt idx="107">
                  <c:v>38.791457181753437</c:v>
                </c:pt>
                <c:pt idx="108">
                  <c:v>38.797191300448283</c:v>
                </c:pt>
                <c:pt idx="109">
                  <c:v>38.803313936862239</c:v>
                </c:pt>
                <c:pt idx="110">
                  <c:v>38.809808462026162</c:v>
                </c:pt>
                <c:pt idx="111">
                  <c:v>38.816659006407328</c:v>
                </c:pt>
                <c:pt idx="112">
                  <c:v>38.823850419476919</c:v>
                </c:pt>
                <c:pt idx="113">
                  <c:v>38.831368231767243</c:v>
                </c:pt>
                <c:pt idx="114">
                  <c:v>38.839198619261026</c:v>
                </c:pt>
                <c:pt idx="115">
                  <c:v>38.847328369929471</c:v>
                </c:pt>
                <c:pt idx="116">
                  <c:v>38.855744852289085</c:v>
                </c:pt>
                <c:pt idx="117">
                  <c:v>38.864435985821601</c:v>
                </c:pt>
                <c:pt idx="118">
                  <c:v>38.873390213145797</c:v>
                </c:pt>
                <c:pt idx="119">
                  <c:v>38.882596473814289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E6-4D06-B7BC-F725F7510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661407"/>
        <c:axId val="1172129055"/>
        <c:extLst/>
      </c:lineChart>
      <c:catAx>
        <c:axId val="1039661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2129055"/>
        <c:crosses val="autoZero"/>
        <c:auto val="1"/>
        <c:lblAlgn val="ctr"/>
        <c:lblOffset val="100"/>
        <c:noMultiLvlLbl val="0"/>
      </c:catAx>
      <c:valAx>
        <c:axId val="117212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966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2577907229860276E-2"/>
          <c:y val="0.24171056699182214"/>
          <c:w val="0.91444835497610333"/>
          <c:h val="0.66478062956208439"/>
        </c:manualLayout>
      </c:layout>
      <c:lineChart>
        <c:grouping val="standard"/>
        <c:varyColors val="0"/>
        <c:ser>
          <c:idx val="1"/>
          <c:order val="0"/>
          <c:tx>
            <c:strRef>
              <c:f>'volatility ebay call'!$B$8</c:f>
              <c:strCache>
                <c:ptCount val="1"/>
                <c:pt idx="0">
                  <c:v>Implied Volatility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'volatility ebay call'!$A$9:$A$128</c:f>
              <c:numCache>
                <c:formatCode>General</c:formatCode>
                <c:ptCount val="120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65</c:v>
                </c:pt>
                <c:pt idx="18">
                  <c:v>70</c:v>
                </c:pt>
                <c:pt idx="19">
                  <c:v>75</c:v>
                </c:pt>
              </c:numCache>
            </c:numRef>
          </c:cat>
          <c:val>
            <c:numRef>
              <c:f>'volatility ebay call'!$B$9:$B$28</c:f>
              <c:numCache>
                <c:formatCode>General</c:formatCode>
                <c:ptCount val="20"/>
                <c:pt idx="0">
                  <c:v>44.057400000000001</c:v>
                </c:pt>
                <c:pt idx="1">
                  <c:v>46.698500000000003</c:v>
                </c:pt>
                <c:pt idx="2">
                  <c:v>34.470399999999998</c:v>
                </c:pt>
                <c:pt idx="3">
                  <c:v>44.193100000000001</c:v>
                </c:pt>
                <c:pt idx="4">
                  <c:v>48.396500000000003</c:v>
                </c:pt>
                <c:pt idx="5">
                  <c:v>36.172600000000003</c:v>
                </c:pt>
                <c:pt idx="6">
                  <c:v>41.005600000000001</c:v>
                </c:pt>
                <c:pt idx="7">
                  <c:v>34.707000000000001</c:v>
                </c:pt>
                <c:pt idx="8">
                  <c:v>34.114400000000003</c:v>
                </c:pt>
                <c:pt idx="9">
                  <c:v>30.6752</c:v>
                </c:pt>
                <c:pt idx="10">
                  <c:v>32.2286</c:v>
                </c:pt>
                <c:pt idx="11">
                  <c:v>31.7531</c:v>
                </c:pt>
                <c:pt idx="12">
                  <c:v>31.425999999999998</c:v>
                </c:pt>
                <c:pt idx="13">
                  <c:v>29.042300000000001</c:v>
                </c:pt>
                <c:pt idx="14">
                  <c:v>30.524000000000001</c:v>
                </c:pt>
                <c:pt idx="15">
                  <c:v>32.226100000000002</c:v>
                </c:pt>
                <c:pt idx="16">
                  <c:v>32.3626</c:v>
                </c:pt>
                <c:pt idx="17">
                  <c:v>29.116700000000002</c:v>
                </c:pt>
                <c:pt idx="18">
                  <c:v>28.131399999999999</c:v>
                </c:pt>
                <c:pt idx="19">
                  <c:v>28.742699999999999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B-44D5-BC38-918B8BC2CDD3}"/>
            </c:ext>
          </c:extLst>
        </c:ser>
        <c:ser>
          <c:idx val="3"/>
          <c:order val="1"/>
          <c:tx>
            <c:strRef>
              <c:f>'volatility ebay call'!$D$8</c:f>
              <c:strCache>
                <c:ptCount val="1"/>
                <c:pt idx="0">
                  <c:v>Przybliżenie zmienności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'volatility ebay call'!$A$9:$A$128</c:f>
              <c:numCache>
                <c:formatCode>General</c:formatCode>
                <c:ptCount val="120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65</c:v>
                </c:pt>
                <c:pt idx="18">
                  <c:v>70</c:v>
                </c:pt>
                <c:pt idx="19">
                  <c:v>75</c:v>
                </c:pt>
              </c:numCache>
            </c:numRef>
          </c:cat>
          <c:val>
            <c:numRef>
              <c:f>'volatility ebay call'!$D$9:$D$28</c:f>
              <c:numCache>
                <c:formatCode>General</c:formatCode>
                <c:ptCount val="20"/>
                <c:pt idx="0">
                  <c:v>44.766981894718228</c:v>
                </c:pt>
                <c:pt idx="1">
                  <c:v>43.209768586426122</c:v>
                </c:pt>
                <c:pt idx="2">
                  <c:v>41.809454942496863</c:v>
                </c:pt>
                <c:pt idx="3">
                  <c:v>40.535749424672758</c:v>
                </c:pt>
                <c:pt idx="4">
                  <c:v>39.366228217078302</c:v>
                </c:pt>
                <c:pt idx="5">
                  <c:v>38.28383306603007</c:v>
                </c:pt>
                <c:pt idx="6">
                  <c:v>37.275289604666447</c:v>
                </c:pt>
                <c:pt idx="7">
                  <c:v>36.330067608154522</c:v>
                </c:pt>
                <c:pt idx="8">
                  <c:v>35.439674685852957</c:v>
                </c:pt>
                <c:pt idx="9">
                  <c:v>34.597162881326476</c:v>
                </c:pt>
                <c:pt idx="10">
                  <c:v>33.796775593673608</c:v>
                </c:pt>
                <c:pt idx="11">
                  <c:v>33.033689547214877</c:v>
                </c:pt>
                <c:pt idx="12">
                  <c:v>32.303822701339925</c:v>
                </c:pt>
                <c:pt idx="13">
                  <c:v>31.603688880768882</c:v>
                </c:pt>
                <c:pt idx="14">
                  <c:v>30.930286133788091</c:v>
                </c:pt>
                <c:pt idx="15">
                  <c:v>30.281009849817384</c:v>
                </c:pt>
                <c:pt idx="16">
                  <c:v>29.653584327951474</c:v>
                </c:pt>
                <c:pt idx="17">
                  <c:v>28.45651101390451</c:v>
                </c:pt>
                <c:pt idx="18">
                  <c:v>27.32561580012467</c:v>
                </c:pt>
                <c:pt idx="19">
                  <c:v>26.250142744461911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1B-44D5-BC38-918B8BC2C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661407"/>
        <c:axId val="1172129055"/>
        <c:extLst/>
      </c:lineChart>
      <c:catAx>
        <c:axId val="1039661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2129055"/>
        <c:crosses val="autoZero"/>
        <c:auto val="1"/>
        <c:lblAlgn val="ctr"/>
        <c:lblOffset val="100"/>
        <c:noMultiLvlLbl val="0"/>
      </c:catAx>
      <c:valAx>
        <c:axId val="117212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966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'volatility ebay call'!$O$8</c:f>
              <c:strCache>
                <c:ptCount val="1"/>
                <c:pt idx="0">
                  <c:v>Implied Volatility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'volatility ebay call'!$N$9:$N$46</c:f>
              <c:numCache>
                <c:formatCode>General</c:formatCode>
                <c:ptCount val="38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60</c:v>
                </c:pt>
                <c:pt idx="16">
                  <c:v>65</c:v>
                </c:pt>
              </c:numCache>
            </c:numRef>
          </c:cat>
          <c:val>
            <c:numRef>
              <c:f>'volatility ebay call'!$O$9:$O$25</c:f>
              <c:numCache>
                <c:formatCode>General</c:formatCode>
                <c:ptCount val="17"/>
                <c:pt idx="0">
                  <c:v>42.867100000000001</c:v>
                </c:pt>
                <c:pt idx="1">
                  <c:v>49.479300000000002</c:v>
                </c:pt>
                <c:pt idx="2">
                  <c:v>40.587800000000001</c:v>
                </c:pt>
                <c:pt idx="3">
                  <c:v>42.598700000000001</c:v>
                </c:pt>
                <c:pt idx="4">
                  <c:v>37.032699999999998</c:v>
                </c:pt>
                <c:pt idx="5">
                  <c:v>35.6509</c:v>
                </c:pt>
                <c:pt idx="6">
                  <c:v>32.805700000000002</c:v>
                </c:pt>
                <c:pt idx="7">
                  <c:v>33.284300000000002</c:v>
                </c:pt>
                <c:pt idx="8">
                  <c:v>32.6098</c:v>
                </c:pt>
                <c:pt idx="9">
                  <c:v>31.688800000000001</c:v>
                </c:pt>
                <c:pt idx="10">
                  <c:v>31.625699999999998</c:v>
                </c:pt>
                <c:pt idx="11">
                  <c:v>30.2498</c:v>
                </c:pt>
                <c:pt idx="12">
                  <c:v>29.942299999999999</c:v>
                </c:pt>
                <c:pt idx="13">
                  <c:v>29.2742</c:v>
                </c:pt>
                <c:pt idx="14">
                  <c:v>28.934699999999999</c:v>
                </c:pt>
                <c:pt idx="15">
                  <c:v>28.400099999999998</c:v>
                </c:pt>
                <c:pt idx="16">
                  <c:v>27.865400000000001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8F-437D-9210-BE5D1A2D3EAE}"/>
            </c:ext>
          </c:extLst>
        </c:ser>
        <c:ser>
          <c:idx val="3"/>
          <c:order val="1"/>
          <c:tx>
            <c:strRef>
              <c:f>'volatility ebay call'!$Q$8</c:f>
              <c:strCache>
                <c:ptCount val="1"/>
                <c:pt idx="0">
                  <c:v>Przybliżenie zmienności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'volatility ebay call'!$N$9:$N$46</c:f>
              <c:numCache>
                <c:formatCode>General</c:formatCode>
                <c:ptCount val="38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60</c:v>
                </c:pt>
                <c:pt idx="16">
                  <c:v>65</c:v>
                </c:pt>
              </c:numCache>
            </c:numRef>
          </c:cat>
          <c:val>
            <c:numRef>
              <c:f>'volatility ebay call'!$Q$9:$Q$25</c:f>
              <c:numCache>
                <c:formatCode>General</c:formatCode>
                <c:ptCount val="17"/>
                <c:pt idx="0">
                  <c:v>38.675418294413809</c:v>
                </c:pt>
                <c:pt idx="1">
                  <c:v>40.89595022947492</c:v>
                </c:pt>
                <c:pt idx="2">
                  <c:v>42.758712179709889</c:v>
                </c:pt>
                <c:pt idx="3">
                  <c:v>44.356617556261497</c:v>
                </c:pt>
                <c:pt idx="4">
                  <c:v>45.751142611604976</c:v>
                </c:pt>
                <c:pt idx="5">
                  <c:v>46.984996380270992</c:v>
                </c:pt>
                <c:pt idx="6">
                  <c:v>48.088998901980617</c:v>
                </c:pt>
                <c:pt idx="7">
                  <c:v>49.08608067291707</c:v>
                </c:pt>
                <c:pt idx="8">
                  <c:v>49.993736926885425</c:v>
                </c:pt>
                <c:pt idx="9">
                  <c:v>50.82560082164369</c:v>
                </c:pt>
                <c:pt idx="10">
                  <c:v>51.592488918090844</c:v>
                </c:pt>
                <c:pt idx="11">
                  <c:v>52.303117452118784</c:v>
                </c:pt>
                <c:pt idx="12">
                  <c:v>52.964606028910559</c:v>
                </c:pt>
                <c:pt idx="13">
                  <c:v>53.582839929443203</c:v>
                </c:pt>
                <c:pt idx="14">
                  <c:v>54.162735930812261</c:v>
                </c:pt>
                <c:pt idx="15">
                  <c:v>55.223481717557753</c:v>
                </c:pt>
                <c:pt idx="16">
                  <c:v>56.17325222131057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8F-437D-9210-BE5D1A2D3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661407"/>
        <c:axId val="1172129055"/>
        <c:extLst/>
      </c:lineChart>
      <c:catAx>
        <c:axId val="1039661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2129055"/>
        <c:crosses val="autoZero"/>
        <c:auto val="1"/>
        <c:lblAlgn val="ctr"/>
        <c:lblOffset val="100"/>
        <c:noMultiLvlLbl val="0"/>
      </c:catAx>
      <c:valAx>
        <c:axId val="117212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966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'volatility ebay call'!$B$8</c:f>
              <c:strCache>
                <c:ptCount val="1"/>
                <c:pt idx="0">
                  <c:v>Implied Volatility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'volatility ebay call'!$AA$9:$AA$95</c:f>
              <c:numCache>
                <c:formatCode>General</c:formatCode>
                <c:ptCount val="87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60</c:v>
                </c:pt>
                <c:pt idx="16">
                  <c:v>65</c:v>
                </c:pt>
              </c:numCache>
            </c:numRef>
          </c:cat>
          <c:val>
            <c:numRef>
              <c:f>'volatility ebay call'!$AB$9:$AB$25</c:f>
              <c:numCache>
                <c:formatCode>General</c:formatCode>
                <c:ptCount val="17"/>
                <c:pt idx="0">
                  <c:v>41.586399999999998</c:v>
                </c:pt>
                <c:pt idx="1">
                  <c:v>51.475499999999997</c:v>
                </c:pt>
                <c:pt idx="2">
                  <c:v>41.794199999999996</c:v>
                </c:pt>
                <c:pt idx="3">
                  <c:v>36.509799999999998</c:v>
                </c:pt>
                <c:pt idx="4">
                  <c:v>33.6509</c:v>
                </c:pt>
                <c:pt idx="5">
                  <c:v>31.943899999999999</c:v>
                </c:pt>
                <c:pt idx="6">
                  <c:v>33.405500000000004</c:v>
                </c:pt>
                <c:pt idx="7">
                  <c:v>31.280799999999999</c:v>
                </c:pt>
                <c:pt idx="8">
                  <c:v>30.869199999999999</c:v>
                </c:pt>
                <c:pt idx="9">
                  <c:v>30.546399999999998</c:v>
                </c:pt>
                <c:pt idx="10">
                  <c:v>29.3721</c:v>
                </c:pt>
                <c:pt idx="11">
                  <c:v>31.875499999999999</c:v>
                </c:pt>
                <c:pt idx="12">
                  <c:v>29.461500000000001</c:v>
                </c:pt>
                <c:pt idx="13">
                  <c:v>30.8264</c:v>
                </c:pt>
                <c:pt idx="14">
                  <c:v>27.947399999999998</c:v>
                </c:pt>
                <c:pt idx="15">
                  <c:v>27.526700000000002</c:v>
                </c:pt>
                <c:pt idx="16">
                  <c:v>28.287299999999998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B-4228-8D2F-2D5F11273544}"/>
            </c:ext>
          </c:extLst>
        </c:ser>
        <c:ser>
          <c:idx val="3"/>
          <c:order val="1"/>
          <c:tx>
            <c:strRef>
              <c:f>'volatility ebay call'!$D$8</c:f>
              <c:strCache>
                <c:ptCount val="1"/>
                <c:pt idx="0">
                  <c:v>Przybliżenie zmienności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'volatility ebay call'!$AA$9:$AA$95</c:f>
              <c:numCache>
                <c:formatCode>General</c:formatCode>
                <c:ptCount val="87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60</c:v>
                </c:pt>
                <c:pt idx="16">
                  <c:v>65</c:v>
                </c:pt>
              </c:numCache>
            </c:numRef>
          </c:cat>
          <c:val>
            <c:numRef>
              <c:f>'volatility ebay call'!$AD$9:$AD$25</c:f>
              <c:numCache>
                <c:formatCode>General</c:formatCode>
                <c:ptCount val="17"/>
                <c:pt idx="0">
                  <c:v>41.760149080038538</c:v>
                </c:pt>
                <c:pt idx="1">
                  <c:v>40.343903751367755</c:v>
                </c:pt>
                <c:pt idx="2">
                  <c:v>39.041323962825423</c:v>
                </c:pt>
                <c:pt idx="3">
                  <c:v>37.831220867157356</c:v>
                </c:pt>
                <c:pt idx="4">
                  <c:v>36.697737493235046</c:v>
                </c:pt>
                <c:pt idx="5">
                  <c:v>35.628671941476249</c:v>
                </c:pt>
                <c:pt idx="6">
                  <c:v>34.614413161423826</c:v>
                </c:pt>
                <c:pt idx="7">
                  <c:v>33.647238182532554</c:v>
                </c:pt>
                <c:pt idx="8">
                  <c:v>32.72083228937089</c:v>
                </c:pt>
                <c:pt idx="9">
                  <c:v>31.829951927259625</c:v>
                </c:pt>
                <c:pt idx="10">
                  <c:v>30.970181926869024</c:v>
                </c:pt>
                <c:pt idx="11">
                  <c:v>30.137756775736612</c:v>
                </c:pt>
                <c:pt idx="12">
                  <c:v>29.329426413875112</c:v>
                </c:pt>
                <c:pt idx="13">
                  <c:v>28.542353614876074</c:v>
                </c:pt>
                <c:pt idx="14">
                  <c:v>27.774034165070475</c:v>
                </c:pt>
                <c:pt idx="15">
                  <c:v>26.28493712892374</c:v>
                </c:pt>
                <c:pt idx="16">
                  <c:v>24.846647891350564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0B-4228-8D2F-2D5F11273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661407"/>
        <c:axId val="1172129055"/>
        <c:extLst/>
      </c:lineChart>
      <c:catAx>
        <c:axId val="1039661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2129055"/>
        <c:crosses val="autoZero"/>
        <c:auto val="1"/>
        <c:lblAlgn val="ctr"/>
        <c:lblOffset val="100"/>
        <c:noMultiLvlLbl val="0"/>
      </c:catAx>
      <c:valAx>
        <c:axId val="117212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966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400625</xdr:colOff>
      <xdr:row>9</xdr:row>
      <xdr:rowOff>31773</xdr:rowOff>
    </xdr:from>
    <xdr:to>
      <xdr:col>12</xdr:col>
      <xdr:colOff>358588</xdr:colOff>
      <xdr:row>25</xdr:row>
      <xdr:rowOff>134471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DB5EE8D-4967-B691-2DEF-27646EAC7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344596</xdr:colOff>
      <xdr:row>8</xdr:row>
      <xdr:rowOff>110215</xdr:rowOff>
    </xdr:from>
    <xdr:to>
      <xdr:col>12</xdr:col>
      <xdr:colOff>302559</xdr:colOff>
      <xdr:row>25</xdr:row>
      <xdr:rowOff>22413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AE818EE-06BE-40D6-AC42-FAD343411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210125</xdr:colOff>
      <xdr:row>7</xdr:row>
      <xdr:rowOff>42980</xdr:rowOff>
    </xdr:from>
    <xdr:to>
      <xdr:col>25</xdr:col>
      <xdr:colOff>168087</xdr:colOff>
      <xdr:row>23</xdr:row>
      <xdr:rowOff>145678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D2F4E04-4844-4C74-AE55-56F85382588C}"/>
            </a:ext>
            <a:ext uri="{147F2762-F138-4A5C-976F-8EAC2B608ADB}">
              <a16:predDERef xmlns:a16="http://schemas.microsoft.com/office/drawing/2014/main" pred="{6AE818EE-06BE-40D6-AC42-FAD343411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400625</xdr:colOff>
      <xdr:row>6</xdr:row>
      <xdr:rowOff>188656</xdr:rowOff>
    </xdr:from>
    <xdr:to>
      <xdr:col>38</xdr:col>
      <xdr:colOff>347382</xdr:colOff>
      <xdr:row>23</xdr:row>
      <xdr:rowOff>100854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1FA00D48-C73E-40F0-92B0-5533AC3DDB76}"/>
            </a:ext>
            <a:ext uri="{147F2762-F138-4A5C-976F-8EAC2B608ADB}">
              <a16:predDERef xmlns:a16="http://schemas.microsoft.com/office/drawing/2014/main" pred="{DD2F4E04-4844-4C74-AE55-56F853825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113221E9-5662-4F7A-958C-546E3BF01386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7D0AD79F-8046-41AA-8970-61A109E77DEF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F5BB3F75-9A64-408D-BE64-0530840C9A2A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F2E42956-FABA-4538-80FC-470A632FC92F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9E9B35B-7FA1-4EE1-966F-5B59A0B9561C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72A7325-11F5-4B80-9AD9-97D985528399}" name="NFLX" displayName="NFLX" ref="A1:H570" tableType="queryTable" totalsRowShown="0" headerRowDxfId="49" dataDxfId="48">
  <autoFilter ref="A1:H570" xr:uid="{F72A7325-11F5-4B80-9AD9-97D985528399}"/>
  <tableColumns count="8">
    <tableColumn id="1" xr3:uid="{F61CF833-64FE-4930-BFDD-F25E66B0BD07}" uniqueName="1" name="Date" queryTableFieldId="1" dataDxfId="47"/>
    <tableColumn id="2" xr3:uid="{2018AE18-03E2-416D-8DED-5807335E59C0}" uniqueName="2" name="Open" queryTableFieldId="2" dataDxfId="46"/>
    <tableColumn id="3" xr3:uid="{A98F36B1-446C-42F0-8F07-F307C1B06026}" uniqueName="3" name="High" queryTableFieldId="3" dataDxfId="45"/>
    <tableColumn id="4" xr3:uid="{C5341A41-8DD4-4B89-ABC5-004D85926351}" uniqueName="4" name="Low" queryTableFieldId="4" dataDxfId="44"/>
    <tableColumn id="5" xr3:uid="{50859B47-950D-40D8-9621-EEA3AD2CE970}" uniqueName="5" name="Close" queryTableFieldId="5" dataDxfId="43"/>
    <tableColumn id="6" xr3:uid="{A096D24D-FA05-4208-A14D-55B258FBA490}" uniqueName="6" name="Adj Close" queryTableFieldId="6" dataDxfId="42"/>
    <tableColumn id="7" xr3:uid="{D506E8D7-2D01-49A8-8D3A-248AC13EDF61}" uniqueName="7" name="Volume" queryTableFieldId="7" dataDxfId="41"/>
    <tableColumn id="8" xr3:uid="{F4F3C9B5-F8ED-4245-99FD-2F1102872029}" uniqueName="8" name="Stopa zwrotu" queryTableFieldId="8" dataDxfId="40">
      <calculatedColumnFormula>(D3/D2-1)/(A3-A2)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B2FA7C-5F3E-4171-AAE2-CC68705B12CD}" name="META" displayName="META" ref="A1:H570" tableType="queryTable" totalsRowShown="0" headerRowDxfId="39" dataDxfId="38">
  <autoFilter ref="A1:H570" xr:uid="{ACB2FA7C-5F3E-4171-AAE2-CC68705B12CD}"/>
  <tableColumns count="8">
    <tableColumn id="1" xr3:uid="{5100DAE3-D784-422F-BC9B-47EAB84CD491}" uniqueName="1" name="Date" queryTableFieldId="1" dataDxfId="37"/>
    <tableColumn id="2" xr3:uid="{A1CEED26-7994-4B28-8091-47AC49ABCFE4}" uniqueName="2" name="Open" queryTableFieldId="2" dataDxfId="36"/>
    <tableColumn id="3" xr3:uid="{247EE5F1-2D16-4BD1-B29D-2D4A8338DF33}" uniqueName="3" name="High" queryTableFieldId="3" dataDxfId="35"/>
    <tableColumn id="4" xr3:uid="{C4BFBF03-55C6-4107-8129-5B5C0EB68D4C}" uniqueName="4" name="Low" queryTableFieldId="4" dataDxfId="34"/>
    <tableColumn id="5" xr3:uid="{5828A906-1074-4302-8396-D7179A6D0806}" uniqueName="5" name="Close" queryTableFieldId="5" dataDxfId="33"/>
    <tableColumn id="6" xr3:uid="{EF8E037D-2254-40AB-A391-F6EBCD8F5E14}" uniqueName="6" name="Adj Close" queryTableFieldId="6" dataDxfId="32"/>
    <tableColumn id="7" xr3:uid="{B5B1CF7A-4068-4E6B-A912-FBC8892C3A1E}" uniqueName="7" name="Volume" queryTableFieldId="7" dataDxfId="31"/>
    <tableColumn id="8" xr3:uid="{D4C799B5-F72F-4657-8B90-9EA6A27F5495}" uniqueName="8" name="Stopa zwrotu" queryTableFieldId="8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9D42C0-5879-4AAF-A348-658A49365C6C}" name="GOOG" displayName="GOOG" ref="A1:H570" tableType="queryTable" totalsRowShown="0" headerRowDxfId="29" dataDxfId="28">
  <autoFilter ref="A1:H570" xr:uid="{E19D42C0-5879-4AAF-A348-658A49365C6C}"/>
  <tableColumns count="8">
    <tableColumn id="1" xr3:uid="{F0CBA128-2902-4205-9962-408DC823E98A}" uniqueName="1" name="Date" queryTableFieldId="1" dataDxfId="27"/>
    <tableColumn id="2" xr3:uid="{EE11927C-A137-4AD2-A4CA-AAC3B0B39798}" uniqueName="2" name="Open" queryTableFieldId="2" dataDxfId="26"/>
    <tableColumn id="3" xr3:uid="{F71BA6EA-2553-496B-A0B4-A57AAEA8B0EF}" uniqueName="3" name="High" queryTableFieldId="3" dataDxfId="25"/>
    <tableColumn id="4" xr3:uid="{1D37AB41-F269-4F80-869F-E8FC71ED61B6}" uniqueName="4" name="Low" queryTableFieldId="4" dataDxfId="24"/>
    <tableColumn id="5" xr3:uid="{3D3F6EA0-9BFA-4A58-AB82-AA2801B556D3}" uniqueName="5" name="Close" queryTableFieldId="5" dataDxfId="23"/>
    <tableColumn id="6" xr3:uid="{C1C9C9E1-EE57-4D5A-B596-2FF4E23F842B}" uniqueName="6" name="Adj Close" queryTableFieldId="6" dataDxfId="22"/>
    <tableColumn id="7" xr3:uid="{95CE2112-9349-4382-9E96-A4FBD5588B3B}" uniqueName="7" name="Volume" queryTableFieldId="7" dataDxfId="21"/>
    <tableColumn id="8" xr3:uid="{C617D4C3-7773-4CFE-A5C6-ABE301C6FC5A}" uniqueName="8" name="Stopa zwrotu" queryTableFieldId="8" dataDxfId="2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3B389E7-7477-4C8A-B43E-5B105A23A7E4}" name="EBAY" displayName="EBAY" ref="A1:H570" tableType="queryTable" totalsRowShown="0" headerRowDxfId="19" dataDxfId="18">
  <autoFilter ref="A1:H570" xr:uid="{13B389E7-7477-4C8A-B43E-5B105A23A7E4}"/>
  <tableColumns count="8">
    <tableColumn id="1" xr3:uid="{F7ABA5F3-11D9-486D-939A-0E2443E6BB79}" uniqueName="1" name="Date" queryTableFieldId="1" dataDxfId="17"/>
    <tableColumn id="2" xr3:uid="{08058DC3-E929-4052-877C-6E40AA47D3AC}" uniqueName="2" name="Open" queryTableFieldId="2" dataDxfId="16"/>
    <tableColumn id="3" xr3:uid="{014C395E-9D67-4DA2-81F1-118F1D64E8BD}" uniqueName="3" name="High" queryTableFieldId="3" dataDxfId="15"/>
    <tableColumn id="4" xr3:uid="{8DF5FB2C-B472-4933-8F34-E36A8A2F3020}" uniqueName="4" name="Low" queryTableFieldId="4" dataDxfId="14"/>
    <tableColumn id="5" xr3:uid="{4BC570D8-1380-4669-92F6-BA7260824057}" uniqueName="5" name="Close" queryTableFieldId="5" dataDxfId="13"/>
    <tableColumn id="6" xr3:uid="{D9D6C160-24F7-4D25-9214-362D90821C3D}" uniqueName="6" name="Adj Close" queryTableFieldId="6" dataDxfId="12"/>
    <tableColumn id="7" xr3:uid="{88029D00-F80A-41DB-9D1A-B13A75C0660C}" uniqueName="7" name="Volume" queryTableFieldId="7" dataDxfId="11"/>
    <tableColumn id="8" xr3:uid="{5BC302FA-F2A5-4E2B-8CC6-42F1604E7066}" uniqueName="8" name="Stopa zwrotu" queryTableFieldId="8" dataDxf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903F14-0FB3-44DB-9E64-1DD3153EBAE2}" name="AMZN" displayName="AMZN" ref="A1:H570" tableType="queryTable" totalsRowShown="0" headerRowDxfId="9" dataDxfId="8">
  <autoFilter ref="A1:H570" xr:uid="{60903F14-0FB3-44DB-9E64-1DD3153EBAE2}"/>
  <tableColumns count="8">
    <tableColumn id="1" xr3:uid="{CB58A589-1748-4627-A95C-5D09D090CA9F}" uniqueName="1" name="Date" queryTableFieldId="1" dataDxfId="7"/>
    <tableColumn id="2" xr3:uid="{25AA0243-AECE-4AB2-AA00-FD87B817BB45}" uniqueName="2" name="Open" queryTableFieldId="2" dataDxfId="6"/>
    <tableColumn id="3" xr3:uid="{08902E7F-AA82-4DF2-B7FF-1A8E76D05BCD}" uniqueName="3" name="High" queryTableFieldId="3" dataDxfId="5"/>
    <tableColumn id="4" xr3:uid="{DE927030-6B1A-4A4D-92D6-61541F725FC7}" uniqueName="4" name="Low" queryTableFieldId="4" dataDxfId="4"/>
    <tableColumn id="5" xr3:uid="{C656AA49-BA73-43E8-9330-C1D763CF6E10}" uniqueName="5" name="Close" queryTableFieldId="5" dataDxfId="3"/>
    <tableColumn id="6" xr3:uid="{6570ADCD-F81E-477B-968E-C2204EA6FCEB}" uniqueName="6" name="Adj Close" queryTableFieldId="6" dataDxfId="2"/>
    <tableColumn id="7" xr3:uid="{101AFB55-AFD4-4359-976F-EEAAF25C9462}" uniqueName="7" name="Volume" queryTableFieldId="7" dataDxfId="1"/>
    <tableColumn id="8" xr3:uid="{0BDEE9DE-A768-4ACC-BC39-B911F2F926D1}" uniqueName="8" name="Stopa zwrotu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88363-0924-408A-A7D8-447271F9175A}">
  <sheetPr codeName="Arkusz11"/>
  <dimension ref="A2:B38"/>
  <sheetViews>
    <sheetView tabSelected="1" workbookViewId="0">
      <selection activeCell="A3" sqref="A3"/>
    </sheetView>
  </sheetViews>
  <sheetFormatPr defaultRowHeight="15" x14ac:dyDescent="0.25"/>
  <cols>
    <col min="1" max="1" width="96.140625" bestFit="1" customWidth="1"/>
    <col min="2" max="2" width="73.85546875" bestFit="1" customWidth="1"/>
  </cols>
  <sheetData>
    <row r="2" spans="1:2" x14ac:dyDescent="0.25">
      <c r="A2" s="79" t="s">
        <v>0</v>
      </c>
    </row>
    <row r="3" spans="1:2" x14ac:dyDescent="0.25">
      <c r="A3" s="81" t="s">
        <v>236</v>
      </c>
    </row>
    <row r="4" spans="1:2" x14ac:dyDescent="0.25">
      <c r="A4" s="81" t="s">
        <v>215</v>
      </c>
    </row>
    <row r="5" spans="1:2" x14ac:dyDescent="0.25">
      <c r="A5" s="81" t="s">
        <v>216</v>
      </c>
    </row>
    <row r="6" spans="1:2" x14ac:dyDescent="0.25">
      <c r="A6" s="81" t="s">
        <v>220</v>
      </c>
    </row>
    <row r="7" spans="1:2" x14ac:dyDescent="0.25">
      <c r="A7" s="81" t="s">
        <v>221</v>
      </c>
    </row>
    <row r="9" spans="1:2" x14ac:dyDescent="0.25">
      <c r="A9" s="79" t="s">
        <v>1</v>
      </c>
      <c r="B9" s="79" t="s">
        <v>2</v>
      </c>
    </row>
    <row r="10" spans="1:2" x14ac:dyDescent="0.25">
      <c r="A10" s="82" t="s">
        <v>223</v>
      </c>
      <c r="B10" s="81" t="s">
        <v>185</v>
      </c>
    </row>
    <row r="11" spans="1:2" x14ac:dyDescent="0.25">
      <c r="A11" s="81" t="s">
        <v>184</v>
      </c>
      <c r="B11" s="81" t="s">
        <v>186</v>
      </c>
    </row>
    <row r="13" spans="1:2" x14ac:dyDescent="0.25">
      <c r="A13" s="78" t="s">
        <v>194</v>
      </c>
      <c r="B13" s="79" t="s">
        <v>2</v>
      </c>
    </row>
    <row r="14" spans="1:2" x14ac:dyDescent="0.25">
      <c r="A14" s="80" t="s">
        <v>195</v>
      </c>
      <c r="B14" s="81" t="s">
        <v>200</v>
      </c>
    </row>
    <row r="15" spans="1:2" x14ac:dyDescent="0.25">
      <c r="A15" s="80" t="s">
        <v>196</v>
      </c>
      <c r="B15" s="81" t="s">
        <v>203</v>
      </c>
    </row>
    <row r="16" spans="1:2" x14ac:dyDescent="0.25">
      <c r="A16" s="80" t="s">
        <v>197</v>
      </c>
      <c r="B16" s="81" t="s">
        <v>201</v>
      </c>
    </row>
    <row r="17" spans="1:2" x14ac:dyDescent="0.25">
      <c r="A17" s="80" t="s">
        <v>198</v>
      </c>
      <c r="B17" s="81" t="s">
        <v>202</v>
      </c>
    </row>
    <row r="18" spans="1:2" x14ac:dyDescent="0.25">
      <c r="A18" s="80" t="s">
        <v>199</v>
      </c>
      <c r="B18" s="81" t="s">
        <v>204</v>
      </c>
    </row>
    <row r="19" spans="1:2" x14ac:dyDescent="0.25">
      <c r="A19" s="80" t="s">
        <v>205</v>
      </c>
      <c r="B19" s="81" t="s">
        <v>210</v>
      </c>
    </row>
    <row r="20" spans="1:2" x14ac:dyDescent="0.25">
      <c r="A20" s="80" t="s">
        <v>206</v>
      </c>
      <c r="B20" s="81" t="s">
        <v>211</v>
      </c>
    </row>
    <row r="21" spans="1:2" x14ac:dyDescent="0.25">
      <c r="A21" s="80" t="s">
        <v>207</v>
      </c>
      <c r="B21" s="81" t="s">
        <v>214</v>
      </c>
    </row>
    <row r="22" spans="1:2" x14ac:dyDescent="0.25">
      <c r="A22" s="80" t="s">
        <v>208</v>
      </c>
      <c r="B22" s="81" t="s">
        <v>212</v>
      </c>
    </row>
    <row r="23" spans="1:2" x14ac:dyDescent="0.25">
      <c r="A23" s="80" t="s">
        <v>209</v>
      </c>
      <c r="B23" s="81" t="s">
        <v>213</v>
      </c>
    </row>
    <row r="24" spans="1:2" x14ac:dyDescent="0.25">
      <c r="A24" s="82" t="s">
        <v>3</v>
      </c>
      <c r="B24" s="81" t="s">
        <v>233</v>
      </c>
    </row>
    <row r="25" spans="1:2" x14ac:dyDescent="0.25">
      <c r="A25" s="82" t="s">
        <v>4</v>
      </c>
      <c r="B25" s="81" t="s">
        <v>187</v>
      </c>
    </row>
    <row r="26" spans="1:2" x14ac:dyDescent="0.25">
      <c r="A26" s="82" t="s">
        <v>5</v>
      </c>
      <c r="B26" s="81" t="s">
        <v>224</v>
      </c>
    </row>
    <row r="27" spans="1:2" x14ac:dyDescent="0.25">
      <c r="A27" s="80" t="s">
        <v>231</v>
      </c>
      <c r="B27" s="81" t="s">
        <v>6</v>
      </c>
    </row>
    <row r="28" spans="1:2" x14ac:dyDescent="0.25">
      <c r="A28" s="80" t="s">
        <v>232</v>
      </c>
      <c r="B28" s="81" t="s">
        <v>7</v>
      </c>
    </row>
    <row r="29" spans="1:2" x14ac:dyDescent="0.25">
      <c r="A29" s="82" t="s">
        <v>8</v>
      </c>
      <c r="B29" s="81" t="s">
        <v>225</v>
      </c>
    </row>
    <row r="31" spans="1:2" x14ac:dyDescent="0.25">
      <c r="A31" s="79" t="s">
        <v>9</v>
      </c>
    </row>
    <row r="32" spans="1:2" x14ac:dyDescent="0.25">
      <c r="A32" s="83" t="s">
        <v>10</v>
      </c>
    </row>
    <row r="33" spans="1:2" x14ac:dyDescent="0.25">
      <c r="A33" s="84" t="s">
        <v>11</v>
      </c>
    </row>
    <row r="34" spans="1:2" x14ac:dyDescent="0.25">
      <c r="A34" s="85" t="s">
        <v>12</v>
      </c>
    </row>
    <row r="36" spans="1:2" x14ac:dyDescent="0.25">
      <c r="A36" s="79" t="s">
        <v>226</v>
      </c>
      <c r="B36" s="81"/>
    </row>
    <row r="37" spans="1:2" x14ac:dyDescent="0.25">
      <c r="A37" s="81" t="s">
        <v>227</v>
      </c>
      <c r="B37" s="81" t="s">
        <v>228</v>
      </c>
    </row>
    <row r="38" spans="1:2" x14ac:dyDescent="0.25">
      <c r="A38" s="81" t="s">
        <v>229</v>
      </c>
      <c r="B38" s="81" t="s">
        <v>230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F4B7-6AAA-4D94-B128-61B5C62FB1A9}">
  <sheetPr codeName="Arkusz15"/>
  <dimension ref="A1"/>
  <sheetViews>
    <sheetView workbookViewId="0">
      <selection activeCell="D36" sqref="D3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7538D-14B6-4B29-B4BF-38ADAD7A709A}">
  <sheetPr codeName="Arkusz23">
    <tabColor theme="5" tint="0.59999389629810485"/>
  </sheetPr>
  <dimension ref="A1:H22"/>
  <sheetViews>
    <sheetView workbookViewId="0">
      <selection activeCell="B22" sqref="B22"/>
    </sheetView>
  </sheetViews>
  <sheetFormatPr defaultRowHeight="15" x14ac:dyDescent="0.25"/>
  <cols>
    <col min="1" max="1" width="28" bestFit="1" customWidth="1"/>
    <col min="2" max="2" width="10.140625" bestFit="1" customWidth="1"/>
    <col min="3" max="3" width="27.85546875" bestFit="1" customWidth="1"/>
    <col min="4" max="5" width="27.85546875" customWidth="1"/>
    <col min="7" max="7" width="45" bestFit="1" customWidth="1"/>
  </cols>
  <sheetData>
    <row r="1" spans="1:8" ht="15.75" thickBot="1" x14ac:dyDescent="0.3">
      <c r="A1" t="s">
        <v>188</v>
      </c>
      <c r="B1" s="61" t="s">
        <v>13</v>
      </c>
      <c r="C1" s="71">
        <f>B8</f>
        <v>45291</v>
      </c>
      <c r="D1" s="71">
        <f>B9</f>
        <v>45351</v>
      </c>
      <c r="E1" s="71">
        <f>B10</f>
        <v>45385</v>
      </c>
      <c r="G1" t="s">
        <v>190</v>
      </c>
      <c r="H1" t="b">
        <f>AND(H2:H5)</f>
        <v>1</v>
      </c>
    </row>
    <row r="2" spans="1:8" x14ac:dyDescent="0.25">
      <c r="B2" s="3" t="s">
        <v>14</v>
      </c>
      <c r="C2" s="72">
        <f>INDEX(NFLX!E:E,MATCH('Input data'!B8,NFLX!A:A,1))</f>
        <v>486.88000499999998</v>
      </c>
      <c r="D2" s="72">
        <f>INDEX(NFLX!E:E,MATCH('Input data'!B9,NFLX!A:A,1))</f>
        <v>602.919983</v>
      </c>
      <c r="E2" s="72">
        <f>INDEX(NFLX!E:E,MATCH('Input data'!B10,NFLX!A:A,1))</f>
        <v>630.080017</v>
      </c>
      <c r="G2" t="s">
        <v>218</v>
      </c>
      <c r="H2" t="b">
        <f>COUNT(B8:B10)=3</f>
        <v>1</v>
      </c>
    </row>
    <row r="3" spans="1:8" x14ac:dyDescent="0.25">
      <c r="B3" s="3" t="s">
        <v>16</v>
      </c>
      <c r="C3" s="72">
        <f>INDEX(META!E:E,MATCH('Input data'!B8,NFLX!A:A,1))</f>
        <v>353.959991</v>
      </c>
      <c r="D3" s="72">
        <f>INDEX(META!E:E,MATCH('Input data'!B9,NFLX!A:A,1))</f>
        <v>490.13000499999998</v>
      </c>
      <c r="E3" s="72">
        <f>INDEX(META!E:E,MATCH('Input data'!B10,NFLX!A:A,1))</f>
        <v>506.73998999999998</v>
      </c>
      <c r="G3" t="s">
        <v>191</v>
      </c>
      <c r="H3" t="b">
        <f>COUNT(B12:B18)=7</f>
        <v>1</v>
      </c>
    </row>
    <row r="4" spans="1:8" x14ac:dyDescent="0.25">
      <c r="B4" s="3" t="s">
        <v>17</v>
      </c>
      <c r="C4" s="72">
        <f>INDEX(GOOG!E:E,MATCH('Input data'!B8,NFLX!A:A,1))</f>
        <v>140.929993</v>
      </c>
      <c r="D4" s="72">
        <f>INDEX(GOOG!E:E,MATCH('Input data'!B9,NFLX!A:A,1))</f>
        <v>139.779999</v>
      </c>
      <c r="E4" s="72">
        <f>INDEX(GOOG!E:E,MATCH('Input data'!B10,NFLX!A:A,1))</f>
        <v>156.36999499999999</v>
      </c>
      <c r="G4" t="s">
        <v>192</v>
      </c>
      <c r="H4" t="b">
        <f>AND(B12&lt;B13,B13&lt;B14,B14&lt;B15,B15&lt;B16,B16&lt;B17,B12&gt;B18)</f>
        <v>1</v>
      </c>
    </row>
    <row r="5" spans="1:8" x14ac:dyDescent="0.25">
      <c r="B5" s="3" t="s">
        <v>18</v>
      </c>
      <c r="C5" s="72">
        <f>INDEX(EBAY!E:E,MATCH('Input data'!B8,NFLX!A:A,1))</f>
        <v>43.619999</v>
      </c>
      <c r="D5" s="72">
        <f>INDEX(EBAY!E:E,MATCH('Input data'!B9,NFLX!A:A,1))</f>
        <v>47.279998999999997</v>
      </c>
      <c r="E5" s="72">
        <f>INDEX(EBAY!E:E,MATCH('Input data'!B10,NFLX!A:A,1))</f>
        <v>51.849997999999999</v>
      </c>
      <c r="G5" t="s">
        <v>193</v>
      </c>
      <c r="H5" t="b">
        <f>COUNT(C2:E6)=15</f>
        <v>1</v>
      </c>
    </row>
    <row r="6" spans="1:8" ht="15.75" thickBot="1" x14ac:dyDescent="0.3">
      <c r="B6" s="4" t="s">
        <v>19</v>
      </c>
      <c r="C6" s="73">
        <f>INDEX(AMZN!E:E,MATCH('Input data'!B8,NFLX!A:A,1))</f>
        <v>151.94000199999999</v>
      </c>
      <c r="D6" s="73">
        <f>INDEX(AMZN!E:E,MATCH('Input data'!B9,NFLX!A:A,1))</f>
        <v>176.759995</v>
      </c>
      <c r="E6" s="73">
        <f>INDEX(AMZN!E:E,MATCH('Input data'!B10,NFLX!A:A,1))</f>
        <v>182.41000399999999</v>
      </c>
    </row>
    <row r="8" spans="1:8" x14ac:dyDescent="0.25">
      <c r="A8" t="s">
        <v>217</v>
      </c>
      <c r="B8" s="62">
        <v>45291</v>
      </c>
    </row>
    <row r="9" spans="1:8" x14ac:dyDescent="0.25">
      <c r="B9" s="62">
        <v>45351</v>
      </c>
    </row>
    <row r="10" spans="1:8" x14ac:dyDescent="0.25">
      <c r="B10" s="62">
        <v>45385</v>
      </c>
    </row>
    <row r="11" spans="1:8" ht="15.75" thickBot="1" x14ac:dyDescent="0.3"/>
    <row r="12" spans="1:8" x14ac:dyDescent="0.25">
      <c r="A12" s="70" t="s">
        <v>20</v>
      </c>
      <c r="B12" s="66">
        <v>45390</v>
      </c>
    </row>
    <row r="13" spans="1:8" x14ac:dyDescent="0.25">
      <c r="A13" s="63" t="s">
        <v>21</v>
      </c>
      <c r="B13" s="67">
        <v>45565</v>
      </c>
    </row>
    <row r="14" spans="1:8" x14ac:dyDescent="0.25">
      <c r="A14" s="63" t="s">
        <v>22</v>
      </c>
      <c r="B14" s="67">
        <v>45747</v>
      </c>
    </row>
    <row r="15" spans="1:8" x14ac:dyDescent="0.25">
      <c r="A15" s="63" t="s">
        <v>23</v>
      </c>
      <c r="B15" s="67">
        <v>45930</v>
      </c>
    </row>
    <row r="16" spans="1:8" x14ac:dyDescent="0.25">
      <c r="A16" s="63" t="s">
        <v>24</v>
      </c>
      <c r="B16" s="67">
        <v>46120</v>
      </c>
    </row>
    <row r="17" spans="1:2" ht="15.75" thickBot="1" x14ac:dyDescent="0.3">
      <c r="A17" s="64" t="s">
        <v>189</v>
      </c>
      <c r="B17" s="68">
        <v>46122</v>
      </c>
    </row>
    <row r="18" spans="1:2" ht="15.75" thickBot="1" x14ac:dyDescent="0.3">
      <c r="A18" s="65" t="s">
        <v>234</v>
      </c>
      <c r="B18" s="69">
        <v>45387</v>
      </c>
    </row>
    <row r="20" spans="1:2" x14ac:dyDescent="0.25">
      <c r="A20" t="s">
        <v>222</v>
      </c>
      <c r="B20" s="74">
        <v>100</v>
      </c>
    </row>
    <row r="22" spans="1:2" x14ac:dyDescent="0.25">
      <c r="A22" t="s">
        <v>235</v>
      </c>
      <c r="B22" s="74">
        <v>100</v>
      </c>
    </row>
  </sheetData>
  <conditionalFormatting sqref="H1:H5">
    <cfRule type="cellIs" dxfId="51" priority="1" operator="equal">
      <formula>FALSE</formula>
    </cfRule>
    <cfRule type="cellIs" dxfId="50" priority="2" operator="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53DA8-940D-48C3-A7E0-713763DAA5E5}">
  <sheetPr codeName="Arkusz22"/>
  <dimension ref="A1"/>
  <sheetViews>
    <sheetView workbookViewId="0">
      <selection activeCell="A37" sqref="A37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28B85-2162-4F6D-9477-5834244C86C5}">
  <sheetPr codeName="Arkusz17">
    <tabColor theme="4" tint="0.39997558519241921"/>
  </sheetPr>
  <dimension ref="B1:D6"/>
  <sheetViews>
    <sheetView workbookViewId="0">
      <selection activeCell="C7" sqref="C7"/>
    </sheetView>
  </sheetViews>
  <sheetFormatPr defaultRowHeight="15" x14ac:dyDescent="0.25"/>
  <cols>
    <col min="1" max="1" width="11.5703125" customWidth="1"/>
    <col min="2" max="2" width="36.28515625" bestFit="1" customWidth="1"/>
    <col min="3" max="4" width="10.140625" bestFit="1" customWidth="1"/>
  </cols>
  <sheetData>
    <row r="1" spans="2:4" x14ac:dyDescent="0.25">
      <c r="B1" s="1"/>
      <c r="C1" s="1"/>
      <c r="D1" s="1"/>
    </row>
    <row r="2" spans="2:4" x14ac:dyDescent="0.25">
      <c r="B2" t="s">
        <v>219</v>
      </c>
    </row>
    <row r="4" spans="2:4" x14ac:dyDescent="0.25">
      <c r="B4" s="75">
        <f>'Input data'!B8</f>
        <v>45291</v>
      </c>
      <c r="C4" s="76" cm="1">
        <f t="array" ref="C4">basket_monte_carlo('Input data'!C2:C6,'IR interpolation'!C3:C834,'volatility wszystko'!C2:G6,'Input data'!B8,'Input data'!B18,'Input data'!B12:B16,'Input data'!B17,'volatility wszystko'!H2,Is_weekend!B2:B833,'Correlation matrices'!H4:L8,'Input data'!B20)*'Input data'!B22</f>
        <v>7.5975114920449061</v>
      </c>
    </row>
    <row r="5" spans="2:4" x14ac:dyDescent="0.25">
      <c r="B5" s="75">
        <f>'Input data'!B9</f>
        <v>45351</v>
      </c>
      <c r="C5" s="76" cm="1">
        <f t="array" ref="C5">basket_monte_carlo('Input data'!D2:D6,'IR interpolation'!F3:F774,'volatility wszystko'!C7:G11,'Input data'!B9,'Input data'!B18,'Input data'!B12:B16,'Input data'!B17,'volatility wszystko'!H7,Is_weekend!D2:D833,'Correlation matrices'!H12:L16,'Input data'!B20)*'Input data'!B22</f>
        <v>7.0110877369467515</v>
      </c>
    </row>
    <row r="6" spans="2:4" x14ac:dyDescent="0.25">
      <c r="B6" s="75">
        <f>'Input data'!B10</f>
        <v>45385</v>
      </c>
      <c r="C6" s="76" cm="1">
        <f t="array" ref="C6">basket_monte_carlo('Input data'!E2:E6,'IR interpolation'!I3:I740,'volatility wszystko'!C12:G16,'Input data'!B10,'Input data'!B18,'Input data'!B12:B16,'Input data'!B17,'volatility wszystko'!H11,Is_weekend!F2:F739,'Correlation matrices'!H20:L24,'Input data'!B20)*'Input data'!B22</f>
        <v>7.6699936850457302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3D1F-3C0C-4E27-BF36-369B045AC83E}">
  <sheetPr codeName="Arkusz16"/>
  <dimension ref="A1"/>
  <sheetViews>
    <sheetView workbookViewId="0">
      <selection activeCell="G25" sqref="G25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E28C3-AE36-404A-97D7-E0781E779C95}">
  <sheetPr codeName="Arkusz2">
    <tabColor theme="0" tint="-0.14999847407452621"/>
  </sheetPr>
  <dimension ref="A2:L24"/>
  <sheetViews>
    <sheetView workbookViewId="0">
      <selection activeCell="J37" sqref="J37"/>
    </sheetView>
  </sheetViews>
  <sheetFormatPr defaultRowHeight="15" x14ac:dyDescent="0.25"/>
  <cols>
    <col min="1" max="1" width="17.85546875" customWidth="1"/>
    <col min="7" max="7" width="29" bestFit="1" customWidth="1"/>
  </cols>
  <sheetData>
    <row r="2" spans="1:12" x14ac:dyDescent="0.25">
      <c r="A2" s="2" t="s">
        <v>25</v>
      </c>
    </row>
    <row r="3" spans="1:12" x14ac:dyDescent="0.25">
      <c r="A3" s="5" t="s">
        <v>26</v>
      </c>
      <c r="B3" s="6" t="s">
        <v>14</v>
      </c>
      <c r="C3" s="6" t="s">
        <v>16</v>
      </c>
      <c r="D3" s="6" t="s">
        <v>27</v>
      </c>
      <c r="E3" s="6" t="s">
        <v>18</v>
      </c>
      <c r="F3" s="6" t="s">
        <v>19</v>
      </c>
      <c r="G3" s="5" t="s">
        <v>28</v>
      </c>
      <c r="H3" s="48" t="s">
        <v>14</v>
      </c>
      <c r="I3" s="48" t="s">
        <v>16</v>
      </c>
      <c r="J3" s="48" t="s">
        <v>27</v>
      </c>
      <c r="K3" s="48" t="s">
        <v>18</v>
      </c>
      <c r="L3" s="49" t="s">
        <v>19</v>
      </c>
    </row>
    <row r="4" spans="1:12" x14ac:dyDescent="0.25">
      <c r="A4" s="3" t="s">
        <v>14</v>
      </c>
      <c r="B4" s="34">
        <v>1</v>
      </c>
      <c r="C4" s="14">
        <v>0.35436544879577891</v>
      </c>
      <c r="D4" s="14">
        <v>0.32921085264939259</v>
      </c>
      <c r="E4" s="14">
        <v>0.30005551659256191</v>
      </c>
      <c r="F4" s="14">
        <v>0.34871262294137945</v>
      </c>
      <c r="G4" s="18" t="s">
        <v>14</v>
      </c>
      <c r="H4" s="50" cm="1">
        <f t="array" ref="H4:L8">CholeskyDecompose(B4:F8)</f>
        <v>1</v>
      </c>
      <c r="I4" s="51">
        <v>0</v>
      </c>
      <c r="J4" s="51">
        <v>0</v>
      </c>
      <c r="K4" s="51">
        <v>0</v>
      </c>
      <c r="L4" s="52">
        <v>0</v>
      </c>
    </row>
    <row r="5" spans="1:12" x14ac:dyDescent="0.25">
      <c r="A5" s="3" t="s">
        <v>16</v>
      </c>
      <c r="B5" s="14">
        <v>0.35436544879577891</v>
      </c>
      <c r="C5" s="34">
        <v>1</v>
      </c>
      <c r="D5" s="14">
        <v>0.56068738433513354</v>
      </c>
      <c r="E5" s="14">
        <v>0.32141784721380695</v>
      </c>
      <c r="F5" s="14">
        <v>0.50177447985673884</v>
      </c>
      <c r="G5" s="18" t="s">
        <v>16</v>
      </c>
      <c r="H5" s="53">
        <v>0.35436544879577891</v>
      </c>
      <c r="I5" s="54">
        <v>0.9351070145709347</v>
      </c>
      <c r="J5" s="54">
        <v>0</v>
      </c>
      <c r="K5" s="54">
        <v>0</v>
      </c>
      <c r="L5" s="55">
        <v>0</v>
      </c>
    </row>
    <row r="6" spans="1:12" x14ac:dyDescent="0.25">
      <c r="A6" s="3" t="s">
        <v>27</v>
      </c>
      <c r="B6" s="14">
        <v>0.32921085264939259</v>
      </c>
      <c r="C6" s="14">
        <v>0.56068738433513354</v>
      </c>
      <c r="D6" s="34">
        <v>1</v>
      </c>
      <c r="E6" s="14">
        <v>0.40805790078499188</v>
      </c>
      <c r="F6" s="14">
        <v>0.60620485702843252</v>
      </c>
      <c r="G6" s="18" t="s">
        <v>27</v>
      </c>
      <c r="H6" s="53">
        <v>0.32921085264939259</v>
      </c>
      <c r="I6" s="54">
        <v>0.47484023311634332</v>
      </c>
      <c r="J6" s="54">
        <v>0.8161782694435552</v>
      </c>
      <c r="K6" s="54">
        <v>0</v>
      </c>
      <c r="L6" s="55">
        <v>0</v>
      </c>
    </row>
    <row r="7" spans="1:12" x14ac:dyDescent="0.25">
      <c r="A7" s="3" t="s">
        <v>18</v>
      </c>
      <c r="B7" s="14">
        <v>0.30005551659256191</v>
      </c>
      <c r="C7" s="14">
        <v>0.32141784721380695</v>
      </c>
      <c r="D7" s="14">
        <v>0.40805790078499188</v>
      </c>
      <c r="E7" s="34">
        <v>1</v>
      </c>
      <c r="F7" s="14">
        <v>0.48787055438267757</v>
      </c>
      <c r="G7" s="18" t="s">
        <v>18</v>
      </c>
      <c r="H7" s="53">
        <v>0.30005551659256191</v>
      </c>
      <c r="I7" s="54">
        <v>0.23001489247893822</v>
      </c>
      <c r="J7" s="54">
        <v>0.24511317030881363</v>
      </c>
      <c r="K7" s="54">
        <v>0.8927370105139788</v>
      </c>
      <c r="L7" s="55">
        <v>0</v>
      </c>
    </row>
    <row r="8" spans="1:12" x14ac:dyDescent="0.25">
      <c r="A8" s="4" t="s">
        <v>19</v>
      </c>
      <c r="B8" s="26">
        <v>0.34871262294137945</v>
      </c>
      <c r="C8" s="26">
        <v>0.50177447985673884</v>
      </c>
      <c r="D8" s="26">
        <v>0.60620485702843252</v>
      </c>
      <c r="E8" s="26">
        <v>0.48787055438267757</v>
      </c>
      <c r="F8" s="35">
        <v>1</v>
      </c>
      <c r="G8" s="20" t="s">
        <v>19</v>
      </c>
      <c r="H8" s="56">
        <v>0.34871262294137945</v>
      </c>
      <c r="I8" s="57">
        <v>0.40444865543105629</v>
      </c>
      <c r="J8" s="57">
        <v>0.36677818373663912</v>
      </c>
      <c r="K8" s="57">
        <v>0.22437294342743785</v>
      </c>
      <c r="L8" s="58">
        <v>0.7279775669029328</v>
      </c>
    </row>
    <row r="10" spans="1:12" x14ac:dyDescent="0.25">
      <c r="A10" s="2" t="s">
        <v>29</v>
      </c>
    </row>
    <row r="11" spans="1:12" x14ac:dyDescent="0.25">
      <c r="A11" s="5" t="s">
        <v>26</v>
      </c>
      <c r="B11" s="6" t="s">
        <v>14</v>
      </c>
      <c r="C11" s="6" t="s">
        <v>16</v>
      </c>
      <c r="D11" s="6" t="s">
        <v>27</v>
      </c>
      <c r="E11" s="6" t="s">
        <v>18</v>
      </c>
      <c r="F11" s="6" t="s">
        <v>19</v>
      </c>
      <c r="G11" s="5" t="s">
        <v>28</v>
      </c>
      <c r="H11" s="48" t="s">
        <v>14</v>
      </c>
      <c r="I11" s="48" t="s">
        <v>16</v>
      </c>
      <c r="J11" s="48" t="s">
        <v>27</v>
      </c>
      <c r="K11" s="48" t="s">
        <v>18</v>
      </c>
      <c r="L11" s="49" t="s">
        <v>19</v>
      </c>
    </row>
    <row r="12" spans="1:12" x14ac:dyDescent="0.25">
      <c r="A12" s="3" t="s">
        <v>14</v>
      </c>
      <c r="B12" s="34">
        <v>1</v>
      </c>
      <c r="C12" s="14"/>
      <c r="D12" s="14"/>
      <c r="E12" s="14"/>
      <c r="F12" s="14"/>
      <c r="G12" s="18" t="s">
        <v>14</v>
      </c>
      <c r="H12" s="50" cm="1">
        <f t="array" ref="H12:L16">CholeskyDecompose(B12:F16)</f>
        <v>1</v>
      </c>
      <c r="I12" s="51">
        <v>0</v>
      </c>
      <c r="J12" s="51">
        <v>0</v>
      </c>
      <c r="K12" s="51">
        <v>0</v>
      </c>
      <c r="L12" s="52">
        <v>0</v>
      </c>
    </row>
    <row r="13" spans="1:12" x14ac:dyDescent="0.25">
      <c r="A13" s="3" t="s">
        <v>16</v>
      </c>
      <c r="B13" s="14">
        <v>0.35436544879577891</v>
      </c>
      <c r="C13" s="34">
        <v>1</v>
      </c>
      <c r="D13" s="14"/>
      <c r="E13" s="14"/>
      <c r="F13" s="14"/>
      <c r="G13" s="18" t="s">
        <v>16</v>
      </c>
      <c r="H13" s="53">
        <v>0.35436544879577891</v>
      </c>
      <c r="I13" s="54">
        <v>0.9351070145709347</v>
      </c>
      <c r="J13" s="54">
        <v>0</v>
      </c>
      <c r="K13" s="54">
        <v>0</v>
      </c>
      <c r="L13" s="55">
        <v>0</v>
      </c>
    </row>
    <row r="14" spans="1:12" x14ac:dyDescent="0.25">
      <c r="A14" s="3" t="s">
        <v>27</v>
      </c>
      <c r="B14" s="14">
        <v>0.32921085264939259</v>
      </c>
      <c r="C14" s="14">
        <v>0.56068738433513354</v>
      </c>
      <c r="D14" s="34">
        <v>1</v>
      </c>
      <c r="E14" s="14"/>
      <c r="F14" s="14"/>
      <c r="G14" s="18" t="s">
        <v>27</v>
      </c>
      <c r="H14" s="53">
        <v>0.32921085264939259</v>
      </c>
      <c r="I14" s="54">
        <v>0.47484023311634332</v>
      </c>
      <c r="J14" s="54">
        <v>0.8161782694435552</v>
      </c>
      <c r="K14" s="54">
        <v>0</v>
      </c>
      <c r="L14" s="55">
        <v>0</v>
      </c>
    </row>
    <row r="15" spans="1:12" x14ac:dyDescent="0.25">
      <c r="A15" s="3" t="s">
        <v>18</v>
      </c>
      <c r="B15" s="14">
        <v>0.30005551659256191</v>
      </c>
      <c r="C15" s="14">
        <v>0.32141784721380695</v>
      </c>
      <c r="D15" s="14">
        <v>0.40805790078499188</v>
      </c>
      <c r="E15" s="34">
        <v>1</v>
      </c>
      <c r="F15" s="14"/>
      <c r="G15" s="18" t="s">
        <v>18</v>
      </c>
      <c r="H15" s="53">
        <v>0.30005551659256191</v>
      </c>
      <c r="I15" s="54">
        <v>0.23001489247893822</v>
      </c>
      <c r="J15" s="54">
        <v>0.24511317030881363</v>
      </c>
      <c r="K15" s="54">
        <v>0.8927370105139788</v>
      </c>
      <c r="L15" s="55">
        <v>0</v>
      </c>
    </row>
    <row r="16" spans="1:12" x14ac:dyDescent="0.25">
      <c r="A16" s="4" t="s">
        <v>19</v>
      </c>
      <c r="B16" s="26">
        <v>0.34871262294137945</v>
      </c>
      <c r="C16" s="26">
        <v>0.50177447985673884</v>
      </c>
      <c r="D16" s="26">
        <v>0.60620485702843252</v>
      </c>
      <c r="E16" s="26">
        <v>0.48787055438267757</v>
      </c>
      <c r="F16" s="35">
        <v>1</v>
      </c>
      <c r="G16" s="20" t="s">
        <v>19</v>
      </c>
      <c r="H16" s="56">
        <v>0.34871262294137945</v>
      </c>
      <c r="I16" s="57">
        <v>0.40444865543105629</v>
      </c>
      <c r="J16" s="57">
        <v>0.36677818373663912</v>
      </c>
      <c r="K16" s="57">
        <v>0.22437294342743785</v>
      </c>
      <c r="L16" s="58">
        <v>0.7279775669029328</v>
      </c>
    </row>
    <row r="18" spans="1:12" x14ac:dyDescent="0.25">
      <c r="A18" s="2" t="s">
        <v>30</v>
      </c>
    </row>
    <row r="19" spans="1:12" x14ac:dyDescent="0.25">
      <c r="A19" s="5" t="s">
        <v>26</v>
      </c>
      <c r="B19" s="6" t="s">
        <v>14</v>
      </c>
      <c r="C19" s="6" t="s">
        <v>16</v>
      </c>
      <c r="D19" s="6" t="s">
        <v>27</v>
      </c>
      <c r="E19" s="6" t="s">
        <v>18</v>
      </c>
      <c r="F19" s="6" t="s">
        <v>19</v>
      </c>
      <c r="G19" s="5" t="s">
        <v>28</v>
      </c>
      <c r="H19" s="48" t="s">
        <v>14</v>
      </c>
      <c r="I19" s="48" t="s">
        <v>16</v>
      </c>
      <c r="J19" s="48" t="s">
        <v>27</v>
      </c>
      <c r="K19" s="48" t="s">
        <v>18</v>
      </c>
      <c r="L19" s="49" t="s">
        <v>19</v>
      </c>
    </row>
    <row r="20" spans="1:12" x14ac:dyDescent="0.25">
      <c r="A20" s="3" t="s">
        <v>14</v>
      </c>
      <c r="B20" s="34">
        <v>1</v>
      </c>
      <c r="C20" s="14"/>
      <c r="D20" s="14"/>
      <c r="E20" s="14"/>
      <c r="F20" s="14"/>
      <c r="G20" s="18" t="s">
        <v>14</v>
      </c>
      <c r="H20" s="50" cm="1">
        <f t="array" ref="H20:L24">CholeskyDecompose(B20:F24)</f>
        <v>1</v>
      </c>
      <c r="I20" s="51">
        <v>0</v>
      </c>
      <c r="J20" s="51">
        <v>0</v>
      </c>
      <c r="K20" s="51">
        <v>0</v>
      </c>
      <c r="L20" s="52">
        <v>0</v>
      </c>
    </row>
    <row r="21" spans="1:12" x14ac:dyDescent="0.25">
      <c r="A21" s="3" t="s">
        <v>16</v>
      </c>
      <c r="B21" s="14">
        <v>0.35436544879577891</v>
      </c>
      <c r="C21" s="34">
        <v>1</v>
      </c>
      <c r="D21" s="14"/>
      <c r="E21" s="14"/>
      <c r="F21" s="14"/>
      <c r="G21" s="18" t="s">
        <v>16</v>
      </c>
      <c r="H21" s="53">
        <v>0.35436544879577891</v>
      </c>
      <c r="I21" s="54">
        <v>0.9351070145709347</v>
      </c>
      <c r="J21" s="54">
        <v>0</v>
      </c>
      <c r="K21" s="54">
        <v>0</v>
      </c>
      <c r="L21" s="55">
        <v>0</v>
      </c>
    </row>
    <row r="22" spans="1:12" x14ac:dyDescent="0.25">
      <c r="A22" s="3" t="s">
        <v>27</v>
      </c>
      <c r="B22" s="14">
        <v>0.32921085264939259</v>
      </c>
      <c r="C22" s="14">
        <v>0.56068738433513354</v>
      </c>
      <c r="D22" s="34">
        <v>1</v>
      </c>
      <c r="E22" s="14"/>
      <c r="F22" s="14"/>
      <c r="G22" s="18" t="s">
        <v>27</v>
      </c>
      <c r="H22" s="53">
        <v>0.32921085264939259</v>
      </c>
      <c r="I22" s="54">
        <v>0.47484023311634332</v>
      </c>
      <c r="J22" s="54">
        <v>0.8161782694435552</v>
      </c>
      <c r="K22" s="54">
        <v>0</v>
      </c>
      <c r="L22" s="55">
        <v>0</v>
      </c>
    </row>
    <row r="23" spans="1:12" x14ac:dyDescent="0.25">
      <c r="A23" s="3" t="s">
        <v>18</v>
      </c>
      <c r="B23" s="14">
        <v>0.30005551659256191</v>
      </c>
      <c r="C23" s="14">
        <v>0.32141784721380695</v>
      </c>
      <c r="D23" s="14">
        <v>0.40805790078499188</v>
      </c>
      <c r="E23" s="34">
        <v>1</v>
      </c>
      <c r="F23" s="14"/>
      <c r="G23" s="18" t="s">
        <v>18</v>
      </c>
      <c r="H23" s="53">
        <v>0.30005551659256191</v>
      </c>
      <c r="I23" s="54">
        <v>0.23001489247893822</v>
      </c>
      <c r="J23" s="54">
        <v>0.24511317030881363</v>
      </c>
      <c r="K23" s="54">
        <v>0.8927370105139788</v>
      </c>
      <c r="L23" s="55">
        <v>0</v>
      </c>
    </row>
    <row r="24" spans="1:12" x14ac:dyDescent="0.25">
      <c r="A24" s="4" t="s">
        <v>19</v>
      </c>
      <c r="B24" s="26">
        <v>0.34871262294137945</v>
      </c>
      <c r="C24" s="26">
        <v>0.50177447985673884</v>
      </c>
      <c r="D24" s="26">
        <v>0.60620485702843252</v>
      </c>
      <c r="E24" s="26">
        <v>0.48787055438267757</v>
      </c>
      <c r="F24" s="35">
        <v>1</v>
      </c>
      <c r="G24" s="20" t="s">
        <v>19</v>
      </c>
      <c r="H24" s="56">
        <v>0.34871262294137945</v>
      </c>
      <c r="I24" s="57">
        <v>0.40444865543105629</v>
      </c>
      <c r="J24" s="57">
        <v>0.36677818373663912</v>
      </c>
      <c r="K24" s="57">
        <v>0.22437294342743785</v>
      </c>
      <c r="L24" s="58">
        <v>0.7279775669029328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4F98B-4ADE-487E-8217-206ED551B61B}">
  <sheetPr codeName="Arkusz3">
    <tabColor theme="0" tint="-0.14999847407452621"/>
  </sheetPr>
  <dimension ref="A1:AA570"/>
  <sheetViews>
    <sheetView workbookViewId="0">
      <selection activeCell="Y507" sqref="Y507"/>
    </sheetView>
  </sheetViews>
  <sheetFormatPr defaultRowHeight="15" x14ac:dyDescent="0.25"/>
  <cols>
    <col min="1" max="1" width="13.5703125" bestFit="1" customWidth="1"/>
    <col min="5" max="5" width="7.7109375" bestFit="1" customWidth="1"/>
    <col min="8" max="8" width="10.85546875" style="7" bestFit="1" customWidth="1"/>
    <col min="15" max="15" width="10.85546875" style="7" bestFit="1" customWidth="1"/>
    <col min="16" max="20" width="10" bestFit="1" customWidth="1"/>
    <col min="22" max="22" width="10.85546875" style="7" bestFit="1" customWidth="1"/>
    <col min="23" max="27" width="9.85546875" customWidth="1"/>
  </cols>
  <sheetData>
    <row r="1" spans="1:27" x14ac:dyDescent="0.25">
      <c r="A1" s="2" t="s">
        <v>31</v>
      </c>
    </row>
    <row r="2" spans="1:27" x14ac:dyDescent="0.25">
      <c r="A2" s="11" t="s">
        <v>32</v>
      </c>
      <c r="B2" s="12" t="s">
        <v>14</v>
      </c>
      <c r="C2" s="12" t="s">
        <v>16</v>
      </c>
      <c r="D2" s="12" t="s">
        <v>27</v>
      </c>
      <c r="E2" s="12" t="s">
        <v>18</v>
      </c>
      <c r="F2" s="13" t="s">
        <v>19</v>
      </c>
      <c r="H2" s="11" t="s">
        <v>25</v>
      </c>
      <c r="I2" s="12" t="s">
        <v>14</v>
      </c>
      <c r="J2" s="12" t="s">
        <v>16</v>
      </c>
      <c r="K2" s="12" t="s">
        <v>27</v>
      </c>
      <c r="L2" s="12" t="s">
        <v>18</v>
      </c>
      <c r="M2" s="13" t="s">
        <v>19</v>
      </c>
      <c r="O2" s="11" t="s">
        <v>29</v>
      </c>
      <c r="P2" s="12" t="s">
        <v>14</v>
      </c>
      <c r="Q2" s="12" t="s">
        <v>16</v>
      </c>
      <c r="R2" s="12" t="s">
        <v>27</v>
      </c>
      <c r="S2" s="12" t="s">
        <v>18</v>
      </c>
      <c r="T2" s="13" t="s">
        <v>19</v>
      </c>
      <c r="V2" s="11" t="s">
        <v>30</v>
      </c>
      <c r="W2" s="12" t="s">
        <v>14</v>
      </c>
      <c r="X2" s="12" t="s">
        <v>16</v>
      </c>
      <c r="Y2" s="12" t="s">
        <v>27</v>
      </c>
      <c r="Z2" s="12" t="s">
        <v>18</v>
      </c>
      <c r="AA2" s="13" t="s">
        <v>19</v>
      </c>
    </row>
    <row r="3" spans="1:27" x14ac:dyDescent="0.25">
      <c r="A3" s="7">
        <f>NFLX[[#This Row],[Date]]</f>
        <v>44561</v>
      </c>
      <c r="B3" s="30">
        <f>NFLX[[#This Row],[Stopa zwrotu]]</f>
        <v>-1.5035014315735507E-2</v>
      </c>
      <c r="C3" s="30">
        <f>META[[#This Row],[Stopa zwrotu]]</f>
        <v>-2.0249437619458632E-2</v>
      </c>
      <c r="D3" s="30">
        <f>GOOG[[#This Row],[Stopa zwrotu]]</f>
        <v>-7.4163359764016779E-3</v>
      </c>
      <c r="E3" s="30">
        <f>EBAY[[#This Row],[Stopa zwrotu]]</f>
        <v>-7.6992001116908959E-3</v>
      </c>
      <c r="F3" s="30">
        <f>AMZN[[#This Row],[Stopa zwrotu]]</f>
        <v>-1.1663027086195044E-2</v>
      </c>
      <c r="H3" s="8" cm="1">
        <f t="array" ref="H3:M503">_xlfn._xlws.FILTER(A3:F570,(A3:A570&gt;'Input data'!B8-730+1)*(A3:A570&lt;'Input data'!B8+1))</f>
        <v>44564</v>
      </c>
      <c r="I3" s="28">
        <v>-6.3615924640906636E-3</v>
      </c>
      <c r="J3" s="28">
        <v>9.1197849951455778E-4</v>
      </c>
      <c r="K3" s="28">
        <v>-2.7071773643502217E-3</v>
      </c>
      <c r="L3" s="28">
        <v>-3.549824879818993E-4</v>
      </c>
      <c r="M3" s="29">
        <v>-7.9650692343524732E-4</v>
      </c>
      <c r="O3" s="8" cm="1">
        <f t="array" ref="O3:T503">_xlfn._xlws.FILTER(A3:F570,(A3:A570&gt;'Input data'!B9-730+1)*(A3:A570&lt;'Input data'!B9+1))</f>
        <v>44623</v>
      </c>
      <c r="P3" s="28">
        <v>-2.8144231905594452E-2</v>
      </c>
      <c r="Q3" s="28">
        <v>-2.9700326112259701E-3</v>
      </c>
      <c r="R3" s="28">
        <v>-1.1204167320588709E-5</v>
      </c>
      <c r="S3" s="28">
        <v>-4.0983792846497336E-3</v>
      </c>
      <c r="T3" s="29">
        <v>-1.2732752941176595E-2</v>
      </c>
      <c r="V3" s="9" cm="1">
        <f t="array" ref="V3:AA502">_xlfn._xlws.FILTER(A3:F570,(A3:A570&gt;'Input data'!B10-730+1)*(A3:A570&lt;'Input data'!B10+1))</f>
        <v>44657</v>
      </c>
      <c r="W3" s="30">
        <v>-3.8641931242966998E-2</v>
      </c>
      <c r="X3" s="30">
        <v>-4.1598129311780307E-2</v>
      </c>
      <c r="Y3" s="30">
        <v>-3.2107838221156149E-2</v>
      </c>
      <c r="Z3" s="30">
        <v>-4.465880671668454E-2</v>
      </c>
      <c r="AA3" s="31">
        <v>-3.6820310285534896E-2</v>
      </c>
    </row>
    <row r="4" spans="1:27" x14ac:dyDescent="0.25">
      <c r="A4" s="7">
        <f>NFLX[[#This Row],[Date]]</f>
        <v>44564</v>
      </c>
      <c r="B4" s="30">
        <f>NFLX[[#This Row],[Stopa zwrotu]]</f>
        <v>-6.3615924640906636E-3</v>
      </c>
      <c r="C4" s="30">
        <f>META[[#This Row],[Stopa zwrotu]]</f>
        <v>9.1197849951455778E-4</v>
      </c>
      <c r="D4" s="30">
        <f>GOOG[[#This Row],[Stopa zwrotu]]</f>
        <v>-2.7071773643502217E-3</v>
      </c>
      <c r="E4" s="30">
        <f>EBAY[[#This Row],[Stopa zwrotu]]</f>
        <v>-3.549824879818993E-4</v>
      </c>
      <c r="F4" s="30">
        <f>AMZN[[#This Row],[Stopa zwrotu]]</f>
        <v>-7.9650692343524732E-4</v>
      </c>
      <c r="H4" s="9">
        <v>44565</v>
      </c>
      <c r="I4" s="30">
        <v>-1.5172077401693573E-2</v>
      </c>
      <c r="J4" s="30">
        <v>-1.5777475513642281E-2</v>
      </c>
      <c r="K4" s="30">
        <v>2.1856413346716952E-3</v>
      </c>
      <c r="L4" s="30">
        <v>-1.858059588299743E-2</v>
      </c>
      <c r="M4" s="31">
        <v>1.1374303281344034E-3</v>
      </c>
      <c r="O4" s="9">
        <v>44624</v>
      </c>
      <c r="P4" s="30">
        <v>-2.0512768745582388E-2</v>
      </c>
      <c r="Q4" s="30">
        <v>-1.3057318171555088E-2</v>
      </c>
      <c r="R4" s="30">
        <v>-2.2652209756353625E-2</v>
      </c>
      <c r="S4" s="30">
        <v>1.1784530710522434E-2</v>
      </c>
      <c r="T4" s="31">
        <v>-2.0761807060757254E-2</v>
      </c>
      <c r="V4" s="9">
        <v>44658</v>
      </c>
      <c r="W4" s="30">
        <v>-2.4922142436127226E-2</v>
      </c>
      <c r="X4" s="30">
        <v>-1.287207419950176E-2</v>
      </c>
      <c r="Y4" s="30">
        <v>-1.1441677690496421E-2</v>
      </c>
      <c r="Z4" s="30">
        <v>3.7397157816010385E-4</v>
      </c>
      <c r="AA4" s="31">
        <v>-1.7443036495343289E-2</v>
      </c>
    </row>
    <row r="5" spans="1:27" x14ac:dyDescent="0.25">
      <c r="A5" s="7">
        <f>NFLX[[#This Row],[Date]]</f>
        <v>44565</v>
      </c>
      <c r="B5" s="30">
        <f>NFLX[[#This Row],[Stopa zwrotu]]</f>
        <v>-1.5172077401693573E-2</v>
      </c>
      <c r="C5" s="30">
        <f>META[[#This Row],[Stopa zwrotu]]</f>
        <v>-1.5777475513642281E-2</v>
      </c>
      <c r="D5" s="30">
        <f>GOOG[[#This Row],[Stopa zwrotu]]</f>
        <v>2.1856413346716952E-3</v>
      </c>
      <c r="E5" s="30">
        <f>EBAY[[#This Row],[Stopa zwrotu]]</f>
        <v>-1.858059588299743E-2</v>
      </c>
      <c r="F5" s="30">
        <f>AMZN[[#This Row],[Stopa zwrotu]]</f>
        <v>1.1374303281344034E-3</v>
      </c>
      <c r="H5" s="9">
        <v>44566</v>
      </c>
      <c r="I5" s="30">
        <v>-2.5309442241104874E-2</v>
      </c>
      <c r="J5" s="30">
        <v>-2.4196218763314348E-2</v>
      </c>
      <c r="K5" s="30">
        <v>-4.3754808700305459E-2</v>
      </c>
      <c r="L5" s="30">
        <v>3.1031966758776619E-4</v>
      </c>
      <c r="M5" s="31">
        <v>-1.1977841616995888E-2</v>
      </c>
      <c r="O5" s="9">
        <v>44627</v>
      </c>
      <c r="P5" s="30">
        <v>-6.5048396620761562E-3</v>
      </c>
      <c r="Q5" s="30">
        <v>-1.9300089550617721E-2</v>
      </c>
      <c r="R5" s="30">
        <v>-1.0220420741053005E-2</v>
      </c>
      <c r="S5" s="30">
        <v>4.0056818882109697E-3</v>
      </c>
      <c r="T5" s="31">
        <v>-1.4812683408859662E-2</v>
      </c>
      <c r="V5" s="9">
        <v>44659</v>
      </c>
      <c r="W5" s="30">
        <v>3.3362351022860892E-3</v>
      </c>
      <c r="X5" s="30">
        <v>6.7258465110344723E-3</v>
      </c>
      <c r="Y5" s="30">
        <v>-8.1920101976866722E-3</v>
      </c>
      <c r="Z5" s="30">
        <v>1.1588766355140168E-2</v>
      </c>
      <c r="AA5" s="31">
        <v>-1.815411739080619E-3</v>
      </c>
    </row>
    <row r="6" spans="1:27" x14ac:dyDescent="0.25">
      <c r="A6" s="7">
        <f>NFLX[[#This Row],[Date]]</f>
        <v>44566</v>
      </c>
      <c r="B6" s="30">
        <f>NFLX[[#This Row],[Stopa zwrotu]]</f>
        <v>-2.5309442241104874E-2</v>
      </c>
      <c r="C6" s="30">
        <f>META[[#This Row],[Stopa zwrotu]]</f>
        <v>-2.4196218763314348E-2</v>
      </c>
      <c r="D6" s="30">
        <f>GOOG[[#This Row],[Stopa zwrotu]]</f>
        <v>-4.3754808700305459E-2</v>
      </c>
      <c r="E6" s="30">
        <f>EBAY[[#This Row],[Stopa zwrotu]]</f>
        <v>3.1031966758776619E-4</v>
      </c>
      <c r="F6" s="30">
        <f>AMZN[[#This Row],[Stopa zwrotu]]</f>
        <v>-1.1977841616995888E-2</v>
      </c>
      <c r="H6" s="9">
        <v>44567</v>
      </c>
      <c r="I6" s="30">
        <v>-4.387170967513665E-2</v>
      </c>
      <c r="J6" s="30">
        <v>-3.4584826267103352E-3</v>
      </c>
      <c r="K6" s="30">
        <v>-5.5262919103009622E-3</v>
      </c>
      <c r="L6" s="30">
        <v>-5.8950823129860774E-3</v>
      </c>
      <c r="M6" s="31">
        <v>-1.4724040190683851E-2</v>
      </c>
      <c r="O6" s="9">
        <v>44628</v>
      </c>
      <c r="P6" s="30">
        <v>-2.7213017342786472E-2</v>
      </c>
      <c r="Q6" s="30">
        <v>-6.2473195549300753E-3</v>
      </c>
      <c r="R6" s="30">
        <v>-4.3450358564975922E-3</v>
      </c>
      <c r="S6" s="30">
        <v>-2.7219619027416098E-2</v>
      </c>
      <c r="T6" s="31">
        <v>-2.7973415769622534E-2</v>
      </c>
      <c r="V6" s="9">
        <v>44662</v>
      </c>
      <c r="W6" s="30">
        <v>-9.0831225859674767E-3</v>
      </c>
      <c r="X6" s="30">
        <v>-7.2868821249536531E-3</v>
      </c>
      <c r="Y6" s="30">
        <v>-1.030512560679675E-2</v>
      </c>
      <c r="Z6" s="30">
        <v>1.478208945766335E-3</v>
      </c>
      <c r="AA6" s="31">
        <v>-7.9891049315594289E-3</v>
      </c>
    </row>
    <row r="7" spans="1:27" x14ac:dyDescent="0.25">
      <c r="A7" s="7">
        <f>NFLX[[#This Row],[Date]]</f>
        <v>44567</v>
      </c>
      <c r="B7" s="30">
        <f>NFLX[[#This Row],[Stopa zwrotu]]</f>
        <v>-4.387170967513665E-2</v>
      </c>
      <c r="C7" s="30">
        <f>META[[#This Row],[Stopa zwrotu]]</f>
        <v>-3.4584826267103352E-3</v>
      </c>
      <c r="D7" s="30">
        <f>GOOG[[#This Row],[Stopa zwrotu]]</f>
        <v>-5.5262919103009622E-3</v>
      </c>
      <c r="E7" s="30">
        <f>EBAY[[#This Row],[Stopa zwrotu]]</f>
        <v>-5.8950823129860774E-3</v>
      </c>
      <c r="F7" s="30">
        <f>AMZN[[#This Row],[Stopa zwrotu]]</f>
        <v>-1.4724040190683851E-2</v>
      </c>
      <c r="H7" s="9">
        <v>44568</v>
      </c>
      <c r="I7" s="30">
        <v>-6.9925627388320866E-3</v>
      </c>
      <c r="J7" s="30">
        <v>1.9087766425731845E-2</v>
      </c>
      <c r="K7" s="30">
        <v>-7.1254608978137401E-3</v>
      </c>
      <c r="L7" s="30">
        <v>3.4332037005866622E-2</v>
      </c>
      <c r="M7" s="31">
        <v>5.8053441969496689E-4</v>
      </c>
      <c r="O7" s="9">
        <v>44629</v>
      </c>
      <c r="P7" s="30">
        <v>2.8884247584186618E-2</v>
      </c>
      <c r="Q7" s="30">
        <v>4.1964413293404723E-2</v>
      </c>
      <c r="R7" s="30">
        <v>3.3586714421878439E-2</v>
      </c>
      <c r="S7" s="30">
        <v>-1.2206610328638456E-2</v>
      </c>
      <c r="T7" s="31">
        <v>2.4372592576038965E-2</v>
      </c>
      <c r="V7" s="9">
        <v>44663</v>
      </c>
      <c r="W7" s="30">
        <v>-8.5458050331701507E-3</v>
      </c>
      <c r="X7" s="30">
        <v>-9.7109747713456374E-3</v>
      </c>
      <c r="Y7" s="30">
        <v>-1.5750165758876333E-2</v>
      </c>
      <c r="Z7" s="30">
        <v>-4.4150477480674466E-3</v>
      </c>
      <c r="AA7" s="31">
        <v>-1.0064403840981395E-3</v>
      </c>
    </row>
    <row r="8" spans="1:27" x14ac:dyDescent="0.25">
      <c r="A8" s="7">
        <f>NFLX[[#This Row],[Date]]</f>
        <v>44568</v>
      </c>
      <c r="B8" s="30">
        <f>NFLX[[#This Row],[Stopa zwrotu]]</f>
        <v>-6.9925627388320866E-3</v>
      </c>
      <c r="C8" s="30">
        <f>META[[#This Row],[Stopa zwrotu]]</f>
        <v>1.9087766425731845E-2</v>
      </c>
      <c r="D8" s="30">
        <f>GOOG[[#This Row],[Stopa zwrotu]]</f>
        <v>-7.1254608978137401E-3</v>
      </c>
      <c r="E8" s="30">
        <f>EBAY[[#This Row],[Stopa zwrotu]]</f>
        <v>3.4332037005866622E-2</v>
      </c>
      <c r="F8" s="30">
        <f>AMZN[[#This Row],[Stopa zwrotu]]</f>
        <v>5.8053441969496689E-4</v>
      </c>
      <c r="H8" s="9">
        <v>44571</v>
      </c>
      <c r="I8" s="30">
        <v>-7.369950727203034E-3</v>
      </c>
      <c r="J8" s="30">
        <v>-1.3632137147812676E-2</v>
      </c>
      <c r="K8" s="30">
        <v>-6.5015035103371437E-3</v>
      </c>
      <c r="L8" s="30">
        <v>-1.2874663239911452E-2</v>
      </c>
      <c r="M8" s="31">
        <v>-1.1780671163641307E-2</v>
      </c>
      <c r="O8" s="9">
        <v>44630</v>
      </c>
      <c r="P8" s="30">
        <v>7.9597669692799133E-3</v>
      </c>
      <c r="Q8" s="30">
        <v>-1.4696735918901971E-2</v>
      </c>
      <c r="R8" s="30">
        <v>1.009319868304237E-2</v>
      </c>
      <c r="S8" s="30">
        <v>-2.5095038976997719E-2</v>
      </c>
      <c r="T8" s="31">
        <v>5.2255341328046656E-2</v>
      </c>
      <c r="V8" s="9">
        <v>44664</v>
      </c>
      <c r="W8" s="30">
        <v>-3.1847947406865584E-3</v>
      </c>
      <c r="X8" s="30">
        <v>-8.4455635423084097E-3</v>
      </c>
      <c r="Y8" s="30">
        <v>6.7614835630991355E-3</v>
      </c>
      <c r="Z8" s="30">
        <v>-2.9563932549222516E-3</v>
      </c>
      <c r="AA8" s="31">
        <v>-5.2066391867866546E-3</v>
      </c>
    </row>
    <row r="9" spans="1:27" x14ac:dyDescent="0.25">
      <c r="A9" s="7">
        <f>NFLX[[#This Row],[Date]]</f>
        <v>44571</v>
      </c>
      <c r="B9" s="30">
        <f>NFLX[[#This Row],[Stopa zwrotu]]</f>
        <v>-7.369950727203034E-3</v>
      </c>
      <c r="C9" s="30">
        <f>META[[#This Row],[Stopa zwrotu]]</f>
        <v>-1.3632137147812676E-2</v>
      </c>
      <c r="D9" s="30">
        <f>GOOG[[#This Row],[Stopa zwrotu]]</f>
        <v>-6.5015035103371437E-3</v>
      </c>
      <c r="E9" s="30">
        <f>EBAY[[#This Row],[Stopa zwrotu]]</f>
        <v>-1.2874663239911452E-2</v>
      </c>
      <c r="F9" s="30">
        <f>AMZN[[#This Row],[Stopa zwrotu]]</f>
        <v>-1.1780671163641307E-2</v>
      </c>
      <c r="H9" s="9">
        <v>44572</v>
      </c>
      <c r="I9" s="30">
        <v>7.1249429056949865E-3</v>
      </c>
      <c r="J9" s="30">
        <v>3.1227233359511164E-2</v>
      </c>
      <c r="K9" s="30">
        <v>2.7587427696589062E-2</v>
      </c>
      <c r="L9" s="30">
        <v>5.4927651366483143E-3</v>
      </c>
      <c r="M9" s="31">
        <v>2.8131012782587339E-2</v>
      </c>
      <c r="O9" s="9">
        <v>44631</v>
      </c>
      <c r="P9" s="30">
        <v>-3.7645028167960115E-2</v>
      </c>
      <c r="Q9" s="30">
        <v>-2.3028255816204601E-2</v>
      </c>
      <c r="R9" s="30">
        <v>-8.405620897819599E-3</v>
      </c>
      <c r="S9" s="30">
        <v>-2.4960979425916019E-2</v>
      </c>
      <c r="T9" s="31">
        <v>9.6612401129598791E-3</v>
      </c>
      <c r="V9" s="9">
        <v>44665</v>
      </c>
      <c r="W9" s="30">
        <v>-3.8105844318140347E-3</v>
      </c>
      <c r="X9" s="30">
        <v>-6.2934840647945745E-3</v>
      </c>
      <c r="Y9" s="30">
        <v>-1.0332524726464953E-2</v>
      </c>
      <c r="Z9" s="30">
        <v>3.7066346127967442E-4</v>
      </c>
      <c r="AA9" s="31">
        <v>1.251332837513397E-2</v>
      </c>
    </row>
    <row r="10" spans="1:27" x14ac:dyDescent="0.25">
      <c r="A10" s="7">
        <f>NFLX[[#This Row],[Date]]</f>
        <v>44572</v>
      </c>
      <c r="B10" s="30">
        <f>NFLX[[#This Row],[Stopa zwrotu]]</f>
        <v>7.1249429056949865E-3</v>
      </c>
      <c r="C10" s="30">
        <f>META[[#This Row],[Stopa zwrotu]]</f>
        <v>3.1227233359511164E-2</v>
      </c>
      <c r="D10" s="30">
        <f>GOOG[[#This Row],[Stopa zwrotu]]</f>
        <v>2.7587427696589062E-2</v>
      </c>
      <c r="E10" s="30">
        <f>EBAY[[#This Row],[Stopa zwrotu]]</f>
        <v>5.4927651366483143E-3</v>
      </c>
      <c r="F10" s="30">
        <f>AMZN[[#This Row],[Stopa zwrotu]]</f>
        <v>2.8131012782587339E-2</v>
      </c>
      <c r="H10" s="9">
        <v>44573</v>
      </c>
      <c r="I10" s="30">
        <v>3.6787838856160437E-3</v>
      </c>
      <c r="J10" s="30">
        <v>1.4602803783210883E-2</v>
      </c>
      <c r="K10" s="30">
        <v>3.1418630325732444E-2</v>
      </c>
      <c r="L10" s="30">
        <v>-3.4337755579834095E-3</v>
      </c>
      <c r="M10" s="31">
        <v>2.3120498657672961E-2</v>
      </c>
      <c r="O10" s="9">
        <v>44634</v>
      </c>
      <c r="P10" s="30">
        <v>-9.9803852941176743E-3</v>
      </c>
      <c r="Q10" s="30">
        <v>-1.5178139838697053E-3</v>
      </c>
      <c r="R10" s="30">
        <v>-9.9350127819504506E-3</v>
      </c>
      <c r="S10" s="30">
        <v>6.6653333333333009E-5</v>
      </c>
      <c r="T10" s="31">
        <v>-1.0284173167232883E-2</v>
      </c>
      <c r="V10" s="9">
        <v>44669</v>
      </c>
      <c r="W10" s="30">
        <v>-6.0613122783489681E-3</v>
      </c>
      <c r="X10" s="30">
        <v>-2.0238059523809415E-3</v>
      </c>
      <c r="Y10" s="30">
        <v>-1.0483925200035493E-3</v>
      </c>
      <c r="Z10" s="30">
        <v>-1.4357261948869937E-3</v>
      </c>
      <c r="AA10" s="31">
        <v>-2.0160425689236261E-3</v>
      </c>
    </row>
    <row r="11" spans="1:27" x14ac:dyDescent="0.25">
      <c r="A11" s="7">
        <f>NFLX[[#This Row],[Date]]</f>
        <v>44573</v>
      </c>
      <c r="B11" s="30">
        <f>NFLX[[#This Row],[Stopa zwrotu]]</f>
        <v>3.6787838856160437E-3</v>
      </c>
      <c r="C11" s="30">
        <f>META[[#This Row],[Stopa zwrotu]]</f>
        <v>1.4602803783210883E-2</v>
      </c>
      <c r="D11" s="30">
        <f>GOOG[[#This Row],[Stopa zwrotu]]</f>
        <v>3.1418630325732444E-2</v>
      </c>
      <c r="E11" s="30">
        <f>EBAY[[#This Row],[Stopa zwrotu]]</f>
        <v>-3.4337755579834095E-3</v>
      </c>
      <c r="F11" s="30">
        <f>AMZN[[#This Row],[Stopa zwrotu]]</f>
        <v>2.3120498657672961E-2</v>
      </c>
      <c r="H11" s="9">
        <v>44574</v>
      </c>
      <c r="I11" s="30">
        <v>-2.5863707158990112E-2</v>
      </c>
      <c r="J11" s="30">
        <v>-1.2938184446681045E-2</v>
      </c>
      <c r="K11" s="30">
        <v>-1.5576272747888087E-2</v>
      </c>
      <c r="L11" s="30">
        <v>-1.0649961179325373E-2</v>
      </c>
      <c r="M11" s="31">
        <v>-2.0229075207530145E-2</v>
      </c>
      <c r="O11" s="9">
        <v>44635</v>
      </c>
      <c r="P11" s="30">
        <v>7.701103468838344E-3</v>
      </c>
      <c r="Q11" s="30">
        <v>4.8432352066374307E-4</v>
      </c>
      <c r="R11" s="30">
        <v>1.2261317866653076E-3</v>
      </c>
      <c r="S11" s="30">
        <v>4.4191223522944467E-2</v>
      </c>
      <c r="T11" s="31">
        <v>7.9213890593383685E-3</v>
      </c>
      <c r="V11" s="9">
        <v>44670</v>
      </c>
      <c r="W11" s="30">
        <v>4.8248176350162986E-3</v>
      </c>
      <c r="X11" s="30">
        <v>3.3605232353262071E-3</v>
      </c>
      <c r="Y11" s="30">
        <v>6.8972797447603984E-3</v>
      </c>
      <c r="Z11" s="30">
        <v>9.1299053150699638E-3</v>
      </c>
      <c r="AA11" s="31">
        <v>8.6522371998167813E-3</v>
      </c>
    </row>
    <row r="12" spans="1:27" x14ac:dyDescent="0.25">
      <c r="A12" s="7">
        <f>NFLX[[#This Row],[Date]]</f>
        <v>44574</v>
      </c>
      <c r="B12" s="30">
        <f>NFLX[[#This Row],[Stopa zwrotu]]</f>
        <v>-2.5863707158990112E-2</v>
      </c>
      <c r="C12" s="30">
        <f>META[[#This Row],[Stopa zwrotu]]</f>
        <v>-1.2938184446681045E-2</v>
      </c>
      <c r="D12" s="30">
        <f>GOOG[[#This Row],[Stopa zwrotu]]</f>
        <v>-1.5576272747888087E-2</v>
      </c>
      <c r="E12" s="30">
        <f>EBAY[[#This Row],[Stopa zwrotu]]</f>
        <v>-1.0649961179325373E-2</v>
      </c>
      <c r="F12" s="30">
        <f>AMZN[[#This Row],[Stopa zwrotu]]</f>
        <v>-2.0229075207530145E-2</v>
      </c>
      <c r="H12" s="9">
        <v>44575</v>
      </c>
      <c r="I12" s="30">
        <v>-1.2310432749769729E-2</v>
      </c>
      <c r="J12" s="30">
        <v>-1.3967395813869299E-2</v>
      </c>
      <c r="K12" s="30">
        <v>-1.0178966769519571E-2</v>
      </c>
      <c r="L12" s="30">
        <v>-8.3900430074415056E-3</v>
      </c>
      <c r="M12" s="31">
        <v>-8.0109750139180091E-3</v>
      </c>
      <c r="O12" s="9">
        <v>44636</v>
      </c>
      <c r="P12" s="30">
        <v>3.2194047066165465E-2</v>
      </c>
      <c r="Q12" s="30">
        <v>4.6312730970626159E-2</v>
      </c>
      <c r="R12" s="30">
        <v>2.0803070121965694E-2</v>
      </c>
      <c r="S12" s="30">
        <v>1.6468804740160659E-2</v>
      </c>
      <c r="T12" s="31">
        <v>3.77007042253521E-2</v>
      </c>
      <c r="V12" s="9">
        <v>44671</v>
      </c>
      <c r="W12" s="30">
        <v>-0.36225318299545894</v>
      </c>
      <c r="X12" s="30">
        <v>-4.8229674641148357E-2</v>
      </c>
      <c r="Y12" s="30">
        <v>3.4723090744324114E-3</v>
      </c>
      <c r="Z12" s="30">
        <v>1.1078249630723791E-2</v>
      </c>
      <c r="AA12" s="31">
        <v>1.3546592754057896E-2</v>
      </c>
    </row>
    <row r="13" spans="1:27" x14ac:dyDescent="0.25">
      <c r="A13" s="7">
        <f>NFLX[[#This Row],[Date]]</f>
        <v>44575</v>
      </c>
      <c r="B13" s="30">
        <f>NFLX[[#This Row],[Stopa zwrotu]]</f>
        <v>-1.2310432749769729E-2</v>
      </c>
      <c r="C13" s="30">
        <f>META[[#This Row],[Stopa zwrotu]]</f>
        <v>-1.3967395813869299E-2</v>
      </c>
      <c r="D13" s="30">
        <f>GOOG[[#This Row],[Stopa zwrotu]]</f>
        <v>-1.0178966769519571E-2</v>
      </c>
      <c r="E13" s="30">
        <f>EBAY[[#This Row],[Stopa zwrotu]]</f>
        <v>-8.3900430074415056E-3</v>
      </c>
      <c r="F13" s="30">
        <f>AMZN[[#This Row],[Stopa zwrotu]]</f>
        <v>-8.0109750139180091E-3</v>
      </c>
      <c r="H13" s="9">
        <v>44579</v>
      </c>
      <c r="I13" s="30">
        <v>-1.5628721422709102E-3</v>
      </c>
      <c r="J13" s="30">
        <v>-2.7785374832876852E-3</v>
      </c>
      <c r="K13" s="30">
        <v>-3.4236290909090694E-3</v>
      </c>
      <c r="L13" s="30">
        <v>-4.4300766990753304E-3</v>
      </c>
      <c r="M13" s="31">
        <v>-3.3416696231133025E-3</v>
      </c>
      <c r="O13" s="9">
        <v>44637</v>
      </c>
      <c r="P13" s="30">
        <v>3.4454634958634767E-2</v>
      </c>
      <c r="Q13" s="30">
        <v>3.3878248326583371E-2</v>
      </c>
      <c r="R13" s="30">
        <v>2.7228813175476541E-2</v>
      </c>
      <c r="S13" s="30">
        <v>1.8462678279477007E-2</v>
      </c>
      <c r="T13" s="31">
        <v>3.2483103557092274E-2</v>
      </c>
      <c r="V13" s="9">
        <v>44672</v>
      </c>
      <c r="W13" s="30">
        <v>-4.6585620596339972E-3</v>
      </c>
      <c r="X13" s="30">
        <v>-6.7062116097547864E-2</v>
      </c>
      <c r="Y13" s="30">
        <v>-2.5365128202874732E-2</v>
      </c>
      <c r="Z13" s="30">
        <v>-3.8348978756355123E-3</v>
      </c>
      <c r="AA13" s="31">
        <v>-3.9152799252621162E-2</v>
      </c>
    </row>
    <row r="14" spans="1:27" x14ac:dyDescent="0.25">
      <c r="A14" s="7">
        <f>NFLX[[#This Row],[Date]]</f>
        <v>44579</v>
      </c>
      <c r="B14" s="30">
        <f>NFLX[[#This Row],[Stopa zwrotu]]</f>
        <v>-1.5628721422709102E-3</v>
      </c>
      <c r="C14" s="30">
        <f>META[[#This Row],[Stopa zwrotu]]</f>
        <v>-2.7785374832876852E-3</v>
      </c>
      <c r="D14" s="30">
        <f>GOOG[[#This Row],[Stopa zwrotu]]</f>
        <v>-3.4236290909090694E-3</v>
      </c>
      <c r="E14" s="30">
        <f>EBAY[[#This Row],[Stopa zwrotu]]</f>
        <v>-4.4300766990753304E-3</v>
      </c>
      <c r="F14" s="30">
        <f>AMZN[[#This Row],[Stopa zwrotu]]</f>
        <v>-3.3416696231133025E-3</v>
      </c>
      <c r="H14" s="9">
        <v>44580</v>
      </c>
      <c r="I14" s="30">
        <v>3.5975800605154706E-3</v>
      </c>
      <c r="J14" s="30">
        <v>5.3204002020967867E-3</v>
      </c>
      <c r="K14" s="30">
        <v>-8.6275316921180512E-4</v>
      </c>
      <c r="L14" s="30">
        <v>6.3383553768625589E-3</v>
      </c>
      <c r="M14" s="31">
        <v>-8.9716134903032874E-3</v>
      </c>
      <c r="O14" s="9">
        <v>44638</v>
      </c>
      <c r="P14" s="30">
        <v>3.8294622995172833E-2</v>
      </c>
      <c r="Q14" s="30">
        <v>2.4315046371065296E-2</v>
      </c>
      <c r="R14" s="30">
        <v>1.6049925755163841E-3</v>
      </c>
      <c r="S14" s="30">
        <v>1.9237827983022093E-2</v>
      </c>
      <c r="T14" s="31">
        <v>2.5443690189586476E-2</v>
      </c>
      <c r="V14" s="9">
        <v>44673</v>
      </c>
      <c r="W14" s="30">
        <v>-6.9497020244004837E-3</v>
      </c>
      <c r="X14" s="30">
        <v>-1.2447451099822704E-2</v>
      </c>
      <c r="Y14" s="30">
        <v>-4.4199750594468568E-2</v>
      </c>
      <c r="Z14" s="30">
        <v>-2.6947699852386764E-2</v>
      </c>
      <c r="AA14" s="31">
        <v>-2.6370427331165125E-2</v>
      </c>
    </row>
    <row r="15" spans="1:27" x14ac:dyDescent="0.25">
      <c r="A15" s="7">
        <f>NFLX[[#This Row],[Date]]</f>
        <v>44580</v>
      </c>
      <c r="B15" s="30">
        <f>NFLX[[#This Row],[Stopa zwrotu]]</f>
        <v>3.5975800605154706E-3</v>
      </c>
      <c r="C15" s="30">
        <f>META[[#This Row],[Stopa zwrotu]]</f>
        <v>5.3204002020967867E-3</v>
      </c>
      <c r="D15" s="30">
        <f>GOOG[[#This Row],[Stopa zwrotu]]</f>
        <v>-8.6275316921180512E-4</v>
      </c>
      <c r="E15" s="30">
        <f>EBAY[[#This Row],[Stopa zwrotu]]</f>
        <v>6.3383553768625589E-3</v>
      </c>
      <c r="F15" s="30">
        <f>AMZN[[#This Row],[Stopa zwrotu]]</f>
        <v>-8.9716134903032874E-3</v>
      </c>
      <c r="H15" s="9">
        <v>44581</v>
      </c>
      <c r="I15" s="30">
        <v>-7.0126284105574976E-3</v>
      </c>
      <c r="J15" s="30">
        <v>-1.0490640204109725E-2</v>
      </c>
      <c r="K15" s="30">
        <v>-1.7383756457564625E-2</v>
      </c>
      <c r="L15" s="30">
        <v>-2.0187339153337813E-2</v>
      </c>
      <c r="M15" s="31">
        <v>-3.135361279999993E-2</v>
      </c>
      <c r="O15" s="9">
        <v>44641</v>
      </c>
      <c r="P15" s="30">
        <v>4.2518251031239035E-4</v>
      </c>
      <c r="Q15" s="30">
        <v>2.6375485436893609E-3</v>
      </c>
      <c r="R15" s="30">
        <v>4.2113985886533811E-3</v>
      </c>
      <c r="S15" s="30">
        <v>-1.3308953901111458E-3</v>
      </c>
      <c r="T15" s="31">
        <v>7.5678252486321984E-3</v>
      </c>
      <c r="V15" s="9">
        <v>44676</v>
      </c>
      <c r="W15" s="30">
        <v>-8.791570135485002E-3</v>
      </c>
      <c r="X15" s="30">
        <v>-2.9282842524883299E-3</v>
      </c>
      <c r="Y15" s="30">
        <v>-1.0387007794765795E-3</v>
      </c>
      <c r="Z15" s="30">
        <v>-2.323555551737392E-3</v>
      </c>
      <c r="AA15" s="31">
        <v>-3.2266672428771606E-3</v>
      </c>
    </row>
    <row r="16" spans="1:27" x14ac:dyDescent="0.25">
      <c r="A16" s="7">
        <f>NFLX[[#This Row],[Date]]</f>
        <v>44581</v>
      </c>
      <c r="B16" s="30">
        <f>NFLX[[#This Row],[Stopa zwrotu]]</f>
        <v>-7.0126284105574976E-3</v>
      </c>
      <c r="C16" s="30">
        <f>META[[#This Row],[Stopa zwrotu]]</f>
        <v>-1.0490640204109725E-2</v>
      </c>
      <c r="D16" s="30">
        <f>GOOG[[#This Row],[Stopa zwrotu]]</f>
        <v>-1.7383756457564625E-2</v>
      </c>
      <c r="E16" s="30">
        <f>EBAY[[#This Row],[Stopa zwrotu]]</f>
        <v>-2.0187339153337813E-2</v>
      </c>
      <c r="F16" s="30">
        <f>AMZN[[#This Row],[Stopa zwrotu]]</f>
        <v>-3.135361279999993E-2</v>
      </c>
      <c r="H16" s="9">
        <v>44582</v>
      </c>
      <c r="I16" s="30">
        <v>-0.25040933610728389</v>
      </c>
      <c r="J16" s="30">
        <v>-4.0951963888627096E-2</v>
      </c>
      <c r="K16" s="30">
        <v>-2.3609641978379559E-2</v>
      </c>
      <c r="L16" s="30">
        <v>-2.1427378322972701E-2</v>
      </c>
      <c r="M16" s="31">
        <v>-6.1317745655037004E-2</v>
      </c>
      <c r="O16" s="9">
        <v>44642</v>
      </c>
      <c r="P16" s="30">
        <v>-5.9087981465343331E-3</v>
      </c>
      <c r="Q16" s="30">
        <v>1.2281404125574102E-2</v>
      </c>
      <c r="R16" s="30">
        <v>1.4029292119300152E-2</v>
      </c>
      <c r="S16" s="30">
        <v>1.2755101808399338E-3</v>
      </c>
      <c r="T16" s="31">
        <v>1.3450145598646657E-2</v>
      </c>
      <c r="V16" s="9">
        <v>44677</v>
      </c>
      <c r="W16" s="30">
        <v>-3.0463039227006994E-2</v>
      </c>
      <c r="X16" s="30">
        <v>-1.1890366357142579E-2</v>
      </c>
      <c r="Y16" s="30">
        <v>3.3055778604780262E-3</v>
      </c>
      <c r="Z16" s="30">
        <v>-4.3634794984535041E-3</v>
      </c>
      <c r="AA16" s="31">
        <v>-2.3730461565765415E-2</v>
      </c>
    </row>
    <row r="17" spans="1:27" x14ac:dyDescent="0.25">
      <c r="A17" s="7">
        <f>NFLX[[#This Row],[Date]]</f>
        <v>44582</v>
      </c>
      <c r="B17" s="30">
        <f>NFLX[[#This Row],[Stopa zwrotu]]</f>
        <v>-0.25040933610728389</v>
      </c>
      <c r="C17" s="30">
        <f>META[[#This Row],[Stopa zwrotu]]</f>
        <v>-4.0951963888627096E-2</v>
      </c>
      <c r="D17" s="30">
        <f>GOOG[[#This Row],[Stopa zwrotu]]</f>
        <v>-2.3609641978379559E-2</v>
      </c>
      <c r="E17" s="30">
        <f>EBAY[[#This Row],[Stopa zwrotu]]</f>
        <v>-2.1427378322972701E-2</v>
      </c>
      <c r="F17" s="30">
        <f>AMZN[[#This Row],[Stopa zwrotu]]</f>
        <v>-6.1317745655037004E-2</v>
      </c>
      <c r="H17" s="9">
        <v>44585</v>
      </c>
      <c r="I17" s="30">
        <v>-2.5026974175468841E-2</v>
      </c>
      <c r="J17" s="30">
        <v>-1.5432504601507321E-2</v>
      </c>
      <c r="K17" s="30">
        <v>-1.3741057662217412E-2</v>
      </c>
      <c r="L17" s="30">
        <v>-1.3980113648533724E-2</v>
      </c>
      <c r="M17" s="31">
        <v>-1.5763279942374513E-2</v>
      </c>
      <c r="O17" s="9">
        <v>44643</v>
      </c>
      <c r="P17" s="30">
        <v>2.1076398160202681E-2</v>
      </c>
      <c r="Q17" s="30">
        <v>9.4205493669419216E-3</v>
      </c>
      <c r="R17" s="30">
        <v>1.2208820512820573E-2</v>
      </c>
      <c r="S17" s="30">
        <v>-5.4594903465060574E-3</v>
      </c>
      <c r="T17" s="31">
        <v>6.110062334644617E-3</v>
      </c>
      <c r="V17" s="9">
        <v>44678</v>
      </c>
      <c r="W17" s="30">
        <v>-5.3005825363152237E-2</v>
      </c>
      <c r="X17" s="30">
        <v>-5.8495821727019504E-2</v>
      </c>
      <c r="Y17" s="30">
        <v>-5.0667205989165187E-2</v>
      </c>
      <c r="Z17" s="30">
        <v>-9.1463414634145312E-3</v>
      </c>
      <c r="AA17" s="31">
        <v>-2.2644657250054046E-2</v>
      </c>
    </row>
    <row r="18" spans="1:27" x14ac:dyDescent="0.25">
      <c r="A18" s="7">
        <f>NFLX[[#This Row],[Date]]</f>
        <v>44585</v>
      </c>
      <c r="B18" s="30">
        <f>NFLX[[#This Row],[Stopa zwrotu]]</f>
        <v>-2.5026974175468841E-2</v>
      </c>
      <c r="C18" s="30">
        <f>META[[#This Row],[Stopa zwrotu]]</f>
        <v>-1.5432504601507321E-2</v>
      </c>
      <c r="D18" s="30">
        <f>GOOG[[#This Row],[Stopa zwrotu]]</f>
        <v>-1.3741057662217412E-2</v>
      </c>
      <c r="E18" s="30">
        <f>EBAY[[#This Row],[Stopa zwrotu]]</f>
        <v>-1.3980113648533724E-2</v>
      </c>
      <c r="F18" s="30">
        <f>AMZN[[#This Row],[Stopa zwrotu]]</f>
        <v>-1.5763279942374513E-2</v>
      </c>
      <c r="H18" s="9">
        <v>44586</v>
      </c>
      <c r="I18" s="30">
        <v>3.88949364082809E-2</v>
      </c>
      <c r="J18" s="30">
        <v>2.9652872576974021E-2</v>
      </c>
      <c r="K18" s="30">
        <v>1.3928255761525232E-2</v>
      </c>
      <c r="L18" s="30">
        <v>7.0318212547149095E-4</v>
      </c>
      <c r="M18" s="31">
        <v>2.0635076665469487E-2</v>
      </c>
      <c r="O18" s="9">
        <v>44644</v>
      </c>
      <c r="P18" s="30">
        <v>-1.4926957059653301E-2</v>
      </c>
      <c r="Q18" s="30">
        <v>1.2396252594339296E-2</v>
      </c>
      <c r="R18" s="30">
        <v>-9.199480070799515E-4</v>
      </c>
      <c r="S18" s="30">
        <v>1.6285433987724307E-2</v>
      </c>
      <c r="T18" s="31">
        <v>-1.6208996814963572E-2</v>
      </c>
      <c r="V18" s="9">
        <v>44679</v>
      </c>
      <c r="W18" s="30">
        <v>-1.1556680799772456E-2</v>
      </c>
      <c r="X18" s="30">
        <v>0.14142008284023655</v>
      </c>
      <c r="Y18" s="30">
        <v>1.7853342358453705E-2</v>
      </c>
      <c r="Z18" s="30">
        <v>2.884653846153773E-3</v>
      </c>
      <c r="AA18" s="31">
        <v>3.326258516563585E-2</v>
      </c>
    </row>
    <row r="19" spans="1:27" x14ac:dyDescent="0.25">
      <c r="A19" s="7">
        <f>NFLX[[#This Row],[Date]]</f>
        <v>44586</v>
      </c>
      <c r="B19" s="30">
        <f>NFLX[[#This Row],[Stopa zwrotu]]</f>
        <v>3.88949364082809E-2</v>
      </c>
      <c r="C19" s="30">
        <f>META[[#This Row],[Stopa zwrotu]]</f>
        <v>2.9652872576974021E-2</v>
      </c>
      <c r="D19" s="30">
        <f>GOOG[[#This Row],[Stopa zwrotu]]</f>
        <v>1.3928255761525232E-2</v>
      </c>
      <c r="E19" s="30">
        <f>EBAY[[#This Row],[Stopa zwrotu]]</f>
        <v>7.0318212547149095E-4</v>
      </c>
      <c r="F19" s="30">
        <f>AMZN[[#This Row],[Stopa zwrotu]]</f>
        <v>2.0635076665469487E-2</v>
      </c>
      <c r="H19" s="9">
        <v>44587</v>
      </c>
      <c r="I19" s="30">
        <v>-2.3306794521036345E-2</v>
      </c>
      <c r="J19" s="30">
        <v>-2.2615704328261876E-2</v>
      </c>
      <c r="K19" s="30">
        <v>6.1363925071831193E-3</v>
      </c>
      <c r="L19" s="30">
        <v>4.9192376992002185E-3</v>
      </c>
      <c r="M19" s="31">
        <v>-5.9828946112303605E-3</v>
      </c>
      <c r="O19" s="9">
        <v>44645</v>
      </c>
      <c r="P19" s="30">
        <v>-6.6955842780522801E-3</v>
      </c>
      <c r="Q19" s="30">
        <v>1.9088440493594039E-2</v>
      </c>
      <c r="R19" s="30">
        <v>1.2026240508524744E-2</v>
      </c>
      <c r="S19" s="30">
        <v>2.5387107933253494E-2</v>
      </c>
      <c r="T19" s="31">
        <v>1.3745685465560431E-2</v>
      </c>
      <c r="V19" s="9">
        <v>44680</v>
      </c>
      <c r="W19" s="30">
        <v>2.3706863457752192E-2</v>
      </c>
      <c r="X19" s="30">
        <v>3.6288233373402701E-2</v>
      </c>
      <c r="Y19" s="30">
        <v>-3.907267408994497E-3</v>
      </c>
      <c r="Z19" s="30">
        <v>-1.2080574800361399E-2</v>
      </c>
      <c r="AA19" s="31">
        <v>-0.13310764505115513</v>
      </c>
    </row>
    <row r="20" spans="1:27" x14ac:dyDescent="0.25">
      <c r="A20" s="7">
        <f>NFLX[[#This Row],[Date]]</f>
        <v>44587</v>
      </c>
      <c r="B20" s="30">
        <f>NFLX[[#This Row],[Stopa zwrotu]]</f>
        <v>-2.3306794521036345E-2</v>
      </c>
      <c r="C20" s="30">
        <f>META[[#This Row],[Stopa zwrotu]]</f>
        <v>-2.2615704328261876E-2</v>
      </c>
      <c r="D20" s="30">
        <f>GOOG[[#This Row],[Stopa zwrotu]]</f>
        <v>6.1363925071831193E-3</v>
      </c>
      <c r="E20" s="30">
        <f>EBAY[[#This Row],[Stopa zwrotu]]</f>
        <v>4.9192376992002185E-3</v>
      </c>
      <c r="F20" s="30">
        <f>AMZN[[#This Row],[Stopa zwrotu]]</f>
        <v>-5.9828946112303605E-3</v>
      </c>
      <c r="H20" s="9">
        <v>44588</v>
      </c>
      <c r="I20" s="30">
        <v>6.0232211601034757E-2</v>
      </c>
      <c r="J20" s="30">
        <v>1.172427000053089E-2</v>
      </c>
      <c r="K20" s="30">
        <v>1.4089301181108738E-2</v>
      </c>
      <c r="L20" s="30">
        <v>-1.3985996258986111E-2</v>
      </c>
      <c r="M20" s="31">
        <v>1.4794139496006942E-2</v>
      </c>
      <c r="O20" s="9">
        <v>44648</v>
      </c>
      <c r="P20" s="30">
        <v>2.7291979889865203E-4</v>
      </c>
      <c r="Q20" s="30">
        <v>9.898335586665159E-4</v>
      </c>
      <c r="R20" s="30">
        <v>3.0699944391835804E-4</v>
      </c>
      <c r="S20" s="30">
        <v>-1.1706760110504384E-4</v>
      </c>
      <c r="T20" s="31">
        <v>5.4442609142269687E-3</v>
      </c>
      <c r="V20" s="9">
        <v>44683</v>
      </c>
      <c r="W20" s="30">
        <v>1.7535087719326253E-5</v>
      </c>
      <c r="X20" s="30">
        <v>1.817593851453525E-3</v>
      </c>
      <c r="Y20" s="30">
        <v>-3.7621904081004041E-3</v>
      </c>
      <c r="Z20" s="30">
        <v>-3.8820522774326199E-4</v>
      </c>
      <c r="AA20" s="31">
        <v>-8.9071599862966897E-3</v>
      </c>
    </row>
    <row r="21" spans="1:27" x14ac:dyDescent="0.25">
      <c r="A21" s="7">
        <f>NFLX[[#This Row],[Date]]</f>
        <v>44588</v>
      </c>
      <c r="B21" s="30">
        <f>NFLX[[#This Row],[Stopa zwrotu]]</f>
        <v>6.0232211601034757E-2</v>
      </c>
      <c r="C21" s="30">
        <f>META[[#This Row],[Stopa zwrotu]]</f>
        <v>1.172427000053089E-2</v>
      </c>
      <c r="D21" s="30">
        <f>GOOG[[#This Row],[Stopa zwrotu]]</f>
        <v>1.4089301181108738E-2</v>
      </c>
      <c r="E21" s="30">
        <f>EBAY[[#This Row],[Stopa zwrotu]]</f>
        <v>-1.3985996258986111E-2</v>
      </c>
      <c r="F21" s="30">
        <f>AMZN[[#This Row],[Stopa zwrotu]]</f>
        <v>1.4794139496006942E-2</v>
      </c>
      <c r="H21" s="9">
        <v>44589</v>
      </c>
      <c r="I21" s="30">
        <v>-1.5921763830916147E-2</v>
      </c>
      <c r="J21" s="30">
        <v>-4.1800141310402994E-3</v>
      </c>
      <c r="K21" s="30">
        <v>-1.942711903532679E-3</v>
      </c>
      <c r="L21" s="30">
        <v>-8.6879784153199857E-3</v>
      </c>
      <c r="M21" s="31">
        <v>-1.0193770641100608E-2</v>
      </c>
      <c r="O21" s="9">
        <v>44649</v>
      </c>
      <c r="P21" s="30">
        <v>3.7084437030161732E-2</v>
      </c>
      <c r="Q21" s="30">
        <v>2.6191127736803654E-2</v>
      </c>
      <c r="R21" s="30">
        <v>1.8993585240443256E-2</v>
      </c>
      <c r="S21" s="30">
        <v>4.3035324082206117E-2</v>
      </c>
      <c r="T21" s="31">
        <v>1.8001856325113197E-2</v>
      </c>
      <c r="V21" s="9">
        <v>44684</v>
      </c>
      <c r="W21" s="30">
        <v>2.5051361113924475E-2</v>
      </c>
      <c r="X21" s="30">
        <v>3.5325094897131981E-2</v>
      </c>
      <c r="Y21" s="30">
        <v>2.8461334105729597E-2</v>
      </c>
      <c r="Z21" s="30">
        <v>3.0314827639231101E-2</v>
      </c>
      <c r="AA21" s="31">
        <v>3.7592371700105653E-2</v>
      </c>
    </row>
    <row r="22" spans="1:27" x14ac:dyDescent="0.25">
      <c r="A22" s="7">
        <f>NFLX[[#This Row],[Date]]</f>
        <v>44589</v>
      </c>
      <c r="B22" s="30">
        <f>NFLX[[#This Row],[Stopa zwrotu]]</f>
        <v>-1.5921763830916147E-2</v>
      </c>
      <c r="C22" s="30">
        <f>META[[#This Row],[Stopa zwrotu]]</f>
        <v>-4.1800141310402994E-3</v>
      </c>
      <c r="D22" s="30">
        <f>GOOG[[#This Row],[Stopa zwrotu]]</f>
        <v>-1.942711903532679E-3</v>
      </c>
      <c r="E22" s="30">
        <f>EBAY[[#This Row],[Stopa zwrotu]]</f>
        <v>-8.6879784153199857E-3</v>
      </c>
      <c r="F22" s="30">
        <f>AMZN[[#This Row],[Stopa zwrotu]]</f>
        <v>-1.0193770641100608E-2</v>
      </c>
      <c r="H22" s="9">
        <v>44592</v>
      </c>
      <c r="I22" s="30">
        <v>2.3400008880348617E-2</v>
      </c>
      <c r="J22" s="30">
        <v>7.15513544854951E-3</v>
      </c>
      <c r="K22" s="30">
        <v>9.271305012372574E-3</v>
      </c>
      <c r="L22" s="30">
        <v>1.0433434686698847E-2</v>
      </c>
      <c r="M22" s="31">
        <v>1.5396761425798081E-2</v>
      </c>
      <c r="O22" s="9">
        <v>44650</v>
      </c>
      <c r="P22" s="30">
        <v>-4.4697553653586519E-3</v>
      </c>
      <c r="Q22" s="30">
        <v>6.3030495988340984E-3</v>
      </c>
      <c r="R22" s="30">
        <v>-2.2177578767197392E-3</v>
      </c>
      <c r="S22" s="30">
        <v>-4.3786122536441097E-3</v>
      </c>
      <c r="T22" s="31">
        <v>-1.4109258139555769E-2</v>
      </c>
      <c r="V22" s="9">
        <v>44685</v>
      </c>
      <c r="W22" s="30">
        <v>-1.9304866882890237E-2</v>
      </c>
      <c r="X22" s="30">
        <v>-5.4302898828448853E-3</v>
      </c>
      <c r="Y22" s="30">
        <v>-7.6182702771937505E-3</v>
      </c>
      <c r="Z22" s="30">
        <v>-1.3202565069785011E-2</v>
      </c>
      <c r="AA22" s="31">
        <v>-2.9651928263429994E-2</v>
      </c>
    </row>
    <row r="23" spans="1:27" x14ac:dyDescent="0.25">
      <c r="A23" s="7">
        <f>NFLX[[#This Row],[Date]]</f>
        <v>44592</v>
      </c>
      <c r="B23" s="30">
        <f>NFLX[[#This Row],[Stopa zwrotu]]</f>
        <v>2.3400008880348617E-2</v>
      </c>
      <c r="C23" s="30">
        <f>META[[#This Row],[Stopa zwrotu]]</f>
        <v>7.15513544854951E-3</v>
      </c>
      <c r="D23" s="30">
        <f>GOOG[[#This Row],[Stopa zwrotu]]</f>
        <v>9.271305012372574E-3</v>
      </c>
      <c r="E23" s="30">
        <f>EBAY[[#This Row],[Stopa zwrotu]]</f>
        <v>1.0433434686698847E-2</v>
      </c>
      <c r="F23" s="30">
        <f>AMZN[[#This Row],[Stopa zwrotu]]</f>
        <v>1.5396761425798081E-2</v>
      </c>
      <c r="H23" s="9">
        <v>44593</v>
      </c>
      <c r="I23" s="30">
        <v>6.8658955741066174E-2</v>
      </c>
      <c r="J23" s="30">
        <v>4.2763556396683056E-2</v>
      </c>
      <c r="K23" s="30">
        <v>1.734468576825865E-2</v>
      </c>
      <c r="L23" s="30">
        <v>3.3125216788068013E-2</v>
      </c>
      <c r="M23" s="31">
        <v>2.3056017398469519E-2</v>
      </c>
      <c r="O23" s="9">
        <v>44651</v>
      </c>
      <c r="P23" s="30">
        <v>-1.3258378717238672E-2</v>
      </c>
      <c r="Q23" s="30">
        <v>-1.9628652739620778E-2</v>
      </c>
      <c r="R23" s="30">
        <v>-1.7929463859162942E-2</v>
      </c>
      <c r="S23" s="30">
        <v>-3.1799679157640037E-2</v>
      </c>
      <c r="T23" s="31">
        <v>-1.5386670694863991E-2</v>
      </c>
      <c r="V23" s="9">
        <v>44686</v>
      </c>
      <c r="W23" s="30">
        <v>-2.6228967756373178E-2</v>
      </c>
      <c r="X23" s="30">
        <v>-3.865495617228154E-3</v>
      </c>
      <c r="Y23" s="30">
        <v>-4.8039328796225522E-3</v>
      </c>
      <c r="Z23" s="30">
        <v>-9.6139124617737104E-2</v>
      </c>
      <c r="AA23" s="31">
        <v>-3.4488954250933013E-2</v>
      </c>
    </row>
    <row r="24" spans="1:27" x14ac:dyDescent="0.25">
      <c r="A24" s="7">
        <f>NFLX[[#This Row],[Date]]</f>
        <v>44593</v>
      </c>
      <c r="B24" s="30">
        <f>NFLX[[#This Row],[Stopa zwrotu]]</f>
        <v>6.8658955741066174E-2</v>
      </c>
      <c r="C24" s="30">
        <f>META[[#This Row],[Stopa zwrotu]]</f>
        <v>4.2763556396683056E-2</v>
      </c>
      <c r="D24" s="30">
        <f>GOOG[[#This Row],[Stopa zwrotu]]</f>
        <v>1.734468576825865E-2</v>
      </c>
      <c r="E24" s="30">
        <f>EBAY[[#This Row],[Stopa zwrotu]]</f>
        <v>3.3125216788068013E-2</v>
      </c>
      <c r="F24" s="30">
        <f>AMZN[[#This Row],[Stopa zwrotu]]</f>
        <v>2.3056017398469519E-2</v>
      </c>
      <c r="H24" s="9">
        <v>44594</v>
      </c>
      <c r="I24" s="30">
        <v>2.2089626829895348E-3</v>
      </c>
      <c r="J24" s="30">
        <v>1.5218505946727356E-2</v>
      </c>
      <c r="K24" s="30">
        <v>8.1662961025435798E-2</v>
      </c>
      <c r="L24" s="30">
        <v>-3.6092026187678372E-2</v>
      </c>
      <c r="M24" s="31">
        <v>8.3723763069567525E-3</v>
      </c>
      <c r="O24" s="9">
        <v>44652</v>
      </c>
      <c r="P24" s="30">
        <v>-1.3677324496560228E-2</v>
      </c>
      <c r="Q24" s="30">
        <v>1.9796725002174664E-3</v>
      </c>
      <c r="R24" s="30">
        <v>-5.8874936959690816E-3</v>
      </c>
      <c r="S24" s="30">
        <v>1.0481655818250779E-3</v>
      </c>
      <c r="T24" s="31">
        <v>-3.8906926003789977E-3</v>
      </c>
      <c r="V24" s="9">
        <v>44687</v>
      </c>
      <c r="W24" s="30">
        <v>-5.4784956989247235E-2</v>
      </c>
      <c r="X24" s="30">
        <v>-2.4932091095613229E-2</v>
      </c>
      <c r="Y24" s="30">
        <v>-9.0248516304598514E-3</v>
      </c>
      <c r="Z24" s="30">
        <v>-5.4980332946070742E-3</v>
      </c>
      <c r="AA24" s="31">
        <v>-1.7302178760308928E-2</v>
      </c>
    </row>
    <row r="25" spans="1:27" x14ac:dyDescent="0.25">
      <c r="A25" s="7">
        <f>NFLX[[#This Row],[Date]]</f>
        <v>44594</v>
      </c>
      <c r="B25" s="30">
        <f>NFLX[[#This Row],[Stopa zwrotu]]</f>
        <v>2.2089626829895348E-3</v>
      </c>
      <c r="C25" s="30">
        <f>META[[#This Row],[Stopa zwrotu]]</f>
        <v>1.5218505946727356E-2</v>
      </c>
      <c r="D25" s="30">
        <f>GOOG[[#This Row],[Stopa zwrotu]]</f>
        <v>8.1662961025435798E-2</v>
      </c>
      <c r="E25" s="30">
        <f>EBAY[[#This Row],[Stopa zwrotu]]</f>
        <v>-3.6092026187678372E-2</v>
      </c>
      <c r="F25" s="30">
        <f>AMZN[[#This Row],[Stopa zwrotu]]</f>
        <v>8.3723763069567525E-3</v>
      </c>
      <c r="H25" s="9">
        <v>44595</v>
      </c>
      <c r="I25" s="30">
        <v>-5.205405043004474E-2</v>
      </c>
      <c r="J25" s="30">
        <v>-0.25600402777170495</v>
      </c>
      <c r="K25" s="30">
        <v>-2.3032087767105192E-2</v>
      </c>
      <c r="L25" s="30">
        <v>-8.5335774480521653E-3</v>
      </c>
      <c r="M25" s="31">
        <v>-7.0739317251687583E-2</v>
      </c>
      <c r="O25" s="9">
        <v>44655</v>
      </c>
      <c r="P25" s="30">
        <v>4.1881546811397552E-3</v>
      </c>
      <c r="Q25" s="30">
        <v>4.7298369144866586E-3</v>
      </c>
      <c r="R25" s="30">
        <v>4.8692119758181702E-3</v>
      </c>
      <c r="S25" s="30">
        <v>-4.7120245150440816E-3</v>
      </c>
      <c r="T25" s="31">
        <v>1.819458902897253E-3</v>
      </c>
      <c r="V25" s="9">
        <v>44690</v>
      </c>
      <c r="W25" s="30">
        <v>-6.6549021480185227E-3</v>
      </c>
      <c r="X25" s="30">
        <v>-9.0206644309886643E-3</v>
      </c>
      <c r="Y25" s="30">
        <v>-4.6476788703237277E-3</v>
      </c>
      <c r="Z25" s="30">
        <v>4.5361047105274555E-3</v>
      </c>
      <c r="AA25" s="31">
        <v>-1.5105613019372485E-2</v>
      </c>
    </row>
    <row r="26" spans="1:27" x14ac:dyDescent="0.25">
      <c r="A26" s="7">
        <f>NFLX[[#This Row],[Date]]</f>
        <v>44595</v>
      </c>
      <c r="B26" s="30">
        <f>NFLX[[#This Row],[Stopa zwrotu]]</f>
        <v>-5.205405043004474E-2</v>
      </c>
      <c r="C26" s="30">
        <f>META[[#This Row],[Stopa zwrotu]]</f>
        <v>-0.25600402777170495</v>
      </c>
      <c r="D26" s="30">
        <f>GOOG[[#This Row],[Stopa zwrotu]]</f>
        <v>-2.3032087767105192E-2</v>
      </c>
      <c r="E26" s="30">
        <f>EBAY[[#This Row],[Stopa zwrotu]]</f>
        <v>-8.5335774480521653E-3</v>
      </c>
      <c r="F26" s="30">
        <f>AMZN[[#This Row],[Stopa zwrotu]]</f>
        <v>-7.0739317251687583E-2</v>
      </c>
      <c r="H26" s="9">
        <v>44596</v>
      </c>
      <c r="I26" s="30">
        <v>-1.8897754078603279E-2</v>
      </c>
      <c r="J26" s="30">
        <v>-2.3923643690349938E-2</v>
      </c>
      <c r="K26" s="30">
        <v>-1.6789121102786519E-2</v>
      </c>
      <c r="L26" s="30">
        <v>5.6209379940277415E-3</v>
      </c>
      <c r="M26" s="31">
        <v>8.8735223129308149E-2</v>
      </c>
      <c r="O26" s="9">
        <v>44656</v>
      </c>
      <c r="P26" s="30">
        <v>1.1202511039014373E-2</v>
      </c>
      <c r="Q26" s="30">
        <v>2.2846023984565589E-2</v>
      </c>
      <c r="R26" s="30">
        <v>8.4505186182370906E-4</v>
      </c>
      <c r="S26" s="30">
        <v>-9.0281816594731668E-3</v>
      </c>
      <c r="T26" s="31">
        <v>3.7070440730557763E-4</v>
      </c>
      <c r="V26" s="9">
        <v>44691</v>
      </c>
      <c r="W26" s="30">
        <v>-1.0040603423553063E-2</v>
      </c>
      <c r="X26" s="30">
        <v>-7.1070660895075077E-3</v>
      </c>
      <c r="Y26" s="30">
        <v>7.3904214051421224E-3</v>
      </c>
      <c r="Z26" s="30">
        <v>1.4894126909759997E-2</v>
      </c>
      <c r="AA26" s="31">
        <v>-7.2807042870708383E-3</v>
      </c>
    </row>
    <row r="27" spans="1:27" x14ac:dyDescent="0.25">
      <c r="A27" s="7">
        <f>NFLX[[#This Row],[Date]]</f>
        <v>44596</v>
      </c>
      <c r="B27" s="30">
        <f>NFLX[[#This Row],[Stopa zwrotu]]</f>
        <v>-1.8897754078603279E-2</v>
      </c>
      <c r="C27" s="30">
        <f>META[[#This Row],[Stopa zwrotu]]</f>
        <v>-2.3923643690349938E-2</v>
      </c>
      <c r="D27" s="30">
        <f>GOOG[[#This Row],[Stopa zwrotu]]</f>
        <v>-1.6789121102786519E-2</v>
      </c>
      <c r="E27" s="30">
        <f>EBAY[[#This Row],[Stopa zwrotu]]</f>
        <v>5.6209379940277415E-3</v>
      </c>
      <c r="F27" s="30">
        <f>AMZN[[#This Row],[Stopa zwrotu]]</f>
        <v>8.8735223129308149E-2</v>
      </c>
      <c r="H27" s="9">
        <v>44599</v>
      </c>
      <c r="I27" s="30">
        <v>-2.5968358235363884E-3</v>
      </c>
      <c r="J27" s="30">
        <v>-8.8363622810698015E-3</v>
      </c>
      <c r="K27" s="30">
        <v>-2.6665712089007552E-3</v>
      </c>
      <c r="L27" s="30">
        <v>7.5109228529839367E-3</v>
      </c>
      <c r="M27" s="31">
        <v>1.4700409698903849E-2</v>
      </c>
      <c r="O27" s="9">
        <v>44657</v>
      </c>
      <c r="P27" s="30">
        <v>-3.8641931242966998E-2</v>
      </c>
      <c r="Q27" s="30">
        <v>-4.1598129311780307E-2</v>
      </c>
      <c r="R27" s="30">
        <v>-3.2107838221156149E-2</v>
      </c>
      <c r="S27" s="30">
        <v>-4.465880671668454E-2</v>
      </c>
      <c r="T27" s="31">
        <v>-3.6820310285534896E-2</v>
      </c>
      <c r="V27" s="9">
        <v>44692</v>
      </c>
      <c r="W27" s="30">
        <v>-2.9430754493666611E-2</v>
      </c>
      <c r="X27" s="30">
        <v>-3.0485596266691339E-2</v>
      </c>
      <c r="Y27" s="30">
        <v>2.3522070503132486E-3</v>
      </c>
      <c r="Z27" s="30">
        <v>-3.9479122788773746E-2</v>
      </c>
      <c r="AA27" s="31">
        <v>-2.5589954849538743E-2</v>
      </c>
    </row>
    <row r="28" spans="1:27" x14ac:dyDescent="0.25">
      <c r="A28" s="7">
        <f>NFLX[[#This Row],[Date]]</f>
        <v>44599</v>
      </c>
      <c r="B28" s="30">
        <f>NFLX[[#This Row],[Stopa zwrotu]]</f>
        <v>-2.5968358235363884E-3</v>
      </c>
      <c r="C28" s="30">
        <f>META[[#This Row],[Stopa zwrotu]]</f>
        <v>-8.8363622810698015E-3</v>
      </c>
      <c r="D28" s="30">
        <f>GOOG[[#This Row],[Stopa zwrotu]]</f>
        <v>-2.6665712089007552E-3</v>
      </c>
      <c r="E28" s="30">
        <f>EBAY[[#This Row],[Stopa zwrotu]]</f>
        <v>7.5109228529839367E-3</v>
      </c>
      <c r="F28" s="30">
        <f>AMZN[[#This Row],[Stopa zwrotu]]</f>
        <v>1.4700409698903849E-2</v>
      </c>
      <c r="H28" s="9">
        <v>44600</v>
      </c>
      <c r="I28" s="30">
        <v>5.7934165151087846E-3</v>
      </c>
      <c r="J28" s="30">
        <v>-3.5087724545505239E-2</v>
      </c>
      <c r="K28" s="30">
        <v>-1.3165227825534975E-2</v>
      </c>
      <c r="L28" s="30">
        <v>-1.7082678218607317E-3</v>
      </c>
      <c r="M28" s="31">
        <v>-1.0807586645468881E-2</v>
      </c>
      <c r="O28" s="9">
        <v>44658</v>
      </c>
      <c r="P28" s="30">
        <v>-2.4922142436127226E-2</v>
      </c>
      <c r="Q28" s="30">
        <v>-1.287207419950176E-2</v>
      </c>
      <c r="R28" s="30">
        <v>-1.1441677690496421E-2</v>
      </c>
      <c r="S28" s="30">
        <v>3.7397157816010385E-4</v>
      </c>
      <c r="T28" s="31">
        <v>-1.7443036495343289E-2</v>
      </c>
      <c r="V28" s="9">
        <v>44693</v>
      </c>
      <c r="W28" s="30">
        <v>-1.7154913612414835E-2</v>
      </c>
      <c r="X28" s="30">
        <v>-1.8537233366181849E-2</v>
      </c>
      <c r="Y28" s="30">
        <v>-3.1117456557545942E-2</v>
      </c>
      <c r="Z28" s="30">
        <v>-2.7544694909733325E-2</v>
      </c>
      <c r="AA28" s="31">
        <v>-1.9372058950537174E-2</v>
      </c>
    </row>
    <row r="29" spans="1:27" x14ac:dyDescent="0.25">
      <c r="A29" s="7">
        <f>NFLX[[#This Row],[Date]]</f>
        <v>44600</v>
      </c>
      <c r="B29" s="30">
        <f>NFLX[[#This Row],[Stopa zwrotu]]</f>
        <v>5.7934165151087846E-3</v>
      </c>
      <c r="C29" s="30">
        <f>META[[#This Row],[Stopa zwrotu]]</f>
        <v>-3.5087724545505239E-2</v>
      </c>
      <c r="D29" s="30">
        <f>GOOG[[#This Row],[Stopa zwrotu]]</f>
        <v>-1.3165227825534975E-2</v>
      </c>
      <c r="E29" s="30">
        <f>EBAY[[#This Row],[Stopa zwrotu]]</f>
        <v>-1.7082678218607317E-3</v>
      </c>
      <c r="F29" s="30">
        <f>AMZN[[#This Row],[Stopa zwrotu]]</f>
        <v>-1.0807586645468881E-2</v>
      </c>
      <c r="H29" s="9">
        <v>44601</v>
      </c>
      <c r="I29" s="30">
        <v>7.4780135341285803E-3</v>
      </c>
      <c r="J29" s="30">
        <v>2.8036146973013487E-2</v>
      </c>
      <c r="K29" s="30">
        <v>2.5600359270270046E-2</v>
      </c>
      <c r="L29" s="30">
        <v>2.1560609540735909E-2</v>
      </c>
      <c r="M29" s="31">
        <v>3.0212006959257298E-2</v>
      </c>
      <c r="O29" s="9">
        <v>44659</v>
      </c>
      <c r="P29" s="30">
        <v>3.3362351022860892E-3</v>
      </c>
      <c r="Q29" s="30">
        <v>6.7258465110344723E-3</v>
      </c>
      <c r="R29" s="30">
        <v>-8.1920101976866722E-3</v>
      </c>
      <c r="S29" s="30">
        <v>1.1588766355140168E-2</v>
      </c>
      <c r="T29" s="31">
        <v>-1.815411739080619E-3</v>
      </c>
      <c r="V29" s="9">
        <v>44694</v>
      </c>
      <c r="W29" s="30">
        <v>8.1740442676030423E-2</v>
      </c>
      <c r="X29" s="30">
        <v>3.5176967394614955E-2</v>
      </c>
      <c r="Y29" s="30">
        <v>3.5295371540400522E-2</v>
      </c>
      <c r="Z29" s="30">
        <v>1.1728302981374394E-2</v>
      </c>
      <c r="AA29" s="31">
        <v>5.2677843422905157E-2</v>
      </c>
    </row>
    <row r="30" spans="1:27" x14ac:dyDescent="0.25">
      <c r="A30" s="7">
        <f>NFLX[[#This Row],[Date]]</f>
        <v>44601</v>
      </c>
      <c r="B30" s="30">
        <f>NFLX[[#This Row],[Stopa zwrotu]]</f>
        <v>7.4780135341285803E-3</v>
      </c>
      <c r="C30" s="30">
        <f>META[[#This Row],[Stopa zwrotu]]</f>
        <v>2.8036146973013487E-2</v>
      </c>
      <c r="D30" s="30">
        <f>GOOG[[#This Row],[Stopa zwrotu]]</f>
        <v>2.5600359270270046E-2</v>
      </c>
      <c r="E30" s="30">
        <f>EBAY[[#This Row],[Stopa zwrotu]]</f>
        <v>2.1560609540735909E-2</v>
      </c>
      <c r="F30" s="30">
        <f>AMZN[[#This Row],[Stopa zwrotu]]</f>
        <v>3.0212006959257298E-2</v>
      </c>
      <c r="H30" s="9">
        <v>44602</v>
      </c>
      <c r="I30" s="30">
        <v>-6.0934926782481025E-3</v>
      </c>
      <c r="J30" s="30">
        <v>2.0206065697122355E-2</v>
      </c>
      <c r="K30" s="30">
        <v>-1.657676126841845E-2</v>
      </c>
      <c r="L30" s="30">
        <v>-2.0435527295887379E-2</v>
      </c>
      <c r="M30" s="31">
        <v>-1.5600624024960985E-2</v>
      </c>
      <c r="O30" s="9">
        <v>44662</v>
      </c>
      <c r="P30" s="30">
        <v>-9.0831225859674767E-3</v>
      </c>
      <c r="Q30" s="30">
        <v>-7.2868821249536531E-3</v>
      </c>
      <c r="R30" s="30">
        <v>-1.030512560679675E-2</v>
      </c>
      <c r="S30" s="30">
        <v>1.478208945766335E-3</v>
      </c>
      <c r="T30" s="31">
        <v>-7.9891049315594289E-3</v>
      </c>
      <c r="V30" s="9">
        <v>44697</v>
      </c>
      <c r="W30" s="30">
        <v>1.8351234352723383E-2</v>
      </c>
      <c r="X30" s="30">
        <v>8.1032936433672962E-3</v>
      </c>
      <c r="Y30" s="30">
        <v>9.7952923976607487E-4</v>
      </c>
      <c r="Z30" s="30">
        <v>-5.9055189726118966E-3</v>
      </c>
      <c r="AA30" s="31">
        <v>7.8973188896849979E-3</v>
      </c>
    </row>
    <row r="31" spans="1:27" x14ac:dyDescent="0.25">
      <c r="A31" s="7">
        <f>NFLX[[#This Row],[Date]]</f>
        <v>44602</v>
      </c>
      <c r="B31" s="30">
        <f>NFLX[[#This Row],[Stopa zwrotu]]</f>
        <v>-6.0934926782481025E-3</v>
      </c>
      <c r="C31" s="30">
        <f>META[[#This Row],[Stopa zwrotu]]</f>
        <v>2.0206065697122355E-2</v>
      </c>
      <c r="D31" s="30">
        <f>GOOG[[#This Row],[Stopa zwrotu]]</f>
        <v>-1.657676126841845E-2</v>
      </c>
      <c r="E31" s="30">
        <f>EBAY[[#This Row],[Stopa zwrotu]]</f>
        <v>-2.0435527295887379E-2</v>
      </c>
      <c r="F31" s="30">
        <f>AMZN[[#This Row],[Stopa zwrotu]]</f>
        <v>-1.5600624024960985E-2</v>
      </c>
      <c r="H31" s="9">
        <v>44603</v>
      </c>
      <c r="I31" s="30">
        <v>-2.1974950372449897E-2</v>
      </c>
      <c r="J31" s="30">
        <v>-3.4980119563036371E-2</v>
      </c>
      <c r="K31" s="30">
        <v>-3.449116187270207E-2</v>
      </c>
      <c r="L31" s="30">
        <v>-7.3529582763337542E-3</v>
      </c>
      <c r="M31" s="31">
        <v>-3.1797185419968343E-2</v>
      </c>
      <c r="O31" s="9">
        <v>44663</v>
      </c>
      <c r="P31" s="30">
        <v>-8.5458050331701507E-3</v>
      </c>
      <c r="Q31" s="30">
        <v>-9.7109747713456374E-3</v>
      </c>
      <c r="R31" s="30">
        <v>-1.5750165758876333E-2</v>
      </c>
      <c r="S31" s="30">
        <v>-4.4150477480674466E-3</v>
      </c>
      <c r="T31" s="31">
        <v>-1.0064403840981395E-3</v>
      </c>
      <c r="V31" s="9">
        <v>44698</v>
      </c>
      <c r="W31" s="30">
        <v>-2.8540603584393809E-3</v>
      </c>
      <c r="X31" s="30">
        <v>1.2402429882187649E-2</v>
      </c>
      <c r="Y31" s="30">
        <v>8.7681200749387678E-3</v>
      </c>
      <c r="Z31" s="30">
        <v>1.0910754843019399E-2</v>
      </c>
      <c r="AA31" s="31">
        <v>8.3594707345260311E-3</v>
      </c>
    </row>
    <row r="32" spans="1:27" x14ac:dyDescent="0.25">
      <c r="A32" s="7">
        <f>NFLX[[#This Row],[Date]]</f>
        <v>44603</v>
      </c>
      <c r="B32" s="30">
        <f>NFLX[[#This Row],[Stopa zwrotu]]</f>
        <v>-2.1974950372449897E-2</v>
      </c>
      <c r="C32" s="30">
        <f>META[[#This Row],[Stopa zwrotu]]</f>
        <v>-3.4980119563036371E-2</v>
      </c>
      <c r="D32" s="30">
        <f>GOOG[[#This Row],[Stopa zwrotu]]</f>
        <v>-3.449116187270207E-2</v>
      </c>
      <c r="E32" s="30">
        <f>EBAY[[#This Row],[Stopa zwrotu]]</f>
        <v>-7.3529582763337542E-3</v>
      </c>
      <c r="F32" s="30">
        <f>AMZN[[#This Row],[Stopa zwrotu]]</f>
        <v>-3.1797185419968343E-2</v>
      </c>
      <c r="H32" s="9">
        <v>44606</v>
      </c>
      <c r="I32" s="30">
        <v>-6.5349242165428179E-4</v>
      </c>
      <c r="J32" s="30">
        <v>-6.079451672299026E-3</v>
      </c>
      <c r="K32" s="30">
        <v>3.3771356124997119E-5</v>
      </c>
      <c r="L32" s="30">
        <v>-2.1245995198035939E-3</v>
      </c>
      <c r="M32" s="31">
        <v>-2.365768902326574E-3</v>
      </c>
      <c r="O32" s="9">
        <v>44664</v>
      </c>
      <c r="P32" s="30">
        <v>-3.1847947406865584E-3</v>
      </c>
      <c r="Q32" s="30">
        <v>-8.4455635423084097E-3</v>
      </c>
      <c r="R32" s="30">
        <v>6.7614835630991355E-3</v>
      </c>
      <c r="S32" s="30">
        <v>-2.9563932549222516E-3</v>
      </c>
      <c r="T32" s="31">
        <v>-5.2066391867866546E-3</v>
      </c>
      <c r="V32" s="9">
        <v>44699</v>
      </c>
      <c r="W32" s="30">
        <v>-4.8063909359657653E-2</v>
      </c>
      <c r="X32" s="30">
        <v>-3.3928190996530549E-2</v>
      </c>
      <c r="Y32" s="30">
        <v>-2.770568067270951E-2</v>
      </c>
      <c r="Z32" s="30">
        <v>-1.6519823060800798E-2</v>
      </c>
      <c r="AA32" s="31">
        <v>-4.5180214470626257E-2</v>
      </c>
    </row>
    <row r="33" spans="1:27" x14ac:dyDescent="0.25">
      <c r="A33" s="7">
        <f>NFLX[[#This Row],[Date]]</f>
        <v>44606</v>
      </c>
      <c r="B33" s="30">
        <f>NFLX[[#This Row],[Stopa zwrotu]]</f>
        <v>-6.5349242165428179E-4</v>
      </c>
      <c r="C33" s="30">
        <f>META[[#This Row],[Stopa zwrotu]]</f>
        <v>-6.079451672299026E-3</v>
      </c>
      <c r="D33" s="30">
        <f>GOOG[[#This Row],[Stopa zwrotu]]</f>
        <v>3.3771356124997119E-5</v>
      </c>
      <c r="E33" s="30">
        <f>EBAY[[#This Row],[Stopa zwrotu]]</f>
        <v>-2.1245995198035939E-3</v>
      </c>
      <c r="F33" s="30">
        <f>AMZN[[#This Row],[Stopa zwrotu]]</f>
        <v>-2.365768902326574E-3</v>
      </c>
      <c r="H33" s="9">
        <v>44607</v>
      </c>
      <c r="I33" s="30">
        <v>3.6496147361156472E-2</v>
      </c>
      <c r="J33" s="30">
        <v>1.3036549087608318E-3</v>
      </c>
      <c r="K33" s="30">
        <v>1.678521677416378E-2</v>
      </c>
      <c r="L33" s="30">
        <v>1.6470197642163731E-2</v>
      </c>
      <c r="M33" s="31">
        <v>1.9699987591163426E-2</v>
      </c>
      <c r="O33" s="9">
        <v>44665</v>
      </c>
      <c r="P33" s="30">
        <v>-3.8105844318140347E-3</v>
      </c>
      <c r="Q33" s="30">
        <v>-6.2934840647945745E-3</v>
      </c>
      <c r="R33" s="30">
        <v>-1.0332524726464953E-2</v>
      </c>
      <c r="S33" s="30">
        <v>3.7066346127967442E-4</v>
      </c>
      <c r="T33" s="31">
        <v>1.251332837513397E-2</v>
      </c>
      <c r="V33" s="9">
        <v>44700</v>
      </c>
      <c r="W33" s="30">
        <v>-3.1769273687655142E-3</v>
      </c>
      <c r="X33" s="30">
        <v>-1.0593325403294718E-2</v>
      </c>
      <c r="Y33" s="30">
        <v>-1.4927467227755287E-2</v>
      </c>
      <c r="Z33" s="30">
        <v>-1.4109786602025221E-2</v>
      </c>
      <c r="AA33" s="31">
        <v>-5.2706377916922342E-4</v>
      </c>
    </row>
    <row r="34" spans="1:27" x14ac:dyDescent="0.25">
      <c r="A34" s="7">
        <f>NFLX[[#This Row],[Date]]</f>
        <v>44607</v>
      </c>
      <c r="B34" s="30">
        <f>NFLX[[#This Row],[Stopa zwrotu]]</f>
        <v>3.6496147361156472E-2</v>
      </c>
      <c r="C34" s="30">
        <f>META[[#This Row],[Stopa zwrotu]]</f>
        <v>1.3036549087608318E-3</v>
      </c>
      <c r="D34" s="30">
        <f>GOOG[[#This Row],[Stopa zwrotu]]</f>
        <v>1.678521677416378E-2</v>
      </c>
      <c r="E34" s="30">
        <f>EBAY[[#This Row],[Stopa zwrotu]]</f>
        <v>1.6470197642163731E-2</v>
      </c>
      <c r="F34" s="30">
        <f>AMZN[[#This Row],[Stopa zwrotu]]</f>
        <v>1.9699987591163426E-2</v>
      </c>
      <c r="H34" s="9">
        <v>44608</v>
      </c>
      <c r="I34" s="30">
        <v>-2.6508078937979684E-2</v>
      </c>
      <c r="J34" s="30">
        <v>-1.2554622082717515E-2</v>
      </c>
      <c r="K34" s="30">
        <v>-5.2814933919080875E-3</v>
      </c>
      <c r="L34" s="30">
        <v>-2.3366927795208436E-2</v>
      </c>
      <c r="M34" s="31">
        <v>6.2727347429847313E-4</v>
      </c>
      <c r="O34" s="9">
        <v>44669</v>
      </c>
      <c r="P34" s="30">
        <v>-6.0613122783489681E-3</v>
      </c>
      <c r="Q34" s="30">
        <v>-2.0238059523809415E-3</v>
      </c>
      <c r="R34" s="30">
        <v>-1.0483925200035493E-3</v>
      </c>
      <c r="S34" s="30">
        <v>-1.4357261948869937E-3</v>
      </c>
      <c r="T34" s="31">
        <v>-2.0160425689236261E-3</v>
      </c>
      <c r="V34" s="9">
        <v>44701</v>
      </c>
      <c r="W34" s="30">
        <v>2.3106236629994559E-2</v>
      </c>
      <c r="X34" s="30">
        <v>-9.1245303019664714E-3</v>
      </c>
      <c r="Y34" s="30">
        <v>-3.7069566986465463E-2</v>
      </c>
      <c r="Z34" s="30">
        <v>-1.6810563380281862E-2</v>
      </c>
      <c r="AA34" s="31">
        <v>-1.1144821116788939E-2</v>
      </c>
    </row>
    <row r="35" spans="1:27" x14ac:dyDescent="0.25">
      <c r="A35" s="7">
        <f>NFLX[[#This Row],[Date]]</f>
        <v>44608</v>
      </c>
      <c r="B35" s="30">
        <f>NFLX[[#This Row],[Stopa zwrotu]]</f>
        <v>-2.6508078937979684E-2</v>
      </c>
      <c r="C35" s="30">
        <f>META[[#This Row],[Stopa zwrotu]]</f>
        <v>-1.2554622082717515E-2</v>
      </c>
      <c r="D35" s="30">
        <f>GOOG[[#This Row],[Stopa zwrotu]]</f>
        <v>-5.2814933919080875E-3</v>
      </c>
      <c r="E35" s="30">
        <f>EBAY[[#This Row],[Stopa zwrotu]]</f>
        <v>-2.3366927795208436E-2</v>
      </c>
      <c r="F35" s="30">
        <f>AMZN[[#This Row],[Stopa zwrotu]]</f>
        <v>6.2727347429847313E-4</v>
      </c>
      <c r="H35" s="9">
        <v>44609</v>
      </c>
      <c r="I35" s="30">
        <v>-1.198830098892989E-2</v>
      </c>
      <c r="J35" s="30">
        <v>-2.4486706420763449E-2</v>
      </c>
      <c r="K35" s="30">
        <v>-1.9445089360951462E-2</v>
      </c>
      <c r="L35" s="30">
        <v>-3.0213046811493172E-2</v>
      </c>
      <c r="M35" s="31">
        <v>-1.5154797704871603E-3</v>
      </c>
      <c r="O35" s="9">
        <v>44670</v>
      </c>
      <c r="P35" s="30">
        <v>4.8248176350162986E-3</v>
      </c>
      <c r="Q35" s="30">
        <v>3.3605232353262071E-3</v>
      </c>
      <c r="R35" s="30">
        <v>6.8972797447603984E-3</v>
      </c>
      <c r="S35" s="30">
        <v>9.1299053150699638E-3</v>
      </c>
      <c r="T35" s="31">
        <v>8.6522371998167813E-3</v>
      </c>
      <c r="V35" s="9">
        <v>44704</v>
      </c>
      <c r="W35" s="30">
        <v>-3.4859449262366247E-3</v>
      </c>
      <c r="X35" s="30">
        <v>5.9793298374584136E-3</v>
      </c>
      <c r="Y35" s="30">
        <v>8.7154007559994504E-3</v>
      </c>
      <c r="Z35" s="30">
        <v>5.545294336382363E-3</v>
      </c>
      <c r="AA35" s="31">
        <v>-3.3631941557338285E-3</v>
      </c>
    </row>
    <row r="36" spans="1:27" x14ac:dyDescent="0.25">
      <c r="A36" s="7">
        <f>NFLX[[#This Row],[Date]]</f>
        <v>44609</v>
      </c>
      <c r="B36" s="30">
        <f>NFLX[[#This Row],[Stopa zwrotu]]</f>
        <v>-1.198830098892989E-2</v>
      </c>
      <c r="C36" s="30">
        <f>META[[#This Row],[Stopa zwrotu]]</f>
        <v>-2.4486706420763449E-2</v>
      </c>
      <c r="D36" s="30">
        <f>GOOG[[#This Row],[Stopa zwrotu]]</f>
        <v>-1.9445089360951462E-2</v>
      </c>
      <c r="E36" s="30">
        <f>EBAY[[#This Row],[Stopa zwrotu]]</f>
        <v>-3.0213046811493172E-2</v>
      </c>
      <c r="F36" s="30">
        <f>AMZN[[#This Row],[Stopa zwrotu]]</f>
        <v>-1.5154797704871603E-3</v>
      </c>
      <c r="H36" s="9">
        <v>44610</v>
      </c>
      <c r="I36" s="30">
        <v>8.6854443758741517E-3</v>
      </c>
      <c r="J36" s="30">
        <v>-9.5578826113558168E-3</v>
      </c>
      <c r="K36" s="30">
        <v>-1.4333694326370217E-2</v>
      </c>
      <c r="L36" s="30">
        <v>-2.2690420001628242E-2</v>
      </c>
      <c r="M36" s="31">
        <v>-2.334624595469259E-2</v>
      </c>
      <c r="O36" s="9">
        <v>44671</v>
      </c>
      <c r="P36" s="30">
        <v>-0.36225318299545894</v>
      </c>
      <c r="Q36" s="30">
        <v>-4.8229674641148357E-2</v>
      </c>
      <c r="R36" s="30">
        <v>3.4723090744324114E-3</v>
      </c>
      <c r="S36" s="30">
        <v>1.1078249630723791E-2</v>
      </c>
      <c r="T36" s="31">
        <v>1.3546592754057896E-2</v>
      </c>
      <c r="V36" s="9">
        <v>44705</v>
      </c>
      <c r="W36" s="30">
        <v>-4.0474506945159527E-3</v>
      </c>
      <c r="X36" s="30">
        <v>-7.9115266703742138E-2</v>
      </c>
      <c r="Y36" s="30">
        <v>-6.3637017673274121E-2</v>
      </c>
      <c r="Z36" s="30">
        <v>-8.6363863636363947E-3</v>
      </c>
      <c r="AA36" s="31">
        <v>-2.587777852461115E-2</v>
      </c>
    </row>
    <row r="37" spans="1:27" x14ac:dyDescent="0.25">
      <c r="A37" s="7">
        <f>NFLX[[#This Row],[Date]]</f>
        <v>44610</v>
      </c>
      <c r="B37" s="30">
        <f>NFLX[[#This Row],[Stopa zwrotu]]</f>
        <v>8.6854443758741517E-3</v>
      </c>
      <c r="C37" s="30">
        <f>META[[#This Row],[Stopa zwrotu]]</f>
        <v>-9.5578826113558168E-3</v>
      </c>
      <c r="D37" s="30">
        <f>GOOG[[#This Row],[Stopa zwrotu]]</f>
        <v>-1.4333694326370217E-2</v>
      </c>
      <c r="E37" s="30">
        <f>EBAY[[#This Row],[Stopa zwrotu]]</f>
        <v>-2.2690420001628242E-2</v>
      </c>
      <c r="F37" s="30">
        <f>AMZN[[#This Row],[Stopa zwrotu]]</f>
        <v>-2.334624595469259E-2</v>
      </c>
      <c r="H37" s="9">
        <v>44614</v>
      </c>
      <c r="I37" s="30">
        <v>-1.0300732228784942E-2</v>
      </c>
      <c r="J37" s="30">
        <v>-6.2384189183591343E-3</v>
      </c>
      <c r="K37" s="30">
        <v>-4.9230949916425626E-3</v>
      </c>
      <c r="L37" s="30">
        <v>2.856085314169865E-3</v>
      </c>
      <c r="M37" s="31">
        <v>-3.9887551447464198E-3</v>
      </c>
      <c r="O37" s="9">
        <v>44672</v>
      </c>
      <c r="P37" s="30">
        <v>-4.6585620596339972E-3</v>
      </c>
      <c r="Q37" s="30">
        <v>-6.7062116097547864E-2</v>
      </c>
      <c r="R37" s="30">
        <v>-2.5365128202874732E-2</v>
      </c>
      <c r="S37" s="30">
        <v>-3.8348978756355123E-3</v>
      </c>
      <c r="T37" s="31">
        <v>-3.9152799252621162E-2</v>
      </c>
      <c r="V37" s="9">
        <v>44706</v>
      </c>
      <c r="W37" s="30">
        <v>1.6932889506495297E-2</v>
      </c>
      <c r="X37" s="30">
        <v>1.8227278302042516E-2</v>
      </c>
      <c r="Y37" s="30">
        <v>1.9599737789605554E-2</v>
      </c>
      <c r="Z37" s="30">
        <v>5.7313160415248809E-3</v>
      </c>
      <c r="AA37" s="31">
        <v>2.360260668373293E-2</v>
      </c>
    </row>
    <row r="38" spans="1:27" x14ac:dyDescent="0.25">
      <c r="A38" s="7">
        <f>NFLX[[#This Row],[Date]]</f>
        <v>44614</v>
      </c>
      <c r="B38" s="30">
        <f>NFLX[[#This Row],[Stopa zwrotu]]</f>
        <v>-1.0300732228784942E-2</v>
      </c>
      <c r="C38" s="30">
        <f>META[[#This Row],[Stopa zwrotu]]</f>
        <v>-6.2384189183591343E-3</v>
      </c>
      <c r="D38" s="30">
        <f>GOOG[[#This Row],[Stopa zwrotu]]</f>
        <v>-4.9230949916425626E-3</v>
      </c>
      <c r="E38" s="30">
        <f>EBAY[[#This Row],[Stopa zwrotu]]</f>
        <v>2.856085314169865E-3</v>
      </c>
      <c r="F38" s="30">
        <f>AMZN[[#This Row],[Stopa zwrotu]]</f>
        <v>-3.9887551447464198E-3</v>
      </c>
      <c r="H38" s="9">
        <v>44615</v>
      </c>
      <c r="I38" s="30">
        <v>-1.704998441785921E-2</v>
      </c>
      <c r="J38" s="30">
        <v>-1.0046961012165956E-2</v>
      </c>
      <c r="K38" s="30">
        <v>-1.8591916892585214E-3</v>
      </c>
      <c r="L38" s="30">
        <v>-7.6516306731941874E-3</v>
      </c>
      <c r="M38" s="31">
        <v>-2.5824089872099498E-2</v>
      </c>
      <c r="O38" s="9">
        <v>44673</v>
      </c>
      <c r="P38" s="30">
        <v>-6.9497020244004837E-3</v>
      </c>
      <c r="Q38" s="30">
        <v>-1.2447451099822704E-2</v>
      </c>
      <c r="R38" s="30">
        <v>-4.4199750594468568E-2</v>
      </c>
      <c r="S38" s="30">
        <v>-2.6947699852386764E-2</v>
      </c>
      <c r="T38" s="31">
        <v>-2.6370427331165125E-2</v>
      </c>
      <c r="V38" s="9">
        <v>44707</v>
      </c>
      <c r="W38" s="30">
        <v>1.6206904770016184E-2</v>
      </c>
      <c r="X38" s="30">
        <v>1.6395203464385277E-2</v>
      </c>
      <c r="Y38" s="30">
        <v>1.2251546737996E-2</v>
      </c>
      <c r="Z38" s="30">
        <v>3.6927354386308453E-2</v>
      </c>
      <c r="AA38" s="31">
        <v>3.6695580575097253E-2</v>
      </c>
    </row>
    <row r="39" spans="1:27" x14ac:dyDescent="0.25">
      <c r="A39" s="7">
        <f>NFLX[[#This Row],[Date]]</f>
        <v>44615</v>
      </c>
      <c r="B39" s="30">
        <f>NFLX[[#This Row],[Stopa zwrotu]]</f>
        <v>-1.704998441785921E-2</v>
      </c>
      <c r="C39" s="30">
        <f>META[[#This Row],[Stopa zwrotu]]</f>
        <v>-1.0046961012165956E-2</v>
      </c>
      <c r="D39" s="30">
        <f>GOOG[[#This Row],[Stopa zwrotu]]</f>
        <v>-1.8591916892585214E-3</v>
      </c>
      <c r="E39" s="30">
        <f>EBAY[[#This Row],[Stopa zwrotu]]</f>
        <v>-7.6516306731941874E-3</v>
      </c>
      <c r="F39" s="30">
        <f>AMZN[[#This Row],[Stopa zwrotu]]</f>
        <v>-2.5824089872099498E-2</v>
      </c>
      <c r="H39" s="9">
        <v>44616</v>
      </c>
      <c r="I39" s="30">
        <v>-3.2564236267231372E-2</v>
      </c>
      <c r="J39" s="30">
        <v>-3.9535480340285645E-2</v>
      </c>
      <c r="K39" s="30">
        <v>-2.1481755065833386E-2</v>
      </c>
      <c r="L39" s="30">
        <v>-9.0692159157478414E-2</v>
      </c>
      <c r="M39" s="31">
        <v>-3.5609853816359061E-2</v>
      </c>
      <c r="O39" s="9">
        <v>44676</v>
      </c>
      <c r="P39" s="30">
        <v>-8.791570135485002E-3</v>
      </c>
      <c r="Q39" s="30">
        <v>-2.9282842524883299E-3</v>
      </c>
      <c r="R39" s="30">
        <v>-1.0387007794765795E-3</v>
      </c>
      <c r="S39" s="30">
        <v>-2.323555551737392E-3</v>
      </c>
      <c r="T39" s="31">
        <v>-3.2266672428771606E-3</v>
      </c>
      <c r="V39" s="9">
        <v>44708</v>
      </c>
      <c r="W39" s="30">
        <v>3.9761861155974687E-2</v>
      </c>
      <c r="X39" s="30">
        <v>4.1369517210839479E-2</v>
      </c>
      <c r="Y39" s="30">
        <v>3.8506787866930736E-2</v>
      </c>
      <c r="Z39" s="30">
        <v>3.4293183807730054E-2</v>
      </c>
      <c r="AA39" s="31">
        <v>4.8155705008731342E-2</v>
      </c>
    </row>
    <row r="40" spans="1:27" x14ac:dyDescent="0.25">
      <c r="A40" s="7">
        <f>NFLX[[#This Row],[Date]]</f>
        <v>44616</v>
      </c>
      <c r="B40" s="30">
        <f>NFLX[[#This Row],[Stopa zwrotu]]</f>
        <v>-3.2564236267231372E-2</v>
      </c>
      <c r="C40" s="30">
        <f>META[[#This Row],[Stopa zwrotu]]</f>
        <v>-3.9535480340285645E-2</v>
      </c>
      <c r="D40" s="30">
        <f>GOOG[[#This Row],[Stopa zwrotu]]</f>
        <v>-2.1481755065833386E-2</v>
      </c>
      <c r="E40" s="30">
        <f>EBAY[[#This Row],[Stopa zwrotu]]</f>
        <v>-9.0692159157478414E-2</v>
      </c>
      <c r="F40" s="30">
        <f>AMZN[[#This Row],[Stopa zwrotu]]</f>
        <v>-3.5609853816359061E-2</v>
      </c>
      <c r="H40" s="9">
        <v>44617</v>
      </c>
      <c r="I40" s="30">
        <v>5.8806906690327843E-2</v>
      </c>
      <c r="J40" s="30">
        <v>6.8131594637095949E-2</v>
      </c>
      <c r="K40" s="30">
        <v>5.6109677285373305E-2</v>
      </c>
      <c r="L40" s="30">
        <v>7.7730710230783595E-2</v>
      </c>
      <c r="M40" s="31">
        <v>6.963083154121863E-2</v>
      </c>
      <c r="O40" s="9">
        <v>44677</v>
      </c>
      <c r="P40" s="30">
        <v>-3.0463039227006994E-2</v>
      </c>
      <c r="Q40" s="30">
        <v>-1.1890366357142579E-2</v>
      </c>
      <c r="R40" s="30">
        <v>3.3055778604780262E-3</v>
      </c>
      <c r="S40" s="30">
        <v>-4.3634794984535041E-3</v>
      </c>
      <c r="T40" s="31">
        <v>-2.3730461565765415E-2</v>
      </c>
      <c r="V40" s="9">
        <v>44712</v>
      </c>
      <c r="W40" s="30">
        <v>5.6470033526029306E-4</v>
      </c>
      <c r="X40" s="30">
        <v>2.9109483206909981E-3</v>
      </c>
      <c r="Y40" s="30">
        <v>6.8975329010260156E-3</v>
      </c>
      <c r="Z40" s="30">
        <v>1.434649339737526E-3</v>
      </c>
      <c r="AA40" s="31">
        <v>6.7634270654442497E-3</v>
      </c>
    </row>
    <row r="41" spans="1:27" x14ac:dyDescent="0.25">
      <c r="A41" s="7">
        <f>NFLX[[#This Row],[Date]]</f>
        <v>44617</v>
      </c>
      <c r="B41" s="30">
        <f>NFLX[[#This Row],[Stopa zwrotu]]</f>
        <v>5.8806906690327843E-2</v>
      </c>
      <c r="C41" s="30">
        <f>META[[#This Row],[Stopa zwrotu]]</f>
        <v>6.8131594637095949E-2</v>
      </c>
      <c r="D41" s="30">
        <f>GOOG[[#This Row],[Stopa zwrotu]]</f>
        <v>5.6109677285373305E-2</v>
      </c>
      <c r="E41" s="30">
        <f>EBAY[[#This Row],[Stopa zwrotu]]</f>
        <v>7.7730710230783595E-2</v>
      </c>
      <c r="F41" s="30">
        <f>AMZN[[#This Row],[Stopa zwrotu]]</f>
        <v>6.963083154121863E-2</v>
      </c>
      <c r="H41" s="9">
        <v>44620</v>
      </c>
      <c r="I41" s="30">
        <v>5.8132472679736464E-3</v>
      </c>
      <c r="J41" s="30">
        <v>5.9881371620416806E-3</v>
      </c>
      <c r="K41" s="30">
        <v>2.6821918011778281E-3</v>
      </c>
      <c r="L41" s="30">
        <v>1.8732983288375729E-4</v>
      </c>
      <c r="M41" s="31">
        <v>3.6558465756169798E-3</v>
      </c>
      <c r="O41" s="9">
        <v>44678</v>
      </c>
      <c r="P41" s="30">
        <v>-5.3005825363152237E-2</v>
      </c>
      <c r="Q41" s="30">
        <v>-5.8495821727019504E-2</v>
      </c>
      <c r="R41" s="30">
        <v>-5.0667205989165187E-2</v>
      </c>
      <c r="S41" s="30">
        <v>-9.1463414634145312E-3</v>
      </c>
      <c r="T41" s="31">
        <v>-2.2644657250054046E-2</v>
      </c>
      <c r="V41" s="9">
        <v>44713</v>
      </c>
      <c r="W41" s="30">
        <v>4.5073426964252761E-3</v>
      </c>
      <c r="X41" s="30">
        <v>-3.650849009188295E-2</v>
      </c>
      <c r="Y41" s="30">
        <v>8.6877077672129488E-3</v>
      </c>
      <c r="Z41" s="30">
        <v>-1.0777662721893511E-2</v>
      </c>
      <c r="AA41" s="31">
        <v>4.2770649420255324E-2</v>
      </c>
    </row>
    <row r="42" spans="1:27" x14ac:dyDescent="0.25">
      <c r="A42" s="7">
        <f>NFLX[[#This Row],[Date]]</f>
        <v>44620</v>
      </c>
      <c r="B42" s="30">
        <f>NFLX[[#This Row],[Stopa zwrotu]]</f>
        <v>5.8132472679736464E-3</v>
      </c>
      <c r="C42" s="30">
        <f>META[[#This Row],[Stopa zwrotu]]</f>
        <v>5.9881371620416806E-3</v>
      </c>
      <c r="D42" s="30">
        <f>GOOG[[#This Row],[Stopa zwrotu]]</f>
        <v>2.6821918011778281E-3</v>
      </c>
      <c r="E42" s="30">
        <f>EBAY[[#This Row],[Stopa zwrotu]]</f>
        <v>1.8732983288375729E-4</v>
      </c>
      <c r="F42" s="30">
        <f>AMZN[[#This Row],[Stopa zwrotu]]</f>
        <v>3.6558465756169798E-3</v>
      </c>
      <c r="H42" s="9">
        <v>44621</v>
      </c>
      <c r="I42" s="30">
        <v>4.1346818604313107E-3</v>
      </c>
      <c r="J42" s="30">
        <v>-2.2288840861685144E-2</v>
      </c>
      <c r="K42" s="30">
        <v>4.1651566626756953E-3</v>
      </c>
      <c r="L42" s="30">
        <v>9.9232166261000732E-3</v>
      </c>
      <c r="M42" s="31">
        <v>-5.7872122325273168E-3</v>
      </c>
      <c r="O42" s="9">
        <v>44679</v>
      </c>
      <c r="P42" s="30">
        <v>-1.1556680799772456E-2</v>
      </c>
      <c r="Q42" s="30">
        <v>0.14142008284023655</v>
      </c>
      <c r="R42" s="30">
        <v>1.7853342358453705E-2</v>
      </c>
      <c r="S42" s="30">
        <v>2.884653846153773E-3</v>
      </c>
      <c r="T42" s="31">
        <v>3.326258516563585E-2</v>
      </c>
      <c r="V42" s="9">
        <v>44714</v>
      </c>
      <c r="W42" s="30">
        <v>3.1303870785692745E-4</v>
      </c>
      <c r="X42" s="30">
        <v>1.4756735135135202E-2</v>
      </c>
      <c r="Y42" s="30">
        <v>-2.1356136884964627E-3</v>
      </c>
      <c r="Z42" s="30">
        <v>-7.6906642236559408E-3</v>
      </c>
      <c r="AA42" s="31">
        <v>-4.7876640724185959E-3</v>
      </c>
    </row>
    <row r="43" spans="1:27" x14ac:dyDescent="0.25">
      <c r="A43" s="7">
        <f>NFLX[[#This Row],[Date]]</f>
        <v>44621</v>
      </c>
      <c r="B43" s="30">
        <f>NFLX[[#This Row],[Stopa zwrotu]]</f>
        <v>4.1346818604313107E-3</v>
      </c>
      <c r="C43" s="30">
        <f>META[[#This Row],[Stopa zwrotu]]</f>
        <v>-2.2288840861685144E-2</v>
      </c>
      <c r="D43" s="30">
        <f>GOOG[[#This Row],[Stopa zwrotu]]</f>
        <v>4.1651566626756953E-3</v>
      </c>
      <c r="E43" s="30">
        <f>EBAY[[#This Row],[Stopa zwrotu]]</f>
        <v>9.9232166261000732E-3</v>
      </c>
      <c r="F43" s="30">
        <f>AMZN[[#This Row],[Stopa zwrotu]]</f>
        <v>-5.7872122325273168E-3</v>
      </c>
      <c r="H43" s="9">
        <v>44622</v>
      </c>
      <c r="I43" s="30">
        <v>-2.2152146671625239E-2</v>
      </c>
      <c r="J43" s="30">
        <v>-9.8900701716442274E-4</v>
      </c>
      <c r="K43" s="30">
        <v>4.0487036838188217E-4</v>
      </c>
      <c r="L43" s="30">
        <v>-4.8201521101252087E-3</v>
      </c>
      <c r="M43" s="31">
        <v>-8.1812875247108119E-3</v>
      </c>
      <c r="O43" s="9">
        <v>44680</v>
      </c>
      <c r="P43" s="30">
        <v>2.3706863457752192E-2</v>
      </c>
      <c r="Q43" s="30">
        <v>3.6288233373402701E-2</v>
      </c>
      <c r="R43" s="30">
        <v>-3.907267408994497E-3</v>
      </c>
      <c r="S43" s="30">
        <v>-1.2080574800361399E-2</v>
      </c>
      <c r="T43" s="31">
        <v>-0.13310764505115513</v>
      </c>
      <c r="V43" s="9">
        <v>44715</v>
      </c>
      <c r="W43" s="30">
        <v>3.3016909904981739E-2</v>
      </c>
      <c r="X43" s="30">
        <v>1.0919954422201172E-2</v>
      </c>
      <c r="Y43" s="30">
        <v>3.1771808096265897E-3</v>
      </c>
      <c r="Z43" s="30">
        <v>7.3196984430634604E-3</v>
      </c>
      <c r="AA43" s="31">
        <v>8.3427299486480422E-3</v>
      </c>
    </row>
    <row r="44" spans="1:27" x14ac:dyDescent="0.25">
      <c r="A44" s="7">
        <f>NFLX[[#This Row],[Date]]</f>
        <v>44622</v>
      </c>
      <c r="B44" s="30">
        <f>NFLX[[#This Row],[Stopa zwrotu]]</f>
        <v>-2.2152146671625239E-2</v>
      </c>
      <c r="C44" s="30">
        <f>META[[#This Row],[Stopa zwrotu]]</f>
        <v>-9.8900701716442274E-4</v>
      </c>
      <c r="D44" s="30">
        <f>GOOG[[#This Row],[Stopa zwrotu]]</f>
        <v>4.0487036838188217E-4</v>
      </c>
      <c r="E44" s="30">
        <f>EBAY[[#This Row],[Stopa zwrotu]]</f>
        <v>-4.8201521101252087E-3</v>
      </c>
      <c r="F44" s="30">
        <f>AMZN[[#This Row],[Stopa zwrotu]]</f>
        <v>-8.1812875247108119E-3</v>
      </c>
      <c r="H44" s="9">
        <v>44623</v>
      </c>
      <c r="I44" s="30">
        <v>-2.8144231905594452E-2</v>
      </c>
      <c r="J44" s="30">
        <v>-2.9700326112259701E-3</v>
      </c>
      <c r="K44" s="30">
        <v>-1.1204167320588709E-5</v>
      </c>
      <c r="L44" s="30">
        <v>-4.0983792846497336E-3</v>
      </c>
      <c r="M44" s="31">
        <v>-1.2732752941176595E-2</v>
      </c>
      <c r="O44" s="9">
        <v>44683</v>
      </c>
      <c r="P44" s="30">
        <v>1.7535087719326253E-5</v>
      </c>
      <c r="Q44" s="30">
        <v>1.817593851453525E-3</v>
      </c>
      <c r="R44" s="30">
        <v>-3.7621904081004041E-3</v>
      </c>
      <c r="S44" s="30">
        <v>-3.8820522774326199E-4</v>
      </c>
      <c r="T44" s="31">
        <v>-8.9071599862966897E-3</v>
      </c>
      <c r="V44" s="9">
        <v>44718</v>
      </c>
      <c r="W44" s="30">
        <v>-4.4938112590350672E-3</v>
      </c>
      <c r="X44" s="30">
        <v>-2.4238680002662827E-3</v>
      </c>
      <c r="Y44" s="30">
        <v>8.3878723568158176E-3</v>
      </c>
      <c r="Z44" s="30">
        <v>4.8443398551469841E-3</v>
      </c>
      <c r="AA44" s="31">
        <v>7.6100148212186651E-3</v>
      </c>
    </row>
    <row r="45" spans="1:27" x14ac:dyDescent="0.25">
      <c r="A45" s="7">
        <f>NFLX[[#This Row],[Date]]</f>
        <v>44623</v>
      </c>
      <c r="B45" s="30">
        <f>NFLX[[#This Row],[Stopa zwrotu]]</f>
        <v>-2.8144231905594452E-2</v>
      </c>
      <c r="C45" s="30">
        <f>META[[#This Row],[Stopa zwrotu]]</f>
        <v>-2.9700326112259701E-3</v>
      </c>
      <c r="D45" s="30">
        <f>GOOG[[#This Row],[Stopa zwrotu]]</f>
        <v>-1.1204167320588709E-5</v>
      </c>
      <c r="E45" s="30">
        <f>EBAY[[#This Row],[Stopa zwrotu]]</f>
        <v>-4.0983792846497336E-3</v>
      </c>
      <c r="F45" s="30">
        <f>AMZN[[#This Row],[Stopa zwrotu]]</f>
        <v>-1.2732752941176595E-2</v>
      </c>
      <c r="H45" s="9">
        <v>44624</v>
      </c>
      <c r="I45" s="30">
        <v>-2.0512768745582388E-2</v>
      </c>
      <c r="J45" s="30">
        <v>-1.3057318171555088E-2</v>
      </c>
      <c r="K45" s="30">
        <v>-2.2652209756353625E-2</v>
      </c>
      <c r="L45" s="30">
        <v>1.1784530710522434E-2</v>
      </c>
      <c r="M45" s="31">
        <v>-2.0761807060757254E-2</v>
      </c>
      <c r="O45" s="9">
        <v>44684</v>
      </c>
      <c r="P45" s="30">
        <v>2.5051361113924475E-2</v>
      </c>
      <c r="Q45" s="30">
        <v>3.5325094897131981E-2</v>
      </c>
      <c r="R45" s="30">
        <v>2.8461334105729597E-2</v>
      </c>
      <c r="S45" s="30">
        <v>3.0314827639231101E-2</v>
      </c>
      <c r="T45" s="31">
        <v>3.7592371700105653E-2</v>
      </c>
      <c r="V45" s="9">
        <v>44719</v>
      </c>
      <c r="W45" s="30">
        <v>-1.2181415390996708E-2</v>
      </c>
      <c r="X45" s="30">
        <v>1.6401332794097723E-2</v>
      </c>
      <c r="Y45" s="30">
        <v>-1.2038217635669923E-2</v>
      </c>
      <c r="Z45" s="30">
        <v>-1.6642110456243753E-2</v>
      </c>
      <c r="AA45" s="31">
        <v>-2.5684525089807342E-2</v>
      </c>
    </row>
    <row r="46" spans="1:27" x14ac:dyDescent="0.25">
      <c r="A46" s="7">
        <f>NFLX[[#This Row],[Date]]</f>
        <v>44624</v>
      </c>
      <c r="B46" s="30">
        <f>NFLX[[#This Row],[Stopa zwrotu]]</f>
        <v>-2.0512768745582388E-2</v>
      </c>
      <c r="C46" s="30">
        <f>META[[#This Row],[Stopa zwrotu]]</f>
        <v>-1.3057318171555088E-2</v>
      </c>
      <c r="D46" s="30">
        <f>GOOG[[#This Row],[Stopa zwrotu]]</f>
        <v>-2.2652209756353625E-2</v>
      </c>
      <c r="E46" s="30">
        <f>EBAY[[#This Row],[Stopa zwrotu]]</f>
        <v>1.1784530710522434E-2</v>
      </c>
      <c r="F46" s="30">
        <f>AMZN[[#This Row],[Stopa zwrotu]]</f>
        <v>-2.0761807060757254E-2</v>
      </c>
      <c r="H46" s="9">
        <v>44627</v>
      </c>
      <c r="I46" s="30">
        <v>-6.5048396620761562E-3</v>
      </c>
      <c r="J46" s="30">
        <v>-1.9300089550617721E-2</v>
      </c>
      <c r="K46" s="30">
        <v>-1.0220420741053005E-2</v>
      </c>
      <c r="L46" s="30">
        <v>4.0056818882109697E-3</v>
      </c>
      <c r="M46" s="31">
        <v>-1.4812683408859662E-2</v>
      </c>
      <c r="O46" s="9">
        <v>44685</v>
      </c>
      <c r="P46" s="30">
        <v>-1.9304866882890237E-2</v>
      </c>
      <c r="Q46" s="30">
        <v>-5.4302898828448853E-3</v>
      </c>
      <c r="R46" s="30">
        <v>-7.6182702771937505E-3</v>
      </c>
      <c r="S46" s="30">
        <v>-1.3202565069785011E-2</v>
      </c>
      <c r="T46" s="31">
        <v>-2.9651928263429994E-2</v>
      </c>
      <c r="V46" s="9">
        <v>44720</v>
      </c>
      <c r="W46" s="30">
        <v>2.404144559585486E-2</v>
      </c>
      <c r="X46" s="30">
        <v>1.5248832439061166E-2</v>
      </c>
      <c r="Y46" s="30">
        <v>1.3648087916297014E-2</v>
      </c>
      <c r="Z46" s="30">
        <v>1.3281898029134487E-2</v>
      </c>
      <c r="AA46" s="31">
        <v>9.9480231272819353E-4</v>
      </c>
    </row>
    <row r="47" spans="1:27" x14ac:dyDescent="0.25">
      <c r="A47" s="7">
        <f>NFLX[[#This Row],[Date]]</f>
        <v>44627</v>
      </c>
      <c r="B47" s="30">
        <f>NFLX[[#This Row],[Stopa zwrotu]]</f>
        <v>-6.5048396620761562E-3</v>
      </c>
      <c r="C47" s="30">
        <f>META[[#This Row],[Stopa zwrotu]]</f>
        <v>-1.9300089550617721E-2</v>
      </c>
      <c r="D47" s="30">
        <f>GOOG[[#This Row],[Stopa zwrotu]]</f>
        <v>-1.0220420741053005E-2</v>
      </c>
      <c r="E47" s="30">
        <f>EBAY[[#This Row],[Stopa zwrotu]]</f>
        <v>4.0056818882109697E-3</v>
      </c>
      <c r="F47" s="30">
        <f>AMZN[[#This Row],[Stopa zwrotu]]</f>
        <v>-1.4812683408859662E-2</v>
      </c>
      <c r="H47" s="9">
        <v>44628</v>
      </c>
      <c r="I47" s="30">
        <v>-2.7213017342786472E-2</v>
      </c>
      <c r="J47" s="30">
        <v>-6.2473195549300753E-3</v>
      </c>
      <c r="K47" s="30">
        <v>-4.3450358564975922E-3</v>
      </c>
      <c r="L47" s="30">
        <v>-2.7219619027416098E-2</v>
      </c>
      <c r="M47" s="31">
        <v>-2.7973415769622534E-2</v>
      </c>
      <c r="O47" s="9">
        <v>44686</v>
      </c>
      <c r="P47" s="30">
        <v>-2.6228967756373178E-2</v>
      </c>
      <c r="Q47" s="30">
        <v>-3.865495617228154E-3</v>
      </c>
      <c r="R47" s="30">
        <v>-4.8039328796225522E-3</v>
      </c>
      <c r="S47" s="30">
        <v>-9.6139124617737104E-2</v>
      </c>
      <c r="T47" s="31">
        <v>-3.4488954250933013E-2</v>
      </c>
      <c r="V47" s="9">
        <v>44721</v>
      </c>
      <c r="W47" s="30">
        <v>-2.5804523506398058E-2</v>
      </c>
      <c r="X47" s="30">
        <v>-5.5192689569616982E-2</v>
      </c>
      <c r="Y47" s="30">
        <v>-1.5679528753273719E-2</v>
      </c>
      <c r="Z47" s="30">
        <v>-1.8393213919518314E-2</v>
      </c>
      <c r="AA47" s="31">
        <v>-3.8509333333333284E-2</v>
      </c>
    </row>
    <row r="48" spans="1:27" x14ac:dyDescent="0.25">
      <c r="A48" s="7">
        <f>NFLX[[#This Row],[Date]]</f>
        <v>44628</v>
      </c>
      <c r="B48" s="30">
        <f>NFLX[[#This Row],[Stopa zwrotu]]</f>
        <v>-2.7213017342786472E-2</v>
      </c>
      <c r="C48" s="30">
        <f>META[[#This Row],[Stopa zwrotu]]</f>
        <v>-6.2473195549300753E-3</v>
      </c>
      <c r="D48" s="30">
        <f>GOOG[[#This Row],[Stopa zwrotu]]</f>
        <v>-4.3450358564975922E-3</v>
      </c>
      <c r="E48" s="30">
        <f>EBAY[[#This Row],[Stopa zwrotu]]</f>
        <v>-2.7219619027416098E-2</v>
      </c>
      <c r="F48" s="30">
        <f>AMZN[[#This Row],[Stopa zwrotu]]</f>
        <v>-2.7973415769622534E-2</v>
      </c>
      <c r="H48" s="9">
        <v>44629</v>
      </c>
      <c r="I48" s="30">
        <v>2.8884247584186618E-2</v>
      </c>
      <c r="J48" s="30">
        <v>4.1964413293404723E-2</v>
      </c>
      <c r="K48" s="30">
        <v>3.3586714421878439E-2</v>
      </c>
      <c r="L48" s="30">
        <v>-1.2206610328638456E-2</v>
      </c>
      <c r="M48" s="31">
        <v>2.4372592576038965E-2</v>
      </c>
      <c r="O48" s="9">
        <v>44687</v>
      </c>
      <c r="P48" s="30">
        <v>-5.4784956989247235E-2</v>
      </c>
      <c r="Q48" s="30">
        <v>-2.4932091095613229E-2</v>
      </c>
      <c r="R48" s="30">
        <v>-9.0248516304598514E-3</v>
      </c>
      <c r="S48" s="30">
        <v>-5.4980332946070742E-3</v>
      </c>
      <c r="T48" s="31">
        <v>-1.7302178760308928E-2</v>
      </c>
      <c r="V48" s="9">
        <v>44722</v>
      </c>
      <c r="W48" s="30">
        <v>-6.0714591383619676E-2</v>
      </c>
      <c r="X48" s="30">
        <v>-4.7147154453560991E-2</v>
      </c>
      <c r="Y48" s="30">
        <v>-3.4875091232688837E-2</v>
      </c>
      <c r="Z48" s="30">
        <v>-4.6306289037260417E-2</v>
      </c>
      <c r="AA48" s="31">
        <v>-6.0723472191618777E-2</v>
      </c>
    </row>
    <row r="49" spans="1:27" x14ac:dyDescent="0.25">
      <c r="A49" s="7">
        <f>NFLX[[#This Row],[Date]]</f>
        <v>44629</v>
      </c>
      <c r="B49" s="30">
        <f>NFLX[[#This Row],[Stopa zwrotu]]</f>
        <v>2.8884247584186618E-2</v>
      </c>
      <c r="C49" s="30">
        <f>META[[#This Row],[Stopa zwrotu]]</f>
        <v>4.1964413293404723E-2</v>
      </c>
      <c r="D49" s="30">
        <f>GOOG[[#This Row],[Stopa zwrotu]]</f>
        <v>3.3586714421878439E-2</v>
      </c>
      <c r="E49" s="30">
        <f>EBAY[[#This Row],[Stopa zwrotu]]</f>
        <v>-1.2206610328638456E-2</v>
      </c>
      <c r="F49" s="30">
        <f>AMZN[[#This Row],[Stopa zwrotu]]</f>
        <v>2.4372592576038965E-2</v>
      </c>
      <c r="H49" s="9">
        <v>44630</v>
      </c>
      <c r="I49" s="30">
        <v>7.9597669692799133E-3</v>
      </c>
      <c r="J49" s="30">
        <v>-1.4696735918901971E-2</v>
      </c>
      <c r="K49" s="30">
        <v>1.009319868304237E-2</v>
      </c>
      <c r="L49" s="30">
        <v>-2.5095038976997719E-2</v>
      </c>
      <c r="M49" s="31">
        <v>5.2255341328046656E-2</v>
      </c>
      <c r="O49" s="9">
        <v>44690</v>
      </c>
      <c r="P49" s="30">
        <v>-6.6549021480185227E-3</v>
      </c>
      <c r="Q49" s="30">
        <v>-9.0206644309886643E-3</v>
      </c>
      <c r="R49" s="30">
        <v>-4.6476788703237277E-3</v>
      </c>
      <c r="S49" s="30">
        <v>4.5361047105274555E-3</v>
      </c>
      <c r="T49" s="31">
        <v>-1.5105613019372485E-2</v>
      </c>
      <c r="V49" s="9">
        <v>44725</v>
      </c>
      <c r="W49" s="30">
        <v>-2.1915028302514978E-2</v>
      </c>
      <c r="X49" s="30">
        <v>-2.093095027011882E-2</v>
      </c>
      <c r="Y49" s="30">
        <v>-1.2847767324246898E-2</v>
      </c>
      <c r="Z49" s="30">
        <v>-1.211985122221885E-2</v>
      </c>
      <c r="AA49" s="31">
        <v>-2.1977691585513621E-2</v>
      </c>
    </row>
    <row r="50" spans="1:27" x14ac:dyDescent="0.25">
      <c r="A50" s="7">
        <f>NFLX[[#This Row],[Date]]</f>
        <v>44630</v>
      </c>
      <c r="B50" s="30">
        <f>NFLX[[#This Row],[Stopa zwrotu]]</f>
        <v>7.9597669692799133E-3</v>
      </c>
      <c r="C50" s="30">
        <f>META[[#This Row],[Stopa zwrotu]]</f>
        <v>-1.4696735918901971E-2</v>
      </c>
      <c r="D50" s="30">
        <f>GOOG[[#This Row],[Stopa zwrotu]]</f>
        <v>1.009319868304237E-2</v>
      </c>
      <c r="E50" s="30">
        <f>EBAY[[#This Row],[Stopa zwrotu]]</f>
        <v>-2.5095038976997719E-2</v>
      </c>
      <c r="F50" s="30">
        <f>AMZN[[#This Row],[Stopa zwrotu]]</f>
        <v>5.2255341328046656E-2</v>
      </c>
      <c r="H50" s="9">
        <v>44631</v>
      </c>
      <c r="I50" s="30">
        <v>-3.7645028167960115E-2</v>
      </c>
      <c r="J50" s="30">
        <v>-2.3028255816204601E-2</v>
      </c>
      <c r="K50" s="30">
        <v>-8.405620897819599E-3</v>
      </c>
      <c r="L50" s="30">
        <v>-2.4960979425916019E-2</v>
      </c>
      <c r="M50" s="31">
        <v>9.6612401129598791E-3</v>
      </c>
      <c r="O50" s="9">
        <v>44691</v>
      </c>
      <c r="P50" s="30">
        <v>-1.0040603423553063E-2</v>
      </c>
      <c r="Q50" s="30">
        <v>-7.1070660895075077E-3</v>
      </c>
      <c r="R50" s="30">
        <v>7.3904214051421224E-3</v>
      </c>
      <c r="S50" s="30">
        <v>1.4894126909759997E-2</v>
      </c>
      <c r="T50" s="31">
        <v>-7.2807042870708383E-3</v>
      </c>
      <c r="V50" s="9">
        <v>44726</v>
      </c>
      <c r="W50" s="30">
        <v>-2.7698909837284624E-2</v>
      </c>
      <c r="X50" s="30">
        <v>-1.6277498117889921E-2</v>
      </c>
      <c r="Y50" s="30">
        <v>-2.2146384870100899E-3</v>
      </c>
      <c r="Z50" s="30">
        <v>-1.0780384850264002E-2</v>
      </c>
      <c r="AA50" s="31">
        <v>-4.2214902393333809E-3</v>
      </c>
    </row>
    <row r="51" spans="1:27" x14ac:dyDescent="0.25">
      <c r="A51" s="7">
        <f>NFLX[[#This Row],[Date]]</f>
        <v>44631</v>
      </c>
      <c r="B51" s="30">
        <f>NFLX[[#This Row],[Stopa zwrotu]]</f>
        <v>-3.7645028167960115E-2</v>
      </c>
      <c r="C51" s="30">
        <f>META[[#This Row],[Stopa zwrotu]]</f>
        <v>-2.3028255816204601E-2</v>
      </c>
      <c r="D51" s="30">
        <f>GOOG[[#This Row],[Stopa zwrotu]]</f>
        <v>-8.405620897819599E-3</v>
      </c>
      <c r="E51" s="30">
        <f>EBAY[[#This Row],[Stopa zwrotu]]</f>
        <v>-2.4960979425916019E-2</v>
      </c>
      <c r="F51" s="30">
        <f>AMZN[[#This Row],[Stopa zwrotu]]</f>
        <v>9.6612401129598791E-3</v>
      </c>
      <c r="H51" s="9">
        <v>44634</v>
      </c>
      <c r="I51" s="30">
        <v>-9.9803852941176743E-3</v>
      </c>
      <c r="J51" s="30">
        <v>-1.5178139838697053E-3</v>
      </c>
      <c r="K51" s="30">
        <v>-9.9350127819504506E-3</v>
      </c>
      <c r="L51" s="30">
        <v>6.6653333333333009E-5</v>
      </c>
      <c r="M51" s="31">
        <v>-1.0284173167232883E-2</v>
      </c>
      <c r="O51" s="9">
        <v>44692</v>
      </c>
      <c r="P51" s="30">
        <v>-2.9430754493666611E-2</v>
      </c>
      <c r="Q51" s="30">
        <v>-3.0485596266691339E-2</v>
      </c>
      <c r="R51" s="30">
        <v>2.3522070503132486E-3</v>
      </c>
      <c r="S51" s="30">
        <v>-3.9479122788773746E-2</v>
      </c>
      <c r="T51" s="31">
        <v>-2.5589954849538743E-2</v>
      </c>
      <c r="V51" s="9">
        <v>44727</v>
      </c>
      <c r="W51" s="30">
        <v>2.587046521713221E-2</v>
      </c>
      <c r="X51" s="30">
        <v>1.6236954534971648E-2</v>
      </c>
      <c r="Y51" s="30">
        <v>1.6612334980414145E-2</v>
      </c>
      <c r="Z51" s="30">
        <v>8.765766613735293E-3</v>
      </c>
      <c r="AA51" s="31">
        <v>2.0703923888395925E-2</v>
      </c>
    </row>
    <row r="52" spans="1:27" x14ac:dyDescent="0.25">
      <c r="A52" s="7">
        <f>NFLX[[#This Row],[Date]]</f>
        <v>44634</v>
      </c>
      <c r="B52" s="30">
        <f>NFLX[[#This Row],[Stopa zwrotu]]</f>
        <v>-9.9803852941176743E-3</v>
      </c>
      <c r="C52" s="30">
        <f>META[[#This Row],[Stopa zwrotu]]</f>
        <v>-1.5178139838697053E-3</v>
      </c>
      <c r="D52" s="30">
        <f>GOOG[[#This Row],[Stopa zwrotu]]</f>
        <v>-9.9350127819504506E-3</v>
      </c>
      <c r="E52" s="30">
        <f>EBAY[[#This Row],[Stopa zwrotu]]</f>
        <v>6.6653333333333009E-5</v>
      </c>
      <c r="F52" s="30">
        <f>AMZN[[#This Row],[Stopa zwrotu]]</f>
        <v>-1.0284173167232883E-2</v>
      </c>
      <c r="H52" s="9">
        <v>44635</v>
      </c>
      <c r="I52" s="30">
        <v>7.701103468838344E-3</v>
      </c>
      <c r="J52" s="30">
        <v>4.8432352066374307E-4</v>
      </c>
      <c r="K52" s="30">
        <v>1.2261317866653076E-3</v>
      </c>
      <c r="L52" s="30">
        <v>4.4191223522944467E-2</v>
      </c>
      <c r="M52" s="31">
        <v>7.9213890593383685E-3</v>
      </c>
      <c r="O52" s="9">
        <v>44693</v>
      </c>
      <c r="P52" s="30">
        <v>-1.7154913612414835E-2</v>
      </c>
      <c r="Q52" s="30">
        <v>-1.8537233366181849E-2</v>
      </c>
      <c r="R52" s="30">
        <v>-3.1117456557545942E-2</v>
      </c>
      <c r="S52" s="30">
        <v>-2.7544694909733325E-2</v>
      </c>
      <c r="T52" s="31">
        <v>-1.9372058950537174E-2</v>
      </c>
      <c r="V52" s="9">
        <v>44728</v>
      </c>
      <c r="W52" s="30">
        <v>1.7978989010734026E-2</v>
      </c>
      <c r="X52" s="30">
        <v>-2.6649561572132163E-2</v>
      </c>
      <c r="Y52" s="30">
        <v>-2.1515684901727394E-2</v>
      </c>
      <c r="Z52" s="30">
        <v>-4.8379565599832475E-2</v>
      </c>
      <c r="AA52" s="31">
        <v>-1.4681705927573785E-2</v>
      </c>
    </row>
    <row r="53" spans="1:27" x14ac:dyDescent="0.25">
      <c r="A53" s="7">
        <f>NFLX[[#This Row],[Date]]</f>
        <v>44635</v>
      </c>
      <c r="B53" s="30">
        <f>NFLX[[#This Row],[Stopa zwrotu]]</f>
        <v>7.701103468838344E-3</v>
      </c>
      <c r="C53" s="30">
        <f>META[[#This Row],[Stopa zwrotu]]</f>
        <v>4.8432352066374307E-4</v>
      </c>
      <c r="D53" s="30">
        <f>GOOG[[#This Row],[Stopa zwrotu]]</f>
        <v>1.2261317866653076E-3</v>
      </c>
      <c r="E53" s="30">
        <f>EBAY[[#This Row],[Stopa zwrotu]]</f>
        <v>4.4191223522944467E-2</v>
      </c>
      <c r="F53" s="30">
        <f>AMZN[[#This Row],[Stopa zwrotu]]</f>
        <v>7.9213890593383685E-3</v>
      </c>
      <c r="H53" s="9">
        <v>44636</v>
      </c>
      <c r="I53" s="30">
        <v>3.2194047066165465E-2</v>
      </c>
      <c r="J53" s="30">
        <v>4.6312730970626159E-2</v>
      </c>
      <c r="K53" s="30">
        <v>2.0803070121965694E-2</v>
      </c>
      <c r="L53" s="30">
        <v>1.6468804740160659E-2</v>
      </c>
      <c r="M53" s="31">
        <v>3.77007042253521E-2</v>
      </c>
      <c r="O53" s="9">
        <v>44694</v>
      </c>
      <c r="P53" s="30">
        <v>8.1740442676030423E-2</v>
      </c>
      <c r="Q53" s="30">
        <v>3.5176967394614955E-2</v>
      </c>
      <c r="R53" s="30">
        <v>3.5295371540400522E-2</v>
      </c>
      <c r="S53" s="30">
        <v>1.1728302981374394E-2</v>
      </c>
      <c r="T53" s="31">
        <v>5.2677843422905157E-2</v>
      </c>
      <c r="V53" s="9">
        <v>44729</v>
      </c>
      <c r="W53" s="30">
        <v>1.0375367339419128E-2</v>
      </c>
      <c r="X53" s="30">
        <v>1.8168848955772976E-3</v>
      </c>
      <c r="Y53" s="30">
        <v>-1.5497790046615778E-3</v>
      </c>
      <c r="Z53" s="30">
        <v>2.245804540967411E-2</v>
      </c>
      <c r="AA53" s="31">
        <v>4.9014801509366102E-3</v>
      </c>
    </row>
    <row r="54" spans="1:27" x14ac:dyDescent="0.25">
      <c r="A54" s="7">
        <f>NFLX[[#This Row],[Date]]</f>
        <v>44636</v>
      </c>
      <c r="B54" s="30">
        <f>NFLX[[#This Row],[Stopa zwrotu]]</f>
        <v>3.2194047066165465E-2</v>
      </c>
      <c r="C54" s="30">
        <f>META[[#This Row],[Stopa zwrotu]]</f>
        <v>4.6312730970626159E-2</v>
      </c>
      <c r="D54" s="30">
        <f>GOOG[[#This Row],[Stopa zwrotu]]</f>
        <v>2.0803070121965694E-2</v>
      </c>
      <c r="E54" s="30">
        <f>EBAY[[#This Row],[Stopa zwrotu]]</f>
        <v>1.6468804740160659E-2</v>
      </c>
      <c r="F54" s="30">
        <f>AMZN[[#This Row],[Stopa zwrotu]]</f>
        <v>3.77007042253521E-2</v>
      </c>
      <c r="H54" s="9">
        <v>44637</v>
      </c>
      <c r="I54" s="30">
        <v>3.4454634958634767E-2</v>
      </c>
      <c r="J54" s="30">
        <v>3.3878248326583371E-2</v>
      </c>
      <c r="K54" s="30">
        <v>2.7228813175476541E-2</v>
      </c>
      <c r="L54" s="30">
        <v>1.8462678279477007E-2</v>
      </c>
      <c r="M54" s="31">
        <v>3.2483103557092274E-2</v>
      </c>
      <c r="O54" s="9">
        <v>44697</v>
      </c>
      <c r="P54" s="30">
        <v>1.8351234352723383E-2</v>
      </c>
      <c r="Q54" s="30">
        <v>8.1032936433672962E-3</v>
      </c>
      <c r="R54" s="30">
        <v>9.7952923976607487E-4</v>
      </c>
      <c r="S54" s="30">
        <v>-5.9055189726118966E-3</v>
      </c>
      <c r="T54" s="31">
        <v>7.8973188896849979E-3</v>
      </c>
      <c r="V54" s="9">
        <v>44733</v>
      </c>
      <c r="W54" s="30">
        <v>-5.1055628846328194E-3</v>
      </c>
      <c r="X54" s="30">
        <v>-6.1444545770276693E-3</v>
      </c>
      <c r="Y54" s="30">
        <v>8.674158334544213E-3</v>
      </c>
      <c r="Z54" s="30">
        <v>4.6463975380159339E-3</v>
      </c>
      <c r="AA54" s="31">
        <v>2.5607159777442656E-3</v>
      </c>
    </row>
    <row r="55" spans="1:27" x14ac:dyDescent="0.25">
      <c r="A55" s="7">
        <f>NFLX[[#This Row],[Date]]</f>
        <v>44637</v>
      </c>
      <c r="B55" s="30">
        <f>NFLX[[#This Row],[Stopa zwrotu]]</f>
        <v>3.4454634958634767E-2</v>
      </c>
      <c r="C55" s="30">
        <f>META[[#This Row],[Stopa zwrotu]]</f>
        <v>3.3878248326583371E-2</v>
      </c>
      <c r="D55" s="30">
        <f>GOOG[[#This Row],[Stopa zwrotu]]</f>
        <v>2.7228813175476541E-2</v>
      </c>
      <c r="E55" s="30">
        <f>EBAY[[#This Row],[Stopa zwrotu]]</f>
        <v>1.8462678279477007E-2</v>
      </c>
      <c r="F55" s="30">
        <f>AMZN[[#This Row],[Stopa zwrotu]]</f>
        <v>3.2483103557092274E-2</v>
      </c>
      <c r="H55" s="9">
        <v>44638</v>
      </c>
      <c r="I55" s="30">
        <v>3.8294622995172833E-2</v>
      </c>
      <c r="J55" s="30">
        <v>2.4315046371065296E-2</v>
      </c>
      <c r="K55" s="30">
        <v>1.6049925755163841E-3</v>
      </c>
      <c r="L55" s="30">
        <v>1.9237827983022093E-2</v>
      </c>
      <c r="M55" s="31">
        <v>2.5443690189586476E-2</v>
      </c>
      <c r="O55" s="9">
        <v>44698</v>
      </c>
      <c r="P55" s="30">
        <v>-2.8540603584393809E-3</v>
      </c>
      <c r="Q55" s="30">
        <v>1.2402429882187649E-2</v>
      </c>
      <c r="R55" s="30">
        <v>8.7681200749387678E-3</v>
      </c>
      <c r="S55" s="30">
        <v>1.0910754843019399E-2</v>
      </c>
      <c r="T55" s="31">
        <v>8.3594707345260311E-3</v>
      </c>
      <c r="V55" s="9">
        <v>44734</v>
      </c>
      <c r="W55" s="30">
        <v>2.355677225753583E-3</v>
      </c>
      <c r="X55" s="30">
        <v>-3.398082942885905E-3</v>
      </c>
      <c r="Y55" s="30">
        <v>1.3091299672223E-2</v>
      </c>
      <c r="Z55" s="30">
        <v>-8.7677486073993727E-3</v>
      </c>
      <c r="AA55" s="31">
        <v>3.3410574225773981E-2</v>
      </c>
    </row>
    <row r="56" spans="1:27" x14ac:dyDescent="0.25">
      <c r="A56" s="7">
        <f>NFLX[[#This Row],[Date]]</f>
        <v>44638</v>
      </c>
      <c r="B56" s="30">
        <f>NFLX[[#This Row],[Stopa zwrotu]]</f>
        <v>3.8294622995172833E-2</v>
      </c>
      <c r="C56" s="30">
        <f>META[[#This Row],[Stopa zwrotu]]</f>
        <v>2.4315046371065296E-2</v>
      </c>
      <c r="D56" s="30">
        <f>GOOG[[#This Row],[Stopa zwrotu]]</f>
        <v>1.6049925755163841E-3</v>
      </c>
      <c r="E56" s="30">
        <f>EBAY[[#This Row],[Stopa zwrotu]]</f>
        <v>1.9237827983022093E-2</v>
      </c>
      <c r="F56" s="30">
        <f>AMZN[[#This Row],[Stopa zwrotu]]</f>
        <v>2.5443690189586476E-2</v>
      </c>
      <c r="H56" s="9">
        <v>44641</v>
      </c>
      <c r="I56" s="30">
        <v>4.2518251031239035E-4</v>
      </c>
      <c r="J56" s="30">
        <v>2.6375485436893609E-3</v>
      </c>
      <c r="K56" s="30">
        <v>4.2113985886533811E-3</v>
      </c>
      <c r="L56" s="30">
        <v>-1.3308953901111458E-3</v>
      </c>
      <c r="M56" s="31">
        <v>7.5678252486321984E-3</v>
      </c>
      <c r="O56" s="9">
        <v>44699</v>
      </c>
      <c r="P56" s="30">
        <v>-4.8063909359657653E-2</v>
      </c>
      <c r="Q56" s="30">
        <v>-3.3928190996530549E-2</v>
      </c>
      <c r="R56" s="30">
        <v>-2.770568067270951E-2</v>
      </c>
      <c r="S56" s="30">
        <v>-1.6519823060800798E-2</v>
      </c>
      <c r="T56" s="31">
        <v>-4.5180214470626257E-2</v>
      </c>
      <c r="V56" s="9">
        <v>44735</v>
      </c>
      <c r="W56" s="30">
        <v>3.3313737367457241E-2</v>
      </c>
      <c r="X56" s="30">
        <v>-7.6556998500295625E-3</v>
      </c>
      <c r="Y56" s="30">
        <v>2.7518982577057205E-3</v>
      </c>
      <c r="Z56" s="30">
        <v>5.2593112474630388E-3</v>
      </c>
      <c r="AA56" s="31">
        <v>8.5031118062917077E-3</v>
      </c>
    </row>
    <row r="57" spans="1:27" x14ac:dyDescent="0.25">
      <c r="A57" s="7">
        <f>NFLX[[#This Row],[Date]]</f>
        <v>44641</v>
      </c>
      <c r="B57" s="30">
        <f>NFLX[[#This Row],[Stopa zwrotu]]</f>
        <v>4.2518251031239035E-4</v>
      </c>
      <c r="C57" s="30">
        <f>META[[#This Row],[Stopa zwrotu]]</f>
        <v>2.6375485436893609E-3</v>
      </c>
      <c r="D57" s="30">
        <f>GOOG[[#This Row],[Stopa zwrotu]]</f>
        <v>4.2113985886533811E-3</v>
      </c>
      <c r="E57" s="30">
        <f>EBAY[[#This Row],[Stopa zwrotu]]</f>
        <v>-1.3308953901111458E-3</v>
      </c>
      <c r="F57" s="30">
        <f>AMZN[[#This Row],[Stopa zwrotu]]</f>
        <v>7.5678252486321984E-3</v>
      </c>
      <c r="H57" s="9">
        <v>44642</v>
      </c>
      <c r="I57" s="30">
        <v>-5.9087981465343331E-3</v>
      </c>
      <c r="J57" s="30">
        <v>1.2281404125574102E-2</v>
      </c>
      <c r="K57" s="30">
        <v>1.4029292119300152E-2</v>
      </c>
      <c r="L57" s="30">
        <v>1.2755101808399338E-3</v>
      </c>
      <c r="M57" s="31">
        <v>1.3450145598646657E-2</v>
      </c>
      <c r="O57" s="9">
        <v>44700</v>
      </c>
      <c r="P57" s="30">
        <v>-3.1769273687655142E-3</v>
      </c>
      <c r="Q57" s="30">
        <v>-1.0593325403294718E-2</v>
      </c>
      <c r="R57" s="30">
        <v>-1.4927467227755287E-2</v>
      </c>
      <c r="S57" s="30">
        <v>-1.4109786602025221E-2</v>
      </c>
      <c r="T57" s="31">
        <v>-5.2706377916922342E-4</v>
      </c>
      <c r="V57" s="9">
        <v>44736</v>
      </c>
      <c r="W57" s="30">
        <v>3.3945534597871641E-2</v>
      </c>
      <c r="X57" s="30">
        <v>4.5705043760129627E-2</v>
      </c>
      <c r="Y57" s="30">
        <v>2.3183114530285875E-2</v>
      </c>
      <c r="Z57" s="30">
        <v>2.7824067249086148E-2</v>
      </c>
      <c r="AA57" s="31">
        <v>3.2428425831557472E-2</v>
      </c>
    </row>
    <row r="58" spans="1:27" x14ac:dyDescent="0.25">
      <c r="A58" s="7">
        <f>NFLX[[#This Row],[Date]]</f>
        <v>44642</v>
      </c>
      <c r="B58" s="30">
        <f>NFLX[[#This Row],[Stopa zwrotu]]</f>
        <v>-5.9087981465343331E-3</v>
      </c>
      <c r="C58" s="30">
        <f>META[[#This Row],[Stopa zwrotu]]</f>
        <v>1.2281404125574102E-2</v>
      </c>
      <c r="D58" s="30">
        <f>GOOG[[#This Row],[Stopa zwrotu]]</f>
        <v>1.4029292119300152E-2</v>
      </c>
      <c r="E58" s="30">
        <f>EBAY[[#This Row],[Stopa zwrotu]]</f>
        <v>1.2755101808399338E-3</v>
      </c>
      <c r="F58" s="30">
        <f>AMZN[[#This Row],[Stopa zwrotu]]</f>
        <v>1.3450145598646657E-2</v>
      </c>
      <c r="H58" s="9">
        <v>44643</v>
      </c>
      <c r="I58" s="30">
        <v>2.1076398160202681E-2</v>
      </c>
      <c r="J58" s="30">
        <v>9.4205493669419216E-3</v>
      </c>
      <c r="K58" s="30">
        <v>1.2208820512820573E-2</v>
      </c>
      <c r="L58" s="30">
        <v>-5.4594903465060574E-3</v>
      </c>
      <c r="M58" s="31">
        <v>6.110062334644617E-3</v>
      </c>
      <c r="O58" s="9">
        <v>44701</v>
      </c>
      <c r="P58" s="30">
        <v>2.3106236629994559E-2</v>
      </c>
      <c r="Q58" s="30">
        <v>-9.1245303019664714E-3</v>
      </c>
      <c r="R58" s="30">
        <v>-3.7069566986465463E-2</v>
      </c>
      <c r="S58" s="30">
        <v>-1.6810563380281862E-2</v>
      </c>
      <c r="T58" s="31">
        <v>-1.1144821116788939E-2</v>
      </c>
      <c r="V58" s="9">
        <v>44739</v>
      </c>
      <c r="W58" s="30">
        <v>1.0082178693697763E-3</v>
      </c>
      <c r="X58" s="30">
        <v>1.3866484553010242E-2</v>
      </c>
      <c r="Y58" s="30">
        <v>7.0354687326896021E-3</v>
      </c>
      <c r="Z58" s="30">
        <v>7.7124786122363771E-3</v>
      </c>
      <c r="AA58" s="31">
        <v>3.7990876185347577E-3</v>
      </c>
    </row>
    <row r="59" spans="1:27" x14ac:dyDescent="0.25">
      <c r="A59" s="7">
        <f>NFLX[[#This Row],[Date]]</f>
        <v>44643</v>
      </c>
      <c r="B59" s="30">
        <f>NFLX[[#This Row],[Stopa zwrotu]]</f>
        <v>2.1076398160202681E-2</v>
      </c>
      <c r="C59" s="30">
        <f>META[[#This Row],[Stopa zwrotu]]</f>
        <v>9.4205493669419216E-3</v>
      </c>
      <c r="D59" s="30">
        <f>GOOG[[#This Row],[Stopa zwrotu]]</f>
        <v>1.2208820512820573E-2</v>
      </c>
      <c r="E59" s="30">
        <f>EBAY[[#This Row],[Stopa zwrotu]]</f>
        <v>-5.4594903465060574E-3</v>
      </c>
      <c r="F59" s="30">
        <f>AMZN[[#This Row],[Stopa zwrotu]]</f>
        <v>6.110062334644617E-3</v>
      </c>
      <c r="H59" s="9">
        <v>44644</v>
      </c>
      <c r="I59" s="30">
        <v>-1.4926957059653301E-2</v>
      </c>
      <c r="J59" s="30">
        <v>1.2396252594339296E-2</v>
      </c>
      <c r="K59" s="30">
        <v>-9.199480070799515E-4</v>
      </c>
      <c r="L59" s="30">
        <v>1.6285433987724307E-2</v>
      </c>
      <c r="M59" s="31">
        <v>-1.6208996814963572E-2</v>
      </c>
      <c r="O59" s="9">
        <v>44704</v>
      </c>
      <c r="P59" s="30">
        <v>-3.4859449262366247E-3</v>
      </c>
      <c r="Q59" s="30">
        <v>5.9793298374584136E-3</v>
      </c>
      <c r="R59" s="30">
        <v>8.7154007559994504E-3</v>
      </c>
      <c r="S59" s="30">
        <v>5.545294336382363E-3</v>
      </c>
      <c r="T59" s="31">
        <v>-3.3631941557338285E-3</v>
      </c>
      <c r="V59" s="9">
        <v>44740</v>
      </c>
      <c r="W59" s="30">
        <v>-1.6557947346663493E-2</v>
      </c>
      <c r="X59" s="30">
        <v>-4.4044962920211983E-2</v>
      </c>
      <c r="Y59" s="30">
        <v>-3.0661422976341446E-2</v>
      </c>
      <c r="Z59" s="30">
        <v>-3.6635073798392814E-2</v>
      </c>
      <c r="AA59" s="31">
        <v>-5.0221793705992668E-2</v>
      </c>
    </row>
    <row r="60" spans="1:27" x14ac:dyDescent="0.25">
      <c r="A60" s="7">
        <f>NFLX[[#This Row],[Date]]</f>
        <v>44644</v>
      </c>
      <c r="B60" s="30">
        <f>NFLX[[#This Row],[Stopa zwrotu]]</f>
        <v>-1.4926957059653301E-2</v>
      </c>
      <c r="C60" s="30">
        <f>META[[#This Row],[Stopa zwrotu]]</f>
        <v>1.2396252594339296E-2</v>
      </c>
      <c r="D60" s="30">
        <f>GOOG[[#This Row],[Stopa zwrotu]]</f>
        <v>-9.199480070799515E-4</v>
      </c>
      <c r="E60" s="30">
        <f>EBAY[[#This Row],[Stopa zwrotu]]</f>
        <v>1.6285433987724307E-2</v>
      </c>
      <c r="F60" s="30">
        <f>AMZN[[#This Row],[Stopa zwrotu]]</f>
        <v>-1.6208996814963572E-2</v>
      </c>
      <c r="H60" s="9">
        <v>44645</v>
      </c>
      <c r="I60" s="30">
        <v>-6.6955842780522801E-3</v>
      </c>
      <c r="J60" s="30">
        <v>1.9088440493594039E-2</v>
      </c>
      <c r="K60" s="30">
        <v>1.2026240508524744E-2</v>
      </c>
      <c r="L60" s="30">
        <v>2.5387107933253494E-2</v>
      </c>
      <c r="M60" s="31">
        <v>1.3745685465560431E-2</v>
      </c>
      <c r="O60" s="9">
        <v>44705</v>
      </c>
      <c r="P60" s="30">
        <v>-4.0474506945159527E-3</v>
      </c>
      <c r="Q60" s="30">
        <v>-7.9115266703742138E-2</v>
      </c>
      <c r="R60" s="30">
        <v>-6.3637017673274121E-2</v>
      </c>
      <c r="S60" s="30">
        <v>-8.6363863636363947E-3</v>
      </c>
      <c r="T60" s="31">
        <v>-2.587777852461115E-2</v>
      </c>
      <c r="V60" s="9">
        <v>44741</v>
      </c>
      <c r="W60" s="30">
        <v>-2.3805480955719438E-2</v>
      </c>
      <c r="X60" s="30">
        <v>-1.8055787198457685E-3</v>
      </c>
      <c r="Y60" s="30">
        <v>-7.9150421543168203E-3</v>
      </c>
      <c r="Z60" s="30">
        <v>-7.0422303775694584E-3</v>
      </c>
      <c r="AA60" s="31">
        <v>-1.2144712143641323E-3</v>
      </c>
    </row>
    <row r="61" spans="1:27" x14ac:dyDescent="0.25">
      <c r="A61" s="7">
        <f>NFLX[[#This Row],[Date]]</f>
        <v>44645</v>
      </c>
      <c r="B61" s="30">
        <f>NFLX[[#This Row],[Stopa zwrotu]]</f>
        <v>-6.6955842780522801E-3</v>
      </c>
      <c r="C61" s="30">
        <f>META[[#This Row],[Stopa zwrotu]]</f>
        <v>1.9088440493594039E-2</v>
      </c>
      <c r="D61" s="30">
        <f>GOOG[[#This Row],[Stopa zwrotu]]</f>
        <v>1.2026240508524744E-2</v>
      </c>
      <c r="E61" s="30">
        <f>EBAY[[#This Row],[Stopa zwrotu]]</f>
        <v>2.5387107933253494E-2</v>
      </c>
      <c r="F61" s="30">
        <f>AMZN[[#This Row],[Stopa zwrotu]]</f>
        <v>1.3745685465560431E-2</v>
      </c>
      <c r="H61" s="9">
        <v>44648</v>
      </c>
      <c r="I61" s="30">
        <v>2.7291979889865203E-4</v>
      </c>
      <c r="J61" s="30">
        <v>9.898335586665159E-4</v>
      </c>
      <c r="K61" s="30">
        <v>3.0699944391835804E-4</v>
      </c>
      <c r="L61" s="30">
        <v>-1.1706760110504384E-4</v>
      </c>
      <c r="M61" s="31">
        <v>5.4442609142269687E-3</v>
      </c>
      <c r="O61" s="9">
        <v>44706</v>
      </c>
      <c r="P61" s="30">
        <v>1.6932889506495297E-2</v>
      </c>
      <c r="Q61" s="30">
        <v>1.8227278302042516E-2</v>
      </c>
      <c r="R61" s="30">
        <v>1.9599737789605554E-2</v>
      </c>
      <c r="S61" s="30">
        <v>5.7313160415248809E-3</v>
      </c>
      <c r="T61" s="31">
        <v>2.360260668373293E-2</v>
      </c>
      <c r="V61" s="9">
        <v>44742</v>
      </c>
      <c r="W61" s="30">
        <v>-2.7412923104068954E-2</v>
      </c>
      <c r="X61" s="30">
        <v>-1.1414682635336959E-2</v>
      </c>
      <c r="Y61" s="30">
        <v>-3.8044381751937362E-2</v>
      </c>
      <c r="Z61" s="30">
        <v>-3.0260024356028814E-2</v>
      </c>
      <c r="AA61" s="31">
        <v>-4.1062639937792911E-2</v>
      </c>
    </row>
    <row r="62" spans="1:27" x14ac:dyDescent="0.25">
      <c r="A62" s="7">
        <f>NFLX[[#This Row],[Date]]</f>
        <v>44648</v>
      </c>
      <c r="B62" s="30">
        <f>NFLX[[#This Row],[Stopa zwrotu]]</f>
        <v>2.7291979889865203E-4</v>
      </c>
      <c r="C62" s="30">
        <f>META[[#This Row],[Stopa zwrotu]]</f>
        <v>9.898335586665159E-4</v>
      </c>
      <c r="D62" s="30">
        <f>GOOG[[#This Row],[Stopa zwrotu]]</f>
        <v>3.0699944391835804E-4</v>
      </c>
      <c r="E62" s="30">
        <f>EBAY[[#This Row],[Stopa zwrotu]]</f>
        <v>-1.1706760110504384E-4</v>
      </c>
      <c r="F62" s="30">
        <f>AMZN[[#This Row],[Stopa zwrotu]]</f>
        <v>5.4442609142269687E-3</v>
      </c>
      <c r="H62" s="9">
        <v>44649</v>
      </c>
      <c r="I62" s="30">
        <v>3.7084437030161732E-2</v>
      </c>
      <c r="J62" s="30">
        <v>2.6191127736803654E-2</v>
      </c>
      <c r="K62" s="30">
        <v>1.8993585240443256E-2</v>
      </c>
      <c r="L62" s="30">
        <v>4.3035324082206117E-2</v>
      </c>
      <c r="M62" s="31">
        <v>1.8001856325113197E-2</v>
      </c>
      <c r="O62" s="9">
        <v>44707</v>
      </c>
      <c r="P62" s="30">
        <v>1.6206904770016184E-2</v>
      </c>
      <c r="Q62" s="30">
        <v>1.6395203464385277E-2</v>
      </c>
      <c r="R62" s="30">
        <v>1.2251546737996E-2</v>
      </c>
      <c r="S62" s="30">
        <v>3.6927354386308453E-2</v>
      </c>
      <c r="T62" s="31">
        <v>3.6695580575097253E-2</v>
      </c>
      <c r="V62" s="9">
        <v>44743</v>
      </c>
      <c r="W62" s="30">
        <v>2.3311808162446157E-2</v>
      </c>
      <c r="X62" s="30">
        <v>-2.2020347592266121E-2</v>
      </c>
      <c r="Y62" s="30">
        <v>-1.910306623992275E-3</v>
      </c>
      <c r="Z62" s="30">
        <v>1.8039931740614357E-2</v>
      </c>
      <c r="AA62" s="31">
        <v>3.2481477735509356E-2</v>
      </c>
    </row>
    <row r="63" spans="1:27" x14ac:dyDescent="0.25">
      <c r="A63" s="7">
        <f>NFLX[[#This Row],[Date]]</f>
        <v>44649</v>
      </c>
      <c r="B63" s="30">
        <f>NFLX[[#This Row],[Stopa zwrotu]]</f>
        <v>3.7084437030161732E-2</v>
      </c>
      <c r="C63" s="30">
        <f>META[[#This Row],[Stopa zwrotu]]</f>
        <v>2.6191127736803654E-2</v>
      </c>
      <c r="D63" s="30">
        <f>GOOG[[#This Row],[Stopa zwrotu]]</f>
        <v>1.8993585240443256E-2</v>
      </c>
      <c r="E63" s="30">
        <f>EBAY[[#This Row],[Stopa zwrotu]]</f>
        <v>4.3035324082206117E-2</v>
      </c>
      <c r="F63" s="30">
        <f>AMZN[[#This Row],[Stopa zwrotu]]</f>
        <v>1.8001856325113197E-2</v>
      </c>
      <c r="H63" s="9">
        <v>44650</v>
      </c>
      <c r="I63" s="30">
        <v>-4.4697553653586519E-3</v>
      </c>
      <c r="J63" s="30">
        <v>6.3030495988340984E-3</v>
      </c>
      <c r="K63" s="30">
        <v>-2.2177578767197392E-3</v>
      </c>
      <c r="L63" s="30">
        <v>-4.3786122536441097E-3</v>
      </c>
      <c r="M63" s="31">
        <v>-1.4109258139555769E-2</v>
      </c>
      <c r="O63" s="9">
        <v>44708</v>
      </c>
      <c r="P63" s="30">
        <v>3.9761861155974687E-2</v>
      </c>
      <c r="Q63" s="30">
        <v>4.1369517210839479E-2</v>
      </c>
      <c r="R63" s="30">
        <v>3.8506787866930736E-2</v>
      </c>
      <c r="S63" s="30">
        <v>3.4293183807730054E-2</v>
      </c>
      <c r="T63" s="31">
        <v>4.8155705008731342E-2</v>
      </c>
      <c r="V63" s="9">
        <v>44747</v>
      </c>
      <c r="W63" s="30">
        <v>-2.2809590915026379E-3</v>
      </c>
      <c r="X63" s="30">
        <v>3.2580709677419439E-3</v>
      </c>
      <c r="Y63" s="30">
        <v>-1.9968885113611501E-3</v>
      </c>
      <c r="Z63" s="30">
        <v>7.7826272884401471E-4</v>
      </c>
      <c r="AA63" s="31">
        <v>1.1100661522921995E-3</v>
      </c>
    </row>
    <row r="64" spans="1:27" x14ac:dyDescent="0.25">
      <c r="A64" s="7">
        <f>NFLX[[#This Row],[Date]]</f>
        <v>44650</v>
      </c>
      <c r="B64" s="30">
        <f>NFLX[[#This Row],[Stopa zwrotu]]</f>
        <v>-4.4697553653586519E-3</v>
      </c>
      <c r="C64" s="30">
        <f>META[[#This Row],[Stopa zwrotu]]</f>
        <v>6.3030495988340984E-3</v>
      </c>
      <c r="D64" s="30">
        <f>GOOG[[#This Row],[Stopa zwrotu]]</f>
        <v>-2.2177578767197392E-3</v>
      </c>
      <c r="E64" s="30">
        <f>EBAY[[#This Row],[Stopa zwrotu]]</f>
        <v>-4.3786122536441097E-3</v>
      </c>
      <c r="F64" s="30">
        <f>AMZN[[#This Row],[Stopa zwrotu]]</f>
        <v>-1.4109258139555769E-2</v>
      </c>
      <c r="H64" s="9">
        <v>44651</v>
      </c>
      <c r="I64" s="30">
        <v>-1.3258378717238672E-2</v>
      </c>
      <c r="J64" s="30">
        <v>-1.9628652739620778E-2</v>
      </c>
      <c r="K64" s="30">
        <v>-1.7929463859162942E-2</v>
      </c>
      <c r="L64" s="30">
        <v>-3.1799679157640037E-2</v>
      </c>
      <c r="M64" s="31">
        <v>-1.5386670694863991E-2</v>
      </c>
      <c r="O64" s="9">
        <v>44712</v>
      </c>
      <c r="P64" s="30">
        <v>5.6470033526029306E-4</v>
      </c>
      <c r="Q64" s="30">
        <v>2.9109483206909981E-3</v>
      </c>
      <c r="R64" s="30">
        <v>6.8975329010260156E-3</v>
      </c>
      <c r="S64" s="30">
        <v>1.434649339737526E-3</v>
      </c>
      <c r="T64" s="31">
        <v>6.7634270654442497E-3</v>
      </c>
      <c r="V64" s="9">
        <v>44748</v>
      </c>
      <c r="W64" s="30">
        <v>4.7139300034602094E-2</v>
      </c>
      <c r="X64" s="30">
        <v>5.3751132244271194E-2</v>
      </c>
      <c r="Y64" s="30">
        <v>5.6480343210286943E-2</v>
      </c>
      <c r="Z64" s="30">
        <v>3.9866365239111134E-2</v>
      </c>
      <c r="AA64" s="31">
        <v>5.3517701279157226E-2</v>
      </c>
    </row>
    <row r="65" spans="1:27" x14ac:dyDescent="0.25">
      <c r="A65" s="7">
        <f>NFLX[[#This Row],[Date]]</f>
        <v>44651</v>
      </c>
      <c r="B65" s="30">
        <f>NFLX[[#This Row],[Stopa zwrotu]]</f>
        <v>-1.3258378717238672E-2</v>
      </c>
      <c r="C65" s="30">
        <f>META[[#This Row],[Stopa zwrotu]]</f>
        <v>-1.9628652739620778E-2</v>
      </c>
      <c r="D65" s="30">
        <f>GOOG[[#This Row],[Stopa zwrotu]]</f>
        <v>-1.7929463859162942E-2</v>
      </c>
      <c r="E65" s="30">
        <f>EBAY[[#This Row],[Stopa zwrotu]]</f>
        <v>-3.1799679157640037E-2</v>
      </c>
      <c r="F65" s="30">
        <f>AMZN[[#This Row],[Stopa zwrotu]]</f>
        <v>-1.5386670694863991E-2</v>
      </c>
      <c r="H65" s="9">
        <v>44652</v>
      </c>
      <c r="I65" s="30">
        <v>-1.3677324496560228E-2</v>
      </c>
      <c r="J65" s="30">
        <v>1.9796725002174664E-3</v>
      </c>
      <c r="K65" s="30">
        <v>-5.8874936959690816E-3</v>
      </c>
      <c r="L65" s="30">
        <v>1.0481655818250779E-3</v>
      </c>
      <c r="M65" s="31">
        <v>-3.8906926003789977E-3</v>
      </c>
      <c r="O65" s="9">
        <v>44713</v>
      </c>
      <c r="P65" s="30">
        <v>4.5073426964252761E-3</v>
      </c>
      <c r="Q65" s="30">
        <v>-3.650849009188295E-2</v>
      </c>
      <c r="R65" s="30">
        <v>8.6877077672129488E-3</v>
      </c>
      <c r="S65" s="30">
        <v>-1.0777662721893511E-2</v>
      </c>
      <c r="T65" s="31">
        <v>4.2770649420255324E-2</v>
      </c>
      <c r="V65" s="9">
        <v>44749</v>
      </c>
      <c r="W65" s="30">
        <v>1.4821330031250302E-2</v>
      </c>
      <c r="X65" s="30">
        <v>1.4021466830954621E-2</v>
      </c>
      <c r="Y65" s="30">
        <v>2.9251476679338584E-2</v>
      </c>
      <c r="Z65" s="30">
        <v>-8.4940769399890481E-3</v>
      </c>
      <c r="AA65" s="31">
        <v>1.3213070025657192E-2</v>
      </c>
    </row>
    <row r="66" spans="1:27" x14ac:dyDescent="0.25">
      <c r="A66" s="7">
        <f>NFLX[[#This Row],[Date]]</f>
        <v>44652</v>
      </c>
      <c r="B66" s="30">
        <f>NFLX[[#This Row],[Stopa zwrotu]]</f>
        <v>-1.3677324496560228E-2</v>
      </c>
      <c r="C66" s="30">
        <f>META[[#This Row],[Stopa zwrotu]]</f>
        <v>1.9796725002174664E-3</v>
      </c>
      <c r="D66" s="30">
        <f>GOOG[[#This Row],[Stopa zwrotu]]</f>
        <v>-5.8874936959690816E-3</v>
      </c>
      <c r="E66" s="30">
        <f>EBAY[[#This Row],[Stopa zwrotu]]</f>
        <v>1.0481655818250779E-3</v>
      </c>
      <c r="F66" s="30">
        <f>AMZN[[#This Row],[Stopa zwrotu]]</f>
        <v>-3.8906926003789977E-3</v>
      </c>
      <c r="H66" s="9">
        <v>44655</v>
      </c>
      <c r="I66" s="30">
        <v>4.1881546811397552E-3</v>
      </c>
      <c r="J66" s="30">
        <v>4.7298369144866586E-3</v>
      </c>
      <c r="K66" s="30">
        <v>4.8692119758181702E-3</v>
      </c>
      <c r="L66" s="30">
        <v>-4.7120245150440816E-3</v>
      </c>
      <c r="M66" s="31">
        <v>1.819458902897253E-3</v>
      </c>
      <c r="O66" s="9">
        <v>44714</v>
      </c>
      <c r="P66" s="30">
        <v>3.1303870785692745E-4</v>
      </c>
      <c r="Q66" s="30">
        <v>1.4756735135135202E-2</v>
      </c>
      <c r="R66" s="30">
        <v>-2.1356136884964627E-3</v>
      </c>
      <c r="S66" s="30">
        <v>-7.6906642236559408E-3</v>
      </c>
      <c r="T66" s="31">
        <v>-4.7876640724185959E-3</v>
      </c>
      <c r="V66" s="9">
        <v>44750</v>
      </c>
      <c r="W66" s="30">
        <v>-4.0871934604904681E-3</v>
      </c>
      <c r="X66" s="30">
        <v>2.2052390166005242E-3</v>
      </c>
      <c r="Y66" s="30">
        <v>1.7137838657135696E-2</v>
      </c>
      <c r="Z66" s="30">
        <v>-1.0187520495196112E-2</v>
      </c>
      <c r="AA66" s="31">
        <v>1.7623050799595585E-3</v>
      </c>
    </row>
    <row r="67" spans="1:27" x14ac:dyDescent="0.25">
      <c r="A67" s="7">
        <f>NFLX[[#This Row],[Date]]</f>
        <v>44655</v>
      </c>
      <c r="B67" s="30">
        <f>NFLX[[#This Row],[Stopa zwrotu]]</f>
        <v>4.1881546811397552E-3</v>
      </c>
      <c r="C67" s="30">
        <f>META[[#This Row],[Stopa zwrotu]]</f>
        <v>4.7298369144866586E-3</v>
      </c>
      <c r="D67" s="30">
        <f>GOOG[[#This Row],[Stopa zwrotu]]</f>
        <v>4.8692119758181702E-3</v>
      </c>
      <c r="E67" s="30">
        <f>EBAY[[#This Row],[Stopa zwrotu]]</f>
        <v>-4.7120245150440816E-3</v>
      </c>
      <c r="F67" s="30">
        <f>AMZN[[#This Row],[Stopa zwrotu]]</f>
        <v>1.819458902897253E-3</v>
      </c>
      <c r="H67" s="9">
        <v>44656</v>
      </c>
      <c r="I67" s="30">
        <v>1.1202511039014373E-2</v>
      </c>
      <c r="J67" s="30">
        <v>2.2846023984565589E-2</v>
      </c>
      <c r="K67" s="30">
        <v>8.4505186182370906E-4</v>
      </c>
      <c r="L67" s="30">
        <v>-9.0281816594731668E-3</v>
      </c>
      <c r="M67" s="31">
        <v>3.7070440730557763E-4</v>
      </c>
      <c r="O67" s="9">
        <v>44715</v>
      </c>
      <c r="P67" s="30">
        <v>3.3016909904981739E-2</v>
      </c>
      <c r="Q67" s="30">
        <v>1.0919954422201172E-2</v>
      </c>
      <c r="R67" s="30">
        <v>3.1771808096265897E-3</v>
      </c>
      <c r="S67" s="30">
        <v>7.3196984430634604E-3</v>
      </c>
      <c r="T67" s="31">
        <v>8.3427299486480422E-3</v>
      </c>
      <c r="V67" s="9">
        <v>44753</v>
      </c>
      <c r="W67" s="30">
        <v>-1.068855631554951E-2</v>
      </c>
      <c r="X67" s="30">
        <v>-1.2369888438215884E-2</v>
      </c>
      <c r="Y67" s="30">
        <v>-3.6293633099034883E-3</v>
      </c>
      <c r="Z67" s="30">
        <v>-2.8070253411305681E-3</v>
      </c>
      <c r="AA67" s="31">
        <v>-8.2680943806005738E-3</v>
      </c>
    </row>
    <row r="68" spans="1:27" x14ac:dyDescent="0.25">
      <c r="A68" s="7">
        <f>NFLX[[#This Row],[Date]]</f>
        <v>44656</v>
      </c>
      <c r="B68" s="30">
        <f>NFLX[[#This Row],[Stopa zwrotu]]</f>
        <v>1.1202511039014373E-2</v>
      </c>
      <c r="C68" s="30">
        <f>META[[#This Row],[Stopa zwrotu]]</f>
        <v>2.2846023984565589E-2</v>
      </c>
      <c r="D68" s="30">
        <f>GOOG[[#This Row],[Stopa zwrotu]]</f>
        <v>8.4505186182370906E-4</v>
      </c>
      <c r="E68" s="30">
        <f>EBAY[[#This Row],[Stopa zwrotu]]</f>
        <v>-9.0281816594731668E-3</v>
      </c>
      <c r="F68" s="30">
        <f>AMZN[[#This Row],[Stopa zwrotu]]</f>
        <v>3.7070440730557763E-4</v>
      </c>
      <c r="H68" s="9">
        <v>44657</v>
      </c>
      <c r="I68" s="30">
        <v>-3.8641931242966998E-2</v>
      </c>
      <c r="J68" s="30">
        <v>-4.1598129311780307E-2</v>
      </c>
      <c r="K68" s="30">
        <v>-3.2107838221156149E-2</v>
      </c>
      <c r="L68" s="30">
        <v>-4.465880671668454E-2</v>
      </c>
      <c r="M68" s="31">
        <v>-3.6820310285534896E-2</v>
      </c>
      <c r="O68" s="9">
        <v>44718</v>
      </c>
      <c r="P68" s="30">
        <v>-4.4938112590350672E-3</v>
      </c>
      <c r="Q68" s="30">
        <v>-2.4238680002662827E-3</v>
      </c>
      <c r="R68" s="30">
        <v>8.3878723568158176E-3</v>
      </c>
      <c r="S68" s="30">
        <v>4.8443398551469841E-3</v>
      </c>
      <c r="T68" s="31">
        <v>7.6100148212186651E-3</v>
      </c>
      <c r="V68" s="9">
        <v>44754</v>
      </c>
      <c r="W68" s="30">
        <v>-1.9616716714436766E-2</v>
      </c>
      <c r="X68" s="30">
        <v>1.1735037694151629E-3</v>
      </c>
      <c r="Y68" s="30">
        <v>-1.393303229074927E-2</v>
      </c>
      <c r="Z68" s="30">
        <v>1.1323425603289028E-2</v>
      </c>
      <c r="AA68" s="31">
        <v>-2.2819580874368639E-2</v>
      </c>
    </row>
    <row r="69" spans="1:27" x14ac:dyDescent="0.25">
      <c r="A69" s="7">
        <f>NFLX[[#This Row],[Date]]</f>
        <v>44657</v>
      </c>
      <c r="B69" s="30">
        <f>NFLX[[#This Row],[Stopa zwrotu]]</f>
        <v>-3.8641931242966998E-2</v>
      </c>
      <c r="C69" s="30">
        <f>META[[#This Row],[Stopa zwrotu]]</f>
        <v>-4.1598129311780307E-2</v>
      </c>
      <c r="D69" s="30">
        <f>GOOG[[#This Row],[Stopa zwrotu]]</f>
        <v>-3.2107838221156149E-2</v>
      </c>
      <c r="E69" s="30">
        <f>EBAY[[#This Row],[Stopa zwrotu]]</f>
        <v>-4.465880671668454E-2</v>
      </c>
      <c r="F69" s="30">
        <f>AMZN[[#This Row],[Stopa zwrotu]]</f>
        <v>-3.6820310285534896E-2</v>
      </c>
      <c r="H69" s="9">
        <v>44658</v>
      </c>
      <c r="I69" s="30">
        <v>-2.4922142436127226E-2</v>
      </c>
      <c r="J69" s="30">
        <v>-1.287207419950176E-2</v>
      </c>
      <c r="K69" s="30">
        <v>-1.1441677690496421E-2</v>
      </c>
      <c r="L69" s="30">
        <v>3.7397157816010385E-4</v>
      </c>
      <c r="M69" s="31">
        <v>-1.7443036495343289E-2</v>
      </c>
      <c r="O69" s="9">
        <v>44719</v>
      </c>
      <c r="P69" s="30">
        <v>-1.2181415390996708E-2</v>
      </c>
      <c r="Q69" s="30">
        <v>1.6401332794097723E-2</v>
      </c>
      <c r="R69" s="30">
        <v>-1.2038217635669923E-2</v>
      </c>
      <c r="S69" s="30">
        <v>-1.6642110456243753E-2</v>
      </c>
      <c r="T69" s="31">
        <v>-2.5684525089807342E-2</v>
      </c>
      <c r="V69" s="9">
        <v>44755</v>
      </c>
      <c r="W69" s="30">
        <v>-2.1450819068744242E-2</v>
      </c>
      <c r="X69" s="30">
        <v>-1.536091861711586E-2</v>
      </c>
      <c r="Y69" s="30">
        <v>-2.4359813713036083E-2</v>
      </c>
      <c r="Z69" s="30">
        <v>-2.1693492458443986E-2</v>
      </c>
      <c r="AA69" s="31">
        <v>-2.1506314251663827E-2</v>
      </c>
    </row>
    <row r="70" spans="1:27" x14ac:dyDescent="0.25">
      <c r="A70" s="7">
        <f>NFLX[[#This Row],[Date]]</f>
        <v>44658</v>
      </c>
      <c r="B70" s="30">
        <f>NFLX[[#This Row],[Stopa zwrotu]]</f>
        <v>-2.4922142436127226E-2</v>
      </c>
      <c r="C70" s="30">
        <f>META[[#This Row],[Stopa zwrotu]]</f>
        <v>-1.287207419950176E-2</v>
      </c>
      <c r="D70" s="30">
        <f>GOOG[[#This Row],[Stopa zwrotu]]</f>
        <v>-1.1441677690496421E-2</v>
      </c>
      <c r="E70" s="30">
        <f>EBAY[[#This Row],[Stopa zwrotu]]</f>
        <v>3.7397157816010385E-4</v>
      </c>
      <c r="F70" s="30">
        <f>AMZN[[#This Row],[Stopa zwrotu]]</f>
        <v>-1.7443036495343289E-2</v>
      </c>
      <c r="H70" s="9">
        <v>44659</v>
      </c>
      <c r="I70" s="30">
        <v>3.3362351022860892E-3</v>
      </c>
      <c r="J70" s="30">
        <v>6.7258465110344723E-3</v>
      </c>
      <c r="K70" s="30">
        <v>-8.1920101976866722E-3</v>
      </c>
      <c r="L70" s="30">
        <v>1.1588766355140168E-2</v>
      </c>
      <c r="M70" s="31">
        <v>-1.815411739080619E-3</v>
      </c>
      <c r="O70" s="9">
        <v>44720</v>
      </c>
      <c r="P70" s="30">
        <v>2.404144559585486E-2</v>
      </c>
      <c r="Q70" s="30">
        <v>1.5248832439061166E-2</v>
      </c>
      <c r="R70" s="30">
        <v>1.3648087916297014E-2</v>
      </c>
      <c r="S70" s="30">
        <v>1.3281898029134487E-2</v>
      </c>
      <c r="T70" s="31">
        <v>9.9480231272819353E-4</v>
      </c>
      <c r="V70" s="9">
        <v>44756</v>
      </c>
      <c r="W70" s="30">
        <v>1.2492693208474348E-2</v>
      </c>
      <c r="X70" s="30">
        <v>-1.4598095265972777E-2</v>
      </c>
      <c r="Y70" s="30">
        <v>-2.2334385990974703E-2</v>
      </c>
      <c r="Z70" s="30">
        <v>-1.7167334696407521E-2</v>
      </c>
      <c r="AA70" s="31">
        <v>1.4809923312707696E-2</v>
      </c>
    </row>
    <row r="71" spans="1:27" x14ac:dyDescent="0.25">
      <c r="A71" s="7">
        <f>NFLX[[#This Row],[Date]]</f>
        <v>44659</v>
      </c>
      <c r="B71" s="30">
        <f>NFLX[[#This Row],[Stopa zwrotu]]</f>
        <v>3.3362351022860892E-3</v>
      </c>
      <c r="C71" s="30">
        <f>META[[#This Row],[Stopa zwrotu]]</f>
        <v>6.7258465110344723E-3</v>
      </c>
      <c r="D71" s="30">
        <f>GOOG[[#This Row],[Stopa zwrotu]]</f>
        <v>-8.1920101976866722E-3</v>
      </c>
      <c r="E71" s="30">
        <f>EBAY[[#This Row],[Stopa zwrotu]]</f>
        <v>1.1588766355140168E-2</v>
      </c>
      <c r="F71" s="30">
        <f>AMZN[[#This Row],[Stopa zwrotu]]</f>
        <v>-1.815411739080619E-3</v>
      </c>
      <c r="H71" s="9">
        <v>44662</v>
      </c>
      <c r="I71" s="30">
        <v>-9.0831225859674767E-3</v>
      </c>
      <c r="J71" s="30">
        <v>-7.2868821249536531E-3</v>
      </c>
      <c r="K71" s="30">
        <v>-1.030512560679675E-2</v>
      </c>
      <c r="L71" s="30">
        <v>1.478208945766335E-3</v>
      </c>
      <c r="M71" s="31">
        <v>-7.9891049315594289E-3</v>
      </c>
      <c r="O71" s="9">
        <v>44721</v>
      </c>
      <c r="P71" s="30">
        <v>-2.5804523506398058E-2</v>
      </c>
      <c r="Q71" s="30">
        <v>-5.5192689569616982E-2</v>
      </c>
      <c r="R71" s="30">
        <v>-1.5679528753273719E-2</v>
      </c>
      <c r="S71" s="30">
        <v>-1.8393213919518314E-2</v>
      </c>
      <c r="T71" s="31">
        <v>-3.8509333333333284E-2</v>
      </c>
      <c r="V71" s="9">
        <v>44757</v>
      </c>
      <c r="W71" s="30">
        <v>1.5946868166522687E-2</v>
      </c>
      <c r="X71" s="30">
        <v>1.6149593185081246E-2</v>
      </c>
      <c r="Y71" s="30">
        <v>2.284006933423588E-2</v>
      </c>
      <c r="Z71" s="30">
        <v>3.9543836983410019E-2</v>
      </c>
      <c r="AA71" s="31">
        <v>3.7274529888928765E-2</v>
      </c>
    </row>
    <row r="72" spans="1:27" x14ac:dyDescent="0.25">
      <c r="A72" s="7">
        <f>NFLX[[#This Row],[Date]]</f>
        <v>44662</v>
      </c>
      <c r="B72" s="30">
        <f>NFLX[[#This Row],[Stopa zwrotu]]</f>
        <v>-9.0831225859674767E-3</v>
      </c>
      <c r="C72" s="30">
        <f>META[[#This Row],[Stopa zwrotu]]</f>
        <v>-7.2868821249536531E-3</v>
      </c>
      <c r="D72" s="30">
        <f>GOOG[[#This Row],[Stopa zwrotu]]</f>
        <v>-1.030512560679675E-2</v>
      </c>
      <c r="E72" s="30">
        <f>EBAY[[#This Row],[Stopa zwrotu]]</f>
        <v>1.478208945766335E-3</v>
      </c>
      <c r="F72" s="30">
        <f>AMZN[[#This Row],[Stopa zwrotu]]</f>
        <v>-7.9891049315594289E-3</v>
      </c>
      <c r="H72" s="9">
        <v>44663</v>
      </c>
      <c r="I72" s="30">
        <v>-8.5458050331701507E-3</v>
      </c>
      <c r="J72" s="30">
        <v>-9.7109747713456374E-3</v>
      </c>
      <c r="K72" s="30">
        <v>-1.5750165758876333E-2</v>
      </c>
      <c r="L72" s="30">
        <v>-4.4150477480674466E-3</v>
      </c>
      <c r="M72" s="31">
        <v>-1.0064403840981395E-3</v>
      </c>
      <c r="O72" s="9">
        <v>44722</v>
      </c>
      <c r="P72" s="30">
        <v>-6.0714591383619676E-2</v>
      </c>
      <c r="Q72" s="30">
        <v>-4.7147154453560991E-2</v>
      </c>
      <c r="R72" s="30">
        <v>-3.4875091232688837E-2</v>
      </c>
      <c r="S72" s="30">
        <v>-4.6306289037260417E-2</v>
      </c>
      <c r="T72" s="31">
        <v>-6.0723472191618777E-2</v>
      </c>
      <c r="V72" s="9">
        <v>44760</v>
      </c>
      <c r="W72" s="30">
        <v>2.9101751402785075E-2</v>
      </c>
      <c r="X72" s="30">
        <v>1.2138638770885132E-2</v>
      </c>
      <c r="Y72" s="30">
        <v>-7.5193541993900199E-3</v>
      </c>
      <c r="Z72" s="30">
        <v>3.8895373266217468E-3</v>
      </c>
      <c r="AA72" s="31">
        <v>4.6599338528518315E-3</v>
      </c>
    </row>
    <row r="73" spans="1:27" x14ac:dyDescent="0.25">
      <c r="A73" s="7">
        <f>NFLX[[#This Row],[Date]]</f>
        <v>44663</v>
      </c>
      <c r="B73" s="30">
        <f>NFLX[[#This Row],[Stopa zwrotu]]</f>
        <v>-8.5458050331701507E-3</v>
      </c>
      <c r="C73" s="30">
        <f>META[[#This Row],[Stopa zwrotu]]</f>
        <v>-9.7109747713456374E-3</v>
      </c>
      <c r="D73" s="30">
        <f>GOOG[[#This Row],[Stopa zwrotu]]</f>
        <v>-1.5750165758876333E-2</v>
      </c>
      <c r="E73" s="30">
        <f>EBAY[[#This Row],[Stopa zwrotu]]</f>
        <v>-4.4150477480674466E-3</v>
      </c>
      <c r="F73" s="30">
        <f>AMZN[[#This Row],[Stopa zwrotu]]</f>
        <v>-1.0064403840981395E-3</v>
      </c>
      <c r="H73" s="9">
        <v>44664</v>
      </c>
      <c r="I73" s="30">
        <v>-3.1847947406865584E-3</v>
      </c>
      <c r="J73" s="30">
        <v>-8.4455635423084097E-3</v>
      </c>
      <c r="K73" s="30">
        <v>6.7614835630991355E-3</v>
      </c>
      <c r="L73" s="30">
        <v>-2.9563932549222516E-3</v>
      </c>
      <c r="M73" s="31">
        <v>-5.2066391867866546E-3</v>
      </c>
      <c r="O73" s="9">
        <v>44725</v>
      </c>
      <c r="P73" s="30">
        <v>-2.1915028302514978E-2</v>
      </c>
      <c r="Q73" s="30">
        <v>-2.093095027011882E-2</v>
      </c>
      <c r="R73" s="30">
        <v>-1.2847767324246898E-2</v>
      </c>
      <c r="S73" s="30">
        <v>-1.211985122221885E-2</v>
      </c>
      <c r="T73" s="31">
        <v>-2.1977691585513621E-2</v>
      </c>
      <c r="V73" s="9">
        <v>44761</v>
      </c>
      <c r="W73" s="30">
        <v>-7.3762327601227806E-3</v>
      </c>
      <c r="X73" s="30">
        <v>2.3363897750325435E-2</v>
      </c>
      <c r="Y73" s="30">
        <v>1.097892925034949E-2</v>
      </c>
      <c r="Z73" s="30">
        <v>1.2456771047602011E-2</v>
      </c>
      <c r="AA73" s="31">
        <v>7.7772601365044824E-3</v>
      </c>
    </row>
    <row r="74" spans="1:27" x14ac:dyDescent="0.25">
      <c r="A74" s="7">
        <f>NFLX[[#This Row],[Date]]</f>
        <v>44664</v>
      </c>
      <c r="B74" s="30">
        <f>NFLX[[#This Row],[Stopa zwrotu]]</f>
        <v>-3.1847947406865584E-3</v>
      </c>
      <c r="C74" s="30">
        <f>META[[#This Row],[Stopa zwrotu]]</f>
        <v>-8.4455635423084097E-3</v>
      </c>
      <c r="D74" s="30">
        <f>GOOG[[#This Row],[Stopa zwrotu]]</f>
        <v>6.7614835630991355E-3</v>
      </c>
      <c r="E74" s="30">
        <f>EBAY[[#This Row],[Stopa zwrotu]]</f>
        <v>-2.9563932549222516E-3</v>
      </c>
      <c r="F74" s="30">
        <f>AMZN[[#This Row],[Stopa zwrotu]]</f>
        <v>-5.2066391867866546E-3</v>
      </c>
      <c r="H74" s="9">
        <v>44665</v>
      </c>
      <c r="I74" s="30">
        <v>-3.8105844318140347E-3</v>
      </c>
      <c r="J74" s="30">
        <v>-6.2934840647945745E-3</v>
      </c>
      <c r="K74" s="30">
        <v>-1.0332524726464953E-2</v>
      </c>
      <c r="L74" s="30">
        <v>3.7066346127967442E-4</v>
      </c>
      <c r="M74" s="31">
        <v>1.251332837513397E-2</v>
      </c>
      <c r="O74" s="9">
        <v>44726</v>
      </c>
      <c r="P74" s="30">
        <v>-2.7698909837284624E-2</v>
      </c>
      <c r="Q74" s="30">
        <v>-1.6277498117889921E-2</v>
      </c>
      <c r="R74" s="30">
        <v>-2.2146384870100899E-3</v>
      </c>
      <c r="S74" s="30">
        <v>-1.0780384850264002E-2</v>
      </c>
      <c r="T74" s="31">
        <v>-4.2214902393333809E-3</v>
      </c>
      <c r="V74" s="9">
        <v>44762</v>
      </c>
      <c r="W74" s="30">
        <v>6.2101976500062994E-2</v>
      </c>
      <c r="X74" s="30">
        <v>4.2416389664809984E-2</v>
      </c>
      <c r="Y74" s="30">
        <v>2.4977393665158276E-2</v>
      </c>
      <c r="Z74" s="30">
        <v>3.4859854975161753E-2</v>
      </c>
      <c r="AA74" s="31">
        <v>3.7621687605206233E-2</v>
      </c>
    </row>
    <row r="75" spans="1:27" x14ac:dyDescent="0.25">
      <c r="A75" s="7">
        <f>NFLX[[#This Row],[Date]]</f>
        <v>44665</v>
      </c>
      <c r="B75" s="30">
        <f>NFLX[[#This Row],[Stopa zwrotu]]</f>
        <v>-3.8105844318140347E-3</v>
      </c>
      <c r="C75" s="30">
        <f>META[[#This Row],[Stopa zwrotu]]</f>
        <v>-6.2934840647945745E-3</v>
      </c>
      <c r="D75" s="30">
        <f>GOOG[[#This Row],[Stopa zwrotu]]</f>
        <v>-1.0332524726464953E-2</v>
      </c>
      <c r="E75" s="30">
        <f>EBAY[[#This Row],[Stopa zwrotu]]</f>
        <v>3.7066346127967442E-4</v>
      </c>
      <c r="F75" s="30">
        <f>AMZN[[#This Row],[Stopa zwrotu]]</f>
        <v>1.251332837513397E-2</v>
      </c>
      <c r="H75" s="9">
        <v>44669</v>
      </c>
      <c r="I75" s="30">
        <v>-6.0613122783489681E-3</v>
      </c>
      <c r="J75" s="30">
        <v>-2.0238059523809415E-3</v>
      </c>
      <c r="K75" s="30">
        <v>-1.0483925200035493E-3</v>
      </c>
      <c r="L75" s="30">
        <v>-1.4357261948869937E-3</v>
      </c>
      <c r="M75" s="31">
        <v>-2.0160425689236261E-3</v>
      </c>
      <c r="O75" s="9">
        <v>44727</v>
      </c>
      <c r="P75" s="30">
        <v>2.587046521713221E-2</v>
      </c>
      <c r="Q75" s="30">
        <v>1.6236954534971648E-2</v>
      </c>
      <c r="R75" s="30">
        <v>1.6612334980414145E-2</v>
      </c>
      <c r="S75" s="30">
        <v>8.765766613735293E-3</v>
      </c>
      <c r="T75" s="31">
        <v>2.0703923888395925E-2</v>
      </c>
      <c r="V75" s="9">
        <v>44763</v>
      </c>
      <c r="W75" s="30">
        <v>5.6971482549580621E-2</v>
      </c>
      <c r="X75" s="30">
        <v>1.22806906442674E-2</v>
      </c>
      <c r="Y75" s="30">
        <v>-1.1919459439882374E-2</v>
      </c>
      <c r="Z75" s="30">
        <v>9.4671954851253126E-3</v>
      </c>
      <c r="AA75" s="31">
        <v>2.4847887085868825E-2</v>
      </c>
    </row>
    <row r="76" spans="1:27" x14ac:dyDescent="0.25">
      <c r="A76" s="7">
        <f>NFLX[[#This Row],[Date]]</f>
        <v>44669</v>
      </c>
      <c r="B76" s="30">
        <f>NFLX[[#This Row],[Stopa zwrotu]]</f>
        <v>-6.0613122783489681E-3</v>
      </c>
      <c r="C76" s="30">
        <f>META[[#This Row],[Stopa zwrotu]]</f>
        <v>-2.0238059523809415E-3</v>
      </c>
      <c r="D76" s="30">
        <f>GOOG[[#This Row],[Stopa zwrotu]]</f>
        <v>-1.0483925200035493E-3</v>
      </c>
      <c r="E76" s="30">
        <f>EBAY[[#This Row],[Stopa zwrotu]]</f>
        <v>-1.4357261948869937E-3</v>
      </c>
      <c r="F76" s="30">
        <f>AMZN[[#This Row],[Stopa zwrotu]]</f>
        <v>-2.0160425689236261E-3</v>
      </c>
      <c r="H76" s="9">
        <v>44670</v>
      </c>
      <c r="I76" s="30">
        <v>4.8248176350162986E-3</v>
      </c>
      <c r="J76" s="30">
        <v>3.3605232353262071E-3</v>
      </c>
      <c r="K76" s="30">
        <v>6.8972797447603984E-3</v>
      </c>
      <c r="L76" s="30">
        <v>9.1299053150699638E-3</v>
      </c>
      <c r="M76" s="31">
        <v>8.6522371998167813E-3</v>
      </c>
      <c r="O76" s="9">
        <v>44728</v>
      </c>
      <c r="P76" s="30">
        <v>1.7978989010734026E-2</v>
      </c>
      <c r="Q76" s="30">
        <v>-2.6649561572132163E-2</v>
      </c>
      <c r="R76" s="30">
        <v>-2.1515684901727394E-2</v>
      </c>
      <c r="S76" s="30">
        <v>-4.8379565599832475E-2</v>
      </c>
      <c r="T76" s="31">
        <v>-1.4681705927573785E-2</v>
      </c>
      <c r="V76" s="9">
        <v>44764</v>
      </c>
      <c r="W76" s="30">
        <v>3.2813248226950309E-2</v>
      </c>
      <c r="X76" s="30">
        <v>-5.8478175727572412E-2</v>
      </c>
      <c r="Y76" s="30">
        <v>-3.8513143114533355E-2</v>
      </c>
      <c r="Z76" s="30">
        <v>1.1123293833077197E-2</v>
      </c>
      <c r="AA76" s="31">
        <v>7.421738290915858E-4</v>
      </c>
    </row>
    <row r="77" spans="1:27" x14ac:dyDescent="0.25">
      <c r="A77" s="7">
        <f>NFLX[[#This Row],[Date]]</f>
        <v>44670</v>
      </c>
      <c r="B77" s="30">
        <f>NFLX[[#This Row],[Stopa zwrotu]]</f>
        <v>4.8248176350162986E-3</v>
      </c>
      <c r="C77" s="30">
        <f>META[[#This Row],[Stopa zwrotu]]</f>
        <v>3.3605232353262071E-3</v>
      </c>
      <c r="D77" s="30">
        <f>GOOG[[#This Row],[Stopa zwrotu]]</f>
        <v>6.8972797447603984E-3</v>
      </c>
      <c r="E77" s="30">
        <f>EBAY[[#This Row],[Stopa zwrotu]]</f>
        <v>9.1299053150699638E-3</v>
      </c>
      <c r="F77" s="30">
        <f>AMZN[[#This Row],[Stopa zwrotu]]</f>
        <v>8.6522371998167813E-3</v>
      </c>
      <c r="H77" s="9">
        <v>44671</v>
      </c>
      <c r="I77" s="30">
        <v>-0.36225318299545894</v>
      </c>
      <c r="J77" s="30">
        <v>-4.8229674641148357E-2</v>
      </c>
      <c r="K77" s="30">
        <v>3.4723090744324114E-3</v>
      </c>
      <c r="L77" s="30">
        <v>1.1078249630723791E-2</v>
      </c>
      <c r="M77" s="31">
        <v>1.3546592754057896E-2</v>
      </c>
      <c r="O77" s="9">
        <v>44729</v>
      </c>
      <c r="P77" s="30">
        <v>1.0375367339419128E-2</v>
      </c>
      <c r="Q77" s="30">
        <v>1.8168848955772976E-3</v>
      </c>
      <c r="R77" s="30">
        <v>-1.5497790046615778E-3</v>
      </c>
      <c r="S77" s="30">
        <v>2.245804540967411E-2</v>
      </c>
      <c r="T77" s="31">
        <v>4.9014801509366102E-3</v>
      </c>
      <c r="V77" s="9">
        <v>44767</v>
      </c>
      <c r="W77" s="30">
        <v>-3.1892754392729059E-3</v>
      </c>
      <c r="X77" s="30">
        <v>-7.125479315349903E-3</v>
      </c>
      <c r="Y77" s="30">
        <v>-1.8277447675540959E-3</v>
      </c>
      <c r="Z77" s="30">
        <v>-1.5818377570785043E-3</v>
      </c>
      <c r="AA77" s="31">
        <v>-3.6258728794265429E-3</v>
      </c>
    </row>
    <row r="78" spans="1:27" x14ac:dyDescent="0.25">
      <c r="A78" s="7">
        <f>NFLX[[#This Row],[Date]]</f>
        <v>44671</v>
      </c>
      <c r="B78" s="30">
        <f>NFLX[[#This Row],[Stopa zwrotu]]</f>
        <v>-0.36225318299545894</v>
      </c>
      <c r="C78" s="30">
        <f>META[[#This Row],[Stopa zwrotu]]</f>
        <v>-4.8229674641148357E-2</v>
      </c>
      <c r="D78" s="30">
        <f>GOOG[[#This Row],[Stopa zwrotu]]</f>
        <v>3.4723090744324114E-3</v>
      </c>
      <c r="E78" s="30">
        <f>EBAY[[#This Row],[Stopa zwrotu]]</f>
        <v>1.1078249630723791E-2</v>
      </c>
      <c r="F78" s="30">
        <f>AMZN[[#This Row],[Stopa zwrotu]]</f>
        <v>1.3546592754057896E-2</v>
      </c>
      <c r="H78" s="9">
        <v>44672</v>
      </c>
      <c r="I78" s="30">
        <v>-4.6585620596339972E-3</v>
      </c>
      <c r="J78" s="30">
        <v>-6.7062116097547864E-2</v>
      </c>
      <c r="K78" s="30">
        <v>-2.5365128202874732E-2</v>
      </c>
      <c r="L78" s="30">
        <v>-3.8348978756355123E-3</v>
      </c>
      <c r="M78" s="31">
        <v>-3.9152799252621162E-2</v>
      </c>
      <c r="O78" s="9">
        <v>44733</v>
      </c>
      <c r="P78" s="30">
        <v>-5.1055628846328194E-3</v>
      </c>
      <c r="Q78" s="30">
        <v>-6.1444545770276693E-3</v>
      </c>
      <c r="R78" s="30">
        <v>8.674158334544213E-3</v>
      </c>
      <c r="S78" s="30">
        <v>4.6463975380159339E-3</v>
      </c>
      <c r="T78" s="31">
        <v>2.5607159777442656E-3</v>
      </c>
      <c r="V78" s="9">
        <v>44768</v>
      </c>
      <c r="W78" s="30">
        <v>-2.1770311390700958E-2</v>
      </c>
      <c r="X78" s="30">
        <v>-4.1623694455721116E-2</v>
      </c>
      <c r="Y78" s="30">
        <v>-2.1026071936714796E-2</v>
      </c>
      <c r="Z78" s="30">
        <v>-1.9289098814241457E-2</v>
      </c>
      <c r="AA78" s="31">
        <v>-4.5821878245620895E-2</v>
      </c>
    </row>
    <row r="79" spans="1:27" x14ac:dyDescent="0.25">
      <c r="A79" s="7">
        <f>NFLX[[#This Row],[Date]]</f>
        <v>44672</v>
      </c>
      <c r="B79" s="30">
        <f>NFLX[[#This Row],[Stopa zwrotu]]</f>
        <v>-4.6585620596339972E-3</v>
      </c>
      <c r="C79" s="30">
        <f>META[[#This Row],[Stopa zwrotu]]</f>
        <v>-6.7062116097547864E-2</v>
      </c>
      <c r="D79" s="30">
        <f>GOOG[[#This Row],[Stopa zwrotu]]</f>
        <v>-2.5365128202874732E-2</v>
      </c>
      <c r="E79" s="30">
        <f>EBAY[[#This Row],[Stopa zwrotu]]</f>
        <v>-3.8348978756355123E-3</v>
      </c>
      <c r="F79" s="30">
        <f>AMZN[[#This Row],[Stopa zwrotu]]</f>
        <v>-3.9152799252621162E-2</v>
      </c>
      <c r="H79" s="9">
        <v>44673</v>
      </c>
      <c r="I79" s="30">
        <v>-6.9497020244004837E-3</v>
      </c>
      <c r="J79" s="30">
        <v>-1.2447451099822704E-2</v>
      </c>
      <c r="K79" s="30">
        <v>-4.4199750594468568E-2</v>
      </c>
      <c r="L79" s="30">
        <v>-2.6947699852386764E-2</v>
      </c>
      <c r="M79" s="31">
        <v>-2.6370427331165125E-2</v>
      </c>
      <c r="O79" s="9">
        <v>44734</v>
      </c>
      <c r="P79" s="30">
        <v>2.355677225753583E-3</v>
      </c>
      <c r="Q79" s="30">
        <v>-3.398082942885905E-3</v>
      </c>
      <c r="R79" s="30">
        <v>1.3091299672223E-2</v>
      </c>
      <c r="S79" s="30">
        <v>-8.7677486073993727E-3</v>
      </c>
      <c r="T79" s="31">
        <v>3.3410574225773981E-2</v>
      </c>
      <c r="V79" s="9">
        <v>44769</v>
      </c>
      <c r="W79" s="30">
        <v>1.3891528132165654E-2</v>
      </c>
      <c r="X79" s="30">
        <v>2.5767692797107111E-2</v>
      </c>
      <c r="Y79" s="30">
        <v>3.4936960005021778E-2</v>
      </c>
      <c r="Z79" s="30">
        <v>1.2817723756906041E-2</v>
      </c>
      <c r="AA79" s="31">
        <v>2.2963459556128996E-2</v>
      </c>
    </row>
    <row r="80" spans="1:27" x14ac:dyDescent="0.25">
      <c r="A80" s="7">
        <f>NFLX[[#This Row],[Date]]</f>
        <v>44673</v>
      </c>
      <c r="B80" s="30">
        <f>NFLX[[#This Row],[Stopa zwrotu]]</f>
        <v>-6.9497020244004837E-3</v>
      </c>
      <c r="C80" s="30">
        <f>META[[#This Row],[Stopa zwrotu]]</f>
        <v>-1.2447451099822704E-2</v>
      </c>
      <c r="D80" s="30">
        <f>GOOG[[#This Row],[Stopa zwrotu]]</f>
        <v>-4.4199750594468568E-2</v>
      </c>
      <c r="E80" s="30">
        <f>EBAY[[#This Row],[Stopa zwrotu]]</f>
        <v>-2.6947699852386764E-2</v>
      </c>
      <c r="F80" s="30">
        <f>AMZN[[#This Row],[Stopa zwrotu]]</f>
        <v>-2.6370427331165125E-2</v>
      </c>
      <c r="H80" s="9">
        <v>44676</v>
      </c>
      <c r="I80" s="30">
        <v>-8.791570135485002E-3</v>
      </c>
      <c r="J80" s="30">
        <v>-2.9282842524883299E-3</v>
      </c>
      <c r="K80" s="30">
        <v>-1.0387007794765795E-3</v>
      </c>
      <c r="L80" s="30">
        <v>-2.323555551737392E-3</v>
      </c>
      <c r="M80" s="31">
        <v>-3.2266672428771606E-3</v>
      </c>
      <c r="O80" s="9">
        <v>44735</v>
      </c>
      <c r="P80" s="30">
        <v>3.3313737367457241E-2</v>
      </c>
      <c r="Q80" s="30">
        <v>-7.6556998500295625E-3</v>
      </c>
      <c r="R80" s="30">
        <v>2.7518982577057205E-3</v>
      </c>
      <c r="S80" s="30">
        <v>5.2593112474630388E-3</v>
      </c>
      <c r="T80" s="31">
        <v>8.5031118062917077E-3</v>
      </c>
      <c r="V80" s="9">
        <v>44770</v>
      </c>
      <c r="W80" s="30">
        <v>2.3720737965134298E-2</v>
      </c>
      <c r="X80" s="30">
        <v>-4.4253782390969443E-2</v>
      </c>
      <c r="Y80" s="30">
        <v>3.1645453452231243E-2</v>
      </c>
      <c r="Z80" s="30">
        <v>1.4182805403325061E-2</v>
      </c>
      <c r="AA80" s="31">
        <v>7.852492050102633E-3</v>
      </c>
    </row>
    <row r="81" spans="1:27" x14ac:dyDescent="0.25">
      <c r="A81" s="7">
        <f>NFLX[[#This Row],[Date]]</f>
        <v>44676</v>
      </c>
      <c r="B81" s="30">
        <f>NFLX[[#This Row],[Stopa zwrotu]]</f>
        <v>-8.791570135485002E-3</v>
      </c>
      <c r="C81" s="30">
        <f>META[[#This Row],[Stopa zwrotu]]</f>
        <v>-2.9282842524883299E-3</v>
      </c>
      <c r="D81" s="30">
        <f>GOOG[[#This Row],[Stopa zwrotu]]</f>
        <v>-1.0387007794765795E-3</v>
      </c>
      <c r="E81" s="30">
        <f>EBAY[[#This Row],[Stopa zwrotu]]</f>
        <v>-2.323555551737392E-3</v>
      </c>
      <c r="F81" s="30">
        <f>AMZN[[#This Row],[Stopa zwrotu]]</f>
        <v>-3.2266672428771606E-3</v>
      </c>
      <c r="H81" s="9">
        <v>44677</v>
      </c>
      <c r="I81" s="30">
        <v>-3.0463039227006994E-2</v>
      </c>
      <c r="J81" s="30">
        <v>-1.1890366357142579E-2</v>
      </c>
      <c r="K81" s="30">
        <v>3.3055778604780262E-3</v>
      </c>
      <c r="L81" s="30">
        <v>-4.3634794984535041E-3</v>
      </c>
      <c r="M81" s="31">
        <v>-2.3730461565765415E-2</v>
      </c>
      <c r="O81" s="9">
        <v>44736</v>
      </c>
      <c r="P81" s="30">
        <v>3.3945534597871641E-2</v>
      </c>
      <c r="Q81" s="30">
        <v>4.5705043760129627E-2</v>
      </c>
      <c r="R81" s="30">
        <v>2.3183114530285875E-2</v>
      </c>
      <c r="S81" s="30">
        <v>2.7824067249086148E-2</v>
      </c>
      <c r="T81" s="31">
        <v>3.2428425831557472E-2</v>
      </c>
      <c r="V81" s="9">
        <v>44771</v>
      </c>
      <c r="W81" s="30">
        <v>1.242771441186985E-2</v>
      </c>
      <c r="X81" s="30">
        <v>2.0664642402401512E-3</v>
      </c>
      <c r="Y81" s="30">
        <v>1.2328946765410187E-2</v>
      </c>
      <c r="Z81" s="30">
        <v>4.0877818416523271E-2</v>
      </c>
      <c r="AA81" s="31">
        <v>0.12135841596615138</v>
      </c>
    </row>
    <row r="82" spans="1:27" x14ac:dyDescent="0.25">
      <c r="A82" s="7">
        <f>NFLX[[#This Row],[Date]]</f>
        <v>44677</v>
      </c>
      <c r="B82" s="30">
        <f>NFLX[[#This Row],[Stopa zwrotu]]</f>
        <v>-3.0463039227006994E-2</v>
      </c>
      <c r="C82" s="30">
        <f>META[[#This Row],[Stopa zwrotu]]</f>
        <v>-1.1890366357142579E-2</v>
      </c>
      <c r="D82" s="30">
        <f>GOOG[[#This Row],[Stopa zwrotu]]</f>
        <v>3.3055778604780262E-3</v>
      </c>
      <c r="E82" s="30">
        <f>EBAY[[#This Row],[Stopa zwrotu]]</f>
        <v>-4.3634794984535041E-3</v>
      </c>
      <c r="F82" s="30">
        <f>AMZN[[#This Row],[Stopa zwrotu]]</f>
        <v>-2.3730461565765415E-2</v>
      </c>
      <c r="H82" s="9">
        <v>44678</v>
      </c>
      <c r="I82" s="30">
        <v>-5.3005825363152237E-2</v>
      </c>
      <c r="J82" s="30">
        <v>-5.8495821727019504E-2</v>
      </c>
      <c r="K82" s="30">
        <v>-5.0667205989165187E-2</v>
      </c>
      <c r="L82" s="30">
        <v>-9.1463414634145312E-3</v>
      </c>
      <c r="M82" s="31">
        <v>-2.2644657250054046E-2</v>
      </c>
      <c r="O82" s="9">
        <v>44739</v>
      </c>
      <c r="P82" s="30">
        <v>1.0082178693697763E-3</v>
      </c>
      <c r="Q82" s="30">
        <v>1.3866484553010242E-2</v>
      </c>
      <c r="R82" s="30">
        <v>7.0354687326896021E-3</v>
      </c>
      <c r="S82" s="30">
        <v>7.7124786122363771E-3</v>
      </c>
      <c r="T82" s="31">
        <v>3.7990876185347577E-3</v>
      </c>
      <c r="V82" s="9">
        <v>44774</v>
      </c>
      <c r="W82" s="30">
        <v>-2.0983124067290491E-3</v>
      </c>
      <c r="X82" s="30">
        <v>1.2888659915644141E-4</v>
      </c>
      <c r="Y82" s="30">
        <v>4.2980333872581307E-3</v>
      </c>
      <c r="Z82" s="30">
        <v>-5.0296195735919742E-3</v>
      </c>
      <c r="AA82" s="31">
        <v>2.7691538070392006E-3</v>
      </c>
    </row>
    <row r="83" spans="1:27" x14ac:dyDescent="0.25">
      <c r="A83" s="7">
        <f>NFLX[[#This Row],[Date]]</f>
        <v>44678</v>
      </c>
      <c r="B83" s="30">
        <f>NFLX[[#This Row],[Stopa zwrotu]]</f>
        <v>-5.3005825363152237E-2</v>
      </c>
      <c r="C83" s="30">
        <f>META[[#This Row],[Stopa zwrotu]]</f>
        <v>-5.8495821727019504E-2</v>
      </c>
      <c r="D83" s="30">
        <f>GOOG[[#This Row],[Stopa zwrotu]]</f>
        <v>-5.0667205989165187E-2</v>
      </c>
      <c r="E83" s="30">
        <f>EBAY[[#This Row],[Stopa zwrotu]]</f>
        <v>-9.1463414634145312E-3</v>
      </c>
      <c r="F83" s="30">
        <f>AMZN[[#This Row],[Stopa zwrotu]]</f>
        <v>-2.2644657250054046E-2</v>
      </c>
      <c r="H83" s="9">
        <v>44679</v>
      </c>
      <c r="I83" s="30">
        <v>-1.1556680799772456E-2</v>
      </c>
      <c r="J83" s="30">
        <v>0.14142008284023655</v>
      </c>
      <c r="K83" s="30">
        <v>1.7853342358453705E-2</v>
      </c>
      <c r="L83" s="30">
        <v>2.884653846153773E-3</v>
      </c>
      <c r="M83" s="31">
        <v>3.326258516563585E-2</v>
      </c>
      <c r="O83" s="9">
        <v>44740</v>
      </c>
      <c r="P83" s="30">
        <v>-1.6557947346663493E-2</v>
      </c>
      <c r="Q83" s="30">
        <v>-4.4044962920211983E-2</v>
      </c>
      <c r="R83" s="30">
        <v>-3.0661422976341446E-2</v>
      </c>
      <c r="S83" s="30">
        <v>-3.6635073798392814E-2</v>
      </c>
      <c r="T83" s="31">
        <v>-5.0221793705992668E-2</v>
      </c>
      <c r="V83" s="9">
        <v>44775</v>
      </c>
      <c r="W83" s="30">
        <v>-5.4296380090490537E-4</v>
      </c>
      <c r="X83" s="30">
        <v>1.7908903379730834E-2</v>
      </c>
      <c r="Y83" s="30">
        <v>-3.7492370084709625E-3</v>
      </c>
      <c r="Z83" s="30">
        <v>2.0985938258721859E-3</v>
      </c>
      <c r="AA83" s="31">
        <v>4.3442515296328033E-3</v>
      </c>
    </row>
    <row r="84" spans="1:27" x14ac:dyDescent="0.25">
      <c r="A84" s="7">
        <f>NFLX[[#This Row],[Date]]</f>
        <v>44679</v>
      </c>
      <c r="B84" s="30">
        <f>NFLX[[#This Row],[Stopa zwrotu]]</f>
        <v>-1.1556680799772456E-2</v>
      </c>
      <c r="C84" s="30">
        <f>META[[#This Row],[Stopa zwrotu]]</f>
        <v>0.14142008284023655</v>
      </c>
      <c r="D84" s="30">
        <f>GOOG[[#This Row],[Stopa zwrotu]]</f>
        <v>1.7853342358453705E-2</v>
      </c>
      <c r="E84" s="30">
        <f>EBAY[[#This Row],[Stopa zwrotu]]</f>
        <v>2.884653846153773E-3</v>
      </c>
      <c r="F84" s="30">
        <f>AMZN[[#This Row],[Stopa zwrotu]]</f>
        <v>3.326258516563585E-2</v>
      </c>
      <c r="H84" s="9">
        <v>44680</v>
      </c>
      <c r="I84" s="30">
        <v>2.3706863457752192E-2</v>
      </c>
      <c r="J84" s="30">
        <v>3.6288233373402701E-2</v>
      </c>
      <c r="K84" s="30">
        <v>-3.907267408994497E-3</v>
      </c>
      <c r="L84" s="30">
        <v>-1.2080574800361399E-2</v>
      </c>
      <c r="M84" s="31">
        <v>-0.13310764505115513</v>
      </c>
      <c r="O84" s="9">
        <v>44741</v>
      </c>
      <c r="P84" s="30">
        <v>-2.3805480955719438E-2</v>
      </c>
      <c r="Q84" s="30">
        <v>-1.8055787198457685E-3</v>
      </c>
      <c r="R84" s="30">
        <v>-7.9150421543168203E-3</v>
      </c>
      <c r="S84" s="30">
        <v>-7.0422303775694584E-3</v>
      </c>
      <c r="T84" s="31">
        <v>-1.2144712143641323E-3</v>
      </c>
      <c r="V84" s="9">
        <v>44776</v>
      </c>
      <c r="W84" s="30">
        <v>6.97207970454361E-3</v>
      </c>
      <c r="X84" s="30">
        <v>2.2530296263853389E-2</v>
      </c>
      <c r="Y84" s="30">
        <v>1.6541221485362856E-2</v>
      </c>
      <c r="Z84" s="30">
        <v>2.6178010471204161E-2</v>
      </c>
      <c r="AA84" s="31">
        <v>1.4617100890956802E-2</v>
      </c>
    </row>
    <row r="85" spans="1:27" x14ac:dyDescent="0.25">
      <c r="A85" s="7">
        <f>NFLX[[#This Row],[Date]]</f>
        <v>44680</v>
      </c>
      <c r="B85" s="30">
        <f>NFLX[[#This Row],[Stopa zwrotu]]</f>
        <v>2.3706863457752192E-2</v>
      </c>
      <c r="C85" s="30">
        <f>META[[#This Row],[Stopa zwrotu]]</f>
        <v>3.6288233373402701E-2</v>
      </c>
      <c r="D85" s="30">
        <f>GOOG[[#This Row],[Stopa zwrotu]]</f>
        <v>-3.907267408994497E-3</v>
      </c>
      <c r="E85" s="30">
        <f>EBAY[[#This Row],[Stopa zwrotu]]</f>
        <v>-1.2080574800361399E-2</v>
      </c>
      <c r="F85" s="30">
        <f>AMZN[[#This Row],[Stopa zwrotu]]</f>
        <v>-0.13310764505115513</v>
      </c>
      <c r="H85" s="9">
        <v>44683</v>
      </c>
      <c r="I85" s="30">
        <v>1.7535087719326253E-5</v>
      </c>
      <c r="J85" s="30">
        <v>1.817593851453525E-3</v>
      </c>
      <c r="K85" s="30">
        <v>-3.7621904081004041E-3</v>
      </c>
      <c r="L85" s="30">
        <v>-3.8820522774326199E-4</v>
      </c>
      <c r="M85" s="31">
        <v>-8.9071599862966897E-3</v>
      </c>
      <c r="O85" s="9">
        <v>44742</v>
      </c>
      <c r="P85" s="30">
        <v>-2.7412923104068954E-2</v>
      </c>
      <c r="Q85" s="30">
        <v>-1.1414682635336959E-2</v>
      </c>
      <c r="R85" s="30">
        <v>-3.8044381751937362E-2</v>
      </c>
      <c r="S85" s="30">
        <v>-3.0260024356028814E-2</v>
      </c>
      <c r="T85" s="31">
        <v>-4.1062639937792911E-2</v>
      </c>
      <c r="V85" s="9">
        <v>44777</v>
      </c>
      <c r="W85" s="30">
        <v>1.1824498802486261E-2</v>
      </c>
      <c r="X85" s="30">
        <v>3.2369844484812171E-2</v>
      </c>
      <c r="Y85" s="30">
        <v>1.3430882248284481E-2</v>
      </c>
      <c r="Z85" s="30">
        <v>-4.7755102040816344E-2</v>
      </c>
      <c r="AA85" s="31">
        <v>2.5725835522399709E-2</v>
      </c>
    </row>
    <row r="86" spans="1:27" x14ac:dyDescent="0.25">
      <c r="A86" s="7">
        <f>NFLX[[#This Row],[Date]]</f>
        <v>44683</v>
      </c>
      <c r="B86" s="30">
        <f>NFLX[[#This Row],[Stopa zwrotu]]</f>
        <v>1.7535087719326253E-5</v>
      </c>
      <c r="C86" s="30">
        <f>META[[#This Row],[Stopa zwrotu]]</f>
        <v>1.817593851453525E-3</v>
      </c>
      <c r="D86" s="30">
        <f>GOOG[[#This Row],[Stopa zwrotu]]</f>
        <v>-3.7621904081004041E-3</v>
      </c>
      <c r="E86" s="30">
        <f>EBAY[[#This Row],[Stopa zwrotu]]</f>
        <v>-3.8820522774326199E-4</v>
      </c>
      <c r="F86" s="30">
        <f>AMZN[[#This Row],[Stopa zwrotu]]</f>
        <v>-8.9071599862966897E-3</v>
      </c>
      <c r="H86" s="9">
        <v>44684</v>
      </c>
      <c r="I86" s="30">
        <v>2.5051361113924475E-2</v>
      </c>
      <c r="J86" s="30">
        <v>3.5325094897131981E-2</v>
      </c>
      <c r="K86" s="30">
        <v>2.8461334105729597E-2</v>
      </c>
      <c r="L86" s="30">
        <v>3.0314827639231101E-2</v>
      </c>
      <c r="M86" s="31">
        <v>3.7592371700105653E-2</v>
      </c>
      <c r="O86" s="9">
        <v>44743</v>
      </c>
      <c r="P86" s="30">
        <v>2.3311808162446157E-2</v>
      </c>
      <c r="Q86" s="30">
        <v>-2.2020347592266121E-2</v>
      </c>
      <c r="R86" s="30">
        <v>-1.910306623992275E-3</v>
      </c>
      <c r="S86" s="30">
        <v>1.8039931740614357E-2</v>
      </c>
      <c r="T86" s="31">
        <v>3.2481477735509356E-2</v>
      </c>
      <c r="V86" s="9">
        <v>44778</v>
      </c>
      <c r="W86" s="30">
        <v>-9.6867716993543906E-3</v>
      </c>
      <c r="X86" s="30">
        <v>-5.9952037291030047E-3</v>
      </c>
      <c r="Y86" s="30">
        <v>-8.4954550037843468E-3</v>
      </c>
      <c r="Z86" s="30">
        <v>6.4292756108019766E-4</v>
      </c>
      <c r="AA86" s="31">
        <v>3.5831600806202069E-4</v>
      </c>
    </row>
    <row r="87" spans="1:27" x14ac:dyDescent="0.25">
      <c r="A87" s="7">
        <f>NFLX[[#This Row],[Date]]</f>
        <v>44684</v>
      </c>
      <c r="B87" s="30">
        <f>NFLX[[#This Row],[Stopa zwrotu]]</f>
        <v>2.5051361113924475E-2</v>
      </c>
      <c r="C87" s="30">
        <f>META[[#This Row],[Stopa zwrotu]]</f>
        <v>3.5325094897131981E-2</v>
      </c>
      <c r="D87" s="30">
        <f>GOOG[[#This Row],[Stopa zwrotu]]</f>
        <v>2.8461334105729597E-2</v>
      </c>
      <c r="E87" s="30">
        <f>EBAY[[#This Row],[Stopa zwrotu]]</f>
        <v>3.0314827639231101E-2</v>
      </c>
      <c r="F87" s="30">
        <f>AMZN[[#This Row],[Stopa zwrotu]]</f>
        <v>3.7592371700105653E-2</v>
      </c>
      <c r="H87" s="9">
        <v>44685</v>
      </c>
      <c r="I87" s="30">
        <v>-1.9304866882890237E-2</v>
      </c>
      <c r="J87" s="30">
        <v>-5.4302898828448853E-3</v>
      </c>
      <c r="K87" s="30">
        <v>-7.6182702771937505E-3</v>
      </c>
      <c r="L87" s="30">
        <v>-1.3202565069785011E-2</v>
      </c>
      <c r="M87" s="31">
        <v>-2.9651928263429994E-2</v>
      </c>
      <c r="O87" s="9">
        <v>44747</v>
      </c>
      <c r="P87" s="30">
        <v>-2.2809590915026379E-3</v>
      </c>
      <c r="Q87" s="30">
        <v>3.2580709677419439E-3</v>
      </c>
      <c r="R87" s="30">
        <v>-1.9968885113611501E-3</v>
      </c>
      <c r="S87" s="30">
        <v>7.7826272884401471E-4</v>
      </c>
      <c r="T87" s="31">
        <v>1.1100661522921995E-3</v>
      </c>
      <c r="V87" s="9">
        <v>44781</v>
      </c>
      <c r="W87" s="30">
        <v>5.2945799186651472E-3</v>
      </c>
      <c r="X87" s="30">
        <v>2.673908274899143E-3</v>
      </c>
      <c r="Y87" s="30">
        <v>3.1988204655312527E-3</v>
      </c>
      <c r="Z87" s="30">
        <v>3.6410509811034184E-3</v>
      </c>
      <c r="AA87" s="31">
        <v>-3.1280156248703803E-3</v>
      </c>
    </row>
    <row r="88" spans="1:27" x14ac:dyDescent="0.25">
      <c r="A88" s="7">
        <f>NFLX[[#This Row],[Date]]</f>
        <v>44685</v>
      </c>
      <c r="B88" s="30">
        <f>NFLX[[#This Row],[Stopa zwrotu]]</f>
        <v>-1.9304866882890237E-2</v>
      </c>
      <c r="C88" s="30">
        <f>META[[#This Row],[Stopa zwrotu]]</f>
        <v>-5.4302898828448853E-3</v>
      </c>
      <c r="D88" s="30">
        <f>GOOG[[#This Row],[Stopa zwrotu]]</f>
        <v>-7.6182702771937505E-3</v>
      </c>
      <c r="E88" s="30">
        <f>EBAY[[#This Row],[Stopa zwrotu]]</f>
        <v>-1.3202565069785011E-2</v>
      </c>
      <c r="F88" s="30">
        <f>AMZN[[#This Row],[Stopa zwrotu]]</f>
        <v>-2.9651928263429994E-2</v>
      </c>
      <c r="H88" s="9">
        <v>44686</v>
      </c>
      <c r="I88" s="30">
        <v>-2.6228967756373178E-2</v>
      </c>
      <c r="J88" s="30">
        <v>-3.865495617228154E-3</v>
      </c>
      <c r="K88" s="30">
        <v>-4.8039328796225522E-3</v>
      </c>
      <c r="L88" s="30">
        <v>-9.6139124617737104E-2</v>
      </c>
      <c r="M88" s="31">
        <v>-3.4488954250933013E-2</v>
      </c>
      <c r="O88" s="9">
        <v>44748</v>
      </c>
      <c r="P88" s="30">
        <v>4.7139300034602094E-2</v>
      </c>
      <c r="Q88" s="30">
        <v>5.3751132244271194E-2</v>
      </c>
      <c r="R88" s="30">
        <v>5.6480343210286943E-2</v>
      </c>
      <c r="S88" s="30">
        <v>3.9866365239111134E-2</v>
      </c>
      <c r="T88" s="31">
        <v>5.3517701279157226E-2</v>
      </c>
      <c r="V88" s="9">
        <v>44782</v>
      </c>
      <c r="W88" s="30">
        <v>-7.7735522675932422E-3</v>
      </c>
      <c r="X88" s="30">
        <v>-3.1711780299414905E-3</v>
      </c>
      <c r="Y88" s="30">
        <v>-1.0778273601319333E-2</v>
      </c>
      <c r="Z88" s="30">
        <v>-3.8135804276783203E-3</v>
      </c>
      <c r="AA88" s="31">
        <v>-1.5040755696618002E-2</v>
      </c>
    </row>
    <row r="89" spans="1:27" x14ac:dyDescent="0.25">
      <c r="A89" s="7">
        <f>NFLX[[#This Row],[Date]]</f>
        <v>44686</v>
      </c>
      <c r="B89" s="30">
        <f>NFLX[[#This Row],[Stopa zwrotu]]</f>
        <v>-2.6228967756373178E-2</v>
      </c>
      <c r="C89" s="30">
        <f>META[[#This Row],[Stopa zwrotu]]</f>
        <v>-3.865495617228154E-3</v>
      </c>
      <c r="D89" s="30">
        <f>GOOG[[#This Row],[Stopa zwrotu]]</f>
        <v>-4.8039328796225522E-3</v>
      </c>
      <c r="E89" s="30">
        <f>EBAY[[#This Row],[Stopa zwrotu]]</f>
        <v>-9.6139124617737104E-2</v>
      </c>
      <c r="F89" s="30">
        <f>AMZN[[#This Row],[Stopa zwrotu]]</f>
        <v>-3.4488954250933013E-2</v>
      </c>
      <c r="H89" s="9">
        <v>44687</v>
      </c>
      <c r="I89" s="30">
        <v>-5.4784956989247235E-2</v>
      </c>
      <c r="J89" s="30">
        <v>-2.4932091095613229E-2</v>
      </c>
      <c r="K89" s="30">
        <v>-9.0248516304598514E-3</v>
      </c>
      <c r="L89" s="30">
        <v>-5.4980332946070742E-3</v>
      </c>
      <c r="M89" s="31">
        <v>-1.7302178760308928E-2</v>
      </c>
      <c r="O89" s="9">
        <v>44749</v>
      </c>
      <c r="P89" s="30">
        <v>1.4821330031250302E-2</v>
      </c>
      <c r="Q89" s="30">
        <v>1.4021466830954621E-2</v>
      </c>
      <c r="R89" s="30">
        <v>2.9251476679338584E-2</v>
      </c>
      <c r="S89" s="30">
        <v>-8.4940769399890481E-3</v>
      </c>
      <c r="T89" s="31">
        <v>1.3213070025657192E-2</v>
      </c>
      <c r="V89" s="9">
        <v>44783</v>
      </c>
      <c r="W89" s="30">
        <v>5.3193911948201666E-2</v>
      </c>
      <c r="X89" s="30">
        <v>4.4117591448346039E-2</v>
      </c>
      <c r="Y89" s="30">
        <v>2.4021989087542828E-2</v>
      </c>
      <c r="Z89" s="30">
        <v>3.0837962569119526E-2</v>
      </c>
      <c r="AA89" s="31">
        <v>3.5239613488897481E-2</v>
      </c>
    </row>
    <row r="90" spans="1:27" x14ac:dyDescent="0.25">
      <c r="A90" s="7">
        <f>NFLX[[#This Row],[Date]]</f>
        <v>44687</v>
      </c>
      <c r="B90" s="30">
        <f>NFLX[[#This Row],[Stopa zwrotu]]</f>
        <v>-5.4784956989247235E-2</v>
      </c>
      <c r="C90" s="30">
        <f>META[[#This Row],[Stopa zwrotu]]</f>
        <v>-2.4932091095613229E-2</v>
      </c>
      <c r="D90" s="30">
        <f>GOOG[[#This Row],[Stopa zwrotu]]</f>
        <v>-9.0248516304598514E-3</v>
      </c>
      <c r="E90" s="30">
        <f>EBAY[[#This Row],[Stopa zwrotu]]</f>
        <v>-5.4980332946070742E-3</v>
      </c>
      <c r="F90" s="30">
        <f>AMZN[[#This Row],[Stopa zwrotu]]</f>
        <v>-1.7302178760308928E-2</v>
      </c>
      <c r="H90" s="9">
        <v>44690</v>
      </c>
      <c r="I90" s="30">
        <v>-6.6549021480185227E-3</v>
      </c>
      <c r="J90" s="30">
        <v>-9.0206644309886643E-3</v>
      </c>
      <c r="K90" s="30">
        <v>-4.6476788703237277E-3</v>
      </c>
      <c r="L90" s="30">
        <v>4.5361047105274555E-3</v>
      </c>
      <c r="M90" s="31">
        <v>-1.5105613019372485E-2</v>
      </c>
      <c r="O90" s="9">
        <v>44750</v>
      </c>
      <c r="P90" s="30">
        <v>-4.0871934604904681E-3</v>
      </c>
      <c r="Q90" s="30">
        <v>2.2052390166005242E-3</v>
      </c>
      <c r="R90" s="30">
        <v>1.7137838657135696E-2</v>
      </c>
      <c r="S90" s="30">
        <v>-1.0187520495196112E-2</v>
      </c>
      <c r="T90" s="31">
        <v>1.7623050799595585E-3</v>
      </c>
      <c r="V90" s="9">
        <v>44784</v>
      </c>
      <c r="W90" s="30">
        <v>2.0752277580246448E-2</v>
      </c>
      <c r="X90" s="30">
        <v>1.3912032433090582E-2</v>
      </c>
      <c r="Y90" s="30">
        <v>1.5918397989960198E-3</v>
      </c>
      <c r="Z90" s="30">
        <v>-7.0146480913009235E-3</v>
      </c>
      <c r="AA90" s="31">
        <v>-8.8646198448556479E-3</v>
      </c>
    </row>
    <row r="91" spans="1:27" x14ac:dyDescent="0.25">
      <c r="A91" s="7">
        <f>NFLX[[#This Row],[Date]]</f>
        <v>44690</v>
      </c>
      <c r="B91" s="30">
        <f>NFLX[[#This Row],[Stopa zwrotu]]</f>
        <v>-6.6549021480185227E-3</v>
      </c>
      <c r="C91" s="30">
        <f>META[[#This Row],[Stopa zwrotu]]</f>
        <v>-9.0206644309886643E-3</v>
      </c>
      <c r="D91" s="30">
        <f>GOOG[[#This Row],[Stopa zwrotu]]</f>
        <v>-4.6476788703237277E-3</v>
      </c>
      <c r="E91" s="30">
        <f>EBAY[[#This Row],[Stopa zwrotu]]</f>
        <v>4.5361047105274555E-3</v>
      </c>
      <c r="F91" s="30">
        <f>AMZN[[#This Row],[Stopa zwrotu]]</f>
        <v>-1.5105613019372485E-2</v>
      </c>
      <c r="H91" s="9">
        <v>44691</v>
      </c>
      <c r="I91" s="30">
        <v>-1.0040603423553063E-2</v>
      </c>
      <c r="J91" s="30">
        <v>-7.1070660895075077E-3</v>
      </c>
      <c r="K91" s="30">
        <v>7.3904214051421224E-3</v>
      </c>
      <c r="L91" s="30">
        <v>1.4894126909759997E-2</v>
      </c>
      <c r="M91" s="31">
        <v>-7.2807042870708383E-3</v>
      </c>
      <c r="O91" s="9">
        <v>44753</v>
      </c>
      <c r="P91" s="30">
        <v>-1.068855631554951E-2</v>
      </c>
      <c r="Q91" s="30">
        <v>-1.2369888438215884E-2</v>
      </c>
      <c r="R91" s="30">
        <v>-3.6293633099034883E-3</v>
      </c>
      <c r="S91" s="30">
        <v>-2.8070253411305681E-3</v>
      </c>
      <c r="T91" s="31">
        <v>-8.2680943806005738E-3</v>
      </c>
      <c r="V91" s="9">
        <v>44785</v>
      </c>
      <c r="W91" s="30">
        <v>9.3163846076018686E-3</v>
      </c>
      <c r="X91" s="30">
        <v>1.4401593649758793E-2</v>
      </c>
      <c r="Y91" s="30">
        <v>7.1099872745297166E-3</v>
      </c>
      <c r="Z91" s="30">
        <v>1.1427363153389436E-2</v>
      </c>
      <c r="AA91" s="31">
        <v>2.5758443966743538E-3</v>
      </c>
    </row>
    <row r="92" spans="1:27" x14ac:dyDescent="0.25">
      <c r="A92" s="7">
        <f>NFLX[[#This Row],[Date]]</f>
        <v>44691</v>
      </c>
      <c r="B92" s="30">
        <f>NFLX[[#This Row],[Stopa zwrotu]]</f>
        <v>-1.0040603423553063E-2</v>
      </c>
      <c r="C92" s="30">
        <f>META[[#This Row],[Stopa zwrotu]]</f>
        <v>-7.1070660895075077E-3</v>
      </c>
      <c r="D92" s="30">
        <f>GOOG[[#This Row],[Stopa zwrotu]]</f>
        <v>7.3904214051421224E-3</v>
      </c>
      <c r="E92" s="30">
        <f>EBAY[[#This Row],[Stopa zwrotu]]</f>
        <v>1.4894126909759997E-2</v>
      </c>
      <c r="F92" s="30">
        <f>AMZN[[#This Row],[Stopa zwrotu]]</f>
        <v>-7.2807042870708383E-3</v>
      </c>
      <c r="H92" s="9">
        <v>44692</v>
      </c>
      <c r="I92" s="30">
        <v>-2.9430754493666611E-2</v>
      </c>
      <c r="J92" s="30">
        <v>-3.0485596266691339E-2</v>
      </c>
      <c r="K92" s="30">
        <v>2.3522070503132486E-3</v>
      </c>
      <c r="L92" s="30">
        <v>-3.9479122788773746E-2</v>
      </c>
      <c r="M92" s="31">
        <v>-2.5589954849538743E-2</v>
      </c>
      <c r="O92" s="9">
        <v>44754</v>
      </c>
      <c r="P92" s="30">
        <v>-1.9616716714436766E-2</v>
      </c>
      <c r="Q92" s="30">
        <v>1.1735037694151629E-3</v>
      </c>
      <c r="R92" s="30">
        <v>-1.393303229074927E-2</v>
      </c>
      <c r="S92" s="30">
        <v>1.1323425603289028E-2</v>
      </c>
      <c r="T92" s="31">
        <v>-2.2819580874368639E-2</v>
      </c>
      <c r="V92" s="9">
        <v>44788</v>
      </c>
      <c r="W92" s="30">
        <v>5.1279948541186711E-3</v>
      </c>
      <c r="X92" s="30">
        <v>-1.3228382690103624E-3</v>
      </c>
      <c r="Y92" s="30">
        <v>3.2391970669014558E-3</v>
      </c>
      <c r="Z92" s="30">
        <v>-3.2867639003012852E-3</v>
      </c>
      <c r="AA92" s="31">
        <v>3.2591351434176166E-3</v>
      </c>
    </row>
    <row r="93" spans="1:27" x14ac:dyDescent="0.25">
      <c r="A93" s="7">
        <f>NFLX[[#This Row],[Date]]</f>
        <v>44692</v>
      </c>
      <c r="B93" s="30">
        <f>NFLX[[#This Row],[Stopa zwrotu]]</f>
        <v>-2.9430754493666611E-2</v>
      </c>
      <c r="C93" s="30">
        <f>META[[#This Row],[Stopa zwrotu]]</f>
        <v>-3.0485596266691339E-2</v>
      </c>
      <c r="D93" s="30">
        <f>GOOG[[#This Row],[Stopa zwrotu]]</f>
        <v>2.3522070503132486E-3</v>
      </c>
      <c r="E93" s="30">
        <f>EBAY[[#This Row],[Stopa zwrotu]]</f>
        <v>-3.9479122788773746E-2</v>
      </c>
      <c r="F93" s="30">
        <f>AMZN[[#This Row],[Stopa zwrotu]]</f>
        <v>-2.5589954849538743E-2</v>
      </c>
      <c r="H93" s="9">
        <v>44693</v>
      </c>
      <c r="I93" s="30">
        <v>-1.7154913612414835E-2</v>
      </c>
      <c r="J93" s="30">
        <v>-1.8537233366181849E-2</v>
      </c>
      <c r="K93" s="30">
        <v>-3.1117456557545942E-2</v>
      </c>
      <c r="L93" s="30">
        <v>-2.7544694909733325E-2</v>
      </c>
      <c r="M93" s="31">
        <v>-1.9372058950537174E-2</v>
      </c>
      <c r="O93" s="9">
        <v>44755</v>
      </c>
      <c r="P93" s="30">
        <v>-2.1450819068744242E-2</v>
      </c>
      <c r="Q93" s="30">
        <v>-1.536091861711586E-2</v>
      </c>
      <c r="R93" s="30">
        <v>-2.4359813713036083E-2</v>
      </c>
      <c r="S93" s="30">
        <v>-2.1693492458443986E-2</v>
      </c>
      <c r="T93" s="31">
        <v>-2.1506314251663827E-2</v>
      </c>
      <c r="V93" s="9">
        <v>44789</v>
      </c>
      <c r="W93" s="30">
        <v>-1.4060022101329728E-2</v>
      </c>
      <c r="X93" s="30">
        <v>-6.5095623991507923E-3</v>
      </c>
      <c r="Y93" s="30">
        <v>-2.8786707246852838E-4</v>
      </c>
      <c r="Z93" s="30">
        <v>7.8838380107086881E-3</v>
      </c>
      <c r="AA93" s="31">
        <v>3.6044595517541467E-3</v>
      </c>
    </row>
    <row r="94" spans="1:27" x14ac:dyDescent="0.25">
      <c r="A94" s="7">
        <f>NFLX[[#This Row],[Date]]</f>
        <v>44693</v>
      </c>
      <c r="B94" s="30">
        <f>NFLX[[#This Row],[Stopa zwrotu]]</f>
        <v>-1.7154913612414835E-2</v>
      </c>
      <c r="C94" s="30">
        <f>META[[#This Row],[Stopa zwrotu]]</f>
        <v>-1.8537233366181849E-2</v>
      </c>
      <c r="D94" s="30">
        <f>GOOG[[#This Row],[Stopa zwrotu]]</f>
        <v>-3.1117456557545942E-2</v>
      </c>
      <c r="E94" s="30">
        <f>EBAY[[#This Row],[Stopa zwrotu]]</f>
        <v>-2.7544694909733325E-2</v>
      </c>
      <c r="F94" s="30">
        <f>AMZN[[#This Row],[Stopa zwrotu]]</f>
        <v>-1.9372058950537174E-2</v>
      </c>
      <c r="H94" s="9">
        <v>44694</v>
      </c>
      <c r="I94" s="30">
        <v>8.1740442676030423E-2</v>
      </c>
      <c r="J94" s="30">
        <v>3.5176967394614955E-2</v>
      </c>
      <c r="K94" s="30">
        <v>3.5295371540400522E-2</v>
      </c>
      <c r="L94" s="30">
        <v>1.1728302981374394E-2</v>
      </c>
      <c r="M94" s="31">
        <v>5.2677843422905157E-2</v>
      </c>
      <c r="O94" s="9">
        <v>44756</v>
      </c>
      <c r="P94" s="30">
        <v>1.2492693208474348E-2</v>
      </c>
      <c r="Q94" s="30">
        <v>-1.4598095265972777E-2</v>
      </c>
      <c r="R94" s="30">
        <v>-2.2334385990974703E-2</v>
      </c>
      <c r="S94" s="30">
        <v>-1.7167334696407521E-2</v>
      </c>
      <c r="T94" s="31">
        <v>1.4809923312707696E-2</v>
      </c>
      <c r="V94" s="9">
        <v>44790</v>
      </c>
      <c r="W94" s="30">
        <v>-2.6513137837614775E-2</v>
      </c>
      <c r="X94" s="30">
        <v>-1.6210998155654077E-2</v>
      </c>
      <c r="Y94" s="30">
        <v>-1.0984547299640601E-2</v>
      </c>
      <c r="Z94" s="30">
        <v>-6.9987646357034805E-3</v>
      </c>
      <c r="AA94" s="31">
        <v>-8.5915563380281057E-3</v>
      </c>
    </row>
    <row r="95" spans="1:27" x14ac:dyDescent="0.25">
      <c r="A95" s="7">
        <f>NFLX[[#This Row],[Date]]</f>
        <v>44694</v>
      </c>
      <c r="B95" s="30">
        <f>NFLX[[#This Row],[Stopa zwrotu]]</f>
        <v>8.1740442676030423E-2</v>
      </c>
      <c r="C95" s="30">
        <f>META[[#This Row],[Stopa zwrotu]]</f>
        <v>3.5176967394614955E-2</v>
      </c>
      <c r="D95" s="30">
        <f>GOOG[[#This Row],[Stopa zwrotu]]</f>
        <v>3.5295371540400522E-2</v>
      </c>
      <c r="E95" s="30">
        <f>EBAY[[#This Row],[Stopa zwrotu]]</f>
        <v>1.1728302981374394E-2</v>
      </c>
      <c r="F95" s="30">
        <f>AMZN[[#This Row],[Stopa zwrotu]]</f>
        <v>5.2677843422905157E-2</v>
      </c>
      <c r="H95" s="9">
        <v>44697</v>
      </c>
      <c r="I95" s="30">
        <v>1.8351234352723383E-2</v>
      </c>
      <c r="J95" s="30">
        <v>8.1032936433672962E-3</v>
      </c>
      <c r="K95" s="30">
        <v>9.7952923976607487E-4</v>
      </c>
      <c r="L95" s="30">
        <v>-5.9055189726118966E-3</v>
      </c>
      <c r="M95" s="31">
        <v>7.8973188896849979E-3</v>
      </c>
      <c r="O95" s="9">
        <v>44757</v>
      </c>
      <c r="P95" s="30">
        <v>1.5946868166522687E-2</v>
      </c>
      <c r="Q95" s="30">
        <v>1.6149593185081246E-2</v>
      </c>
      <c r="R95" s="30">
        <v>2.284006933423588E-2</v>
      </c>
      <c r="S95" s="30">
        <v>3.9543836983410019E-2</v>
      </c>
      <c r="T95" s="31">
        <v>3.7274529888928765E-2</v>
      </c>
      <c r="V95" s="9">
        <v>44791</v>
      </c>
      <c r="W95" s="30">
        <v>7.2402804111826313E-3</v>
      </c>
      <c r="X95" s="30">
        <v>-1.3262886986999844E-2</v>
      </c>
      <c r="Y95" s="30">
        <v>-5.40760412830954E-3</v>
      </c>
      <c r="Z95" s="30">
        <v>-8.7065087600949331E-3</v>
      </c>
      <c r="AA95" s="31">
        <v>-2.8412700869531182E-3</v>
      </c>
    </row>
    <row r="96" spans="1:27" x14ac:dyDescent="0.25">
      <c r="A96" s="7">
        <f>NFLX[[#This Row],[Date]]</f>
        <v>44697</v>
      </c>
      <c r="B96" s="30">
        <f>NFLX[[#This Row],[Stopa zwrotu]]</f>
        <v>1.8351234352723383E-2</v>
      </c>
      <c r="C96" s="30">
        <f>META[[#This Row],[Stopa zwrotu]]</f>
        <v>8.1032936433672962E-3</v>
      </c>
      <c r="D96" s="30">
        <f>GOOG[[#This Row],[Stopa zwrotu]]</f>
        <v>9.7952923976607487E-4</v>
      </c>
      <c r="E96" s="30">
        <f>EBAY[[#This Row],[Stopa zwrotu]]</f>
        <v>-5.9055189726118966E-3</v>
      </c>
      <c r="F96" s="30">
        <f>AMZN[[#This Row],[Stopa zwrotu]]</f>
        <v>7.8973188896849979E-3</v>
      </c>
      <c r="H96" s="9">
        <v>44698</v>
      </c>
      <c r="I96" s="30">
        <v>-2.8540603584393809E-3</v>
      </c>
      <c r="J96" s="30">
        <v>1.2402429882187649E-2</v>
      </c>
      <c r="K96" s="30">
        <v>8.7681200749387678E-3</v>
      </c>
      <c r="L96" s="30">
        <v>1.0910754843019399E-2</v>
      </c>
      <c r="M96" s="31">
        <v>8.3594707345260311E-3</v>
      </c>
      <c r="O96" s="9">
        <v>44760</v>
      </c>
      <c r="P96" s="30">
        <v>2.9101751402785075E-2</v>
      </c>
      <c r="Q96" s="30">
        <v>1.2138638770885132E-2</v>
      </c>
      <c r="R96" s="30">
        <v>-7.5193541993900199E-3</v>
      </c>
      <c r="S96" s="30">
        <v>3.8895373266217468E-3</v>
      </c>
      <c r="T96" s="31">
        <v>4.6599338528518315E-3</v>
      </c>
      <c r="V96" s="9">
        <v>44792</v>
      </c>
      <c r="W96" s="30">
        <v>-1.5045160544321146E-2</v>
      </c>
      <c r="X96" s="30">
        <v>-2.7987885325335249E-2</v>
      </c>
      <c r="Y96" s="30">
        <v>-1.5725679237331369E-2</v>
      </c>
      <c r="Z96" s="30">
        <v>-2.6557946465913806E-2</v>
      </c>
      <c r="AA96" s="31">
        <v>-1.7595105513780407E-2</v>
      </c>
    </row>
    <row r="97" spans="1:27" x14ac:dyDescent="0.25">
      <c r="A97" s="7">
        <f>NFLX[[#This Row],[Date]]</f>
        <v>44698</v>
      </c>
      <c r="B97" s="30">
        <f>NFLX[[#This Row],[Stopa zwrotu]]</f>
        <v>-2.8540603584393809E-3</v>
      </c>
      <c r="C97" s="30">
        <f>META[[#This Row],[Stopa zwrotu]]</f>
        <v>1.2402429882187649E-2</v>
      </c>
      <c r="D97" s="30">
        <f>GOOG[[#This Row],[Stopa zwrotu]]</f>
        <v>8.7681200749387678E-3</v>
      </c>
      <c r="E97" s="30">
        <f>EBAY[[#This Row],[Stopa zwrotu]]</f>
        <v>1.0910754843019399E-2</v>
      </c>
      <c r="F97" s="30">
        <f>AMZN[[#This Row],[Stopa zwrotu]]</f>
        <v>8.3594707345260311E-3</v>
      </c>
      <c r="H97" s="9">
        <v>44699</v>
      </c>
      <c r="I97" s="30">
        <v>-4.8063909359657653E-2</v>
      </c>
      <c r="J97" s="30">
        <v>-3.3928190996530549E-2</v>
      </c>
      <c r="K97" s="30">
        <v>-2.770568067270951E-2</v>
      </c>
      <c r="L97" s="30">
        <v>-1.6519823060800798E-2</v>
      </c>
      <c r="M97" s="31">
        <v>-4.5180214470626257E-2</v>
      </c>
      <c r="O97" s="9">
        <v>44761</v>
      </c>
      <c r="P97" s="30">
        <v>-7.3762327601227806E-3</v>
      </c>
      <c r="Q97" s="30">
        <v>2.3363897750325435E-2</v>
      </c>
      <c r="R97" s="30">
        <v>1.097892925034949E-2</v>
      </c>
      <c r="S97" s="30">
        <v>1.2456771047602011E-2</v>
      </c>
      <c r="T97" s="31">
        <v>7.7772601365044824E-3</v>
      </c>
      <c r="V97" s="9">
        <v>44795</v>
      </c>
      <c r="W97" s="30">
        <v>-1.568510597616431E-2</v>
      </c>
      <c r="X97" s="30">
        <v>-9.5580323535422815E-3</v>
      </c>
      <c r="Y97" s="30">
        <v>-8.4983429675931452E-3</v>
      </c>
      <c r="Z97" s="30">
        <v>-8.7361047347533916E-3</v>
      </c>
      <c r="AA97" s="31">
        <v>-1.2230193249794944E-2</v>
      </c>
    </row>
    <row r="98" spans="1:27" x14ac:dyDescent="0.25">
      <c r="A98" s="7">
        <f>NFLX[[#This Row],[Date]]</f>
        <v>44699</v>
      </c>
      <c r="B98" s="30">
        <f>NFLX[[#This Row],[Stopa zwrotu]]</f>
        <v>-4.8063909359657653E-2</v>
      </c>
      <c r="C98" s="30">
        <f>META[[#This Row],[Stopa zwrotu]]</f>
        <v>-3.3928190996530549E-2</v>
      </c>
      <c r="D98" s="30">
        <f>GOOG[[#This Row],[Stopa zwrotu]]</f>
        <v>-2.770568067270951E-2</v>
      </c>
      <c r="E98" s="30">
        <f>EBAY[[#This Row],[Stopa zwrotu]]</f>
        <v>-1.6519823060800798E-2</v>
      </c>
      <c r="F98" s="30">
        <f>AMZN[[#This Row],[Stopa zwrotu]]</f>
        <v>-4.5180214470626257E-2</v>
      </c>
      <c r="H98" s="9">
        <v>44700</v>
      </c>
      <c r="I98" s="30">
        <v>-3.1769273687655142E-3</v>
      </c>
      <c r="J98" s="30">
        <v>-1.0593325403294718E-2</v>
      </c>
      <c r="K98" s="30">
        <v>-1.4927467227755287E-2</v>
      </c>
      <c r="L98" s="30">
        <v>-1.4109786602025221E-2</v>
      </c>
      <c r="M98" s="31">
        <v>-5.2706377916922342E-4</v>
      </c>
      <c r="O98" s="9">
        <v>44762</v>
      </c>
      <c r="P98" s="30">
        <v>6.2101976500062994E-2</v>
      </c>
      <c r="Q98" s="30">
        <v>4.2416389664809984E-2</v>
      </c>
      <c r="R98" s="30">
        <v>2.4977393665158276E-2</v>
      </c>
      <c r="S98" s="30">
        <v>3.4859854975161753E-2</v>
      </c>
      <c r="T98" s="31">
        <v>3.7621687605206233E-2</v>
      </c>
      <c r="V98" s="9">
        <v>44796</v>
      </c>
      <c r="W98" s="30">
        <v>-1.2912106735155637E-3</v>
      </c>
      <c r="X98" s="30">
        <v>-9.614187403370833E-3</v>
      </c>
      <c r="Y98" s="30">
        <v>-3.2266068409628756E-3</v>
      </c>
      <c r="Z98" s="30">
        <v>-3.7503197109941544E-3</v>
      </c>
      <c r="AA98" s="31">
        <v>7.526608617540731E-4</v>
      </c>
    </row>
    <row r="99" spans="1:27" x14ac:dyDescent="0.25">
      <c r="A99" s="7">
        <f>NFLX[[#This Row],[Date]]</f>
        <v>44700</v>
      </c>
      <c r="B99" s="30">
        <f>NFLX[[#This Row],[Stopa zwrotu]]</f>
        <v>-3.1769273687655142E-3</v>
      </c>
      <c r="C99" s="30">
        <f>META[[#This Row],[Stopa zwrotu]]</f>
        <v>-1.0593325403294718E-2</v>
      </c>
      <c r="D99" s="30">
        <f>GOOG[[#This Row],[Stopa zwrotu]]</f>
        <v>-1.4927467227755287E-2</v>
      </c>
      <c r="E99" s="30">
        <f>EBAY[[#This Row],[Stopa zwrotu]]</f>
        <v>-1.4109786602025221E-2</v>
      </c>
      <c r="F99" s="30">
        <f>AMZN[[#This Row],[Stopa zwrotu]]</f>
        <v>-5.2706377916922342E-4</v>
      </c>
      <c r="H99" s="9">
        <v>44701</v>
      </c>
      <c r="I99" s="30">
        <v>2.3106236629994559E-2</v>
      </c>
      <c r="J99" s="30">
        <v>-9.1245303019664714E-3</v>
      </c>
      <c r="K99" s="30">
        <v>-3.7069566986465463E-2</v>
      </c>
      <c r="L99" s="30">
        <v>-1.6810563380281862E-2</v>
      </c>
      <c r="M99" s="31">
        <v>-1.1144821116788939E-2</v>
      </c>
      <c r="O99" s="9">
        <v>44763</v>
      </c>
      <c r="P99" s="30">
        <v>5.6971482549580621E-2</v>
      </c>
      <c r="Q99" s="30">
        <v>1.22806906442674E-2</v>
      </c>
      <c r="R99" s="30">
        <v>-1.1919459439882374E-2</v>
      </c>
      <c r="S99" s="30">
        <v>9.4671954851253126E-3</v>
      </c>
      <c r="T99" s="31">
        <v>2.4847887085868825E-2</v>
      </c>
      <c r="V99" s="9">
        <v>44797</v>
      </c>
      <c r="W99" s="30">
        <v>-1.6049977493759471E-3</v>
      </c>
      <c r="X99" s="30">
        <v>-5.7871376313715084E-3</v>
      </c>
      <c r="Y99" s="30">
        <v>-4.5494661973018991E-3</v>
      </c>
      <c r="Z99" s="30">
        <v>2.2139061116033254E-4</v>
      </c>
      <c r="AA99" s="31">
        <v>-6.3933134199317676E-3</v>
      </c>
    </row>
    <row r="100" spans="1:27" x14ac:dyDescent="0.25">
      <c r="A100" s="7">
        <f>NFLX[[#This Row],[Date]]</f>
        <v>44701</v>
      </c>
      <c r="B100" s="30">
        <f>NFLX[[#This Row],[Stopa zwrotu]]</f>
        <v>2.3106236629994559E-2</v>
      </c>
      <c r="C100" s="30">
        <f>META[[#This Row],[Stopa zwrotu]]</f>
        <v>-9.1245303019664714E-3</v>
      </c>
      <c r="D100" s="30">
        <f>GOOG[[#This Row],[Stopa zwrotu]]</f>
        <v>-3.7069566986465463E-2</v>
      </c>
      <c r="E100" s="30">
        <f>EBAY[[#This Row],[Stopa zwrotu]]</f>
        <v>-1.6810563380281862E-2</v>
      </c>
      <c r="F100" s="30">
        <f>AMZN[[#This Row],[Stopa zwrotu]]</f>
        <v>-1.1144821116788939E-2</v>
      </c>
      <c r="H100" s="9">
        <v>44704</v>
      </c>
      <c r="I100" s="30">
        <v>-3.4859449262366247E-3</v>
      </c>
      <c r="J100" s="30">
        <v>5.9793298374584136E-3</v>
      </c>
      <c r="K100" s="30">
        <v>8.7154007559994504E-3</v>
      </c>
      <c r="L100" s="30">
        <v>5.545294336382363E-3</v>
      </c>
      <c r="M100" s="31">
        <v>-3.3631941557338285E-3</v>
      </c>
      <c r="O100" s="9">
        <v>44764</v>
      </c>
      <c r="P100" s="30">
        <v>3.2813248226950309E-2</v>
      </c>
      <c r="Q100" s="30">
        <v>-5.8478175727572412E-2</v>
      </c>
      <c r="R100" s="30">
        <v>-3.8513143114533355E-2</v>
      </c>
      <c r="S100" s="30">
        <v>1.1123293833077197E-2</v>
      </c>
      <c r="T100" s="31">
        <v>7.421738290915858E-4</v>
      </c>
      <c r="V100" s="9">
        <v>44798</v>
      </c>
      <c r="W100" s="30">
        <v>2.2595328904212453E-2</v>
      </c>
      <c r="X100" s="30">
        <v>2.6600737895706716E-2</v>
      </c>
      <c r="Y100" s="30">
        <v>1.1161926622973439E-2</v>
      </c>
      <c r="Z100" s="30">
        <v>8.6341159457212768E-3</v>
      </c>
      <c r="AA100" s="31">
        <v>1.6502595768239425E-2</v>
      </c>
    </row>
    <row r="101" spans="1:27" x14ac:dyDescent="0.25">
      <c r="A101" s="7">
        <f>NFLX[[#This Row],[Date]]</f>
        <v>44704</v>
      </c>
      <c r="B101" s="30">
        <f>NFLX[[#This Row],[Stopa zwrotu]]</f>
        <v>-3.4859449262366247E-3</v>
      </c>
      <c r="C101" s="30">
        <f>META[[#This Row],[Stopa zwrotu]]</f>
        <v>5.9793298374584136E-3</v>
      </c>
      <c r="D101" s="30">
        <f>GOOG[[#This Row],[Stopa zwrotu]]</f>
        <v>8.7154007559994504E-3</v>
      </c>
      <c r="E101" s="30">
        <f>EBAY[[#This Row],[Stopa zwrotu]]</f>
        <v>5.545294336382363E-3</v>
      </c>
      <c r="F101" s="30">
        <f>AMZN[[#This Row],[Stopa zwrotu]]</f>
        <v>-3.3631941557338285E-3</v>
      </c>
      <c r="H101" s="9">
        <v>44705</v>
      </c>
      <c r="I101" s="30">
        <v>-4.0474506945159527E-3</v>
      </c>
      <c r="J101" s="30">
        <v>-7.9115266703742138E-2</v>
      </c>
      <c r="K101" s="30">
        <v>-6.3637017673274121E-2</v>
      </c>
      <c r="L101" s="30">
        <v>-8.6363863636363947E-3</v>
      </c>
      <c r="M101" s="31">
        <v>-2.587777852461115E-2</v>
      </c>
      <c r="O101" s="9">
        <v>44767</v>
      </c>
      <c r="P101" s="30">
        <v>-3.1892754392729059E-3</v>
      </c>
      <c r="Q101" s="30">
        <v>-7.125479315349903E-3</v>
      </c>
      <c r="R101" s="30">
        <v>-1.8277447675540959E-3</v>
      </c>
      <c r="S101" s="30">
        <v>-1.5818377570785043E-3</v>
      </c>
      <c r="T101" s="31">
        <v>-3.6258728794265429E-3</v>
      </c>
      <c r="V101" s="9">
        <v>44799</v>
      </c>
      <c r="W101" s="30">
        <v>-2.5545877729257649E-2</v>
      </c>
      <c r="X101" s="30">
        <v>-1.4327557265515045E-2</v>
      </c>
      <c r="Y101" s="30">
        <v>-3.3289890483531814E-2</v>
      </c>
      <c r="Z101" s="30">
        <v>-2.3046597387036849E-2</v>
      </c>
      <c r="AA101" s="31">
        <v>-2.815012681076956E-2</v>
      </c>
    </row>
    <row r="102" spans="1:27" x14ac:dyDescent="0.25">
      <c r="A102" s="7">
        <f>NFLX[[#This Row],[Date]]</f>
        <v>44705</v>
      </c>
      <c r="B102" s="30">
        <f>NFLX[[#This Row],[Stopa zwrotu]]</f>
        <v>-4.0474506945159527E-3</v>
      </c>
      <c r="C102" s="30">
        <f>META[[#This Row],[Stopa zwrotu]]</f>
        <v>-7.9115266703742138E-2</v>
      </c>
      <c r="D102" s="30">
        <f>GOOG[[#This Row],[Stopa zwrotu]]</f>
        <v>-6.3637017673274121E-2</v>
      </c>
      <c r="E102" s="30">
        <f>EBAY[[#This Row],[Stopa zwrotu]]</f>
        <v>-8.6363863636363947E-3</v>
      </c>
      <c r="F102" s="30">
        <f>AMZN[[#This Row],[Stopa zwrotu]]</f>
        <v>-2.587777852461115E-2</v>
      </c>
      <c r="H102" s="9">
        <v>44706</v>
      </c>
      <c r="I102" s="30">
        <v>1.6932889506495297E-2</v>
      </c>
      <c r="J102" s="30">
        <v>1.8227278302042516E-2</v>
      </c>
      <c r="K102" s="30">
        <v>1.9599737789605554E-2</v>
      </c>
      <c r="L102" s="30">
        <v>5.7313160415248809E-3</v>
      </c>
      <c r="M102" s="31">
        <v>2.360260668373293E-2</v>
      </c>
      <c r="O102" s="9">
        <v>44768</v>
      </c>
      <c r="P102" s="30">
        <v>-2.1770311390700958E-2</v>
      </c>
      <c r="Q102" s="30">
        <v>-4.1623694455721116E-2</v>
      </c>
      <c r="R102" s="30">
        <v>-2.1026071936714796E-2</v>
      </c>
      <c r="S102" s="30">
        <v>-1.9289098814241457E-2</v>
      </c>
      <c r="T102" s="31">
        <v>-4.5821878245620895E-2</v>
      </c>
      <c r="V102" s="9">
        <v>44802</v>
      </c>
      <c r="W102" s="30">
        <v>-2.4348196935196631E-3</v>
      </c>
      <c r="X102" s="30">
        <v>-5.4844292548742457E-3</v>
      </c>
      <c r="Y102" s="30">
        <v>-4.2258676117077343E-3</v>
      </c>
      <c r="Z102" s="30">
        <v>-4.5682320632771294E-3</v>
      </c>
      <c r="AA102" s="31">
        <v>-4.4188914431673165E-3</v>
      </c>
    </row>
    <row r="103" spans="1:27" x14ac:dyDescent="0.25">
      <c r="A103" s="7">
        <f>NFLX[[#This Row],[Date]]</f>
        <v>44706</v>
      </c>
      <c r="B103" s="30">
        <f>NFLX[[#This Row],[Stopa zwrotu]]</f>
        <v>1.6932889506495297E-2</v>
      </c>
      <c r="C103" s="30">
        <f>META[[#This Row],[Stopa zwrotu]]</f>
        <v>1.8227278302042516E-2</v>
      </c>
      <c r="D103" s="30">
        <f>GOOG[[#This Row],[Stopa zwrotu]]</f>
        <v>1.9599737789605554E-2</v>
      </c>
      <c r="E103" s="30">
        <f>EBAY[[#This Row],[Stopa zwrotu]]</f>
        <v>5.7313160415248809E-3</v>
      </c>
      <c r="F103" s="30">
        <f>AMZN[[#This Row],[Stopa zwrotu]]</f>
        <v>2.360260668373293E-2</v>
      </c>
      <c r="H103" s="9">
        <v>44707</v>
      </c>
      <c r="I103" s="30">
        <v>1.6206904770016184E-2</v>
      </c>
      <c r="J103" s="30">
        <v>1.6395203464385277E-2</v>
      </c>
      <c r="K103" s="30">
        <v>1.2251546737996E-2</v>
      </c>
      <c r="L103" s="30">
        <v>3.6927354386308453E-2</v>
      </c>
      <c r="M103" s="31">
        <v>3.6695580575097253E-2</v>
      </c>
      <c r="O103" s="9">
        <v>44769</v>
      </c>
      <c r="P103" s="30">
        <v>1.3891528132165654E-2</v>
      </c>
      <c r="Q103" s="30">
        <v>2.5767692797107111E-2</v>
      </c>
      <c r="R103" s="30">
        <v>3.4936960005021778E-2</v>
      </c>
      <c r="S103" s="30">
        <v>1.2817723756906041E-2</v>
      </c>
      <c r="T103" s="31">
        <v>2.2963459556128996E-2</v>
      </c>
      <c r="V103" s="9">
        <v>44803</v>
      </c>
      <c r="W103" s="30">
        <v>-1.2549652174979165E-2</v>
      </c>
      <c r="X103" s="30">
        <v>-1.9495573218526352E-2</v>
      </c>
      <c r="Y103" s="30">
        <v>-9.1976597613633304E-3</v>
      </c>
      <c r="Z103" s="30">
        <v>4.1002276036343765E-3</v>
      </c>
      <c r="AA103" s="31">
        <v>-1.4910351326850924E-2</v>
      </c>
    </row>
    <row r="104" spans="1:27" x14ac:dyDescent="0.25">
      <c r="A104" s="7">
        <f>NFLX[[#This Row],[Date]]</f>
        <v>44707</v>
      </c>
      <c r="B104" s="30">
        <f>NFLX[[#This Row],[Stopa zwrotu]]</f>
        <v>1.6206904770016184E-2</v>
      </c>
      <c r="C104" s="30">
        <f>META[[#This Row],[Stopa zwrotu]]</f>
        <v>1.6395203464385277E-2</v>
      </c>
      <c r="D104" s="30">
        <f>GOOG[[#This Row],[Stopa zwrotu]]</f>
        <v>1.2251546737996E-2</v>
      </c>
      <c r="E104" s="30">
        <f>EBAY[[#This Row],[Stopa zwrotu]]</f>
        <v>3.6927354386308453E-2</v>
      </c>
      <c r="F104" s="30">
        <f>AMZN[[#This Row],[Stopa zwrotu]]</f>
        <v>3.6695580575097253E-2</v>
      </c>
      <c r="H104" s="9">
        <v>44708</v>
      </c>
      <c r="I104" s="30">
        <v>3.9761861155974687E-2</v>
      </c>
      <c r="J104" s="30">
        <v>4.1369517210839479E-2</v>
      </c>
      <c r="K104" s="30">
        <v>3.8506787866930736E-2</v>
      </c>
      <c r="L104" s="30">
        <v>3.4293183807730054E-2</v>
      </c>
      <c r="M104" s="31">
        <v>4.8155705008731342E-2</v>
      </c>
      <c r="O104" s="9">
        <v>44770</v>
      </c>
      <c r="P104" s="30">
        <v>2.3720737965134298E-2</v>
      </c>
      <c r="Q104" s="30">
        <v>-4.4253782390969443E-2</v>
      </c>
      <c r="R104" s="30">
        <v>3.1645453452231243E-2</v>
      </c>
      <c r="S104" s="30">
        <v>1.4182805403325061E-2</v>
      </c>
      <c r="T104" s="31">
        <v>7.852492050102633E-3</v>
      </c>
      <c r="V104" s="9">
        <v>44804</v>
      </c>
      <c r="W104" s="30">
        <v>2.1440924809341677E-2</v>
      </c>
      <c r="X104" s="30">
        <v>3.9958917581709441E-2</v>
      </c>
      <c r="Y104" s="30">
        <v>2.2977940542887598E-3</v>
      </c>
      <c r="Z104" s="30">
        <v>-3.8566695164851117E-3</v>
      </c>
      <c r="AA104" s="31">
        <v>-8.6716595770064409E-4</v>
      </c>
    </row>
    <row r="105" spans="1:27" x14ac:dyDescent="0.25">
      <c r="A105" s="7">
        <f>NFLX[[#This Row],[Date]]</f>
        <v>44708</v>
      </c>
      <c r="B105" s="30">
        <f>NFLX[[#This Row],[Stopa zwrotu]]</f>
        <v>3.9761861155974687E-2</v>
      </c>
      <c r="C105" s="30">
        <f>META[[#This Row],[Stopa zwrotu]]</f>
        <v>4.1369517210839479E-2</v>
      </c>
      <c r="D105" s="30">
        <f>GOOG[[#This Row],[Stopa zwrotu]]</f>
        <v>3.8506787866930736E-2</v>
      </c>
      <c r="E105" s="30">
        <f>EBAY[[#This Row],[Stopa zwrotu]]</f>
        <v>3.4293183807730054E-2</v>
      </c>
      <c r="F105" s="30">
        <f>AMZN[[#This Row],[Stopa zwrotu]]</f>
        <v>4.8155705008731342E-2</v>
      </c>
      <c r="H105" s="9">
        <v>44712</v>
      </c>
      <c r="I105" s="30">
        <v>5.6470033526029306E-4</v>
      </c>
      <c r="J105" s="30">
        <v>2.9109483206909981E-3</v>
      </c>
      <c r="K105" s="30">
        <v>6.8975329010260156E-3</v>
      </c>
      <c r="L105" s="30">
        <v>1.434649339737526E-3</v>
      </c>
      <c r="M105" s="31">
        <v>6.7634270654442497E-3</v>
      </c>
      <c r="O105" s="9">
        <v>44771</v>
      </c>
      <c r="P105" s="30">
        <v>1.242771441186985E-2</v>
      </c>
      <c r="Q105" s="30">
        <v>2.0664642402401512E-3</v>
      </c>
      <c r="R105" s="30">
        <v>1.2328946765410187E-2</v>
      </c>
      <c r="S105" s="30">
        <v>4.0877818416523271E-2</v>
      </c>
      <c r="T105" s="31">
        <v>0.12135841596615138</v>
      </c>
      <c r="V105" s="9">
        <v>44805</v>
      </c>
      <c r="W105" s="30">
        <v>-1.7723636593409364E-2</v>
      </c>
      <c r="X105" s="30">
        <v>-1.1039799007276252E-2</v>
      </c>
      <c r="Y105" s="30">
        <v>-7.8862996454938106E-3</v>
      </c>
      <c r="Z105" s="30">
        <v>-6.3766567979958166E-3</v>
      </c>
      <c r="AA105" s="31">
        <v>-2.4301673099284771E-2</v>
      </c>
    </row>
    <row r="106" spans="1:27" x14ac:dyDescent="0.25">
      <c r="A106" s="7">
        <f>NFLX[[#This Row],[Date]]</f>
        <v>44712</v>
      </c>
      <c r="B106" s="30">
        <f>NFLX[[#This Row],[Stopa zwrotu]]</f>
        <v>5.6470033526029306E-4</v>
      </c>
      <c r="C106" s="30">
        <f>META[[#This Row],[Stopa zwrotu]]</f>
        <v>2.9109483206909981E-3</v>
      </c>
      <c r="D106" s="30">
        <f>GOOG[[#This Row],[Stopa zwrotu]]</f>
        <v>6.8975329010260156E-3</v>
      </c>
      <c r="E106" s="30">
        <f>EBAY[[#This Row],[Stopa zwrotu]]</f>
        <v>1.434649339737526E-3</v>
      </c>
      <c r="F106" s="30">
        <f>AMZN[[#This Row],[Stopa zwrotu]]</f>
        <v>6.7634270654442497E-3</v>
      </c>
      <c r="H106" s="9">
        <v>44713</v>
      </c>
      <c r="I106" s="30">
        <v>4.5073426964252761E-3</v>
      </c>
      <c r="J106" s="30">
        <v>-3.650849009188295E-2</v>
      </c>
      <c r="K106" s="30">
        <v>8.6877077672129488E-3</v>
      </c>
      <c r="L106" s="30">
        <v>-1.0777662721893511E-2</v>
      </c>
      <c r="M106" s="31">
        <v>4.2770649420255324E-2</v>
      </c>
      <c r="O106" s="9">
        <v>44774</v>
      </c>
      <c r="P106" s="30">
        <v>-2.0983124067290491E-3</v>
      </c>
      <c r="Q106" s="30">
        <v>1.2888659915644141E-4</v>
      </c>
      <c r="R106" s="30">
        <v>4.2980333872581307E-3</v>
      </c>
      <c r="S106" s="30">
        <v>-5.0296195735919742E-3</v>
      </c>
      <c r="T106" s="31">
        <v>2.7691538070392006E-3</v>
      </c>
      <c r="V106" s="9">
        <v>44806</v>
      </c>
      <c r="W106" s="30">
        <v>2.5379286347203323E-2</v>
      </c>
      <c r="X106" s="30">
        <v>-7.0471154207503162E-3</v>
      </c>
      <c r="Y106" s="30">
        <v>-5.5462611046075416E-4</v>
      </c>
      <c r="Z106" s="30">
        <v>4.5840246485440161E-3</v>
      </c>
      <c r="AA106" s="31">
        <v>2.2076620667099478E-2</v>
      </c>
    </row>
    <row r="107" spans="1:27" x14ac:dyDescent="0.25">
      <c r="A107" s="7">
        <f>NFLX[[#This Row],[Date]]</f>
        <v>44713</v>
      </c>
      <c r="B107" s="30">
        <f>NFLX[[#This Row],[Stopa zwrotu]]</f>
        <v>4.5073426964252761E-3</v>
      </c>
      <c r="C107" s="30">
        <f>META[[#This Row],[Stopa zwrotu]]</f>
        <v>-3.650849009188295E-2</v>
      </c>
      <c r="D107" s="30">
        <f>GOOG[[#This Row],[Stopa zwrotu]]</f>
        <v>8.6877077672129488E-3</v>
      </c>
      <c r="E107" s="30">
        <f>EBAY[[#This Row],[Stopa zwrotu]]</f>
        <v>-1.0777662721893511E-2</v>
      </c>
      <c r="F107" s="30">
        <f>AMZN[[#This Row],[Stopa zwrotu]]</f>
        <v>4.2770649420255324E-2</v>
      </c>
      <c r="H107" s="9">
        <v>44714</v>
      </c>
      <c r="I107" s="30">
        <v>3.1303870785692745E-4</v>
      </c>
      <c r="J107" s="30">
        <v>1.4756735135135202E-2</v>
      </c>
      <c r="K107" s="30">
        <v>-2.1356136884964627E-3</v>
      </c>
      <c r="L107" s="30">
        <v>-7.6906642236559408E-3</v>
      </c>
      <c r="M107" s="31">
        <v>-4.7876640724185959E-3</v>
      </c>
      <c r="O107" s="9">
        <v>44775</v>
      </c>
      <c r="P107" s="30">
        <v>-5.4296380090490537E-4</v>
      </c>
      <c r="Q107" s="30">
        <v>1.7908903379730834E-2</v>
      </c>
      <c r="R107" s="30">
        <v>-3.7492370084709625E-3</v>
      </c>
      <c r="S107" s="30">
        <v>2.0985938258721859E-3</v>
      </c>
      <c r="T107" s="31">
        <v>4.3442515296328033E-3</v>
      </c>
      <c r="V107" s="9">
        <v>44810</v>
      </c>
      <c r="W107" s="30">
        <v>-1.1497946278375526E-2</v>
      </c>
      <c r="X107" s="30">
        <v>-2.4023348046581239E-3</v>
      </c>
      <c r="Y107" s="30">
        <v>-3.7454800817205425E-3</v>
      </c>
      <c r="Z107" s="30">
        <v>-5.1334813993391959E-3</v>
      </c>
      <c r="AA107" s="31">
        <v>-3.2637095756286871E-3</v>
      </c>
    </row>
    <row r="108" spans="1:27" x14ac:dyDescent="0.25">
      <c r="A108" s="7">
        <f>NFLX[[#This Row],[Date]]</f>
        <v>44714</v>
      </c>
      <c r="B108" s="30">
        <f>NFLX[[#This Row],[Stopa zwrotu]]</f>
        <v>3.1303870785692745E-4</v>
      </c>
      <c r="C108" s="30">
        <f>META[[#This Row],[Stopa zwrotu]]</f>
        <v>1.4756735135135202E-2</v>
      </c>
      <c r="D108" s="30">
        <f>GOOG[[#This Row],[Stopa zwrotu]]</f>
        <v>-2.1356136884964627E-3</v>
      </c>
      <c r="E108" s="30">
        <f>EBAY[[#This Row],[Stopa zwrotu]]</f>
        <v>-7.6906642236559408E-3</v>
      </c>
      <c r="F108" s="30">
        <f>AMZN[[#This Row],[Stopa zwrotu]]</f>
        <v>-4.7876640724185959E-3</v>
      </c>
      <c r="H108" s="9">
        <v>44715</v>
      </c>
      <c r="I108" s="30">
        <v>3.3016909904981739E-2</v>
      </c>
      <c r="J108" s="30">
        <v>1.0919954422201172E-2</v>
      </c>
      <c r="K108" s="30">
        <v>3.1771808096265897E-3</v>
      </c>
      <c r="L108" s="30">
        <v>7.3196984430634604E-3</v>
      </c>
      <c r="M108" s="31">
        <v>8.3427299486480422E-3</v>
      </c>
      <c r="O108" s="9">
        <v>44776</v>
      </c>
      <c r="P108" s="30">
        <v>6.97207970454361E-3</v>
      </c>
      <c r="Q108" s="30">
        <v>2.2530296263853389E-2</v>
      </c>
      <c r="R108" s="30">
        <v>1.6541221485362856E-2</v>
      </c>
      <c r="S108" s="30">
        <v>2.6178010471204161E-2</v>
      </c>
      <c r="T108" s="31">
        <v>1.4617100890956802E-2</v>
      </c>
      <c r="V108" s="9">
        <v>44811</v>
      </c>
      <c r="W108" s="30">
        <v>1.6675215271552357E-2</v>
      </c>
      <c r="X108" s="30">
        <v>-5.5805947671938583E-3</v>
      </c>
      <c r="Y108" s="30">
        <v>1.0374574962452865E-2</v>
      </c>
      <c r="Z108" s="30">
        <v>3.7269974376894499E-3</v>
      </c>
      <c r="AA108" s="31">
        <v>5.2910374425370055E-3</v>
      </c>
    </row>
    <row r="109" spans="1:27" x14ac:dyDescent="0.25">
      <c r="A109" s="7">
        <f>NFLX[[#This Row],[Date]]</f>
        <v>44715</v>
      </c>
      <c r="B109" s="30">
        <f>NFLX[[#This Row],[Stopa zwrotu]]</f>
        <v>3.3016909904981739E-2</v>
      </c>
      <c r="C109" s="30">
        <f>META[[#This Row],[Stopa zwrotu]]</f>
        <v>1.0919954422201172E-2</v>
      </c>
      <c r="D109" s="30">
        <f>GOOG[[#This Row],[Stopa zwrotu]]</f>
        <v>3.1771808096265897E-3</v>
      </c>
      <c r="E109" s="30">
        <f>EBAY[[#This Row],[Stopa zwrotu]]</f>
        <v>7.3196984430634604E-3</v>
      </c>
      <c r="F109" s="30">
        <f>AMZN[[#This Row],[Stopa zwrotu]]</f>
        <v>8.3427299486480422E-3</v>
      </c>
      <c r="H109" s="9">
        <v>44718</v>
      </c>
      <c r="I109" s="30">
        <v>-4.4938112590350672E-3</v>
      </c>
      <c r="J109" s="30">
        <v>-2.4238680002662827E-3</v>
      </c>
      <c r="K109" s="30">
        <v>8.3878723568158176E-3</v>
      </c>
      <c r="L109" s="30">
        <v>4.8443398551469841E-3</v>
      </c>
      <c r="M109" s="31">
        <v>7.6100148212186651E-3</v>
      </c>
      <c r="O109" s="9">
        <v>44777</v>
      </c>
      <c r="P109" s="30">
        <v>1.1824498802486261E-2</v>
      </c>
      <c r="Q109" s="30">
        <v>3.2369844484812171E-2</v>
      </c>
      <c r="R109" s="30">
        <v>1.3430882248284481E-2</v>
      </c>
      <c r="S109" s="30">
        <v>-4.7755102040816344E-2</v>
      </c>
      <c r="T109" s="31">
        <v>2.5725835522399709E-2</v>
      </c>
      <c r="V109" s="9">
        <v>44812</v>
      </c>
      <c r="W109" s="30">
        <v>1.3881884567152891E-2</v>
      </c>
      <c r="X109" s="30">
        <v>5.9307889283946036E-3</v>
      </c>
      <c r="Y109" s="30">
        <v>4.1351113531591377E-3</v>
      </c>
      <c r="Z109" s="30">
        <v>1.0907426317010804E-2</v>
      </c>
      <c r="AA109" s="31">
        <v>1.3556586705636642E-2</v>
      </c>
    </row>
    <row r="110" spans="1:27" x14ac:dyDescent="0.25">
      <c r="A110" s="7">
        <f>NFLX[[#This Row],[Date]]</f>
        <v>44718</v>
      </c>
      <c r="B110" s="30">
        <f>NFLX[[#This Row],[Stopa zwrotu]]</f>
        <v>-4.4938112590350672E-3</v>
      </c>
      <c r="C110" s="30">
        <f>META[[#This Row],[Stopa zwrotu]]</f>
        <v>-2.4238680002662827E-3</v>
      </c>
      <c r="D110" s="30">
        <f>GOOG[[#This Row],[Stopa zwrotu]]</f>
        <v>8.3878723568158176E-3</v>
      </c>
      <c r="E110" s="30">
        <f>EBAY[[#This Row],[Stopa zwrotu]]</f>
        <v>4.8443398551469841E-3</v>
      </c>
      <c r="F110" s="30">
        <f>AMZN[[#This Row],[Stopa zwrotu]]</f>
        <v>7.6100148212186651E-3</v>
      </c>
      <c r="H110" s="9">
        <v>44719</v>
      </c>
      <c r="I110" s="30">
        <v>-1.2181415390996708E-2</v>
      </c>
      <c r="J110" s="30">
        <v>1.6401332794097723E-2</v>
      </c>
      <c r="K110" s="30">
        <v>-1.2038217635669923E-2</v>
      </c>
      <c r="L110" s="30">
        <v>-1.6642110456243753E-2</v>
      </c>
      <c r="M110" s="31">
        <v>-2.5684525089807342E-2</v>
      </c>
      <c r="O110" s="9">
        <v>44778</v>
      </c>
      <c r="P110" s="30">
        <v>-9.6867716993543906E-3</v>
      </c>
      <c r="Q110" s="30">
        <v>-5.9952037291030047E-3</v>
      </c>
      <c r="R110" s="30">
        <v>-8.4954550037843468E-3</v>
      </c>
      <c r="S110" s="30">
        <v>6.4292756108019766E-4</v>
      </c>
      <c r="T110" s="31">
        <v>3.5831600806202069E-4</v>
      </c>
      <c r="V110" s="9">
        <v>44813</v>
      </c>
      <c r="W110" s="30">
        <v>3.7595986837831052E-2</v>
      </c>
      <c r="X110" s="30">
        <v>3.34727959467227E-2</v>
      </c>
      <c r="Y110" s="30">
        <v>1.7953007920655351E-2</v>
      </c>
      <c r="Z110" s="30">
        <v>1.629933387742577E-2</v>
      </c>
      <c r="AA110" s="31">
        <v>2.8796200295770236E-2</v>
      </c>
    </row>
    <row r="111" spans="1:27" x14ac:dyDescent="0.25">
      <c r="A111" s="7">
        <f>NFLX[[#This Row],[Date]]</f>
        <v>44719</v>
      </c>
      <c r="B111" s="30">
        <f>NFLX[[#This Row],[Stopa zwrotu]]</f>
        <v>-1.2181415390996708E-2</v>
      </c>
      <c r="C111" s="30">
        <f>META[[#This Row],[Stopa zwrotu]]</f>
        <v>1.6401332794097723E-2</v>
      </c>
      <c r="D111" s="30">
        <f>GOOG[[#This Row],[Stopa zwrotu]]</f>
        <v>-1.2038217635669923E-2</v>
      </c>
      <c r="E111" s="30">
        <f>EBAY[[#This Row],[Stopa zwrotu]]</f>
        <v>-1.6642110456243753E-2</v>
      </c>
      <c r="F111" s="30">
        <f>AMZN[[#This Row],[Stopa zwrotu]]</f>
        <v>-2.5684525089807342E-2</v>
      </c>
      <c r="H111" s="9">
        <v>44720</v>
      </c>
      <c r="I111" s="30">
        <v>2.404144559585486E-2</v>
      </c>
      <c r="J111" s="30">
        <v>1.5248832439061166E-2</v>
      </c>
      <c r="K111" s="30">
        <v>1.3648087916297014E-2</v>
      </c>
      <c r="L111" s="30">
        <v>1.3281898029134487E-2</v>
      </c>
      <c r="M111" s="31">
        <v>9.9480231272819353E-4</v>
      </c>
      <c r="O111" s="9">
        <v>44781</v>
      </c>
      <c r="P111" s="30">
        <v>5.2945799186651472E-3</v>
      </c>
      <c r="Q111" s="30">
        <v>2.673908274899143E-3</v>
      </c>
      <c r="R111" s="30">
        <v>3.1988204655312527E-3</v>
      </c>
      <c r="S111" s="30">
        <v>3.6410509811034184E-3</v>
      </c>
      <c r="T111" s="31">
        <v>-3.1280156248703803E-3</v>
      </c>
      <c r="V111" s="9">
        <v>44816</v>
      </c>
      <c r="W111" s="30">
        <v>5.4437767930444929E-3</v>
      </c>
      <c r="X111" s="30">
        <v>8.7105772205313681E-3</v>
      </c>
      <c r="Y111" s="30">
        <v>2.8181818181818308E-3</v>
      </c>
      <c r="Z111" s="30">
        <v>6.3248324674346117E-3</v>
      </c>
      <c r="AA111" s="31">
        <v>8.2594196081658602E-3</v>
      </c>
    </row>
    <row r="112" spans="1:27" x14ac:dyDescent="0.25">
      <c r="A112" s="7">
        <f>NFLX[[#This Row],[Date]]</f>
        <v>44720</v>
      </c>
      <c r="B112" s="30">
        <f>NFLX[[#This Row],[Stopa zwrotu]]</f>
        <v>2.404144559585486E-2</v>
      </c>
      <c r="C112" s="30">
        <f>META[[#This Row],[Stopa zwrotu]]</f>
        <v>1.5248832439061166E-2</v>
      </c>
      <c r="D112" s="30">
        <f>GOOG[[#This Row],[Stopa zwrotu]]</f>
        <v>1.3648087916297014E-2</v>
      </c>
      <c r="E112" s="30">
        <f>EBAY[[#This Row],[Stopa zwrotu]]</f>
        <v>1.3281898029134487E-2</v>
      </c>
      <c r="F112" s="30">
        <f>AMZN[[#This Row],[Stopa zwrotu]]</f>
        <v>9.9480231272819353E-4</v>
      </c>
      <c r="H112" s="9">
        <v>44721</v>
      </c>
      <c r="I112" s="30">
        <v>-2.5804523506398058E-2</v>
      </c>
      <c r="J112" s="30">
        <v>-5.5192689569616982E-2</v>
      </c>
      <c r="K112" s="30">
        <v>-1.5679528753273719E-2</v>
      </c>
      <c r="L112" s="30">
        <v>-1.8393213919518314E-2</v>
      </c>
      <c r="M112" s="31">
        <v>-3.8509333333333284E-2</v>
      </c>
      <c r="O112" s="9">
        <v>44782</v>
      </c>
      <c r="P112" s="30">
        <v>-7.7735522675932422E-3</v>
      </c>
      <c r="Q112" s="30">
        <v>-3.1711780299414905E-3</v>
      </c>
      <c r="R112" s="30">
        <v>-1.0778273601319333E-2</v>
      </c>
      <c r="S112" s="30">
        <v>-3.8135804276783203E-3</v>
      </c>
      <c r="T112" s="31">
        <v>-1.5040755696618002E-2</v>
      </c>
      <c r="V112" s="9">
        <v>44817</v>
      </c>
      <c r="W112" s="30">
        <v>-6.7060866158050847E-2</v>
      </c>
      <c r="X112" s="30">
        <v>-8.7338600474286321E-2</v>
      </c>
      <c r="Y112" s="30">
        <v>-5.3457135130262401E-2</v>
      </c>
      <c r="Z112" s="30">
        <v>-5.5420083009973808E-2</v>
      </c>
      <c r="AA112" s="31">
        <v>-5.7686589552238821E-2</v>
      </c>
    </row>
    <row r="113" spans="1:27" x14ac:dyDescent="0.25">
      <c r="A113" s="7">
        <f>NFLX[[#This Row],[Date]]</f>
        <v>44721</v>
      </c>
      <c r="B113" s="30">
        <f>NFLX[[#This Row],[Stopa zwrotu]]</f>
        <v>-2.5804523506398058E-2</v>
      </c>
      <c r="C113" s="30">
        <f>META[[#This Row],[Stopa zwrotu]]</f>
        <v>-5.5192689569616982E-2</v>
      </c>
      <c r="D113" s="30">
        <f>GOOG[[#This Row],[Stopa zwrotu]]</f>
        <v>-1.5679528753273719E-2</v>
      </c>
      <c r="E113" s="30">
        <f>EBAY[[#This Row],[Stopa zwrotu]]</f>
        <v>-1.8393213919518314E-2</v>
      </c>
      <c r="F113" s="30">
        <f>AMZN[[#This Row],[Stopa zwrotu]]</f>
        <v>-3.8509333333333284E-2</v>
      </c>
      <c r="H113" s="9">
        <v>44722</v>
      </c>
      <c r="I113" s="30">
        <v>-6.0714591383619676E-2</v>
      </c>
      <c r="J113" s="30">
        <v>-4.7147154453560991E-2</v>
      </c>
      <c r="K113" s="30">
        <v>-3.4875091232688837E-2</v>
      </c>
      <c r="L113" s="30">
        <v>-4.6306289037260417E-2</v>
      </c>
      <c r="M113" s="31">
        <v>-6.0723472191618777E-2</v>
      </c>
      <c r="O113" s="9">
        <v>44783</v>
      </c>
      <c r="P113" s="30">
        <v>5.3193911948201666E-2</v>
      </c>
      <c r="Q113" s="30">
        <v>4.4117591448346039E-2</v>
      </c>
      <c r="R113" s="30">
        <v>2.4021989087542828E-2</v>
      </c>
      <c r="S113" s="30">
        <v>3.0837962569119526E-2</v>
      </c>
      <c r="T113" s="31">
        <v>3.5239613488897481E-2</v>
      </c>
      <c r="V113" s="9">
        <v>44818</v>
      </c>
      <c r="W113" s="30">
        <v>-8.8186569501255141E-3</v>
      </c>
      <c r="X113" s="30">
        <v>-2.3711240239879916E-2</v>
      </c>
      <c r="Y113" s="30">
        <v>-4.761904761904745E-3</v>
      </c>
      <c r="Z113" s="30">
        <v>-1.713212820623955E-2</v>
      </c>
      <c r="AA113" s="31">
        <v>4.7521185891841178E-4</v>
      </c>
    </row>
    <row r="114" spans="1:27" x14ac:dyDescent="0.25">
      <c r="A114" s="7">
        <f>NFLX[[#This Row],[Date]]</f>
        <v>44722</v>
      </c>
      <c r="B114" s="30">
        <f>NFLX[[#This Row],[Stopa zwrotu]]</f>
        <v>-6.0714591383619676E-2</v>
      </c>
      <c r="C114" s="30">
        <f>META[[#This Row],[Stopa zwrotu]]</f>
        <v>-4.7147154453560991E-2</v>
      </c>
      <c r="D114" s="30">
        <f>GOOG[[#This Row],[Stopa zwrotu]]</f>
        <v>-3.4875091232688837E-2</v>
      </c>
      <c r="E114" s="30">
        <f>EBAY[[#This Row],[Stopa zwrotu]]</f>
        <v>-4.6306289037260417E-2</v>
      </c>
      <c r="F114" s="30">
        <f>AMZN[[#This Row],[Stopa zwrotu]]</f>
        <v>-6.0723472191618777E-2</v>
      </c>
      <c r="H114" s="9">
        <v>44725</v>
      </c>
      <c r="I114" s="30">
        <v>-2.1915028302514978E-2</v>
      </c>
      <c r="J114" s="30">
        <v>-2.093095027011882E-2</v>
      </c>
      <c r="K114" s="30">
        <v>-1.2847767324246898E-2</v>
      </c>
      <c r="L114" s="30">
        <v>-1.211985122221885E-2</v>
      </c>
      <c r="M114" s="31">
        <v>-2.1977691585513621E-2</v>
      </c>
      <c r="O114" s="9">
        <v>44784</v>
      </c>
      <c r="P114" s="30">
        <v>2.0752277580246448E-2</v>
      </c>
      <c r="Q114" s="30">
        <v>1.3912032433090582E-2</v>
      </c>
      <c r="R114" s="30">
        <v>1.5918397989960198E-3</v>
      </c>
      <c r="S114" s="30">
        <v>-7.0146480913009235E-3</v>
      </c>
      <c r="T114" s="31">
        <v>-8.8646198448556479E-3</v>
      </c>
      <c r="V114" s="9">
        <v>44819</v>
      </c>
      <c r="W114" s="30">
        <v>6.1631152989372273E-2</v>
      </c>
      <c r="X114" s="30">
        <v>-2.3482455079186781E-3</v>
      </c>
      <c r="Y114" s="30">
        <v>-1.1387578947368526E-2</v>
      </c>
      <c r="Z114" s="30">
        <v>1.3132736076104656E-2</v>
      </c>
      <c r="AA114" s="31">
        <v>-6.5701099252732931E-3</v>
      </c>
    </row>
    <row r="115" spans="1:27" x14ac:dyDescent="0.25">
      <c r="A115" s="7">
        <f>NFLX[[#This Row],[Date]]</f>
        <v>44725</v>
      </c>
      <c r="B115" s="30">
        <f>NFLX[[#This Row],[Stopa zwrotu]]</f>
        <v>-2.1915028302514978E-2</v>
      </c>
      <c r="C115" s="30">
        <f>META[[#This Row],[Stopa zwrotu]]</f>
        <v>-2.093095027011882E-2</v>
      </c>
      <c r="D115" s="30">
        <f>GOOG[[#This Row],[Stopa zwrotu]]</f>
        <v>-1.2847767324246898E-2</v>
      </c>
      <c r="E115" s="30">
        <f>EBAY[[#This Row],[Stopa zwrotu]]</f>
        <v>-1.211985122221885E-2</v>
      </c>
      <c r="F115" s="30">
        <f>AMZN[[#This Row],[Stopa zwrotu]]</f>
        <v>-2.1977691585513621E-2</v>
      </c>
      <c r="H115" s="9">
        <v>44726</v>
      </c>
      <c r="I115" s="30">
        <v>-2.7698909837284624E-2</v>
      </c>
      <c r="J115" s="30">
        <v>-1.6277498117889921E-2</v>
      </c>
      <c r="K115" s="30">
        <v>-2.2146384870100899E-3</v>
      </c>
      <c r="L115" s="30">
        <v>-1.0780384850264002E-2</v>
      </c>
      <c r="M115" s="31">
        <v>-4.2214902393333809E-3</v>
      </c>
      <c r="O115" s="9">
        <v>44785</v>
      </c>
      <c r="P115" s="30">
        <v>9.3163846076018686E-3</v>
      </c>
      <c r="Q115" s="30">
        <v>1.4401593649758793E-2</v>
      </c>
      <c r="R115" s="30">
        <v>7.1099872745297166E-3</v>
      </c>
      <c r="S115" s="30">
        <v>1.1427363153389436E-2</v>
      </c>
      <c r="T115" s="31">
        <v>2.5758443966743538E-3</v>
      </c>
      <c r="V115" s="9">
        <v>44820</v>
      </c>
      <c r="W115" s="30">
        <v>-5.5434481306823047E-3</v>
      </c>
      <c r="X115" s="30">
        <v>-2.9657055070417937E-2</v>
      </c>
      <c r="Y115" s="30">
        <v>-1.4083777254549901E-2</v>
      </c>
      <c r="Z115" s="30">
        <v>-3.040304030167329E-2</v>
      </c>
      <c r="AA115" s="31">
        <v>-3.8247035856573741E-2</v>
      </c>
    </row>
    <row r="116" spans="1:27" x14ac:dyDescent="0.25">
      <c r="A116" s="7">
        <f>NFLX[[#This Row],[Date]]</f>
        <v>44726</v>
      </c>
      <c r="B116" s="30">
        <f>NFLX[[#This Row],[Stopa zwrotu]]</f>
        <v>-2.7698909837284624E-2</v>
      </c>
      <c r="C116" s="30">
        <f>META[[#This Row],[Stopa zwrotu]]</f>
        <v>-1.6277498117889921E-2</v>
      </c>
      <c r="D116" s="30">
        <f>GOOG[[#This Row],[Stopa zwrotu]]</f>
        <v>-2.2146384870100899E-3</v>
      </c>
      <c r="E116" s="30">
        <f>EBAY[[#This Row],[Stopa zwrotu]]</f>
        <v>-1.0780384850264002E-2</v>
      </c>
      <c r="F116" s="30">
        <f>AMZN[[#This Row],[Stopa zwrotu]]</f>
        <v>-4.2214902393333809E-3</v>
      </c>
      <c r="H116" s="9">
        <v>44727</v>
      </c>
      <c r="I116" s="30">
        <v>2.587046521713221E-2</v>
      </c>
      <c r="J116" s="30">
        <v>1.6236954534971648E-2</v>
      </c>
      <c r="K116" s="30">
        <v>1.6612334980414145E-2</v>
      </c>
      <c r="L116" s="30">
        <v>8.765766613735293E-3</v>
      </c>
      <c r="M116" s="31">
        <v>2.0703923888395925E-2</v>
      </c>
      <c r="O116" s="9">
        <v>44788</v>
      </c>
      <c r="P116" s="30">
        <v>5.1279948541186711E-3</v>
      </c>
      <c r="Q116" s="30">
        <v>-1.3228382690103624E-3</v>
      </c>
      <c r="R116" s="30">
        <v>3.2391970669014558E-3</v>
      </c>
      <c r="S116" s="30">
        <v>-3.2867639003012852E-3</v>
      </c>
      <c r="T116" s="31">
        <v>3.2591351434176166E-3</v>
      </c>
      <c r="V116" s="9">
        <v>44823</v>
      </c>
      <c r="W116" s="30">
        <v>1.1587584208217372E-2</v>
      </c>
      <c r="X116" s="30">
        <v>1.8712616704703589E-3</v>
      </c>
      <c r="Y116" s="30">
        <v>1.6854024015557172E-3</v>
      </c>
      <c r="Z116" s="30">
        <v>-4.8612057574433837E-4</v>
      </c>
      <c r="AA116" s="31">
        <v>3.0378514977649207E-3</v>
      </c>
    </row>
    <row r="117" spans="1:27" x14ac:dyDescent="0.25">
      <c r="A117" s="7">
        <f>NFLX[[#This Row],[Date]]</f>
        <v>44727</v>
      </c>
      <c r="B117" s="30">
        <f>NFLX[[#This Row],[Stopa zwrotu]]</f>
        <v>2.587046521713221E-2</v>
      </c>
      <c r="C117" s="30">
        <f>META[[#This Row],[Stopa zwrotu]]</f>
        <v>1.6236954534971648E-2</v>
      </c>
      <c r="D117" s="30">
        <f>GOOG[[#This Row],[Stopa zwrotu]]</f>
        <v>1.6612334980414145E-2</v>
      </c>
      <c r="E117" s="30">
        <f>EBAY[[#This Row],[Stopa zwrotu]]</f>
        <v>8.765766613735293E-3</v>
      </c>
      <c r="F117" s="30">
        <f>AMZN[[#This Row],[Stopa zwrotu]]</f>
        <v>2.0703923888395925E-2</v>
      </c>
      <c r="H117" s="9">
        <v>44728</v>
      </c>
      <c r="I117" s="30">
        <v>1.7978989010734026E-2</v>
      </c>
      <c r="J117" s="30">
        <v>-2.6649561572132163E-2</v>
      </c>
      <c r="K117" s="30">
        <v>-2.1515684901727394E-2</v>
      </c>
      <c r="L117" s="30">
        <v>-4.8379565599832475E-2</v>
      </c>
      <c r="M117" s="31">
        <v>-1.4681705927573785E-2</v>
      </c>
      <c r="O117" s="9">
        <v>44789</v>
      </c>
      <c r="P117" s="30">
        <v>-1.4060022101329728E-2</v>
      </c>
      <c r="Q117" s="30">
        <v>-6.5095623991507923E-3</v>
      </c>
      <c r="R117" s="30">
        <v>-2.8786707246852838E-4</v>
      </c>
      <c r="S117" s="30">
        <v>7.8838380107086881E-3</v>
      </c>
      <c r="T117" s="31">
        <v>3.6044595517541467E-3</v>
      </c>
      <c r="V117" s="9">
        <v>44824</v>
      </c>
      <c r="W117" s="30">
        <v>1.65853828207847E-2</v>
      </c>
      <c r="X117" s="30">
        <v>8.2698135794689875E-4</v>
      </c>
      <c r="Y117" s="30">
        <v>-1.221060821889397E-2</v>
      </c>
      <c r="Z117" s="30">
        <v>-3.3349633235168707E-2</v>
      </c>
      <c r="AA117" s="31">
        <v>-5.4187519190783684E-3</v>
      </c>
    </row>
    <row r="118" spans="1:27" x14ac:dyDescent="0.25">
      <c r="A118" s="7">
        <f>NFLX[[#This Row],[Date]]</f>
        <v>44728</v>
      </c>
      <c r="B118" s="30">
        <f>NFLX[[#This Row],[Stopa zwrotu]]</f>
        <v>1.7978989010734026E-2</v>
      </c>
      <c r="C118" s="30">
        <f>META[[#This Row],[Stopa zwrotu]]</f>
        <v>-2.6649561572132163E-2</v>
      </c>
      <c r="D118" s="30">
        <f>GOOG[[#This Row],[Stopa zwrotu]]</f>
        <v>-2.1515684901727394E-2</v>
      </c>
      <c r="E118" s="30">
        <f>EBAY[[#This Row],[Stopa zwrotu]]</f>
        <v>-4.8379565599832475E-2</v>
      </c>
      <c r="F118" s="30">
        <f>AMZN[[#This Row],[Stopa zwrotu]]</f>
        <v>-1.4681705927573785E-2</v>
      </c>
      <c r="H118" s="9">
        <v>44729</v>
      </c>
      <c r="I118" s="30">
        <v>1.0375367339419128E-2</v>
      </c>
      <c r="J118" s="30">
        <v>1.8168848955772976E-3</v>
      </c>
      <c r="K118" s="30">
        <v>-1.5497790046615778E-3</v>
      </c>
      <c r="L118" s="30">
        <v>2.245804540967411E-2</v>
      </c>
      <c r="M118" s="31">
        <v>4.9014801509366102E-3</v>
      </c>
      <c r="O118" s="9">
        <v>44790</v>
      </c>
      <c r="P118" s="30">
        <v>-2.6513137837614775E-2</v>
      </c>
      <c r="Q118" s="30">
        <v>-1.6210998155654077E-2</v>
      </c>
      <c r="R118" s="30">
        <v>-1.0984547299640601E-2</v>
      </c>
      <c r="S118" s="30">
        <v>-6.9987646357034805E-3</v>
      </c>
      <c r="T118" s="31">
        <v>-8.5915563380281057E-3</v>
      </c>
      <c r="V118" s="9">
        <v>44825</v>
      </c>
      <c r="W118" s="30">
        <v>-1.2434327590180594E-2</v>
      </c>
      <c r="X118" s="30">
        <v>-2.2173261106092412E-2</v>
      </c>
      <c r="Y118" s="30">
        <v>-1.1174890886820887E-2</v>
      </c>
      <c r="Z118" s="30">
        <v>-2.2916142606802969E-2</v>
      </c>
      <c r="AA118" s="31">
        <v>-2.220572909200702E-2</v>
      </c>
    </row>
    <row r="119" spans="1:27" x14ac:dyDescent="0.25">
      <c r="A119" s="7">
        <f>NFLX[[#This Row],[Date]]</f>
        <v>44729</v>
      </c>
      <c r="B119" s="30">
        <f>NFLX[[#This Row],[Stopa zwrotu]]</f>
        <v>1.0375367339419128E-2</v>
      </c>
      <c r="C119" s="30">
        <f>META[[#This Row],[Stopa zwrotu]]</f>
        <v>1.8168848955772976E-3</v>
      </c>
      <c r="D119" s="30">
        <f>GOOG[[#This Row],[Stopa zwrotu]]</f>
        <v>-1.5497790046615778E-3</v>
      </c>
      <c r="E119" s="30">
        <f>EBAY[[#This Row],[Stopa zwrotu]]</f>
        <v>2.245804540967411E-2</v>
      </c>
      <c r="F119" s="30">
        <f>AMZN[[#This Row],[Stopa zwrotu]]</f>
        <v>4.9014801509366102E-3</v>
      </c>
      <c r="H119" s="9">
        <v>44733</v>
      </c>
      <c r="I119" s="30">
        <v>-5.1055628846328194E-3</v>
      </c>
      <c r="J119" s="30">
        <v>-6.1444545770276693E-3</v>
      </c>
      <c r="K119" s="30">
        <v>8.674158334544213E-3</v>
      </c>
      <c r="L119" s="30">
        <v>4.6463975380159339E-3</v>
      </c>
      <c r="M119" s="31">
        <v>2.5607159777442656E-3</v>
      </c>
      <c r="O119" s="9">
        <v>44791</v>
      </c>
      <c r="P119" s="30">
        <v>7.2402804111826313E-3</v>
      </c>
      <c r="Q119" s="30">
        <v>-1.3262886986999844E-2</v>
      </c>
      <c r="R119" s="30">
        <v>-5.40760412830954E-3</v>
      </c>
      <c r="S119" s="30">
        <v>-8.7065087600949331E-3</v>
      </c>
      <c r="T119" s="31">
        <v>-2.8412700869531182E-3</v>
      </c>
      <c r="V119" s="9">
        <v>44826</v>
      </c>
      <c r="W119" s="30">
        <v>-2.1210026823010764E-2</v>
      </c>
      <c r="X119" s="30">
        <v>-7.9577816901409415E-3</v>
      </c>
      <c r="Y119" s="30">
        <v>-5.8005201680272345E-3</v>
      </c>
      <c r="Z119" s="30">
        <v>-2.0360851040228001E-2</v>
      </c>
      <c r="AA119" s="31">
        <v>-1.8488772101868389E-2</v>
      </c>
    </row>
    <row r="120" spans="1:27" x14ac:dyDescent="0.25">
      <c r="A120" s="7">
        <f>NFLX[[#This Row],[Date]]</f>
        <v>44733</v>
      </c>
      <c r="B120" s="30">
        <f>NFLX[[#This Row],[Stopa zwrotu]]</f>
        <v>-5.1055628846328194E-3</v>
      </c>
      <c r="C120" s="30">
        <f>META[[#This Row],[Stopa zwrotu]]</f>
        <v>-6.1444545770276693E-3</v>
      </c>
      <c r="D120" s="30">
        <f>GOOG[[#This Row],[Stopa zwrotu]]</f>
        <v>8.674158334544213E-3</v>
      </c>
      <c r="E120" s="30">
        <f>EBAY[[#This Row],[Stopa zwrotu]]</f>
        <v>4.6463975380159339E-3</v>
      </c>
      <c r="F120" s="30">
        <f>AMZN[[#This Row],[Stopa zwrotu]]</f>
        <v>2.5607159777442656E-3</v>
      </c>
      <c r="H120" s="9">
        <v>44734</v>
      </c>
      <c r="I120" s="30">
        <v>2.355677225753583E-3</v>
      </c>
      <c r="J120" s="30">
        <v>-3.398082942885905E-3</v>
      </c>
      <c r="K120" s="30">
        <v>1.3091299672223E-2</v>
      </c>
      <c r="L120" s="30">
        <v>-8.7677486073993727E-3</v>
      </c>
      <c r="M120" s="31">
        <v>3.3410574225773981E-2</v>
      </c>
      <c r="O120" s="9">
        <v>44792</v>
      </c>
      <c r="P120" s="30">
        <v>-1.5045160544321146E-2</v>
      </c>
      <c r="Q120" s="30">
        <v>-2.7987885325335249E-2</v>
      </c>
      <c r="R120" s="30">
        <v>-1.5725679237331369E-2</v>
      </c>
      <c r="S120" s="30">
        <v>-2.6557946465913806E-2</v>
      </c>
      <c r="T120" s="31">
        <v>-1.7595105513780407E-2</v>
      </c>
      <c r="V120" s="9">
        <v>44827</v>
      </c>
      <c r="W120" s="30">
        <v>-4.4159590880435196E-2</v>
      </c>
      <c r="X120" s="30">
        <v>-1.4055484278252428E-2</v>
      </c>
      <c r="Y120" s="30">
        <v>-1.4083109784403636E-2</v>
      </c>
      <c r="Z120" s="30">
        <v>-1.3417469793079229E-2</v>
      </c>
      <c r="AA120" s="31">
        <v>-3.6125958435817007E-2</v>
      </c>
    </row>
    <row r="121" spans="1:27" x14ac:dyDescent="0.25">
      <c r="A121" s="7">
        <f>NFLX[[#This Row],[Date]]</f>
        <v>44734</v>
      </c>
      <c r="B121" s="30">
        <f>NFLX[[#This Row],[Stopa zwrotu]]</f>
        <v>2.355677225753583E-3</v>
      </c>
      <c r="C121" s="30">
        <f>META[[#This Row],[Stopa zwrotu]]</f>
        <v>-3.398082942885905E-3</v>
      </c>
      <c r="D121" s="30">
        <f>GOOG[[#This Row],[Stopa zwrotu]]</f>
        <v>1.3091299672223E-2</v>
      </c>
      <c r="E121" s="30">
        <f>EBAY[[#This Row],[Stopa zwrotu]]</f>
        <v>-8.7677486073993727E-3</v>
      </c>
      <c r="F121" s="30">
        <f>AMZN[[#This Row],[Stopa zwrotu]]</f>
        <v>3.3410574225773981E-2</v>
      </c>
      <c r="H121" s="9">
        <v>44735</v>
      </c>
      <c r="I121" s="30">
        <v>3.3313737367457241E-2</v>
      </c>
      <c r="J121" s="30">
        <v>-7.6556998500295625E-3</v>
      </c>
      <c r="K121" s="30">
        <v>2.7518982577057205E-3</v>
      </c>
      <c r="L121" s="30">
        <v>5.2593112474630388E-3</v>
      </c>
      <c r="M121" s="31">
        <v>8.5031118062917077E-3</v>
      </c>
      <c r="O121" s="9">
        <v>44795</v>
      </c>
      <c r="P121" s="30">
        <v>-1.568510597616431E-2</v>
      </c>
      <c r="Q121" s="30">
        <v>-9.5580323535422815E-3</v>
      </c>
      <c r="R121" s="30">
        <v>-8.4983429675931452E-3</v>
      </c>
      <c r="S121" s="30">
        <v>-8.7361047347533916E-3</v>
      </c>
      <c r="T121" s="31">
        <v>-1.2230193249794944E-2</v>
      </c>
      <c r="V121" s="9">
        <v>44830</v>
      </c>
      <c r="W121" s="30">
        <v>2.3784823645518482E-3</v>
      </c>
      <c r="X121" s="30">
        <v>-6.4799410071274917E-3</v>
      </c>
      <c r="Y121" s="30">
        <v>1.2583579650031023E-3</v>
      </c>
      <c r="Z121" s="30">
        <v>5.3333155555555694E-3</v>
      </c>
      <c r="AA121" s="31">
        <v>3.1828158102709856E-3</v>
      </c>
    </row>
    <row r="122" spans="1:27" x14ac:dyDescent="0.25">
      <c r="A122" s="7">
        <f>NFLX[[#This Row],[Date]]</f>
        <v>44735</v>
      </c>
      <c r="B122" s="30">
        <f>NFLX[[#This Row],[Stopa zwrotu]]</f>
        <v>3.3313737367457241E-2</v>
      </c>
      <c r="C122" s="30">
        <f>META[[#This Row],[Stopa zwrotu]]</f>
        <v>-7.6556998500295625E-3</v>
      </c>
      <c r="D122" s="30">
        <f>GOOG[[#This Row],[Stopa zwrotu]]</f>
        <v>2.7518982577057205E-3</v>
      </c>
      <c r="E122" s="30">
        <f>EBAY[[#This Row],[Stopa zwrotu]]</f>
        <v>5.2593112474630388E-3</v>
      </c>
      <c r="F122" s="30">
        <f>AMZN[[#This Row],[Stopa zwrotu]]</f>
        <v>8.5031118062917077E-3</v>
      </c>
      <c r="H122" s="9">
        <v>44736</v>
      </c>
      <c r="I122" s="30">
        <v>3.3945534597871641E-2</v>
      </c>
      <c r="J122" s="30">
        <v>4.5705043760129627E-2</v>
      </c>
      <c r="K122" s="30">
        <v>2.3183114530285875E-2</v>
      </c>
      <c r="L122" s="30">
        <v>2.7824067249086148E-2</v>
      </c>
      <c r="M122" s="31">
        <v>3.2428425831557472E-2</v>
      </c>
      <c r="O122" s="9">
        <v>44796</v>
      </c>
      <c r="P122" s="30">
        <v>-1.2912106735155637E-3</v>
      </c>
      <c r="Q122" s="30">
        <v>-9.614187403370833E-3</v>
      </c>
      <c r="R122" s="30">
        <v>-3.2266068409628756E-3</v>
      </c>
      <c r="S122" s="30">
        <v>-3.7503197109941544E-3</v>
      </c>
      <c r="T122" s="31">
        <v>7.526608617540731E-4</v>
      </c>
      <c r="V122" s="9">
        <v>44831</v>
      </c>
      <c r="W122" s="30">
        <v>-1.0268571146329175E-2</v>
      </c>
      <c r="X122" s="30">
        <v>-1.5199405019466927E-2</v>
      </c>
      <c r="Y122" s="30">
        <v>-1.0571264807011538E-2</v>
      </c>
      <c r="Z122" s="30">
        <v>-2.1784725553003814E-2</v>
      </c>
      <c r="AA122" s="31">
        <v>-7.0709804756730055E-4</v>
      </c>
    </row>
    <row r="123" spans="1:27" x14ac:dyDescent="0.25">
      <c r="A123" s="7">
        <f>NFLX[[#This Row],[Date]]</f>
        <v>44736</v>
      </c>
      <c r="B123" s="30">
        <f>NFLX[[#This Row],[Stopa zwrotu]]</f>
        <v>3.3945534597871641E-2</v>
      </c>
      <c r="C123" s="30">
        <f>META[[#This Row],[Stopa zwrotu]]</f>
        <v>4.5705043760129627E-2</v>
      </c>
      <c r="D123" s="30">
        <f>GOOG[[#This Row],[Stopa zwrotu]]</f>
        <v>2.3183114530285875E-2</v>
      </c>
      <c r="E123" s="30">
        <f>EBAY[[#This Row],[Stopa zwrotu]]</f>
        <v>2.7824067249086148E-2</v>
      </c>
      <c r="F123" s="30">
        <f>AMZN[[#This Row],[Stopa zwrotu]]</f>
        <v>3.2428425831557472E-2</v>
      </c>
      <c r="H123" s="9">
        <v>44739</v>
      </c>
      <c r="I123" s="30">
        <v>1.0082178693697763E-3</v>
      </c>
      <c r="J123" s="30">
        <v>1.3866484553010242E-2</v>
      </c>
      <c r="K123" s="30">
        <v>7.0354687326896021E-3</v>
      </c>
      <c r="L123" s="30">
        <v>7.7124786122363771E-3</v>
      </c>
      <c r="M123" s="31">
        <v>3.7990876185347577E-3</v>
      </c>
      <c r="O123" s="9">
        <v>44797</v>
      </c>
      <c r="P123" s="30">
        <v>-1.6049977493759471E-3</v>
      </c>
      <c r="Q123" s="30">
        <v>-5.7871376313715084E-3</v>
      </c>
      <c r="R123" s="30">
        <v>-4.5494661973018991E-3</v>
      </c>
      <c r="S123" s="30">
        <v>2.2139061116033254E-4</v>
      </c>
      <c r="T123" s="31">
        <v>-6.3933134199317676E-3</v>
      </c>
      <c r="V123" s="9">
        <v>44832</v>
      </c>
      <c r="W123" s="30">
        <v>3.0173994064090381E-2</v>
      </c>
      <c r="X123" s="30">
        <v>1.11846857733644E-3</v>
      </c>
      <c r="Y123" s="30">
        <v>4.7257758260026428E-3</v>
      </c>
      <c r="Z123" s="30">
        <v>7.5127180037561914E-3</v>
      </c>
      <c r="AA123" s="31">
        <v>6.6342324643724471E-3</v>
      </c>
    </row>
    <row r="124" spans="1:27" x14ac:dyDescent="0.25">
      <c r="A124" s="7">
        <f>NFLX[[#This Row],[Date]]</f>
        <v>44739</v>
      </c>
      <c r="B124" s="30">
        <f>NFLX[[#This Row],[Stopa zwrotu]]</f>
        <v>1.0082178693697763E-3</v>
      </c>
      <c r="C124" s="30">
        <f>META[[#This Row],[Stopa zwrotu]]</f>
        <v>1.3866484553010242E-2</v>
      </c>
      <c r="D124" s="30">
        <f>GOOG[[#This Row],[Stopa zwrotu]]</f>
        <v>7.0354687326896021E-3</v>
      </c>
      <c r="E124" s="30">
        <f>EBAY[[#This Row],[Stopa zwrotu]]</f>
        <v>7.7124786122363771E-3</v>
      </c>
      <c r="F124" s="30">
        <f>AMZN[[#This Row],[Stopa zwrotu]]</f>
        <v>3.7990876185347577E-3</v>
      </c>
      <c r="H124" s="9">
        <v>44740</v>
      </c>
      <c r="I124" s="30">
        <v>-1.6557947346663493E-2</v>
      </c>
      <c r="J124" s="30">
        <v>-4.4044962920211983E-2</v>
      </c>
      <c r="K124" s="30">
        <v>-3.0661422976341446E-2</v>
      </c>
      <c r="L124" s="30">
        <v>-3.6635073798392814E-2</v>
      </c>
      <c r="M124" s="31">
        <v>-5.0221793705992668E-2</v>
      </c>
      <c r="O124" s="9">
        <v>44798</v>
      </c>
      <c r="P124" s="30">
        <v>2.2595328904212453E-2</v>
      </c>
      <c r="Q124" s="30">
        <v>2.6600737895706716E-2</v>
      </c>
      <c r="R124" s="30">
        <v>1.1161926622973439E-2</v>
      </c>
      <c r="S124" s="30">
        <v>8.6341159457212768E-3</v>
      </c>
      <c r="T124" s="31">
        <v>1.6502595768239425E-2</v>
      </c>
      <c r="V124" s="9">
        <v>44833</v>
      </c>
      <c r="W124" s="30">
        <v>3.6502717114462069E-2</v>
      </c>
      <c r="X124" s="30">
        <v>6.9262901042290714E-3</v>
      </c>
      <c r="Y124" s="30">
        <v>-1.3087995508548222E-2</v>
      </c>
      <c r="Z124" s="30">
        <v>-7.1904129744451151E-3</v>
      </c>
      <c r="AA124" s="31">
        <v>-6.5026799691737525E-3</v>
      </c>
    </row>
    <row r="125" spans="1:27" x14ac:dyDescent="0.25">
      <c r="A125" s="7">
        <f>NFLX[[#This Row],[Date]]</f>
        <v>44740</v>
      </c>
      <c r="B125" s="30">
        <f>NFLX[[#This Row],[Stopa zwrotu]]</f>
        <v>-1.6557947346663493E-2</v>
      </c>
      <c r="C125" s="30">
        <f>META[[#This Row],[Stopa zwrotu]]</f>
        <v>-4.4044962920211983E-2</v>
      </c>
      <c r="D125" s="30">
        <f>GOOG[[#This Row],[Stopa zwrotu]]</f>
        <v>-3.0661422976341446E-2</v>
      </c>
      <c r="E125" s="30">
        <f>EBAY[[#This Row],[Stopa zwrotu]]</f>
        <v>-3.6635073798392814E-2</v>
      </c>
      <c r="F125" s="30">
        <f>AMZN[[#This Row],[Stopa zwrotu]]</f>
        <v>-5.0221793705992668E-2</v>
      </c>
      <c r="H125" s="9">
        <v>44741</v>
      </c>
      <c r="I125" s="30">
        <v>-2.3805480955719438E-2</v>
      </c>
      <c r="J125" s="30">
        <v>-1.8055787198457685E-3</v>
      </c>
      <c r="K125" s="30">
        <v>-7.9150421543168203E-3</v>
      </c>
      <c r="L125" s="30">
        <v>-7.0422303775694584E-3</v>
      </c>
      <c r="M125" s="31">
        <v>-1.2144712143641323E-3</v>
      </c>
      <c r="O125" s="9">
        <v>44799</v>
      </c>
      <c r="P125" s="30">
        <v>-2.5545877729257649E-2</v>
      </c>
      <c r="Q125" s="30">
        <v>-1.4327557265515045E-2</v>
      </c>
      <c r="R125" s="30">
        <v>-3.3289890483531814E-2</v>
      </c>
      <c r="S125" s="30">
        <v>-2.3046597387036849E-2</v>
      </c>
      <c r="T125" s="31">
        <v>-2.815012681076956E-2</v>
      </c>
      <c r="V125" s="9">
        <v>44834</v>
      </c>
      <c r="W125" s="30">
        <v>-1.0268152036138178E-2</v>
      </c>
      <c r="X125" s="30">
        <v>2.2189571498290039E-3</v>
      </c>
      <c r="Y125" s="30">
        <v>-5.0766474847694365E-3</v>
      </c>
      <c r="Z125" s="30">
        <v>-1.394852505226718E-2</v>
      </c>
      <c r="AA125" s="31">
        <v>-1.9458871739940209E-3</v>
      </c>
    </row>
    <row r="126" spans="1:27" x14ac:dyDescent="0.25">
      <c r="A126" s="7">
        <f>NFLX[[#This Row],[Date]]</f>
        <v>44741</v>
      </c>
      <c r="B126" s="30">
        <f>NFLX[[#This Row],[Stopa zwrotu]]</f>
        <v>-2.3805480955719438E-2</v>
      </c>
      <c r="C126" s="30">
        <f>META[[#This Row],[Stopa zwrotu]]</f>
        <v>-1.8055787198457685E-3</v>
      </c>
      <c r="D126" s="30">
        <f>GOOG[[#This Row],[Stopa zwrotu]]</f>
        <v>-7.9150421543168203E-3</v>
      </c>
      <c r="E126" s="30">
        <f>EBAY[[#This Row],[Stopa zwrotu]]</f>
        <v>-7.0422303775694584E-3</v>
      </c>
      <c r="F126" s="30">
        <f>AMZN[[#This Row],[Stopa zwrotu]]</f>
        <v>-1.2144712143641323E-3</v>
      </c>
      <c r="H126" s="9">
        <v>44742</v>
      </c>
      <c r="I126" s="30">
        <v>-2.7412923104068954E-2</v>
      </c>
      <c r="J126" s="30">
        <v>-1.1414682635336959E-2</v>
      </c>
      <c r="K126" s="30">
        <v>-3.8044381751937362E-2</v>
      </c>
      <c r="L126" s="30">
        <v>-3.0260024356028814E-2</v>
      </c>
      <c r="M126" s="31">
        <v>-4.1062639937792911E-2</v>
      </c>
      <c r="O126" s="9">
        <v>44802</v>
      </c>
      <c r="P126" s="30">
        <v>-2.4348196935196631E-3</v>
      </c>
      <c r="Q126" s="30">
        <v>-5.4844292548742457E-3</v>
      </c>
      <c r="R126" s="30">
        <v>-4.2258676117077343E-3</v>
      </c>
      <c r="S126" s="30">
        <v>-4.5682320632771294E-3</v>
      </c>
      <c r="T126" s="31">
        <v>-4.4188914431673165E-3</v>
      </c>
      <c r="V126" s="9">
        <v>44837</v>
      </c>
      <c r="W126" s="30">
        <v>-5.8588271855186669E-4</v>
      </c>
      <c r="X126" s="30">
        <v>1.4760295202952041E-3</v>
      </c>
      <c r="Y126" s="30">
        <v>3.4364192103483551E-3</v>
      </c>
      <c r="Z126" s="30">
        <v>-5.2593220126581075E-3</v>
      </c>
      <c r="AA126" s="31">
        <v>-1.1520708195227696E-3</v>
      </c>
    </row>
    <row r="127" spans="1:27" x14ac:dyDescent="0.25">
      <c r="A127" s="7">
        <f>NFLX[[#This Row],[Date]]</f>
        <v>44742</v>
      </c>
      <c r="B127" s="30">
        <f>NFLX[[#This Row],[Stopa zwrotu]]</f>
        <v>-2.7412923104068954E-2</v>
      </c>
      <c r="C127" s="30">
        <f>META[[#This Row],[Stopa zwrotu]]</f>
        <v>-1.1414682635336959E-2</v>
      </c>
      <c r="D127" s="30">
        <f>GOOG[[#This Row],[Stopa zwrotu]]</f>
        <v>-3.8044381751937362E-2</v>
      </c>
      <c r="E127" s="30">
        <f>EBAY[[#This Row],[Stopa zwrotu]]</f>
        <v>-3.0260024356028814E-2</v>
      </c>
      <c r="F127" s="30">
        <f>AMZN[[#This Row],[Stopa zwrotu]]</f>
        <v>-4.1062639937792911E-2</v>
      </c>
      <c r="H127" s="9">
        <v>44743</v>
      </c>
      <c r="I127" s="30">
        <v>2.3311808162446157E-2</v>
      </c>
      <c r="J127" s="30">
        <v>-2.2020347592266121E-2</v>
      </c>
      <c r="K127" s="30">
        <v>-1.910306623992275E-3</v>
      </c>
      <c r="L127" s="30">
        <v>1.8039931740614357E-2</v>
      </c>
      <c r="M127" s="31">
        <v>3.2481477735509356E-2</v>
      </c>
      <c r="O127" s="9">
        <v>44803</v>
      </c>
      <c r="P127" s="30">
        <v>-1.2549652174979165E-2</v>
      </c>
      <c r="Q127" s="30">
        <v>-1.9495573218526352E-2</v>
      </c>
      <c r="R127" s="30">
        <v>-9.1976597613633304E-3</v>
      </c>
      <c r="S127" s="30">
        <v>4.1002276036343765E-3</v>
      </c>
      <c r="T127" s="31">
        <v>-1.4910351326850924E-2</v>
      </c>
      <c r="V127" s="9">
        <v>44838</v>
      </c>
      <c r="W127" s="30">
        <v>1.7178182937216402E-3</v>
      </c>
      <c r="X127" s="30">
        <v>2.380595045675471E-2</v>
      </c>
      <c r="Y127" s="30">
        <v>4.1434798230307157E-2</v>
      </c>
      <c r="Z127" s="30">
        <v>5.2791597567717119E-2</v>
      </c>
      <c r="AA127" s="31">
        <v>6.527349218159606E-2</v>
      </c>
    </row>
    <row r="128" spans="1:27" x14ac:dyDescent="0.25">
      <c r="A128" s="7">
        <f>NFLX[[#This Row],[Date]]</f>
        <v>44743</v>
      </c>
      <c r="B128" s="30">
        <f>NFLX[[#This Row],[Stopa zwrotu]]</f>
        <v>2.3311808162446157E-2</v>
      </c>
      <c r="C128" s="30">
        <f>META[[#This Row],[Stopa zwrotu]]</f>
        <v>-2.2020347592266121E-2</v>
      </c>
      <c r="D128" s="30">
        <f>GOOG[[#This Row],[Stopa zwrotu]]</f>
        <v>-1.910306623992275E-3</v>
      </c>
      <c r="E128" s="30">
        <f>EBAY[[#This Row],[Stopa zwrotu]]</f>
        <v>1.8039931740614357E-2</v>
      </c>
      <c r="F128" s="30">
        <f>AMZN[[#This Row],[Stopa zwrotu]]</f>
        <v>3.2481477735509356E-2</v>
      </c>
      <c r="H128" s="9">
        <v>44747</v>
      </c>
      <c r="I128" s="30">
        <v>-2.2809590915026379E-3</v>
      </c>
      <c r="J128" s="30">
        <v>3.2580709677419439E-3</v>
      </c>
      <c r="K128" s="30">
        <v>-1.9968885113611501E-3</v>
      </c>
      <c r="L128" s="30">
        <v>7.7826272884401471E-4</v>
      </c>
      <c r="M128" s="31">
        <v>1.1100661522921995E-3</v>
      </c>
      <c r="O128" s="9">
        <v>44804</v>
      </c>
      <c r="P128" s="30">
        <v>2.1440924809341677E-2</v>
      </c>
      <c r="Q128" s="30">
        <v>3.9958917581709441E-2</v>
      </c>
      <c r="R128" s="30">
        <v>2.2977940542887598E-3</v>
      </c>
      <c r="S128" s="30">
        <v>-3.8566695164851117E-3</v>
      </c>
      <c r="T128" s="31">
        <v>-8.6716595770064409E-4</v>
      </c>
      <c r="V128" s="9">
        <v>44839</v>
      </c>
      <c r="W128" s="30">
        <v>-2.5166109324758823E-2</v>
      </c>
      <c r="X128" s="30">
        <v>-3.2725686313354041E-2</v>
      </c>
      <c r="Y128" s="30">
        <v>-1.2866221171157766E-2</v>
      </c>
      <c r="Z128" s="30">
        <v>2.3628248884219882E-3</v>
      </c>
      <c r="AA128" s="31">
        <v>-1.7530670193416253E-2</v>
      </c>
    </row>
    <row r="129" spans="1:27" x14ac:dyDescent="0.25">
      <c r="A129" s="7">
        <f>NFLX[[#This Row],[Date]]</f>
        <v>44747</v>
      </c>
      <c r="B129" s="30">
        <f>NFLX[[#This Row],[Stopa zwrotu]]</f>
        <v>-2.2809590915026379E-3</v>
      </c>
      <c r="C129" s="30">
        <f>META[[#This Row],[Stopa zwrotu]]</f>
        <v>3.2580709677419439E-3</v>
      </c>
      <c r="D129" s="30">
        <f>GOOG[[#This Row],[Stopa zwrotu]]</f>
        <v>-1.9968885113611501E-3</v>
      </c>
      <c r="E129" s="30">
        <f>EBAY[[#This Row],[Stopa zwrotu]]</f>
        <v>7.7826272884401471E-4</v>
      </c>
      <c r="F129" s="30">
        <f>AMZN[[#This Row],[Stopa zwrotu]]</f>
        <v>1.1100661522921995E-3</v>
      </c>
      <c r="H129" s="9">
        <v>44748</v>
      </c>
      <c r="I129" s="30">
        <v>4.7139300034602094E-2</v>
      </c>
      <c r="J129" s="30">
        <v>5.3751132244271194E-2</v>
      </c>
      <c r="K129" s="30">
        <v>5.6480343210286943E-2</v>
      </c>
      <c r="L129" s="30">
        <v>3.9866365239111134E-2</v>
      </c>
      <c r="M129" s="31">
        <v>5.3517701279157226E-2</v>
      </c>
      <c r="O129" s="9">
        <v>44805</v>
      </c>
      <c r="P129" s="30">
        <v>-1.7723636593409364E-2</v>
      </c>
      <c r="Q129" s="30">
        <v>-1.1039799007276252E-2</v>
      </c>
      <c r="R129" s="30">
        <v>-7.8862996454938106E-3</v>
      </c>
      <c r="S129" s="30">
        <v>-6.3766567979958166E-3</v>
      </c>
      <c r="T129" s="31">
        <v>-2.4301673099284771E-2</v>
      </c>
      <c r="V129" s="9">
        <v>44840</v>
      </c>
      <c r="W129" s="30">
        <v>2.8718439864578116E-2</v>
      </c>
      <c r="X129" s="30">
        <v>1.3503539200946379E-2</v>
      </c>
      <c r="Y129" s="30">
        <v>1.7645899692117606E-2</v>
      </c>
      <c r="Z129" s="30">
        <v>1.7286537454164641E-2</v>
      </c>
      <c r="AA129" s="31">
        <v>1.5379369268767595E-2</v>
      </c>
    </row>
    <row r="130" spans="1:27" x14ac:dyDescent="0.25">
      <c r="A130" s="7">
        <f>NFLX[[#This Row],[Date]]</f>
        <v>44748</v>
      </c>
      <c r="B130" s="30">
        <f>NFLX[[#This Row],[Stopa zwrotu]]</f>
        <v>4.7139300034602094E-2</v>
      </c>
      <c r="C130" s="30">
        <f>META[[#This Row],[Stopa zwrotu]]</f>
        <v>5.3751132244271194E-2</v>
      </c>
      <c r="D130" s="30">
        <f>GOOG[[#This Row],[Stopa zwrotu]]</f>
        <v>5.6480343210286943E-2</v>
      </c>
      <c r="E130" s="30">
        <f>EBAY[[#This Row],[Stopa zwrotu]]</f>
        <v>3.9866365239111134E-2</v>
      </c>
      <c r="F130" s="30">
        <f>AMZN[[#This Row],[Stopa zwrotu]]</f>
        <v>5.3517701279157226E-2</v>
      </c>
      <c r="H130" s="9">
        <v>44749</v>
      </c>
      <c r="I130" s="30">
        <v>1.4821330031250302E-2</v>
      </c>
      <c r="J130" s="30">
        <v>1.4021466830954621E-2</v>
      </c>
      <c r="K130" s="30">
        <v>2.9251476679338584E-2</v>
      </c>
      <c r="L130" s="30">
        <v>-8.4940769399890481E-3</v>
      </c>
      <c r="M130" s="31">
        <v>1.3213070025657192E-2</v>
      </c>
      <c r="O130" s="9">
        <v>44806</v>
      </c>
      <c r="P130" s="30">
        <v>2.5379286347203323E-2</v>
      </c>
      <c r="Q130" s="30">
        <v>-7.0471154207503162E-3</v>
      </c>
      <c r="R130" s="30">
        <v>-5.5462611046075416E-4</v>
      </c>
      <c r="S130" s="30">
        <v>4.5840246485440161E-3</v>
      </c>
      <c r="T130" s="31">
        <v>2.2076620667099478E-2</v>
      </c>
      <c r="V130" s="9">
        <v>44841</v>
      </c>
      <c r="W130" s="30">
        <v>-4.1169701318118812E-2</v>
      </c>
      <c r="X130" s="30">
        <v>-3.0453907886358489E-2</v>
      </c>
      <c r="Y130" s="30">
        <v>-2.2561586206896633E-2</v>
      </c>
      <c r="Z130" s="30">
        <v>-3.6560298661174162E-2</v>
      </c>
      <c r="AA130" s="31">
        <v>-4.7029313807531392E-2</v>
      </c>
    </row>
    <row r="131" spans="1:27" x14ac:dyDescent="0.25">
      <c r="A131" s="7">
        <f>NFLX[[#This Row],[Date]]</f>
        <v>44749</v>
      </c>
      <c r="B131" s="30">
        <f>NFLX[[#This Row],[Stopa zwrotu]]</f>
        <v>1.4821330031250302E-2</v>
      </c>
      <c r="C131" s="30">
        <f>META[[#This Row],[Stopa zwrotu]]</f>
        <v>1.4021466830954621E-2</v>
      </c>
      <c r="D131" s="30">
        <f>GOOG[[#This Row],[Stopa zwrotu]]</f>
        <v>2.9251476679338584E-2</v>
      </c>
      <c r="E131" s="30">
        <f>EBAY[[#This Row],[Stopa zwrotu]]</f>
        <v>-8.4940769399890481E-3</v>
      </c>
      <c r="F131" s="30">
        <f>AMZN[[#This Row],[Stopa zwrotu]]</f>
        <v>1.3213070025657192E-2</v>
      </c>
      <c r="H131" s="9">
        <v>44750</v>
      </c>
      <c r="I131" s="30">
        <v>-4.0871934604904681E-3</v>
      </c>
      <c r="J131" s="30">
        <v>2.2052390166005242E-3</v>
      </c>
      <c r="K131" s="30">
        <v>1.7137838657135696E-2</v>
      </c>
      <c r="L131" s="30">
        <v>-1.0187520495196112E-2</v>
      </c>
      <c r="M131" s="31">
        <v>1.7623050799595585E-3</v>
      </c>
      <c r="O131" s="9">
        <v>44810</v>
      </c>
      <c r="P131" s="30">
        <v>-1.1497946278375526E-2</v>
      </c>
      <c r="Q131" s="30">
        <v>-2.4023348046581239E-3</v>
      </c>
      <c r="R131" s="30">
        <v>-3.7454800817205425E-3</v>
      </c>
      <c r="S131" s="30">
        <v>-5.1334813993391959E-3</v>
      </c>
      <c r="T131" s="31">
        <v>-3.2637095756286871E-3</v>
      </c>
      <c r="V131" s="9">
        <v>44844</v>
      </c>
      <c r="W131" s="30">
        <v>-7.4316331108363151E-5</v>
      </c>
      <c r="X131" s="30">
        <v>-1.4346294961044743E-3</v>
      </c>
      <c r="Y131" s="30">
        <v>-4.502220923652378E-3</v>
      </c>
      <c r="Z131" s="30">
        <v>-1.1579993492606411E-3</v>
      </c>
      <c r="AA131" s="31">
        <v>-4.2442250269231581E-3</v>
      </c>
    </row>
    <row r="132" spans="1:27" x14ac:dyDescent="0.25">
      <c r="A132" s="7">
        <f>NFLX[[#This Row],[Date]]</f>
        <v>44750</v>
      </c>
      <c r="B132" s="30">
        <f>NFLX[[#This Row],[Stopa zwrotu]]</f>
        <v>-4.0871934604904681E-3</v>
      </c>
      <c r="C132" s="30">
        <f>META[[#This Row],[Stopa zwrotu]]</f>
        <v>2.2052390166005242E-3</v>
      </c>
      <c r="D132" s="30">
        <f>GOOG[[#This Row],[Stopa zwrotu]]</f>
        <v>1.7137838657135696E-2</v>
      </c>
      <c r="E132" s="30">
        <f>EBAY[[#This Row],[Stopa zwrotu]]</f>
        <v>-1.0187520495196112E-2</v>
      </c>
      <c r="F132" s="30">
        <f>AMZN[[#This Row],[Stopa zwrotu]]</f>
        <v>1.7623050799595585E-3</v>
      </c>
      <c r="H132" s="9">
        <v>44753</v>
      </c>
      <c r="I132" s="30">
        <v>-1.068855631554951E-2</v>
      </c>
      <c r="J132" s="30">
        <v>-1.2369888438215884E-2</v>
      </c>
      <c r="K132" s="30">
        <v>-3.6293633099034883E-3</v>
      </c>
      <c r="L132" s="30">
        <v>-2.8070253411305681E-3</v>
      </c>
      <c r="M132" s="31">
        <v>-8.2680943806005738E-3</v>
      </c>
      <c r="O132" s="9">
        <v>44811</v>
      </c>
      <c r="P132" s="30">
        <v>1.6675215271552357E-2</v>
      </c>
      <c r="Q132" s="30">
        <v>-5.5805947671938583E-3</v>
      </c>
      <c r="R132" s="30">
        <v>1.0374574962452865E-2</v>
      </c>
      <c r="S132" s="30">
        <v>3.7269974376894499E-3</v>
      </c>
      <c r="T132" s="31">
        <v>5.2910374425370055E-3</v>
      </c>
      <c r="V132" s="9">
        <v>44845</v>
      </c>
      <c r="W132" s="30">
        <v>-4.6960706363300297E-2</v>
      </c>
      <c r="X132" s="30">
        <v>-3.7006121066433528E-2</v>
      </c>
      <c r="Y132" s="30">
        <v>-6.3349645549719558E-3</v>
      </c>
      <c r="Z132" s="30">
        <v>-1.7967336605863804E-2</v>
      </c>
      <c r="AA132" s="31">
        <v>-1.8144632215600809E-2</v>
      </c>
    </row>
    <row r="133" spans="1:27" x14ac:dyDescent="0.25">
      <c r="A133" s="7">
        <f>NFLX[[#This Row],[Date]]</f>
        <v>44753</v>
      </c>
      <c r="B133" s="30">
        <f>NFLX[[#This Row],[Stopa zwrotu]]</f>
        <v>-1.068855631554951E-2</v>
      </c>
      <c r="C133" s="30">
        <f>META[[#This Row],[Stopa zwrotu]]</f>
        <v>-1.2369888438215884E-2</v>
      </c>
      <c r="D133" s="30">
        <f>GOOG[[#This Row],[Stopa zwrotu]]</f>
        <v>-3.6293633099034883E-3</v>
      </c>
      <c r="E133" s="30">
        <f>EBAY[[#This Row],[Stopa zwrotu]]</f>
        <v>-2.8070253411305681E-3</v>
      </c>
      <c r="F133" s="30">
        <f>AMZN[[#This Row],[Stopa zwrotu]]</f>
        <v>-8.2680943806005738E-3</v>
      </c>
      <c r="H133" s="9">
        <v>44754</v>
      </c>
      <c r="I133" s="30">
        <v>-1.9616716714436766E-2</v>
      </c>
      <c r="J133" s="30">
        <v>1.1735037694151629E-3</v>
      </c>
      <c r="K133" s="30">
        <v>-1.393303229074927E-2</v>
      </c>
      <c r="L133" s="30">
        <v>1.1323425603289028E-2</v>
      </c>
      <c r="M133" s="31">
        <v>-2.2819580874368639E-2</v>
      </c>
      <c r="O133" s="9">
        <v>44812</v>
      </c>
      <c r="P133" s="30">
        <v>1.3881884567152891E-2</v>
      </c>
      <c r="Q133" s="30">
        <v>5.9307889283946036E-3</v>
      </c>
      <c r="R133" s="30">
        <v>4.1351113531591377E-3</v>
      </c>
      <c r="S133" s="30">
        <v>1.0907426317010804E-2</v>
      </c>
      <c r="T133" s="31">
        <v>1.3556586705636642E-2</v>
      </c>
      <c r="V133" s="9">
        <v>44846</v>
      </c>
      <c r="W133" s="30">
        <v>-4.9602153246638414E-3</v>
      </c>
      <c r="X133" s="30">
        <v>-5.8272148330925644E-3</v>
      </c>
      <c r="Y133" s="30">
        <v>4.3187455012854148E-3</v>
      </c>
      <c r="Z133" s="30">
        <v>-2.7302021499242546E-4</v>
      </c>
      <c r="AA133" s="31">
        <v>9.1494067320354588E-3</v>
      </c>
    </row>
    <row r="134" spans="1:27" x14ac:dyDescent="0.25">
      <c r="A134" s="7">
        <f>NFLX[[#This Row],[Date]]</f>
        <v>44754</v>
      </c>
      <c r="B134" s="30">
        <f>NFLX[[#This Row],[Stopa zwrotu]]</f>
        <v>-1.9616716714436766E-2</v>
      </c>
      <c r="C134" s="30">
        <f>META[[#This Row],[Stopa zwrotu]]</f>
        <v>1.1735037694151629E-3</v>
      </c>
      <c r="D134" s="30">
        <f>GOOG[[#This Row],[Stopa zwrotu]]</f>
        <v>-1.393303229074927E-2</v>
      </c>
      <c r="E134" s="30">
        <f>EBAY[[#This Row],[Stopa zwrotu]]</f>
        <v>1.1323425603289028E-2</v>
      </c>
      <c r="F134" s="30">
        <f>AMZN[[#This Row],[Stopa zwrotu]]</f>
        <v>-2.2819580874368639E-2</v>
      </c>
      <c r="H134" s="9">
        <v>44755</v>
      </c>
      <c r="I134" s="30">
        <v>-2.1450819068744242E-2</v>
      </c>
      <c r="J134" s="30">
        <v>-1.536091861711586E-2</v>
      </c>
      <c r="K134" s="30">
        <v>-2.4359813713036083E-2</v>
      </c>
      <c r="L134" s="30">
        <v>-2.1693492458443986E-2</v>
      </c>
      <c r="M134" s="31">
        <v>-2.1506314251663827E-2</v>
      </c>
      <c r="O134" s="9">
        <v>44813</v>
      </c>
      <c r="P134" s="30">
        <v>3.7595986837831052E-2</v>
      </c>
      <c r="Q134" s="30">
        <v>3.34727959467227E-2</v>
      </c>
      <c r="R134" s="30">
        <v>1.7953007920655351E-2</v>
      </c>
      <c r="S134" s="30">
        <v>1.629933387742577E-2</v>
      </c>
      <c r="T134" s="31">
        <v>2.8796200295770236E-2</v>
      </c>
      <c r="V134" s="9">
        <v>44847</v>
      </c>
      <c r="W134" s="30">
        <v>-4.2795476123003162E-3</v>
      </c>
      <c r="X134" s="30">
        <v>-2.9465354455445514E-2</v>
      </c>
      <c r="Y134" s="30">
        <v>-2.4572550928075199E-2</v>
      </c>
      <c r="Z134" s="30">
        <v>-1.8847390908293016E-2</v>
      </c>
      <c r="AA134" s="31">
        <v>-5.4308832059087431E-2</v>
      </c>
    </row>
    <row r="135" spans="1:27" x14ac:dyDescent="0.25">
      <c r="A135" s="7">
        <f>NFLX[[#This Row],[Date]]</f>
        <v>44755</v>
      </c>
      <c r="B135" s="30">
        <f>NFLX[[#This Row],[Stopa zwrotu]]</f>
        <v>-2.1450819068744242E-2</v>
      </c>
      <c r="C135" s="30">
        <f>META[[#This Row],[Stopa zwrotu]]</f>
        <v>-1.536091861711586E-2</v>
      </c>
      <c r="D135" s="30">
        <f>GOOG[[#This Row],[Stopa zwrotu]]</f>
        <v>-2.4359813713036083E-2</v>
      </c>
      <c r="E135" s="30">
        <f>EBAY[[#This Row],[Stopa zwrotu]]</f>
        <v>-2.1693492458443986E-2</v>
      </c>
      <c r="F135" s="30">
        <f>AMZN[[#This Row],[Stopa zwrotu]]</f>
        <v>-2.1506314251663827E-2</v>
      </c>
      <c r="H135" s="9">
        <v>44756</v>
      </c>
      <c r="I135" s="30">
        <v>1.2492693208474348E-2</v>
      </c>
      <c r="J135" s="30">
        <v>-1.4598095265972777E-2</v>
      </c>
      <c r="K135" s="30">
        <v>-2.2334385990974703E-2</v>
      </c>
      <c r="L135" s="30">
        <v>-1.7167334696407521E-2</v>
      </c>
      <c r="M135" s="31">
        <v>1.4809923312707696E-2</v>
      </c>
      <c r="O135" s="9">
        <v>44816</v>
      </c>
      <c r="P135" s="30">
        <v>5.4437767930444929E-3</v>
      </c>
      <c r="Q135" s="30">
        <v>8.7105772205313681E-3</v>
      </c>
      <c r="R135" s="30">
        <v>2.8181818181818308E-3</v>
      </c>
      <c r="S135" s="30">
        <v>6.3248324674346117E-3</v>
      </c>
      <c r="T135" s="31">
        <v>8.2594196081658602E-3</v>
      </c>
      <c r="V135" s="9">
        <v>44848</v>
      </c>
      <c r="W135" s="30">
        <v>8.3974870523305656E-2</v>
      </c>
      <c r="X135" s="30">
        <v>3.2563437791262917E-2</v>
      </c>
      <c r="Y135" s="30">
        <v>1.8473832847921701E-2</v>
      </c>
      <c r="Z135" s="30">
        <v>3.034521327089168E-2</v>
      </c>
      <c r="AA135" s="31">
        <v>1.186521142601249E-2</v>
      </c>
    </row>
    <row r="136" spans="1:27" x14ac:dyDescent="0.25">
      <c r="A136" s="7">
        <f>NFLX[[#This Row],[Date]]</f>
        <v>44756</v>
      </c>
      <c r="B136" s="30">
        <f>NFLX[[#This Row],[Stopa zwrotu]]</f>
        <v>1.2492693208474348E-2</v>
      </c>
      <c r="C136" s="30">
        <f>META[[#This Row],[Stopa zwrotu]]</f>
        <v>-1.4598095265972777E-2</v>
      </c>
      <c r="D136" s="30">
        <f>GOOG[[#This Row],[Stopa zwrotu]]</f>
        <v>-2.2334385990974703E-2</v>
      </c>
      <c r="E136" s="30">
        <f>EBAY[[#This Row],[Stopa zwrotu]]</f>
        <v>-1.7167334696407521E-2</v>
      </c>
      <c r="F136" s="30">
        <f>AMZN[[#This Row],[Stopa zwrotu]]</f>
        <v>1.4809923312707696E-2</v>
      </c>
      <c r="H136" s="9">
        <v>44757</v>
      </c>
      <c r="I136" s="30">
        <v>1.5946868166522687E-2</v>
      </c>
      <c r="J136" s="30">
        <v>1.6149593185081246E-2</v>
      </c>
      <c r="K136" s="30">
        <v>2.284006933423588E-2</v>
      </c>
      <c r="L136" s="30">
        <v>3.9543836983410019E-2</v>
      </c>
      <c r="M136" s="31">
        <v>3.7274529888928765E-2</v>
      </c>
      <c r="O136" s="9">
        <v>44817</v>
      </c>
      <c r="P136" s="30">
        <v>-6.7060866158050847E-2</v>
      </c>
      <c r="Q136" s="30">
        <v>-8.7338600474286321E-2</v>
      </c>
      <c r="R136" s="30">
        <v>-5.3457135130262401E-2</v>
      </c>
      <c r="S136" s="30">
        <v>-5.5420083009973808E-2</v>
      </c>
      <c r="T136" s="31">
        <v>-5.7686589552238821E-2</v>
      </c>
      <c r="V136" s="9">
        <v>44851</v>
      </c>
      <c r="W136" s="30">
        <v>7.1020857573835068E-3</v>
      </c>
      <c r="X136" s="30">
        <v>9.6427339202882489E-3</v>
      </c>
      <c r="Y136" s="30">
        <v>8.519712204332416E-3</v>
      </c>
      <c r="Z136" s="30">
        <v>7.0251557430508109E-3</v>
      </c>
      <c r="AA136" s="31">
        <v>1.0913064620007443E-2</v>
      </c>
    </row>
    <row r="137" spans="1:27" x14ac:dyDescent="0.25">
      <c r="A137" s="7">
        <f>NFLX[[#This Row],[Date]]</f>
        <v>44757</v>
      </c>
      <c r="B137" s="30">
        <f>NFLX[[#This Row],[Stopa zwrotu]]</f>
        <v>1.5946868166522687E-2</v>
      </c>
      <c r="C137" s="30">
        <f>META[[#This Row],[Stopa zwrotu]]</f>
        <v>1.6149593185081246E-2</v>
      </c>
      <c r="D137" s="30">
        <f>GOOG[[#This Row],[Stopa zwrotu]]</f>
        <v>2.284006933423588E-2</v>
      </c>
      <c r="E137" s="30">
        <f>EBAY[[#This Row],[Stopa zwrotu]]</f>
        <v>3.9543836983410019E-2</v>
      </c>
      <c r="F137" s="30">
        <f>AMZN[[#This Row],[Stopa zwrotu]]</f>
        <v>3.7274529888928765E-2</v>
      </c>
      <c r="H137" s="9">
        <v>44760</v>
      </c>
      <c r="I137" s="30">
        <v>2.9101751402785075E-2</v>
      </c>
      <c r="J137" s="30">
        <v>1.2138638770885132E-2</v>
      </c>
      <c r="K137" s="30">
        <v>-7.5193541993900199E-3</v>
      </c>
      <c r="L137" s="30">
        <v>3.8895373266217468E-3</v>
      </c>
      <c r="M137" s="31">
        <v>4.6599338528518315E-3</v>
      </c>
      <c r="O137" s="9">
        <v>44818</v>
      </c>
      <c r="P137" s="30">
        <v>-8.8186569501255141E-3</v>
      </c>
      <c r="Q137" s="30">
        <v>-2.3711240239879916E-2</v>
      </c>
      <c r="R137" s="30">
        <v>-4.761904761904745E-3</v>
      </c>
      <c r="S137" s="30">
        <v>-1.713212820623955E-2</v>
      </c>
      <c r="T137" s="31">
        <v>4.7521185891841178E-4</v>
      </c>
      <c r="V137" s="9">
        <v>44852</v>
      </c>
      <c r="W137" s="30">
        <v>1.4206493537708864E-2</v>
      </c>
      <c r="X137" s="30">
        <v>9.3716474543057426E-3</v>
      </c>
      <c r="Y137" s="30">
        <v>1.1456134831551834E-2</v>
      </c>
      <c r="Z137" s="30">
        <v>9.7909232656543388E-3</v>
      </c>
      <c r="AA137" s="31">
        <v>4.2692389597325464E-2</v>
      </c>
    </row>
    <row r="138" spans="1:27" x14ac:dyDescent="0.25">
      <c r="A138" s="7">
        <f>NFLX[[#This Row],[Date]]</f>
        <v>44760</v>
      </c>
      <c r="B138" s="30">
        <f>NFLX[[#This Row],[Stopa zwrotu]]</f>
        <v>2.9101751402785075E-2</v>
      </c>
      <c r="C138" s="30">
        <f>META[[#This Row],[Stopa zwrotu]]</f>
        <v>1.2138638770885132E-2</v>
      </c>
      <c r="D138" s="30">
        <f>GOOG[[#This Row],[Stopa zwrotu]]</f>
        <v>-7.5193541993900199E-3</v>
      </c>
      <c r="E138" s="30">
        <f>EBAY[[#This Row],[Stopa zwrotu]]</f>
        <v>3.8895373266217468E-3</v>
      </c>
      <c r="F138" s="30">
        <f>AMZN[[#This Row],[Stopa zwrotu]]</f>
        <v>4.6599338528518315E-3</v>
      </c>
      <c r="H138" s="9">
        <v>44761</v>
      </c>
      <c r="I138" s="30">
        <v>-7.3762327601227806E-3</v>
      </c>
      <c r="J138" s="30">
        <v>2.3363897750325435E-2</v>
      </c>
      <c r="K138" s="30">
        <v>1.097892925034949E-2</v>
      </c>
      <c r="L138" s="30">
        <v>1.2456771047602011E-2</v>
      </c>
      <c r="M138" s="31">
        <v>7.7772601365044824E-3</v>
      </c>
      <c r="O138" s="9">
        <v>44819</v>
      </c>
      <c r="P138" s="30">
        <v>6.1631152989372273E-2</v>
      </c>
      <c r="Q138" s="30">
        <v>-2.3482455079186781E-3</v>
      </c>
      <c r="R138" s="30">
        <v>-1.1387578947368526E-2</v>
      </c>
      <c r="S138" s="30">
        <v>1.3132736076104656E-2</v>
      </c>
      <c r="T138" s="31">
        <v>-6.5701099252732931E-3</v>
      </c>
      <c r="V138" s="9">
        <v>44853</v>
      </c>
      <c r="W138" s="30">
        <v>0.10486690118818665</v>
      </c>
      <c r="X138" s="30">
        <v>6.2405406198116076E-3</v>
      </c>
      <c r="Y138" s="30">
        <v>-1.008445086767118E-2</v>
      </c>
      <c r="Z138" s="30">
        <v>-2.3060822851153073E-2</v>
      </c>
      <c r="AA138" s="31">
        <v>-1.3677149458340088E-2</v>
      </c>
    </row>
    <row r="139" spans="1:27" x14ac:dyDescent="0.25">
      <c r="A139" s="7">
        <f>NFLX[[#This Row],[Date]]</f>
        <v>44761</v>
      </c>
      <c r="B139" s="30">
        <f>NFLX[[#This Row],[Stopa zwrotu]]</f>
        <v>-7.3762327601227806E-3</v>
      </c>
      <c r="C139" s="30">
        <f>META[[#This Row],[Stopa zwrotu]]</f>
        <v>2.3363897750325435E-2</v>
      </c>
      <c r="D139" s="30">
        <f>GOOG[[#This Row],[Stopa zwrotu]]</f>
        <v>1.097892925034949E-2</v>
      </c>
      <c r="E139" s="30">
        <f>EBAY[[#This Row],[Stopa zwrotu]]</f>
        <v>1.2456771047602011E-2</v>
      </c>
      <c r="F139" s="30">
        <f>AMZN[[#This Row],[Stopa zwrotu]]</f>
        <v>7.7772601365044824E-3</v>
      </c>
      <c r="H139" s="9">
        <v>44762</v>
      </c>
      <c r="I139" s="30">
        <v>6.2101976500062994E-2</v>
      </c>
      <c r="J139" s="30">
        <v>4.2416389664809984E-2</v>
      </c>
      <c r="K139" s="30">
        <v>2.4977393665158276E-2</v>
      </c>
      <c r="L139" s="30">
        <v>3.4859854975161753E-2</v>
      </c>
      <c r="M139" s="31">
        <v>3.7621687605206233E-2</v>
      </c>
      <c r="O139" s="9">
        <v>44820</v>
      </c>
      <c r="P139" s="30">
        <v>-5.5434481306823047E-3</v>
      </c>
      <c r="Q139" s="30">
        <v>-2.9657055070417937E-2</v>
      </c>
      <c r="R139" s="30">
        <v>-1.4083777254549901E-2</v>
      </c>
      <c r="S139" s="30">
        <v>-3.040304030167329E-2</v>
      </c>
      <c r="T139" s="31">
        <v>-3.8247035856573741E-2</v>
      </c>
      <c r="V139" s="9">
        <v>44854</v>
      </c>
      <c r="W139" s="30">
        <v>1.4162799601571407E-2</v>
      </c>
      <c r="X139" s="30">
        <v>-6.8824912503213653E-3</v>
      </c>
      <c r="Y139" s="30">
        <v>3.3622621897473337E-3</v>
      </c>
      <c r="Z139" s="30">
        <v>5.364833834893723E-3</v>
      </c>
      <c r="AA139" s="31">
        <v>2.56139372406472E-3</v>
      </c>
    </row>
    <row r="140" spans="1:27" x14ac:dyDescent="0.25">
      <c r="A140" s="7">
        <f>NFLX[[#This Row],[Date]]</f>
        <v>44762</v>
      </c>
      <c r="B140" s="30">
        <f>NFLX[[#This Row],[Stopa zwrotu]]</f>
        <v>6.2101976500062994E-2</v>
      </c>
      <c r="C140" s="30">
        <f>META[[#This Row],[Stopa zwrotu]]</f>
        <v>4.2416389664809984E-2</v>
      </c>
      <c r="D140" s="30">
        <f>GOOG[[#This Row],[Stopa zwrotu]]</f>
        <v>2.4977393665158276E-2</v>
      </c>
      <c r="E140" s="30">
        <f>EBAY[[#This Row],[Stopa zwrotu]]</f>
        <v>3.4859854975161753E-2</v>
      </c>
      <c r="F140" s="30">
        <f>AMZN[[#This Row],[Stopa zwrotu]]</f>
        <v>3.7621687605206233E-2</v>
      </c>
      <c r="H140" s="9">
        <v>44763</v>
      </c>
      <c r="I140" s="30">
        <v>5.6971482549580621E-2</v>
      </c>
      <c r="J140" s="30">
        <v>1.22806906442674E-2</v>
      </c>
      <c r="K140" s="30">
        <v>-1.1919459439882374E-2</v>
      </c>
      <c r="L140" s="30">
        <v>9.4671954851253126E-3</v>
      </c>
      <c r="M140" s="31">
        <v>2.4847887085868825E-2</v>
      </c>
      <c r="O140" s="9">
        <v>44823</v>
      </c>
      <c r="P140" s="30">
        <v>1.1587584208217372E-2</v>
      </c>
      <c r="Q140" s="30">
        <v>1.8712616704703589E-3</v>
      </c>
      <c r="R140" s="30">
        <v>1.6854024015557172E-3</v>
      </c>
      <c r="S140" s="30">
        <v>-4.8612057574433837E-4</v>
      </c>
      <c r="T140" s="31">
        <v>3.0378514977649207E-3</v>
      </c>
      <c r="V140" s="9">
        <v>44855</v>
      </c>
      <c r="W140" s="30">
        <v>-2.6278699108814862E-3</v>
      </c>
      <c r="X140" s="30">
        <v>-4.4703343914451965E-2</v>
      </c>
      <c r="Y140" s="30">
        <v>-1.7405201386363922E-2</v>
      </c>
      <c r="Z140" s="30">
        <v>-1.0672305229455614E-2</v>
      </c>
      <c r="AA140" s="31">
        <v>8.7216807554986175E-3</v>
      </c>
    </row>
    <row r="141" spans="1:27" x14ac:dyDescent="0.25">
      <c r="A141" s="7">
        <f>NFLX[[#This Row],[Date]]</f>
        <v>44763</v>
      </c>
      <c r="B141" s="30">
        <f>NFLX[[#This Row],[Stopa zwrotu]]</f>
        <v>5.6971482549580621E-2</v>
      </c>
      <c r="C141" s="30">
        <f>META[[#This Row],[Stopa zwrotu]]</f>
        <v>1.22806906442674E-2</v>
      </c>
      <c r="D141" s="30">
        <f>GOOG[[#This Row],[Stopa zwrotu]]</f>
        <v>-1.1919459439882374E-2</v>
      </c>
      <c r="E141" s="30">
        <f>EBAY[[#This Row],[Stopa zwrotu]]</f>
        <v>9.4671954851253126E-3</v>
      </c>
      <c r="F141" s="30">
        <f>AMZN[[#This Row],[Stopa zwrotu]]</f>
        <v>2.4847887085868825E-2</v>
      </c>
      <c r="H141" s="9">
        <v>44764</v>
      </c>
      <c r="I141" s="30">
        <v>3.2813248226950309E-2</v>
      </c>
      <c r="J141" s="30">
        <v>-5.8478175727572412E-2</v>
      </c>
      <c r="K141" s="30">
        <v>-3.8513143114533355E-2</v>
      </c>
      <c r="L141" s="30">
        <v>1.1123293833077197E-2</v>
      </c>
      <c r="M141" s="31">
        <v>7.421738290915858E-4</v>
      </c>
      <c r="O141" s="9">
        <v>44824</v>
      </c>
      <c r="P141" s="30">
        <v>1.65853828207847E-2</v>
      </c>
      <c r="Q141" s="30">
        <v>8.2698135794689875E-4</v>
      </c>
      <c r="R141" s="30">
        <v>-1.221060821889397E-2</v>
      </c>
      <c r="S141" s="30">
        <v>-3.3349633235168707E-2</v>
      </c>
      <c r="T141" s="31">
        <v>-5.4187519190783684E-3</v>
      </c>
      <c r="V141" s="9">
        <v>44858</v>
      </c>
      <c r="W141" s="30">
        <v>1.8418137592568568E-2</v>
      </c>
      <c r="X141" s="30">
        <v>-2.3118675226637317E-3</v>
      </c>
      <c r="Y141" s="30">
        <v>7.0243304380230853E-3</v>
      </c>
      <c r="Z141" s="30">
        <v>4.6745412796903212E-3</v>
      </c>
      <c r="AA141" s="31">
        <v>6.0262008733624013E-3</v>
      </c>
    </row>
    <row r="142" spans="1:27" x14ac:dyDescent="0.25">
      <c r="A142" s="7">
        <f>NFLX[[#This Row],[Date]]</f>
        <v>44764</v>
      </c>
      <c r="B142" s="30">
        <f>NFLX[[#This Row],[Stopa zwrotu]]</f>
        <v>3.2813248226950309E-2</v>
      </c>
      <c r="C142" s="30">
        <f>META[[#This Row],[Stopa zwrotu]]</f>
        <v>-5.8478175727572412E-2</v>
      </c>
      <c r="D142" s="30">
        <f>GOOG[[#This Row],[Stopa zwrotu]]</f>
        <v>-3.8513143114533355E-2</v>
      </c>
      <c r="E142" s="30">
        <f>EBAY[[#This Row],[Stopa zwrotu]]</f>
        <v>1.1123293833077197E-2</v>
      </c>
      <c r="F142" s="30">
        <f>AMZN[[#This Row],[Stopa zwrotu]]</f>
        <v>7.421738290915858E-4</v>
      </c>
      <c r="H142" s="9">
        <v>44767</v>
      </c>
      <c r="I142" s="30">
        <v>-3.1892754392729059E-3</v>
      </c>
      <c r="J142" s="30">
        <v>-7.125479315349903E-3</v>
      </c>
      <c r="K142" s="30">
        <v>-1.8277447675540959E-3</v>
      </c>
      <c r="L142" s="30">
        <v>-1.5818377570785043E-3</v>
      </c>
      <c r="M142" s="31">
        <v>-3.6258728794265429E-3</v>
      </c>
      <c r="O142" s="9">
        <v>44825</v>
      </c>
      <c r="P142" s="30">
        <v>-1.2434327590180594E-2</v>
      </c>
      <c r="Q142" s="30">
        <v>-2.2173261106092412E-2</v>
      </c>
      <c r="R142" s="30">
        <v>-1.1174890886820887E-2</v>
      </c>
      <c r="S142" s="30">
        <v>-2.2916142606802969E-2</v>
      </c>
      <c r="T142" s="31">
        <v>-2.220572909200702E-2</v>
      </c>
      <c r="V142" s="9">
        <v>44859</v>
      </c>
      <c r="W142" s="30">
        <v>1.851192494535181E-2</v>
      </c>
      <c r="X142" s="30">
        <v>4.8326210162960681E-2</v>
      </c>
      <c r="Y142" s="30">
        <v>2.7118583436134047E-2</v>
      </c>
      <c r="Z142" s="30">
        <v>1.4361729487326169E-2</v>
      </c>
      <c r="AA142" s="31">
        <v>2.0416891138371751E-2</v>
      </c>
    </row>
    <row r="143" spans="1:27" x14ac:dyDescent="0.25">
      <c r="A143" s="7">
        <f>NFLX[[#This Row],[Date]]</f>
        <v>44767</v>
      </c>
      <c r="B143" s="30">
        <f>NFLX[[#This Row],[Stopa zwrotu]]</f>
        <v>-3.1892754392729059E-3</v>
      </c>
      <c r="C143" s="30">
        <f>META[[#This Row],[Stopa zwrotu]]</f>
        <v>-7.125479315349903E-3</v>
      </c>
      <c r="D143" s="30">
        <f>GOOG[[#This Row],[Stopa zwrotu]]</f>
        <v>-1.8277447675540959E-3</v>
      </c>
      <c r="E143" s="30">
        <f>EBAY[[#This Row],[Stopa zwrotu]]</f>
        <v>-1.5818377570785043E-3</v>
      </c>
      <c r="F143" s="30">
        <f>AMZN[[#This Row],[Stopa zwrotu]]</f>
        <v>-3.6258728794265429E-3</v>
      </c>
      <c r="H143" s="9">
        <v>44768</v>
      </c>
      <c r="I143" s="30">
        <v>-2.1770311390700958E-2</v>
      </c>
      <c r="J143" s="30">
        <v>-4.1623694455721116E-2</v>
      </c>
      <c r="K143" s="30">
        <v>-2.1026071936714796E-2</v>
      </c>
      <c r="L143" s="30">
        <v>-1.9289098814241457E-2</v>
      </c>
      <c r="M143" s="31">
        <v>-4.5821878245620895E-2</v>
      </c>
      <c r="O143" s="9">
        <v>44826</v>
      </c>
      <c r="P143" s="30">
        <v>-2.1210026823010764E-2</v>
      </c>
      <c r="Q143" s="30">
        <v>-7.9577816901409415E-3</v>
      </c>
      <c r="R143" s="30">
        <v>-5.8005201680272345E-3</v>
      </c>
      <c r="S143" s="30">
        <v>-2.0360851040228001E-2</v>
      </c>
      <c r="T143" s="31">
        <v>-1.8488772101868389E-2</v>
      </c>
      <c r="V143" s="9">
        <v>44860</v>
      </c>
      <c r="W143" s="30">
        <v>8.7200879167959044E-3</v>
      </c>
      <c r="X143" s="30">
        <v>-1.57745391155385E-2</v>
      </c>
      <c r="Y143" s="30">
        <v>-8.2022881441163431E-2</v>
      </c>
      <c r="Z143" s="30">
        <v>2.0450944427135243E-2</v>
      </c>
      <c r="AA143" s="31">
        <v>-3.522484325913855E-2</v>
      </c>
    </row>
    <row r="144" spans="1:27" x14ac:dyDescent="0.25">
      <c r="A144" s="7">
        <f>NFLX[[#This Row],[Date]]</f>
        <v>44768</v>
      </c>
      <c r="B144" s="30">
        <f>NFLX[[#This Row],[Stopa zwrotu]]</f>
        <v>-2.1770311390700958E-2</v>
      </c>
      <c r="C144" s="30">
        <f>META[[#This Row],[Stopa zwrotu]]</f>
        <v>-4.1623694455721116E-2</v>
      </c>
      <c r="D144" s="30">
        <f>GOOG[[#This Row],[Stopa zwrotu]]</f>
        <v>-2.1026071936714796E-2</v>
      </c>
      <c r="E144" s="30">
        <f>EBAY[[#This Row],[Stopa zwrotu]]</f>
        <v>-1.9289098814241457E-2</v>
      </c>
      <c r="F144" s="30">
        <f>AMZN[[#This Row],[Stopa zwrotu]]</f>
        <v>-4.5821878245620895E-2</v>
      </c>
      <c r="H144" s="9">
        <v>44769</v>
      </c>
      <c r="I144" s="30">
        <v>1.3891528132165654E-2</v>
      </c>
      <c r="J144" s="30">
        <v>2.5767692797107111E-2</v>
      </c>
      <c r="K144" s="30">
        <v>3.4936960005021778E-2</v>
      </c>
      <c r="L144" s="30">
        <v>1.2817723756906041E-2</v>
      </c>
      <c r="M144" s="31">
        <v>2.2963459556128996E-2</v>
      </c>
      <c r="O144" s="9">
        <v>44827</v>
      </c>
      <c r="P144" s="30">
        <v>-4.4159590880435196E-2</v>
      </c>
      <c r="Q144" s="30">
        <v>-1.4055484278252428E-2</v>
      </c>
      <c r="R144" s="30">
        <v>-1.4083109784403636E-2</v>
      </c>
      <c r="S144" s="30">
        <v>-1.3417469793079229E-2</v>
      </c>
      <c r="T144" s="31">
        <v>-3.6125958435817007E-2</v>
      </c>
      <c r="V144" s="9">
        <v>44861</v>
      </c>
      <c r="W144" s="30">
        <v>2.3399492394821975E-2</v>
      </c>
      <c r="X144" s="30">
        <v>-0.25013617248997255</v>
      </c>
      <c r="Y144" s="30">
        <v>-2.8233033731627333E-2</v>
      </c>
      <c r="Z144" s="30">
        <v>1.7985638128758419E-2</v>
      </c>
      <c r="AA144" s="31">
        <v>-4.3482092305993536E-2</v>
      </c>
    </row>
    <row r="145" spans="1:27" x14ac:dyDescent="0.25">
      <c r="A145" s="7">
        <f>NFLX[[#This Row],[Date]]</f>
        <v>44769</v>
      </c>
      <c r="B145" s="30">
        <f>NFLX[[#This Row],[Stopa zwrotu]]</f>
        <v>1.3891528132165654E-2</v>
      </c>
      <c r="C145" s="30">
        <f>META[[#This Row],[Stopa zwrotu]]</f>
        <v>2.5767692797107111E-2</v>
      </c>
      <c r="D145" s="30">
        <f>GOOG[[#This Row],[Stopa zwrotu]]</f>
        <v>3.4936960005021778E-2</v>
      </c>
      <c r="E145" s="30">
        <f>EBAY[[#This Row],[Stopa zwrotu]]</f>
        <v>1.2817723756906041E-2</v>
      </c>
      <c r="F145" s="30">
        <f>AMZN[[#This Row],[Stopa zwrotu]]</f>
        <v>2.2963459556128996E-2</v>
      </c>
      <c r="H145" s="9">
        <v>44770</v>
      </c>
      <c r="I145" s="30">
        <v>2.3720737965134298E-2</v>
      </c>
      <c r="J145" s="30">
        <v>-4.4253782390969443E-2</v>
      </c>
      <c r="K145" s="30">
        <v>3.1645453452231243E-2</v>
      </c>
      <c r="L145" s="30">
        <v>1.4182805403325061E-2</v>
      </c>
      <c r="M145" s="31">
        <v>7.852492050102633E-3</v>
      </c>
      <c r="O145" s="9">
        <v>44830</v>
      </c>
      <c r="P145" s="30">
        <v>2.3784823645518482E-3</v>
      </c>
      <c r="Q145" s="30">
        <v>-6.4799410071274917E-3</v>
      </c>
      <c r="R145" s="30">
        <v>1.2583579650031023E-3</v>
      </c>
      <c r="S145" s="30">
        <v>5.3333155555555694E-3</v>
      </c>
      <c r="T145" s="31">
        <v>3.1828158102709856E-3</v>
      </c>
      <c r="V145" s="9">
        <v>44862</v>
      </c>
      <c r="W145" s="30">
        <v>-8.4469435119306491E-3</v>
      </c>
      <c r="X145" s="30">
        <v>1.1724476397317218E-2</v>
      </c>
      <c r="Y145" s="30">
        <v>4.602785536391929E-3</v>
      </c>
      <c r="Z145" s="30">
        <v>-2.8773322281002711E-2</v>
      </c>
      <c r="AA145" s="31">
        <v>-0.11032152073393975</v>
      </c>
    </row>
    <row r="146" spans="1:27" x14ac:dyDescent="0.25">
      <c r="A146" s="7">
        <f>NFLX[[#This Row],[Date]]</f>
        <v>44770</v>
      </c>
      <c r="B146" s="30">
        <f>NFLX[[#This Row],[Stopa zwrotu]]</f>
        <v>2.3720737965134298E-2</v>
      </c>
      <c r="C146" s="30">
        <f>META[[#This Row],[Stopa zwrotu]]</f>
        <v>-4.4253782390969443E-2</v>
      </c>
      <c r="D146" s="30">
        <f>GOOG[[#This Row],[Stopa zwrotu]]</f>
        <v>3.1645453452231243E-2</v>
      </c>
      <c r="E146" s="30">
        <f>EBAY[[#This Row],[Stopa zwrotu]]</f>
        <v>1.4182805403325061E-2</v>
      </c>
      <c r="F146" s="30">
        <f>AMZN[[#This Row],[Stopa zwrotu]]</f>
        <v>7.852492050102633E-3</v>
      </c>
      <c r="H146" s="9">
        <v>44771</v>
      </c>
      <c r="I146" s="30">
        <v>1.242771441186985E-2</v>
      </c>
      <c r="J146" s="30">
        <v>2.0664642402401512E-3</v>
      </c>
      <c r="K146" s="30">
        <v>1.2328946765410187E-2</v>
      </c>
      <c r="L146" s="30">
        <v>4.0877818416523271E-2</v>
      </c>
      <c r="M146" s="31">
        <v>0.12135841596615138</v>
      </c>
      <c r="O146" s="9">
        <v>44831</v>
      </c>
      <c r="P146" s="30">
        <v>-1.0268571146329175E-2</v>
      </c>
      <c r="Q146" s="30">
        <v>-1.5199405019466927E-2</v>
      </c>
      <c r="R146" s="30">
        <v>-1.0571264807011538E-2</v>
      </c>
      <c r="S146" s="30">
        <v>-2.1784725553003814E-2</v>
      </c>
      <c r="T146" s="31">
        <v>-7.0709804756730055E-4</v>
      </c>
      <c r="V146" s="9">
        <v>44865</v>
      </c>
      <c r="W146" s="30">
        <v>-3.1817816940845254E-3</v>
      </c>
      <c r="X146" s="30">
        <v>-1.6784616618098307E-2</v>
      </c>
      <c r="Y146" s="30">
        <v>7.42682049096081E-3</v>
      </c>
      <c r="Z146" s="30">
        <v>8.1427408177408758E-3</v>
      </c>
      <c r="AA146" s="31">
        <v>1.0512642070613346E-2</v>
      </c>
    </row>
    <row r="147" spans="1:27" x14ac:dyDescent="0.25">
      <c r="A147" s="7">
        <f>NFLX[[#This Row],[Date]]</f>
        <v>44771</v>
      </c>
      <c r="B147" s="30">
        <f>NFLX[[#This Row],[Stopa zwrotu]]</f>
        <v>1.242771441186985E-2</v>
      </c>
      <c r="C147" s="30">
        <f>META[[#This Row],[Stopa zwrotu]]</f>
        <v>2.0664642402401512E-3</v>
      </c>
      <c r="D147" s="30">
        <f>GOOG[[#This Row],[Stopa zwrotu]]</f>
        <v>1.2328946765410187E-2</v>
      </c>
      <c r="E147" s="30">
        <f>EBAY[[#This Row],[Stopa zwrotu]]</f>
        <v>4.0877818416523271E-2</v>
      </c>
      <c r="F147" s="30">
        <f>AMZN[[#This Row],[Stopa zwrotu]]</f>
        <v>0.12135841596615138</v>
      </c>
      <c r="H147" s="9">
        <v>44774</v>
      </c>
      <c r="I147" s="30">
        <v>-2.0983124067290491E-3</v>
      </c>
      <c r="J147" s="30">
        <v>1.2888659915644141E-4</v>
      </c>
      <c r="K147" s="30">
        <v>4.2980333872581307E-3</v>
      </c>
      <c r="L147" s="30">
        <v>-5.0296195735919742E-3</v>
      </c>
      <c r="M147" s="31">
        <v>2.7691538070392006E-3</v>
      </c>
      <c r="O147" s="9">
        <v>44832</v>
      </c>
      <c r="P147" s="30">
        <v>3.0173994064090381E-2</v>
      </c>
      <c r="Q147" s="30">
        <v>1.11846857733644E-3</v>
      </c>
      <c r="R147" s="30">
        <v>4.7257758260026428E-3</v>
      </c>
      <c r="S147" s="30">
        <v>7.5127180037561914E-3</v>
      </c>
      <c r="T147" s="31">
        <v>6.6342324643724471E-3</v>
      </c>
      <c r="V147" s="9">
        <v>44866</v>
      </c>
      <c r="W147" s="30">
        <v>-1.0638987910190023E-2</v>
      </c>
      <c r="X147" s="30">
        <v>1.0259233482920793E-2</v>
      </c>
      <c r="Y147" s="30">
        <v>-4.1852056850563368E-2</v>
      </c>
      <c r="Z147" s="30">
        <v>-3.044114817053023E-3</v>
      </c>
      <c r="AA147" s="31">
        <v>-4.6456224865122686E-2</v>
      </c>
    </row>
    <row r="148" spans="1:27" x14ac:dyDescent="0.25">
      <c r="A148" s="7">
        <f>NFLX[[#This Row],[Date]]</f>
        <v>44774</v>
      </c>
      <c r="B148" s="30">
        <f>NFLX[[#This Row],[Stopa zwrotu]]</f>
        <v>-2.0983124067290491E-3</v>
      </c>
      <c r="C148" s="30">
        <f>META[[#This Row],[Stopa zwrotu]]</f>
        <v>1.2888659915644141E-4</v>
      </c>
      <c r="D148" s="30">
        <f>GOOG[[#This Row],[Stopa zwrotu]]</f>
        <v>4.2980333872581307E-3</v>
      </c>
      <c r="E148" s="30">
        <f>EBAY[[#This Row],[Stopa zwrotu]]</f>
        <v>-5.0296195735919742E-3</v>
      </c>
      <c r="F148" s="30">
        <f>AMZN[[#This Row],[Stopa zwrotu]]</f>
        <v>2.7691538070392006E-3</v>
      </c>
      <c r="H148" s="9">
        <v>44775</v>
      </c>
      <c r="I148" s="30">
        <v>-5.4296380090490537E-4</v>
      </c>
      <c r="J148" s="30">
        <v>1.7908903379730834E-2</v>
      </c>
      <c r="K148" s="30">
        <v>-3.7492370084709625E-3</v>
      </c>
      <c r="L148" s="30">
        <v>2.0985938258721859E-3</v>
      </c>
      <c r="M148" s="31">
        <v>4.3442515296328033E-3</v>
      </c>
      <c r="O148" s="9">
        <v>44833</v>
      </c>
      <c r="P148" s="30">
        <v>3.6502717114462069E-2</v>
      </c>
      <c r="Q148" s="30">
        <v>6.9262901042290714E-3</v>
      </c>
      <c r="R148" s="30">
        <v>-1.3087995508548222E-2</v>
      </c>
      <c r="S148" s="30">
        <v>-7.1904129744451151E-3</v>
      </c>
      <c r="T148" s="31">
        <v>-6.5026799691737525E-3</v>
      </c>
      <c r="V148" s="9">
        <v>44867</v>
      </c>
      <c r="W148" s="30">
        <v>-4.7412947362724944E-2</v>
      </c>
      <c r="X148" s="30">
        <v>-3.2816674522180511E-2</v>
      </c>
      <c r="Y148" s="30">
        <v>-3.7819285635298128E-2</v>
      </c>
      <c r="Z148" s="30">
        <v>-3.282445376143639E-2</v>
      </c>
      <c r="AA148" s="31">
        <v>-4.2161108518865453E-2</v>
      </c>
    </row>
    <row r="149" spans="1:27" x14ac:dyDescent="0.25">
      <c r="A149" s="7">
        <f>NFLX[[#This Row],[Date]]</f>
        <v>44775</v>
      </c>
      <c r="B149" s="30">
        <f>NFLX[[#This Row],[Stopa zwrotu]]</f>
        <v>-5.4296380090490537E-4</v>
      </c>
      <c r="C149" s="30">
        <f>META[[#This Row],[Stopa zwrotu]]</f>
        <v>1.7908903379730834E-2</v>
      </c>
      <c r="D149" s="30">
        <f>GOOG[[#This Row],[Stopa zwrotu]]</f>
        <v>-3.7492370084709625E-3</v>
      </c>
      <c r="E149" s="30">
        <f>EBAY[[#This Row],[Stopa zwrotu]]</f>
        <v>2.0985938258721859E-3</v>
      </c>
      <c r="F149" s="30">
        <f>AMZN[[#This Row],[Stopa zwrotu]]</f>
        <v>4.3442515296328033E-3</v>
      </c>
      <c r="H149" s="9">
        <v>44776</v>
      </c>
      <c r="I149" s="30">
        <v>6.97207970454361E-3</v>
      </c>
      <c r="J149" s="30">
        <v>2.2530296263853389E-2</v>
      </c>
      <c r="K149" s="30">
        <v>1.6541221485362856E-2</v>
      </c>
      <c r="L149" s="30">
        <v>2.6178010471204161E-2</v>
      </c>
      <c r="M149" s="31">
        <v>1.4617100890956802E-2</v>
      </c>
      <c r="O149" s="9">
        <v>44834</v>
      </c>
      <c r="P149" s="30">
        <v>-1.0268152036138178E-2</v>
      </c>
      <c r="Q149" s="30">
        <v>2.2189571498290039E-3</v>
      </c>
      <c r="R149" s="30">
        <v>-5.0766474847694365E-3</v>
      </c>
      <c r="S149" s="30">
        <v>-1.394852505226718E-2</v>
      </c>
      <c r="T149" s="31">
        <v>-1.9458871739940209E-3</v>
      </c>
      <c r="V149" s="9">
        <v>44868</v>
      </c>
      <c r="W149" s="30">
        <v>-1.4807242556916012E-2</v>
      </c>
      <c r="X149" s="30">
        <v>-2.2877972274160885E-2</v>
      </c>
      <c r="Y149" s="30">
        <v>-4.0914893899209437E-2</v>
      </c>
      <c r="Z149" s="30">
        <v>1.0523599606608647E-2</v>
      </c>
      <c r="AA149" s="31">
        <v>-3.2496521410791845E-2</v>
      </c>
    </row>
    <row r="150" spans="1:27" x14ac:dyDescent="0.25">
      <c r="A150" s="7">
        <f>NFLX[[#This Row],[Date]]</f>
        <v>44776</v>
      </c>
      <c r="B150" s="30">
        <f>NFLX[[#This Row],[Stopa zwrotu]]</f>
        <v>6.97207970454361E-3</v>
      </c>
      <c r="C150" s="30">
        <f>META[[#This Row],[Stopa zwrotu]]</f>
        <v>2.2530296263853389E-2</v>
      </c>
      <c r="D150" s="30">
        <f>GOOG[[#This Row],[Stopa zwrotu]]</f>
        <v>1.6541221485362856E-2</v>
      </c>
      <c r="E150" s="30">
        <f>EBAY[[#This Row],[Stopa zwrotu]]</f>
        <v>2.6178010471204161E-2</v>
      </c>
      <c r="F150" s="30">
        <f>AMZN[[#This Row],[Stopa zwrotu]]</f>
        <v>1.4617100890956802E-2</v>
      </c>
      <c r="H150" s="9">
        <v>44777</v>
      </c>
      <c r="I150" s="30">
        <v>1.1824498802486261E-2</v>
      </c>
      <c r="J150" s="30">
        <v>3.2369844484812171E-2</v>
      </c>
      <c r="K150" s="30">
        <v>1.3430882248284481E-2</v>
      </c>
      <c r="L150" s="30">
        <v>-4.7755102040816344E-2</v>
      </c>
      <c r="M150" s="31">
        <v>2.5725835522399709E-2</v>
      </c>
      <c r="O150" s="9">
        <v>44837</v>
      </c>
      <c r="P150" s="30">
        <v>-5.8588271855186669E-4</v>
      </c>
      <c r="Q150" s="30">
        <v>1.4760295202952041E-3</v>
      </c>
      <c r="R150" s="30">
        <v>3.4364192103483551E-3</v>
      </c>
      <c r="S150" s="30">
        <v>-5.2593220126581075E-3</v>
      </c>
      <c r="T150" s="31">
        <v>-1.1520708195227696E-3</v>
      </c>
      <c r="V150" s="9">
        <v>44869</v>
      </c>
      <c r="W150" s="30">
        <v>-5.014874107806877E-2</v>
      </c>
      <c r="X150" s="30">
        <v>-3.619590380292248E-3</v>
      </c>
      <c r="Y150" s="30">
        <v>5.152786284701838E-3</v>
      </c>
      <c r="Z150" s="30">
        <v>1.6141603749023625E-2</v>
      </c>
      <c r="AA150" s="31">
        <v>-1.1008717513212196E-2</v>
      </c>
    </row>
    <row r="151" spans="1:27" x14ac:dyDescent="0.25">
      <c r="A151" s="7">
        <f>NFLX[[#This Row],[Date]]</f>
        <v>44777</v>
      </c>
      <c r="B151" s="30">
        <f>NFLX[[#This Row],[Stopa zwrotu]]</f>
        <v>1.1824498802486261E-2</v>
      </c>
      <c r="C151" s="30">
        <f>META[[#This Row],[Stopa zwrotu]]</f>
        <v>3.2369844484812171E-2</v>
      </c>
      <c r="D151" s="30">
        <f>GOOG[[#This Row],[Stopa zwrotu]]</f>
        <v>1.3430882248284481E-2</v>
      </c>
      <c r="E151" s="30">
        <f>EBAY[[#This Row],[Stopa zwrotu]]</f>
        <v>-4.7755102040816344E-2</v>
      </c>
      <c r="F151" s="30">
        <f>AMZN[[#This Row],[Stopa zwrotu]]</f>
        <v>2.5725835522399709E-2</v>
      </c>
      <c r="H151" s="9">
        <v>44778</v>
      </c>
      <c r="I151" s="30">
        <v>-9.6867716993543906E-3</v>
      </c>
      <c r="J151" s="30">
        <v>-5.9952037291030047E-3</v>
      </c>
      <c r="K151" s="30">
        <v>-8.4954550037843468E-3</v>
      </c>
      <c r="L151" s="30">
        <v>6.4292756108019766E-4</v>
      </c>
      <c r="M151" s="31">
        <v>3.5831600806202069E-4</v>
      </c>
      <c r="O151" s="9">
        <v>44838</v>
      </c>
      <c r="P151" s="30">
        <v>1.7178182937216402E-3</v>
      </c>
      <c r="Q151" s="30">
        <v>2.380595045675471E-2</v>
      </c>
      <c r="R151" s="30">
        <v>4.1434798230307157E-2</v>
      </c>
      <c r="S151" s="30">
        <v>5.2791597567717119E-2</v>
      </c>
      <c r="T151" s="31">
        <v>6.527349218159606E-2</v>
      </c>
      <c r="V151" s="9">
        <v>44872</v>
      </c>
      <c r="W151" s="30">
        <v>-4.2169446334588594E-3</v>
      </c>
      <c r="X151" s="30">
        <v>1.895789241115035E-2</v>
      </c>
      <c r="Y151" s="30">
        <v>1.2239715904297585E-2</v>
      </c>
      <c r="Z151" s="30">
        <v>2.9037493271094985E-3</v>
      </c>
      <c r="AA151" s="31">
        <v>3.7861577640524078E-3</v>
      </c>
    </row>
    <row r="152" spans="1:27" x14ac:dyDescent="0.25">
      <c r="A152" s="7">
        <f>NFLX[[#This Row],[Date]]</f>
        <v>44778</v>
      </c>
      <c r="B152" s="30">
        <f>NFLX[[#This Row],[Stopa zwrotu]]</f>
        <v>-9.6867716993543906E-3</v>
      </c>
      <c r="C152" s="30">
        <f>META[[#This Row],[Stopa zwrotu]]</f>
        <v>-5.9952037291030047E-3</v>
      </c>
      <c r="D152" s="30">
        <f>GOOG[[#This Row],[Stopa zwrotu]]</f>
        <v>-8.4954550037843468E-3</v>
      </c>
      <c r="E152" s="30">
        <f>EBAY[[#This Row],[Stopa zwrotu]]</f>
        <v>6.4292756108019766E-4</v>
      </c>
      <c r="F152" s="30">
        <f>AMZN[[#This Row],[Stopa zwrotu]]</f>
        <v>3.5831600806202069E-4</v>
      </c>
      <c r="H152" s="9">
        <v>44781</v>
      </c>
      <c r="I152" s="30">
        <v>5.2945799186651472E-3</v>
      </c>
      <c r="J152" s="30">
        <v>2.673908274899143E-3</v>
      </c>
      <c r="K152" s="30">
        <v>3.1988204655312527E-3</v>
      </c>
      <c r="L152" s="30">
        <v>3.6410509811034184E-3</v>
      </c>
      <c r="M152" s="31">
        <v>-3.1280156248703803E-3</v>
      </c>
      <c r="O152" s="9">
        <v>44839</v>
      </c>
      <c r="P152" s="30">
        <v>-2.5166109324758823E-2</v>
      </c>
      <c r="Q152" s="30">
        <v>-3.2725686313354041E-2</v>
      </c>
      <c r="R152" s="30">
        <v>-1.2866221171157766E-2</v>
      </c>
      <c r="S152" s="30">
        <v>2.3628248884219882E-3</v>
      </c>
      <c r="T152" s="31">
        <v>-1.7530670193416253E-2</v>
      </c>
      <c r="V152" s="9">
        <v>44873</v>
      </c>
      <c r="W152" s="30">
        <v>1.9001186385833257E-2</v>
      </c>
      <c r="X152" s="30">
        <v>1.8152556780935747E-2</v>
      </c>
      <c r="Y152" s="30">
        <v>7.9347172025612256E-3</v>
      </c>
      <c r="Z152" s="30">
        <v>2.159009452857763E-2</v>
      </c>
      <c r="AA152" s="31">
        <v>-9.0970124764486737E-3</v>
      </c>
    </row>
    <row r="153" spans="1:27" x14ac:dyDescent="0.25">
      <c r="A153" s="7">
        <f>NFLX[[#This Row],[Date]]</f>
        <v>44781</v>
      </c>
      <c r="B153" s="30">
        <f>NFLX[[#This Row],[Stopa zwrotu]]</f>
        <v>5.2945799186651472E-3</v>
      </c>
      <c r="C153" s="30">
        <f>META[[#This Row],[Stopa zwrotu]]</f>
        <v>2.673908274899143E-3</v>
      </c>
      <c r="D153" s="30">
        <f>GOOG[[#This Row],[Stopa zwrotu]]</f>
        <v>3.1988204655312527E-3</v>
      </c>
      <c r="E153" s="30">
        <f>EBAY[[#This Row],[Stopa zwrotu]]</f>
        <v>3.6410509811034184E-3</v>
      </c>
      <c r="F153" s="30">
        <f>AMZN[[#This Row],[Stopa zwrotu]]</f>
        <v>-3.1280156248703803E-3</v>
      </c>
      <c r="H153" s="9">
        <v>44782</v>
      </c>
      <c r="I153" s="30">
        <v>-7.7735522675932422E-3</v>
      </c>
      <c r="J153" s="30">
        <v>-3.1711780299414905E-3</v>
      </c>
      <c r="K153" s="30">
        <v>-1.0778273601319333E-2</v>
      </c>
      <c r="L153" s="30">
        <v>-3.8135804276783203E-3</v>
      </c>
      <c r="M153" s="31">
        <v>-1.5040755696618002E-2</v>
      </c>
      <c r="O153" s="9">
        <v>44840</v>
      </c>
      <c r="P153" s="30">
        <v>2.8718439864578116E-2</v>
      </c>
      <c r="Q153" s="30">
        <v>1.3503539200946379E-2</v>
      </c>
      <c r="R153" s="30">
        <v>1.7645899692117606E-2</v>
      </c>
      <c r="S153" s="30">
        <v>1.7286537454164641E-2</v>
      </c>
      <c r="T153" s="31">
        <v>1.5379369268767595E-2</v>
      </c>
      <c r="V153" s="9">
        <v>44874</v>
      </c>
      <c r="W153" s="30">
        <v>-1.0355044955717707E-2</v>
      </c>
      <c r="X153" s="30">
        <v>6.2770302112350462E-2</v>
      </c>
      <c r="Y153" s="30">
        <v>-3.3086251384227827E-3</v>
      </c>
      <c r="Z153" s="30">
        <v>6.7131027669540266E-3</v>
      </c>
      <c r="AA153" s="31">
        <v>-2.6748270653464634E-2</v>
      </c>
    </row>
    <row r="154" spans="1:27" x14ac:dyDescent="0.25">
      <c r="A154" s="7">
        <f>NFLX[[#This Row],[Date]]</f>
        <v>44782</v>
      </c>
      <c r="B154" s="30">
        <f>NFLX[[#This Row],[Stopa zwrotu]]</f>
        <v>-7.7735522675932422E-3</v>
      </c>
      <c r="C154" s="30">
        <f>META[[#This Row],[Stopa zwrotu]]</f>
        <v>-3.1711780299414905E-3</v>
      </c>
      <c r="D154" s="30">
        <f>GOOG[[#This Row],[Stopa zwrotu]]</f>
        <v>-1.0778273601319333E-2</v>
      </c>
      <c r="E154" s="30">
        <f>EBAY[[#This Row],[Stopa zwrotu]]</f>
        <v>-3.8135804276783203E-3</v>
      </c>
      <c r="F154" s="30">
        <f>AMZN[[#This Row],[Stopa zwrotu]]</f>
        <v>-1.5040755696618002E-2</v>
      </c>
      <c r="H154" s="9">
        <v>44783</v>
      </c>
      <c r="I154" s="30">
        <v>5.3193911948201666E-2</v>
      </c>
      <c r="J154" s="30">
        <v>4.4117591448346039E-2</v>
      </c>
      <c r="K154" s="30">
        <v>2.4021989087542828E-2</v>
      </c>
      <c r="L154" s="30">
        <v>3.0837962569119526E-2</v>
      </c>
      <c r="M154" s="31">
        <v>3.5239613488897481E-2</v>
      </c>
      <c r="O154" s="9">
        <v>44841</v>
      </c>
      <c r="P154" s="30">
        <v>-4.1169701318118812E-2</v>
      </c>
      <c r="Q154" s="30">
        <v>-3.0453907886358489E-2</v>
      </c>
      <c r="R154" s="30">
        <v>-2.2561586206896633E-2</v>
      </c>
      <c r="S154" s="30">
        <v>-3.6560298661174162E-2</v>
      </c>
      <c r="T154" s="31">
        <v>-4.7029313807531392E-2</v>
      </c>
      <c r="V154" s="9">
        <v>44875</v>
      </c>
      <c r="W154" s="30">
        <v>2.3090217043937322E-2</v>
      </c>
      <c r="X154" s="30">
        <v>3.8415754187328899E-2</v>
      </c>
      <c r="Y154" s="30">
        <v>4.910715374190544E-2</v>
      </c>
      <c r="Z154" s="30">
        <v>4.3714396457673832E-2</v>
      </c>
      <c r="AA154" s="31">
        <v>6.7311037592487466E-2</v>
      </c>
    </row>
    <row r="155" spans="1:27" x14ac:dyDescent="0.25">
      <c r="A155" s="7">
        <f>NFLX[[#This Row],[Date]]</f>
        <v>44783</v>
      </c>
      <c r="B155" s="30">
        <f>NFLX[[#This Row],[Stopa zwrotu]]</f>
        <v>5.3193911948201666E-2</v>
      </c>
      <c r="C155" s="30">
        <f>META[[#This Row],[Stopa zwrotu]]</f>
        <v>4.4117591448346039E-2</v>
      </c>
      <c r="D155" s="30">
        <f>GOOG[[#This Row],[Stopa zwrotu]]</f>
        <v>2.4021989087542828E-2</v>
      </c>
      <c r="E155" s="30">
        <f>EBAY[[#This Row],[Stopa zwrotu]]</f>
        <v>3.0837962569119526E-2</v>
      </c>
      <c r="F155" s="30">
        <f>AMZN[[#This Row],[Stopa zwrotu]]</f>
        <v>3.5239613488897481E-2</v>
      </c>
      <c r="H155" s="9">
        <v>44784</v>
      </c>
      <c r="I155" s="30">
        <v>2.0752277580246448E-2</v>
      </c>
      <c r="J155" s="30">
        <v>1.3912032433090582E-2</v>
      </c>
      <c r="K155" s="30">
        <v>1.5918397989960198E-3</v>
      </c>
      <c r="L155" s="30">
        <v>-7.0146480913009235E-3</v>
      </c>
      <c r="M155" s="31">
        <v>-8.8646198448556479E-3</v>
      </c>
      <c r="O155" s="9">
        <v>44844</v>
      </c>
      <c r="P155" s="30">
        <v>-7.4316331108363151E-5</v>
      </c>
      <c r="Q155" s="30">
        <v>-1.4346294961044743E-3</v>
      </c>
      <c r="R155" s="30">
        <v>-4.502220923652378E-3</v>
      </c>
      <c r="S155" s="30">
        <v>-1.1579993492606411E-3</v>
      </c>
      <c r="T155" s="31">
        <v>-4.2442250269231581E-3</v>
      </c>
      <c r="V155" s="9">
        <v>44876</v>
      </c>
      <c r="W155" s="30">
        <v>4.4100127557386015E-2</v>
      </c>
      <c r="X155" s="30">
        <v>4.0149096260882366E-2</v>
      </c>
      <c r="Y155" s="30">
        <v>2.7386818824073789E-2</v>
      </c>
      <c r="Z155" s="30">
        <v>5.8684432498079975E-2</v>
      </c>
      <c r="AA155" s="31">
        <v>5.4664505080970871E-2</v>
      </c>
    </row>
    <row r="156" spans="1:27" x14ac:dyDescent="0.25">
      <c r="A156" s="7">
        <f>NFLX[[#This Row],[Date]]</f>
        <v>44784</v>
      </c>
      <c r="B156" s="30">
        <f>NFLX[[#This Row],[Stopa zwrotu]]</f>
        <v>2.0752277580246448E-2</v>
      </c>
      <c r="C156" s="30">
        <f>META[[#This Row],[Stopa zwrotu]]</f>
        <v>1.3912032433090582E-2</v>
      </c>
      <c r="D156" s="30">
        <f>GOOG[[#This Row],[Stopa zwrotu]]</f>
        <v>1.5918397989960198E-3</v>
      </c>
      <c r="E156" s="30">
        <f>EBAY[[#This Row],[Stopa zwrotu]]</f>
        <v>-7.0146480913009235E-3</v>
      </c>
      <c r="F156" s="30">
        <f>AMZN[[#This Row],[Stopa zwrotu]]</f>
        <v>-8.8646198448556479E-3</v>
      </c>
      <c r="H156" s="9">
        <v>44785</v>
      </c>
      <c r="I156" s="30">
        <v>9.3163846076018686E-3</v>
      </c>
      <c r="J156" s="30">
        <v>1.4401593649758793E-2</v>
      </c>
      <c r="K156" s="30">
        <v>7.1099872745297166E-3</v>
      </c>
      <c r="L156" s="30">
        <v>1.1427363153389436E-2</v>
      </c>
      <c r="M156" s="31">
        <v>2.5758443966743538E-3</v>
      </c>
      <c r="O156" s="9">
        <v>44845</v>
      </c>
      <c r="P156" s="30">
        <v>-4.6960706363300297E-2</v>
      </c>
      <c r="Q156" s="30">
        <v>-3.7006121066433528E-2</v>
      </c>
      <c r="R156" s="30">
        <v>-6.3349645549719558E-3</v>
      </c>
      <c r="S156" s="30">
        <v>-1.7967336605863804E-2</v>
      </c>
      <c r="T156" s="31">
        <v>-1.8144632215600809E-2</v>
      </c>
      <c r="V156" s="9">
        <v>44879</v>
      </c>
      <c r="W156" s="30">
        <v>2.0412927925661073E-2</v>
      </c>
      <c r="X156" s="30">
        <v>6.0962688373544793E-3</v>
      </c>
      <c r="Y156" s="30">
        <v>3.3736723290708572E-3</v>
      </c>
      <c r="Z156" s="30">
        <v>8.2699742987644154E-3</v>
      </c>
      <c r="AA156" s="31">
        <v>2.1725531896315728E-3</v>
      </c>
    </row>
    <row r="157" spans="1:27" x14ac:dyDescent="0.25">
      <c r="A157" s="7">
        <f>NFLX[[#This Row],[Date]]</f>
        <v>44785</v>
      </c>
      <c r="B157" s="30">
        <f>NFLX[[#This Row],[Stopa zwrotu]]</f>
        <v>9.3163846076018686E-3</v>
      </c>
      <c r="C157" s="30">
        <f>META[[#This Row],[Stopa zwrotu]]</f>
        <v>1.4401593649758793E-2</v>
      </c>
      <c r="D157" s="30">
        <f>GOOG[[#This Row],[Stopa zwrotu]]</f>
        <v>7.1099872745297166E-3</v>
      </c>
      <c r="E157" s="30">
        <f>EBAY[[#This Row],[Stopa zwrotu]]</f>
        <v>1.1427363153389436E-2</v>
      </c>
      <c r="F157" s="30">
        <f>AMZN[[#This Row],[Stopa zwrotu]]</f>
        <v>2.5758443966743538E-3</v>
      </c>
      <c r="H157" s="9">
        <v>44788</v>
      </c>
      <c r="I157" s="30">
        <v>5.1279948541186711E-3</v>
      </c>
      <c r="J157" s="30">
        <v>-1.3228382690103624E-3</v>
      </c>
      <c r="K157" s="30">
        <v>3.2391970669014558E-3</v>
      </c>
      <c r="L157" s="30">
        <v>-3.2867639003012852E-3</v>
      </c>
      <c r="M157" s="31">
        <v>3.2591351434176166E-3</v>
      </c>
      <c r="O157" s="9">
        <v>44846</v>
      </c>
      <c r="P157" s="30">
        <v>-4.9602153246638414E-3</v>
      </c>
      <c r="Q157" s="30">
        <v>-5.8272148330925644E-3</v>
      </c>
      <c r="R157" s="30">
        <v>4.3187455012854148E-3</v>
      </c>
      <c r="S157" s="30">
        <v>-2.7302021499242546E-4</v>
      </c>
      <c r="T157" s="31">
        <v>9.1494067320354588E-3</v>
      </c>
      <c r="V157" s="9">
        <v>44880</v>
      </c>
      <c r="W157" s="30">
        <v>4.9828189390137112E-2</v>
      </c>
      <c r="X157" s="30">
        <v>3.2581235579930423E-2</v>
      </c>
      <c r="Y157" s="30">
        <v>2.0049814642055352E-2</v>
      </c>
      <c r="Z157" s="30">
        <v>3.9258671287183411E-3</v>
      </c>
      <c r="AA157" s="31">
        <v>5.1387603542107918E-4</v>
      </c>
    </row>
    <row r="158" spans="1:27" x14ac:dyDescent="0.25">
      <c r="A158" s="7">
        <f>NFLX[[#This Row],[Date]]</f>
        <v>44788</v>
      </c>
      <c r="B158" s="30">
        <f>NFLX[[#This Row],[Stopa zwrotu]]</f>
        <v>5.1279948541186711E-3</v>
      </c>
      <c r="C158" s="30">
        <f>META[[#This Row],[Stopa zwrotu]]</f>
        <v>-1.3228382690103624E-3</v>
      </c>
      <c r="D158" s="30">
        <f>GOOG[[#This Row],[Stopa zwrotu]]</f>
        <v>3.2391970669014558E-3</v>
      </c>
      <c r="E158" s="30">
        <f>EBAY[[#This Row],[Stopa zwrotu]]</f>
        <v>-3.2867639003012852E-3</v>
      </c>
      <c r="F158" s="30">
        <f>AMZN[[#This Row],[Stopa zwrotu]]</f>
        <v>3.2591351434176166E-3</v>
      </c>
      <c r="H158" s="9">
        <v>44789</v>
      </c>
      <c r="I158" s="30">
        <v>-1.4060022101329728E-2</v>
      </c>
      <c r="J158" s="30">
        <v>-6.5095623991507923E-3</v>
      </c>
      <c r="K158" s="30">
        <v>-2.8786707246852838E-4</v>
      </c>
      <c r="L158" s="30">
        <v>7.8838380107086881E-3</v>
      </c>
      <c r="M158" s="31">
        <v>3.6044595517541467E-3</v>
      </c>
      <c r="O158" s="9">
        <v>44847</v>
      </c>
      <c r="P158" s="30">
        <v>-4.2795476123003162E-3</v>
      </c>
      <c r="Q158" s="30">
        <v>-2.9465354455445514E-2</v>
      </c>
      <c r="R158" s="30">
        <v>-2.4572550928075199E-2</v>
      </c>
      <c r="S158" s="30">
        <v>-1.8847390908293016E-2</v>
      </c>
      <c r="T158" s="31">
        <v>-5.4308832059087431E-2</v>
      </c>
      <c r="V158" s="9">
        <v>44881</v>
      </c>
      <c r="W158" s="30">
        <v>3.5035433549579498E-3</v>
      </c>
      <c r="X158" s="30">
        <v>-1.52958652112275E-2</v>
      </c>
      <c r="Y158" s="30">
        <v>9.0909402934737926E-3</v>
      </c>
      <c r="Z158" s="30">
        <v>-1.5641929516444164E-2</v>
      </c>
      <c r="AA158" s="31">
        <v>-1.8491833511067646E-2</v>
      </c>
    </row>
    <row r="159" spans="1:27" x14ac:dyDescent="0.25">
      <c r="A159" s="7">
        <f>NFLX[[#This Row],[Date]]</f>
        <v>44789</v>
      </c>
      <c r="B159" s="30">
        <f>NFLX[[#This Row],[Stopa zwrotu]]</f>
        <v>-1.4060022101329728E-2</v>
      </c>
      <c r="C159" s="30">
        <f>META[[#This Row],[Stopa zwrotu]]</f>
        <v>-6.5095623991507923E-3</v>
      </c>
      <c r="D159" s="30">
        <f>GOOG[[#This Row],[Stopa zwrotu]]</f>
        <v>-2.8786707246852838E-4</v>
      </c>
      <c r="E159" s="30">
        <f>EBAY[[#This Row],[Stopa zwrotu]]</f>
        <v>7.8838380107086881E-3</v>
      </c>
      <c r="F159" s="30">
        <f>AMZN[[#This Row],[Stopa zwrotu]]</f>
        <v>3.6044595517541467E-3</v>
      </c>
      <c r="H159" s="9">
        <v>44790</v>
      </c>
      <c r="I159" s="30">
        <v>-2.6513137837614775E-2</v>
      </c>
      <c r="J159" s="30">
        <v>-1.6210998155654077E-2</v>
      </c>
      <c r="K159" s="30">
        <v>-1.0984547299640601E-2</v>
      </c>
      <c r="L159" s="30">
        <v>-6.9987646357034805E-3</v>
      </c>
      <c r="M159" s="31">
        <v>-8.5915563380281057E-3</v>
      </c>
      <c r="O159" s="9">
        <v>44848</v>
      </c>
      <c r="P159" s="30">
        <v>8.3974870523305656E-2</v>
      </c>
      <c r="Q159" s="30">
        <v>3.2563437791262917E-2</v>
      </c>
      <c r="R159" s="30">
        <v>1.8473832847921701E-2</v>
      </c>
      <c r="S159" s="30">
        <v>3.034521327089168E-2</v>
      </c>
      <c r="T159" s="31">
        <v>1.186521142601249E-2</v>
      </c>
      <c r="V159" s="9">
        <v>44882</v>
      </c>
      <c r="W159" s="30">
        <v>-4.1533498972374017E-2</v>
      </c>
      <c r="X159" s="30">
        <v>-2.5386125496675849E-2</v>
      </c>
      <c r="Y159" s="30">
        <v>-8.1918857633143105E-3</v>
      </c>
      <c r="Z159" s="30">
        <v>-1.6331957264798969E-2</v>
      </c>
      <c r="AA159" s="31">
        <v>-1.5804919240057336E-2</v>
      </c>
    </row>
    <row r="160" spans="1:27" x14ac:dyDescent="0.25">
      <c r="A160" s="7">
        <f>NFLX[[#This Row],[Date]]</f>
        <v>44790</v>
      </c>
      <c r="B160" s="30">
        <f>NFLX[[#This Row],[Stopa zwrotu]]</f>
        <v>-2.6513137837614775E-2</v>
      </c>
      <c r="C160" s="30">
        <f>META[[#This Row],[Stopa zwrotu]]</f>
        <v>-1.6210998155654077E-2</v>
      </c>
      <c r="D160" s="30">
        <f>GOOG[[#This Row],[Stopa zwrotu]]</f>
        <v>-1.0984547299640601E-2</v>
      </c>
      <c r="E160" s="30">
        <f>EBAY[[#This Row],[Stopa zwrotu]]</f>
        <v>-6.9987646357034805E-3</v>
      </c>
      <c r="F160" s="30">
        <f>AMZN[[#This Row],[Stopa zwrotu]]</f>
        <v>-8.5915563380281057E-3</v>
      </c>
      <c r="H160" s="9">
        <v>44791</v>
      </c>
      <c r="I160" s="30">
        <v>7.2402804111826313E-3</v>
      </c>
      <c r="J160" s="30">
        <v>-1.3262886986999844E-2</v>
      </c>
      <c r="K160" s="30">
        <v>-5.40760412830954E-3</v>
      </c>
      <c r="L160" s="30">
        <v>-8.7065087600949331E-3</v>
      </c>
      <c r="M160" s="31">
        <v>-2.8412700869531182E-3</v>
      </c>
      <c r="O160" s="9">
        <v>44851</v>
      </c>
      <c r="P160" s="30">
        <v>7.1020857573835068E-3</v>
      </c>
      <c r="Q160" s="30">
        <v>9.6427339202882489E-3</v>
      </c>
      <c r="R160" s="30">
        <v>8.519712204332416E-3</v>
      </c>
      <c r="S160" s="30">
        <v>7.0251557430508109E-3</v>
      </c>
      <c r="T160" s="31">
        <v>1.0913064620007443E-2</v>
      </c>
      <c r="V160" s="9">
        <v>44883</v>
      </c>
      <c r="W160" s="30">
        <v>-1.3745704467353903E-2</v>
      </c>
      <c r="X160" s="30">
        <v>7.4681236575193655E-3</v>
      </c>
      <c r="Y160" s="30">
        <v>-3.7075180990220336E-3</v>
      </c>
      <c r="Z160" s="30">
        <v>1.5256899259591616E-2</v>
      </c>
      <c r="AA160" s="31">
        <v>-1.6484058454579009E-2</v>
      </c>
    </row>
    <row r="161" spans="1:27" x14ac:dyDescent="0.25">
      <c r="A161" s="7">
        <f>NFLX[[#This Row],[Date]]</f>
        <v>44791</v>
      </c>
      <c r="B161" s="30">
        <f>NFLX[[#This Row],[Stopa zwrotu]]</f>
        <v>7.2402804111826313E-3</v>
      </c>
      <c r="C161" s="30">
        <f>META[[#This Row],[Stopa zwrotu]]</f>
        <v>-1.3262886986999844E-2</v>
      </c>
      <c r="D161" s="30">
        <f>GOOG[[#This Row],[Stopa zwrotu]]</f>
        <v>-5.40760412830954E-3</v>
      </c>
      <c r="E161" s="30">
        <f>EBAY[[#This Row],[Stopa zwrotu]]</f>
        <v>-8.7065087600949331E-3</v>
      </c>
      <c r="F161" s="30">
        <f>AMZN[[#This Row],[Stopa zwrotu]]</f>
        <v>-2.8412700869531182E-3</v>
      </c>
      <c r="H161" s="9">
        <v>44792</v>
      </c>
      <c r="I161" s="30">
        <v>-1.5045160544321146E-2</v>
      </c>
      <c r="J161" s="30">
        <v>-2.7987885325335249E-2</v>
      </c>
      <c r="K161" s="30">
        <v>-1.5725679237331369E-2</v>
      </c>
      <c r="L161" s="30">
        <v>-2.6557946465913806E-2</v>
      </c>
      <c r="M161" s="31">
        <v>-1.7595105513780407E-2</v>
      </c>
      <c r="O161" s="9">
        <v>44852</v>
      </c>
      <c r="P161" s="30">
        <v>1.4206493537708864E-2</v>
      </c>
      <c r="Q161" s="30">
        <v>9.3716474543057426E-3</v>
      </c>
      <c r="R161" s="30">
        <v>1.1456134831551834E-2</v>
      </c>
      <c r="S161" s="30">
        <v>9.7909232656543388E-3</v>
      </c>
      <c r="T161" s="31">
        <v>4.2692389597325464E-2</v>
      </c>
      <c r="V161" s="9">
        <v>44886</v>
      </c>
      <c r="W161" s="30">
        <v>-5.0406457607432937E-3</v>
      </c>
      <c r="X161" s="30">
        <v>-4.3090488797039583E-3</v>
      </c>
      <c r="Y161" s="30">
        <v>-3.6868583216909481E-3</v>
      </c>
      <c r="Z161" s="30">
        <v>-5.2301952117863966E-3</v>
      </c>
      <c r="AA161" s="31">
        <v>-6.8123087467171954E-3</v>
      </c>
    </row>
    <row r="162" spans="1:27" x14ac:dyDescent="0.25">
      <c r="A162" s="7">
        <f>NFLX[[#This Row],[Date]]</f>
        <v>44792</v>
      </c>
      <c r="B162" s="30">
        <f>NFLX[[#This Row],[Stopa zwrotu]]</f>
        <v>-1.5045160544321146E-2</v>
      </c>
      <c r="C162" s="30">
        <f>META[[#This Row],[Stopa zwrotu]]</f>
        <v>-2.7987885325335249E-2</v>
      </c>
      <c r="D162" s="30">
        <f>GOOG[[#This Row],[Stopa zwrotu]]</f>
        <v>-1.5725679237331369E-2</v>
      </c>
      <c r="E162" s="30">
        <f>EBAY[[#This Row],[Stopa zwrotu]]</f>
        <v>-2.6557946465913806E-2</v>
      </c>
      <c r="F162" s="30">
        <f>AMZN[[#This Row],[Stopa zwrotu]]</f>
        <v>-1.7595105513780407E-2</v>
      </c>
      <c r="H162" s="9">
        <v>44795</v>
      </c>
      <c r="I162" s="30">
        <v>-1.568510597616431E-2</v>
      </c>
      <c r="J162" s="30">
        <v>-9.5580323535422815E-3</v>
      </c>
      <c r="K162" s="30">
        <v>-8.4983429675931452E-3</v>
      </c>
      <c r="L162" s="30">
        <v>-8.7361047347533916E-3</v>
      </c>
      <c r="M162" s="31">
        <v>-1.2230193249794944E-2</v>
      </c>
      <c r="O162" s="9">
        <v>44853</v>
      </c>
      <c r="P162" s="30">
        <v>0.10486690118818665</v>
      </c>
      <c r="Q162" s="30">
        <v>6.2405406198116076E-3</v>
      </c>
      <c r="R162" s="30">
        <v>-1.008445086767118E-2</v>
      </c>
      <c r="S162" s="30">
        <v>-2.3060822851153073E-2</v>
      </c>
      <c r="T162" s="31">
        <v>-1.3677149458340088E-2</v>
      </c>
      <c r="V162" s="9">
        <v>44887</v>
      </c>
      <c r="W162" s="30">
        <v>-1.8821226649384903E-2</v>
      </c>
      <c r="X162" s="30">
        <v>-7.9677807863764993E-3</v>
      </c>
      <c r="Y162" s="30">
        <v>-1.3170210372535074E-2</v>
      </c>
      <c r="Z162" s="30">
        <v>-2.9187471280029964E-3</v>
      </c>
      <c r="AA162" s="31">
        <v>3.0909262872691468E-3</v>
      </c>
    </row>
    <row r="163" spans="1:27" x14ac:dyDescent="0.25">
      <c r="A163" s="7">
        <f>NFLX[[#This Row],[Date]]</f>
        <v>44795</v>
      </c>
      <c r="B163" s="30">
        <f>NFLX[[#This Row],[Stopa zwrotu]]</f>
        <v>-1.568510597616431E-2</v>
      </c>
      <c r="C163" s="30">
        <f>META[[#This Row],[Stopa zwrotu]]</f>
        <v>-9.5580323535422815E-3</v>
      </c>
      <c r="D163" s="30">
        <f>GOOG[[#This Row],[Stopa zwrotu]]</f>
        <v>-8.4983429675931452E-3</v>
      </c>
      <c r="E163" s="30">
        <f>EBAY[[#This Row],[Stopa zwrotu]]</f>
        <v>-8.7361047347533916E-3</v>
      </c>
      <c r="F163" s="30">
        <f>AMZN[[#This Row],[Stopa zwrotu]]</f>
        <v>-1.2230193249794944E-2</v>
      </c>
      <c r="H163" s="9">
        <v>44796</v>
      </c>
      <c r="I163" s="30">
        <v>-1.2912106735155637E-3</v>
      </c>
      <c r="J163" s="30">
        <v>-9.614187403370833E-3</v>
      </c>
      <c r="K163" s="30">
        <v>-3.2266068409628756E-3</v>
      </c>
      <c r="L163" s="30">
        <v>-3.7503197109941544E-3</v>
      </c>
      <c r="M163" s="31">
        <v>7.526608617540731E-4</v>
      </c>
      <c r="O163" s="9">
        <v>44854</v>
      </c>
      <c r="P163" s="30">
        <v>1.4162799601571407E-2</v>
      </c>
      <c r="Q163" s="30">
        <v>-6.8824912503213653E-3</v>
      </c>
      <c r="R163" s="30">
        <v>3.3622621897473337E-3</v>
      </c>
      <c r="S163" s="30">
        <v>5.364833834893723E-3</v>
      </c>
      <c r="T163" s="31">
        <v>2.56139372406472E-3</v>
      </c>
      <c r="V163" s="9">
        <v>44888</v>
      </c>
      <c r="W163" s="30">
        <v>2.3148532821064993E-2</v>
      </c>
      <c r="X163" s="30">
        <v>2.2248919867060568E-2</v>
      </c>
      <c r="Y163" s="30">
        <v>3.1034761951710177E-2</v>
      </c>
      <c r="Z163" s="30">
        <v>1.5762238234631853E-2</v>
      </c>
      <c r="AA163" s="31">
        <v>2.1569263071334888E-2</v>
      </c>
    </row>
    <row r="164" spans="1:27" x14ac:dyDescent="0.25">
      <c r="A164" s="7">
        <f>NFLX[[#This Row],[Date]]</f>
        <v>44796</v>
      </c>
      <c r="B164" s="30">
        <f>NFLX[[#This Row],[Stopa zwrotu]]</f>
        <v>-1.2912106735155637E-3</v>
      </c>
      <c r="C164" s="30">
        <f>META[[#This Row],[Stopa zwrotu]]</f>
        <v>-9.614187403370833E-3</v>
      </c>
      <c r="D164" s="30">
        <f>GOOG[[#This Row],[Stopa zwrotu]]</f>
        <v>-3.2266068409628756E-3</v>
      </c>
      <c r="E164" s="30">
        <f>EBAY[[#This Row],[Stopa zwrotu]]</f>
        <v>-3.7503197109941544E-3</v>
      </c>
      <c r="F164" s="30">
        <f>AMZN[[#This Row],[Stopa zwrotu]]</f>
        <v>7.526608617540731E-4</v>
      </c>
      <c r="H164" s="9">
        <v>44797</v>
      </c>
      <c r="I164" s="30">
        <v>-1.6049977493759471E-3</v>
      </c>
      <c r="J164" s="30">
        <v>-5.7871376313715084E-3</v>
      </c>
      <c r="K164" s="30">
        <v>-4.5494661973018991E-3</v>
      </c>
      <c r="L164" s="30">
        <v>2.2139061116033254E-4</v>
      </c>
      <c r="M164" s="31">
        <v>-6.3933134199317676E-3</v>
      </c>
      <c r="O164" s="9">
        <v>44855</v>
      </c>
      <c r="P164" s="30">
        <v>-2.6278699108814862E-3</v>
      </c>
      <c r="Q164" s="30">
        <v>-4.4703343914451965E-2</v>
      </c>
      <c r="R164" s="30">
        <v>-1.7405201386363922E-2</v>
      </c>
      <c r="S164" s="30">
        <v>-1.0672305229455614E-2</v>
      </c>
      <c r="T164" s="31">
        <v>8.7216807554986175E-3</v>
      </c>
      <c r="V164" s="9">
        <v>44890</v>
      </c>
      <c r="W164" s="30">
        <v>7.2244676055654988E-4</v>
      </c>
      <c r="X164" s="30">
        <v>1.3094644276312462E-3</v>
      </c>
      <c r="Y164" s="30">
        <v>9.7597600065657542E-4</v>
      </c>
      <c r="Z164" s="30">
        <v>-6.0962091310970967E-3</v>
      </c>
      <c r="AA164" s="31">
        <v>1.29267475400896E-3</v>
      </c>
    </row>
    <row r="165" spans="1:27" x14ac:dyDescent="0.25">
      <c r="A165" s="7">
        <f>NFLX[[#This Row],[Date]]</f>
        <v>44797</v>
      </c>
      <c r="B165" s="30">
        <f>NFLX[[#This Row],[Stopa zwrotu]]</f>
        <v>-1.6049977493759471E-3</v>
      </c>
      <c r="C165" s="30">
        <f>META[[#This Row],[Stopa zwrotu]]</f>
        <v>-5.7871376313715084E-3</v>
      </c>
      <c r="D165" s="30">
        <f>GOOG[[#This Row],[Stopa zwrotu]]</f>
        <v>-4.5494661973018991E-3</v>
      </c>
      <c r="E165" s="30">
        <f>EBAY[[#This Row],[Stopa zwrotu]]</f>
        <v>2.2139061116033254E-4</v>
      </c>
      <c r="F165" s="30">
        <f>AMZN[[#This Row],[Stopa zwrotu]]</f>
        <v>-6.3933134199317676E-3</v>
      </c>
      <c r="H165" s="9">
        <v>44798</v>
      </c>
      <c r="I165" s="30">
        <v>2.2595328904212453E-2</v>
      </c>
      <c r="J165" s="30">
        <v>2.6600737895706716E-2</v>
      </c>
      <c r="K165" s="30">
        <v>1.1161926622973439E-2</v>
      </c>
      <c r="L165" s="30">
        <v>8.6341159457212768E-3</v>
      </c>
      <c r="M165" s="31">
        <v>1.6502595768239425E-2</v>
      </c>
      <c r="O165" s="9">
        <v>44858</v>
      </c>
      <c r="P165" s="30">
        <v>1.8418137592568568E-2</v>
      </c>
      <c r="Q165" s="30">
        <v>-2.3118675226637317E-3</v>
      </c>
      <c r="R165" s="30">
        <v>7.0243304380230853E-3</v>
      </c>
      <c r="S165" s="30">
        <v>4.6745412796903212E-3</v>
      </c>
      <c r="T165" s="31">
        <v>6.0262008733624013E-3</v>
      </c>
      <c r="V165" s="9">
        <v>44893</v>
      </c>
      <c r="W165" s="30">
        <v>-4.2697608631914559E-3</v>
      </c>
      <c r="X165" s="30">
        <v>-7.9264999439695449E-3</v>
      </c>
      <c r="Y165" s="30">
        <v>-5.6051130141677357E-3</v>
      </c>
      <c r="Z165" s="30">
        <v>-2.3189781047506428E-3</v>
      </c>
      <c r="AA165" s="31">
        <v>1.289352100569537E-3</v>
      </c>
    </row>
    <row r="166" spans="1:27" x14ac:dyDescent="0.25">
      <c r="A166" s="7">
        <f>NFLX[[#This Row],[Date]]</f>
        <v>44798</v>
      </c>
      <c r="B166" s="30">
        <f>NFLX[[#This Row],[Stopa zwrotu]]</f>
        <v>2.2595328904212453E-2</v>
      </c>
      <c r="C166" s="30">
        <f>META[[#This Row],[Stopa zwrotu]]</f>
        <v>2.6600737895706716E-2</v>
      </c>
      <c r="D166" s="30">
        <f>GOOG[[#This Row],[Stopa zwrotu]]</f>
        <v>1.1161926622973439E-2</v>
      </c>
      <c r="E166" s="30">
        <f>EBAY[[#This Row],[Stopa zwrotu]]</f>
        <v>8.6341159457212768E-3</v>
      </c>
      <c r="F166" s="30">
        <f>AMZN[[#This Row],[Stopa zwrotu]]</f>
        <v>1.6502595768239425E-2</v>
      </c>
      <c r="H166" s="9">
        <v>44799</v>
      </c>
      <c r="I166" s="30">
        <v>-2.5545877729257649E-2</v>
      </c>
      <c r="J166" s="30">
        <v>-1.4327557265515045E-2</v>
      </c>
      <c r="K166" s="30">
        <v>-3.3289890483531814E-2</v>
      </c>
      <c r="L166" s="30">
        <v>-2.3046597387036849E-2</v>
      </c>
      <c r="M166" s="31">
        <v>-2.815012681076956E-2</v>
      </c>
      <c r="O166" s="9">
        <v>44859</v>
      </c>
      <c r="P166" s="30">
        <v>1.851192494535181E-2</v>
      </c>
      <c r="Q166" s="30">
        <v>4.8326210162960681E-2</v>
      </c>
      <c r="R166" s="30">
        <v>2.7118583436134047E-2</v>
      </c>
      <c r="S166" s="30">
        <v>1.4361729487326169E-2</v>
      </c>
      <c r="T166" s="31">
        <v>2.0416891138371751E-2</v>
      </c>
      <c r="V166" s="9">
        <v>44894</v>
      </c>
      <c r="W166" s="30">
        <v>-1.6361875793540315E-2</v>
      </c>
      <c r="X166" s="30">
        <v>1.4763240858919335E-3</v>
      </c>
      <c r="Y166" s="30">
        <v>-1.56429243470948E-2</v>
      </c>
      <c r="Z166" s="30">
        <v>-1.4237310734463327E-2</v>
      </c>
      <c r="AA166" s="31">
        <v>-2.1299347104784316E-2</v>
      </c>
    </row>
    <row r="167" spans="1:27" x14ac:dyDescent="0.25">
      <c r="A167" s="7">
        <f>NFLX[[#This Row],[Date]]</f>
        <v>44799</v>
      </c>
      <c r="B167" s="30">
        <f>NFLX[[#This Row],[Stopa zwrotu]]</f>
        <v>-2.5545877729257649E-2</v>
      </c>
      <c r="C167" s="30">
        <f>META[[#This Row],[Stopa zwrotu]]</f>
        <v>-1.4327557265515045E-2</v>
      </c>
      <c r="D167" s="30">
        <f>GOOG[[#This Row],[Stopa zwrotu]]</f>
        <v>-3.3289890483531814E-2</v>
      </c>
      <c r="E167" s="30">
        <f>EBAY[[#This Row],[Stopa zwrotu]]</f>
        <v>-2.3046597387036849E-2</v>
      </c>
      <c r="F167" s="30">
        <f>AMZN[[#This Row],[Stopa zwrotu]]</f>
        <v>-2.815012681076956E-2</v>
      </c>
      <c r="H167" s="9">
        <v>44802</v>
      </c>
      <c r="I167" s="30">
        <v>-2.4348196935196631E-3</v>
      </c>
      <c r="J167" s="30">
        <v>-5.4844292548742457E-3</v>
      </c>
      <c r="K167" s="30">
        <v>-4.2258676117077343E-3</v>
      </c>
      <c r="L167" s="30">
        <v>-4.5682320632771294E-3</v>
      </c>
      <c r="M167" s="31">
        <v>-4.4188914431673165E-3</v>
      </c>
      <c r="O167" s="9">
        <v>44860</v>
      </c>
      <c r="P167" s="30">
        <v>8.7200879167959044E-3</v>
      </c>
      <c r="Q167" s="30">
        <v>-1.57745391155385E-2</v>
      </c>
      <c r="R167" s="30">
        <v>-8.2022881441163431E-2</v>
      </c>
      <c r="S167" s="30">
        <v>2.0450944427135243E-2</v>
      </c>
      <c r="T167" s="31">
        <v>-3.522484325913855E-2</v>
      </c>
      <c r="V167" s="9">
        <v>44895</v>
      </c>
      <c r="W167" s="30">
        <v>1.6199180863961882E-2</v>
      </c>
      <c r="X167" s="30">
        <v>7.7390454418735377E-3</v>
      </c>
      <c r="Y167" s="30">
        <v>2.9664053709759219E-3</v>
      </c>
      <c r="Z167" s="30">
        <v>-2.0632737749490815E-3</v>
      </c>
      <c r="AA167" s="31">
        <v>9.8421913857782428E-4</v>
      </c>
    </row>
    <row r="168" spans="1:27" x14ac:dyDescent="0.25">
      <c r="A168" s="7">
        <f>NFLX[[#This Row],[Date]]</f>
        <v>44802</v>
      </c>
      <c r="B168" s="30">
        <f>NFLX[[#This Row],[Stopa zwrotu]]</f>
        <v>-2.4348196935196631E-3</v>
      </c>
      <c r="C168" s="30">
        <f>META[[#This Row],[Stopa zwrotu]]</f>
        <v>-5.4844292548742457E-3</v>
      </c>
      <c r="D168" s="30">
        <f>GOOG[[#This Row],[Stopa zwrotu]]</f>
        <v>-4.2258676117077343E-3</v>
      </c>
      <c r="E168" s="30">
        <f>EBAY[[#This Row],[Stopa zwrotu]]</f>
        <v>-4.5682320632771294E-3</v>
      </c>
      <c r="F168" s="30">
        <f>AMZN[[#This Row],[Stopa zwrotu]]</f>
        <v>-4.4188914431673165E-3</v>
      </c>
      <c r="H168" s="9">
        <v>44803</v>
      </c>
      <c r="I168" s="30">
        <v>-1.2549652174979165E-2</v>
      </c>
      <c r="J168" s="30">
        <v>-1.9495573218526352E-2</v>
      </c>
      <c r="K168" s="30">
        <v>-9.1976597613633304E-3</v>
      </c>
      <c r="L168" s="30">
        <v>4.1002276036343765E-3</v>
      </c>
      <c r="M168" s="31">
        <v>-1.4910351326850924E-2</v>
      </c>
      <c r="O168" s="9">
        <v>44861</v>
      </c>
      <c r="P168" s="30">
        <v>2.3399492394821975E-2</v>
      </c>
      <c r="Q168" s="30">
        <v>-0.25013617248997255</v>
      </c>
      <c r="R168" s="30">
        <v>-2.8233033731627333E-2</v>
      </c>
      <c r="S168" s="30">
        <v>1.7985638128758419E-2</v>
      </c>
      <c r="T168" s="31">
        <v>-4.3482092305993536E-2</v>
      </c>
      <c r="V168" s="9">
        <v>44896</v>
      </c>
      <c r="W168" s="30">
        <v>8.0667574898647176E-2</v>
      </c>
      <c r="X168" s="30">
        <v>8.2464849583054889E-2</v>
      </c>
      <c r="Y168" s="30">
        <v>6.3378051407585234E-2</v>
      </c>
      <c r="Z168" s="30">
        <v>3.4918447850182721E-2</v>
      </c>
      <c r="AA168" s="31">
        <v>3.7037026516300919E-2</v>
      </c>
    </row>
    <row r="169" spans="1:27" x14ac:dyDescent="0.25">
      <c r="A169" s="7">
        <f>NFLX[[#This Row],[Date]]</f>
        <v>44803</v>
      </c>
      <c r="B169" s="30">
        <f>NFLX[[#This Row],[Stopa zwrotu]]</f>
        <v>-1.2549652174979165E-2</v>
      </c>
      <c r="C169" s="30">
        <f>META[[#This Row],[Stopa zwrotu]]</f>
        <v>-1.9495573218526352E-2</v>
      </c>
      <c r="D169" s="30">
        <f>GOOG[[#This Row],[Stopa zwrotu]]</f>
        <v>-9.1976597613633304E-3</v>
      </c>
      <c r="E169" s="30">
        <f>EBAY[[#This Row],[Stopa zwrotu]]</f>
        <v>4.1002276036343765E-3</v>
      </c>
      <c r="F169" s="30">
        <f>AMZN[[#This Row],[Stopa zwrotu]]</f>
        <v>-1.4910351326850924E-2</v>
      </c>
      <c r="H169" s="9">
        <v>44804</v>
      </c>
      <c r="I169" s="30">
        <v>2.1440924809341677E-2</v>
      </c>
      <c r="J169" s="30">
        <v>3.9958917581709441E-2</v>
      </c>
      <c r="K169" s="30">
        <v>2.2977940542887598E-3</v>
      </c>
      <c r="L169" s="30">
        <v>-3.8566695164851117E-3</v>
      </c>
      <c r="M169" s="31">
        <v>-8.6716595770064409E-4</v>
      </c>
      <c r="O169" s="9">
        <v>44862</v>
      </c>
      <c r="P169" s="30">
        <v>-8.4469435119306491E-3</v>
      </c>
      <c r="Q169" s="30">
        <v>1.1724476397317218E-2</v>
      </c>
      <c r="R169" s="30">
        <v>4.602785536391929E-3</v>
      </c>
      <c r="S169" s="30">
        <v>-2.8773322281002711E-2</v>
      </c>
      <c r="T169" s="31">
        <v>-0.11032152073393975</v>
      </c>
      <c r="V169" s="9">
        <v>44897</v>
      </c>
      <c r="W169" s="30">
        <v>2.3001026376929801E-2</v>
      </c>
      <c r="X169" s="30">
        <v>-6.6723056305354467E-3</v>
      </c>
      <c r="Y169" s="30">
        <v>-1.4900169164600574E-2</v>
      </c>
      <c r="Z169" s="30">
        <v>-1.4872319974968295E-2</v>
      </c>
      <c r="AA169" s="31">
        <v>-1.2010103497895219E-2</v>
      </c>
    </row>
    <row r="170" spans="1:27" x14ac:dyDescent="0.25">
      <c r="A170" s="7">
        <f>NFLX[[#This Row],[Date]]</f>
        <v>44804</v>
      </c>
      <c r="B170" s="30">
        <f>NFLX[[#This Row],[Stopa zwrotu]]</f>
        <v>2.1440924809341677E-2</v>
      </c>
      <c r="C170" s="30">
        <f>META[[#This Row],[Stopa zwrotu]]</f>
        <v>3.9958917581709441E-2</v>
      </c>
      <c r="D170" s="30">
        <f>GOOG[[#This Row],[Stopa zwrotu]]</f>
        <v>2.2977940542887598E-3</v>
      </c>
      <c r="E170" s="30">
        <f>EBAY[[#This Row],[Stopa zwrotu]]</f>
        <v>-3.8566695164851117E-3</v>
      </c>
      <c r="F170" s="30">
        <f>AMZN[[#This Row],[Stopa zwrotu]]</f>
        <v>-8.6716595770064409E-4</v>
      </c>
      <c r="H170" s="9">
        <v>44805</v>
      </c>
      <c r="I170" s="30">
        <v>-1.7723636593409364E-2</v>
      </c>
      <c r="J170" s="30">
        <v>-1.1039799007276252E-2</v>
      </c>
      <c r="K170" s="30">
        <v>-7.8862996454938106E-3</v>
      </c>
      <c r="L170" s="30">
        <v>-6.3766567979958166E-3</v>
      </c>
      <c r="M170" s="31">
        <v>-2.4301673099284771E-2</v>
      </c>
      <c r="O170" s="9">
        <v>44865</v>
      </c>
      <c r="P170" s="30">
        <v>-3.1817816940845254E-3</v>
      </c>
      <c r="Q170" s="30">
        <v>-1.6784616618098307E-2</v>
      </c>
      <c r="R170" s="30">
        <v>7.42682049096081E-3</v>
      </c>
      <c r="S170" s="30">
        <v>8.1427408177408758E-3</v>
      </c>
      <c r="T170" s="31">
        <v>1.0512642070613346E-2</v>
      </c>
      <c r="V170" s="9">
        <v>44900</v>
      </c>
      <c r="W170" s="30">
        <v>9.8926129032254439E-4</v>
      </c>
      <c r="X170" s="30">
        <v>1.0599997075645554E-2</v>
      </c>
      <c r="Y170" s="30">
        <v>6.2184465641849462E-4</v>
      </c>
      <c r="Z170" s="30">
        <v>-4.2061062594388092E-3</v>
      </c>
      <c r="AA170" s="31">
        <v>-1.0521074257351382E-2</v>
      </c>
    </row>
    <row r="171" spans="1:27" x14ac:dyDescent="0.25">
      <c r="A171" s="7">
        <f>NFLX[[#This Row],[Date]]</f>
        <v>44805</v>
      </c>
      <c r="B171" s="30">
        <f>NFLX[[#This Row],[Stopa zwrotu]]</f>
        <v>-1.7723636593409364E-2</v>
      </c>
      <c r="C171" s="30">
        <f>META[[#This Row],[Stopa zwrotu]]</f>
        <v>-1.1039799007276252E-2</v>
      </c>
      <c r="D171" s="30">
        <f>GOOG[[#This Row],[Stopa zwrotu]]</f>
        <v>-7.8862996454938106E-3</v>
      </c>
      <c r="E171" s="30">
        <f>EBAY[[#This Row],[Stopa zwrotu]]</f>
        <v>-6.3766567979958166E-3</v>
      </c>
      <c r="F171" s="30">
        <f>AMZN[[#This Row],[Stopa zwrotu]]</f>
        <v>-2.4301673099284771E-2</v>
      </c>
      <c r="H171" s="9">
        <v>44806</v>
      </c>
      <c r="I171" s="30">
        <v>2.5379286347203323E-2</v>
      </c>
      <c r="J171" s="30">
        <v>-7.0471154207503162E-3</v>
      </c>
      <c r="K171" s="30">
        <v>-5.5462611046075416E-4</v>
      </c>
      <c r="L171" s="30">
        <v>4.5840246485440161E-3</v>
      </c>
      <c r="M171" s="31">
        <v>2.2076620667099478E-2</v>
      </c>
      <c r="O171" s="9">
        <v>44866</v>
      </c>
      <c r="P171" s="30">
        <v>-1.0638987910190023E-2</v>
      </c>
      <c r="Q171" s="30">
        <v>1.0259233482920793E-2</v>
      </c>
      <c r="R171" s="30">
        <v>-4.1852056850563368E-2</v>
      </c>
      <c r="S171" s="30">
        <v>-3.044114817053023E-3</v>
      </c>
      <c r="T171" s="31">
        <v>-4.6456224865122686E-2</v>
      </c>
      <c r="V171" s="9">
        <v>44901</v>
      </c>
      <c r="W171" s="30">
        <v>-2.5054701126620671E-2</v>
      </c>
      <c r="X171" s="30">
        <v>-6.2711167082178276E-2</v>
      </c>
      <c r="Y171" s="30">
        <v>-2.6118473369680206E-2</v>
      </c>
      <c r="Z171" s="30">
        <v>-2.4646234596074956E-2</v>
      </c>
      <c r="AA171" s="31">
        <v>-3.2151486456727496E-2</v>
      </c>
    </row>
    <row r="172" spans="1:27" x14ac:dyDescent="0.25">
      <c r="A172" s="7">
        <f>NFLX[[#This Row],[Date]]</f>
        <v>44806</v>
      </c>
      <c r="B172" s="30">
        <f>NFLX[[#This Row],[Stopa zwrotu]]</f>
        <v>2.5379286347203323E-2</v>
      </c>
      <c r="C172" s="30">
        <f>META[[#This Row],[Stopa zwrotu]]</f>
        <v>-7.0471154207503162E-3</v>
      </c>
      <c r="D172" s="30">
        <f>GOOG[[#This Row],[Stopa zwrotu]]</f>
        <v>-5.5462611046075416E-4</v>
      </c>
      <c r="E172" s="30">
        <f>EBAY[[#This Row],[Stopa zwrotu]]</f>
        <v>4.5840246485440161E-3</v>
      </c>
      <c r="F172" s="30">
        <f>AMZN[[#This Row],[Stopa zwrotu]]</f>
        <v>2.2076620667099478E-2</v>
      </c>
      <c r="H172" s="9">
        <v>44810</v>
      </c>
      <c r="I172" s="30">
        <v>-1.1497946278375526E-2</v>
      </c>
      <c r="J172" s="30">
        <v>-2.4023348046581239E-3</v>
      </c>
      <c r="K172" s="30">
        <v>-3.7454800817205425E-3</v>
      </c>
      <c r="L172" s="30">
        <v>-5.1334813993391959E-3</v>
      </c>
      <c r="M172" s="31">
        <v>-3.2637095756286871E-3</v>
      </c>
      <c r="O172" s="9">
        <v>44867</v>
      </c>
      <c r="P172" s="30">
        <v>-4.7412947362724944E-2</v>
      </c>
      <c r="Q172" s="30">
        <v>-3.2816674522180511E-2</v>
      </c>
      <c r="R172" s="30">
        <v>-3.7819285635298128E-2</v>
      </c>
      <c r="S172" s="30">
        <v>-3.282445376143639E-2</v>
      </c>
      <c r="T172" s="31">
        <v>-4.2161108518865453E-2</v>
      </c>
      <c r="V172" s="9">
        <v>44902</v>
      </c>
      <c r="W172" s="30">
        <v>-3.3978787418288414E-3</v>
      </c>
      <c r="X172" s="30">
        <v>-7.5611131978391422E-3</v>
      </c>
      <c r="Y172" s="30">
        <v>-1.793096283730955E-2</v>
      </c>
      <c r="Z172" s="30">
        <v>5.1473324685387123E-3</v>
      </c>
      <c r="AA172" s="31">
        <v>-4.7781455113050653E-3</v>
      </c>
    </row>
    <row r="173" spans="1:27" x14ac:dyDescent="0.25">
      <c r="A173" s="7">
        <f>NFLX[[#This Row],[Date]]</f>
        <v>44810</v>
      </c>
      <c r="B173" s="30">
        <f>NFLX[[#This Row],[Stopa zwrotu]]</f>
        <v>-1.1497946278375526E-2</v>
      </c>
      <c r="C173" s="30">
        <f>META[[#This Row],[Stopa zwrotu]]</f>
        <v>-2.4023348046581239E-3</v>
      </c>
      <c r="D173" s="30">
        <f>GOOG[[#This Row],[Stopa zwrotu]]</f>
        <v>-3.7454800817205425E-3</v>
      </c>
      <c r="E173" s="30">
        <f>EBAY[[#This Row],[Stopa zwrotu]]</f>
        <v>-5.1334813993391959E-3</v>
      </c>
      <c r="F173" s="30">
        <f>AMZN[[#This Row],[Stopa zwrotu]]</f>
        <v>-3.2637095756286871E-3</v>
      </c>
      <c r="H173" s="9">
        <v>44811</v>
      </c>
      <c r="I173" s="30">
        <v>1.6675215271552357E-2</v>
      </c>
      <c r="J173" s="30">
        <v>-5.5805947671938583E-3</v>
      </c>
      <c r="K173" s="30">
        <v>1.0374574962452865E-2</v>
      </c>
      <c r="L173" s="30">
        <v>3.7269974376894499E-3</v>
      </c>
      <c r="M173" s="31">
        <v>5.2910374425370055E-3</v>
      </c>
      <c r="O173" s="9">
        <v>44868</v>
      </c>
      <c r="P173" s="30">
        <v>-1.4807242556916012E-2</v>
      </c>
      <c r="Q173" s="30">
        <v>-2.2877972274160885E-2</v>
      </c>
      <c r="R173" s="30">
        <v>-4.0914893899209437E-2</v>
      </c>
      <c r="S173" s="30">
        <v>1.0523599606608647E-2</v>
      </c>
      <c r="T173" s="31">
        <v>-3.2496521410791845E-2</v>
      </c>
      <c r="V173" s="9">
        <v>44903</v>
      </c>
      <c r="W173" s="30">
        <v>8.9705128969774783E-3</v>
      </c>
      <c r="X173" s="30">
        <v>1.5148822160227393E-2</v>
      </c>
      <c r="Y173" s="30">
        <v>-1.2891333588185505E-2</v>
      </c>
      <c r="Z173" s="30">
        <v>6.9832171085477679E-3</v>
      </c>
      <c r="AA173" s="31">
        <v>4.5724049643667275E-3</v>
      </c>
    </row>
    <row r="174" spans="1:27" x14ac:dyDescent="0.25">
      <c r="A174" s="7">
        <f>NFLX[[#This Row],[Date]]</f>
        <v>44811</v>
      </c>
      <c r="B174" s="30">
        <f>NFLX[[#This Row],[Stopa zwrotu]]</f>
        <v>1.6675215271552357E-2</v>
      </c>
      <c r="C174" s="30">
        <f>META[[#This Row],[Stopa zwrotu]]</f>
        <v>-5.5805947671938583E-3</v>
      </c>
      <c r="D174" s="30">
        <f>GOOG[[#This Row],[Stopa zwrotu]]</f>
        <v>1.0374574962452865E-2</v>
      </c>
      <c r="E174" s="30">
        <f>EBAY[[#This Row],[Stopa zwrotu]]</f>
        <v>3.7269974376894499E-3</v>
      </c>
      <c r="F174" s="30">
        <f>AMZN[[#This Row],[Stopa zwrotu]]</f>
        <v>5.2910374425370055E-3</v>
      </c>
      <c r="H174" s="9">
        <v>44812</v>
      </c>
      <c r="I174" s="30">
        <v>1.3881884567152891E-2</v>
      </c>
      <c r="J174" s="30">
        <v>5.9307889283946036E-3</v>
      </c>
      <c r="K174" s="30">
        <v>4.1351113531591377E-3</v>
      </c>
      <c r="L174" s="30">
        <v>1.0907426317010804E-2</v>
      </c>
      <c r="M174" s="31">
        <v>1.3556586705636642E-2</v>
      </c>
      <c r="O174" s="9">
        <v>44869</v>
      </c>
      <c r="P174" s="30">
        <v>-5.014874107806877E-2</v>
      </c>
      <c r="Q174" s="30">
        <v>-3.619590380292248E-3</v>
      </c>
      <c r="R174" s="30">
        <v>5.152786284701838E-3</v>
      </c>
      <c r="S174" s="30">
        <v>1.6141603749023625E-2</v>
      </c>
      <c r="T174" s="31">
        <v>-1.1008717513212196E-2</v>
      </c>
      <c r="V174" s="9">
        <v>44904</v>
      </c>
      <c r="W174" s="30">
        <v>4.8259542326429816E-2</v>
      </c>
      <c r="X174" s="30">
        <v>-6.2832099234910732E-3</v>
      </c>
      <c r="Y174" s="30">
        <v>-8.3156287319094968E-3</v>
      </c>
      <c r="Z174" s="30">
        <v>1.1558715282418142E-3</v>
      </c>
      <c r="AA174" s="31">
        <v>8.5343653345824055E-3</v>
      </c>
    </row>
    <row r="175" spans="1:27" x14ac:dyDescent="0.25">
      <c r="A175" s="7">
        <f>NFLX[[#This Row],[Date]]</f>
        <v>44812</v>
      </c>
      <c r="B175" s="30">
        <f>NFLX[[#This Row],[Stopa zwrotu]]</f>
        <v>1.3881884567152891E-2</v>
      </c>
      <c r="C175" s="30">
        <f>META[[#This Row],[Stopa zwrotu]]</f>
        <v>5.9307889283946036E-3</v>
      </c>
      <c r="D175" s="30">
        <f>GOOG[[#This Row],[Stopa zwrotu]]</f>
        <v>4.1351113531591377E-3</v>
      </c>
      <c r="E175" s="30">
        <f>EBAY[[#This Row],[Stopa zwrotu]]</f>
        <v>1.0907426317010804E-2</v>
      </c>
      <c r="F175" s="30">
        <f>AMZN[[#This Row],[Stopa zwrotu]]</f>
        <v>1.3556586705636642E-2</v>
      </c>
      <c r="H175" s="9">
        <v>44813</v>
      </c>
      <c r="I175" s="30">
        <v>3.7595986837831052E-2</v>
      </c>
      <c r="J175" s="30">
        <v>3.34727959467227E-2</v>
      </c>
      <c r="K175" s="30">
        <v>1.7953007920655351E-2</v>
      </c>
      <c r="L175" s="30">
        <v>1.629933387742577E-2</v>
      </c>
      <c r="M175" s="31">
        <v>2.8796200295770236E-2</v>
      </c>
      <c r="O175" s="9">
        <v>44872</v>
      </c>
      <c r="P175" s="30">
        <v>-4.2169446334588594E-3</v>
      </c>
      <c r="Q175" s="30">
        <v>1.895789241115035E-2</v>
      </c>
      <c r="R175" s="30">
        <v>1.2239715904297585E-2</v>
      </c>
      <c r="S175" s="30">
        <v>2.9037493271094985E-3</v>
      </c>
      <c r="T175" s="31">
        <v>3.7861577640524078E-3</v>
      </c>
      <c r="V175" s="9">
        <v>44907</v>
      </c>
      <c r="W175" s="30">
        <v>-1.1131262901990143E-2</v>
      </c>
      <c r="X175" s="30">
        <v>-2.1369514380944108E-3</v>
      </c>
      <c r="Y175" s="30">
        <v>-4.0134560170612303E-3</v>
      </c>
      <c r="Z175" s="30">
        <v>-1.6932270832010765E-3</v>
      </c>
      <c r="AA175" s="31">
        <v>-2.8583024022141856E-3</v>
      </c>
    </row>
    <row r="176" spans="1:27" x14ac:dyDescent="0.25">
      <c r="A176" s="7">
        <f>NFLX[[#This Row],[Date]]</f>
        <v>44813</v>
      </c>
      <c r="B176" s="30">
        <f>NFLX[[#This Row],[Stopa zwrotu]]</f>
        <v>3.7595986837831052E-2</v>
      </c>
      <c r="C176" s="30">
        <f>META[[#This Row],[Stopa zwrotu]]</f>
        <v>3.34727959467227E-2</v>
      </c>
      <c r="D176" s="30">
        <f>GOOG[[#This Row],[Stopa zwrotu]]</f>
        <v>1.7953007920655351E-2</v>
      </c>
      <c r="E176" s="30">
        <f>EBAY[[#This Row],[Stopa zwrotu]]</f>
        <v>1.629933387742577E-2</v>
      </c>
      <c r="F176" s="30">
        <f>AMZN[[#This Row],[Stopa zwrotu]]</f>
        <v>2.8796200295770236E-2</v>
      </c>
      <c r="H176" s="9">
        <v>44816</v>
      </c>
      <c r="I176" s="30">
        <v>5.4437767930444929E-3</v>
      </c>
      <c r="J176" s="30">
        <v>8.7105772205313681E-3</v>
      </c>
      <c r="K176" s="30">
        <v>2.8181818181818308E-3</v>
      </c>
      <c r="L176" s="30">
        <v>6.3248324674346117E-3</v>
      </c>
      <c r="M176" s="31">
        <v>8.2594196081658602E-3</v>
      </c>
      <c r="O176" s="9">
        <v>44873</v>
      </c>
      <c r="P176" s="30">
        <v>1.9001186385833257E-2</v>
      </c>
      <c r="Q176" s="30">
        <v>1.8152556780935747E-2</v>
      </c>
      <c r="R176" s="30">
        <v>7.9347172025612256E-3</v>
      </c>
      <c r="S176" s="30">
        <v>2.159009452857763E-2</v>
      </c>
      <c r="T176" s="31">
        <v>-9.0970124764486737E-3</v>
      </c>
      <c r="V176" s="9">
        <v>44908</v>
      </c>
      <c r="W176" s="30">
        <v>2.7035796787389543E-2</v>
      </c>
      <c r="X176" s="30">
        <v>4.8612339125087001E-2</v>
      </c>
      <c r="Y176" s="30">
        <v>3.7867191776557396E-2</v>
      </c>
      <c r="Z176" s="30">
        <v>5.3376653515895267E-3</v>
      </c>
      <c r="AA176" s="31">
        <v>3.0158118920287302E-2</v>
      </c>
    </row>
    <row r="177" spans="1:27" x14ac:dyDescent="0.25">
      <c r="A177" s="7">
        <f>NFLX[[#This Row],[Date]]</f>
        <v>44816</v>
      </c>
      <c r="B177" s="30">
        <f>NFLX[[#This Row],[Stopa zwrotu]]</f>
        <v>5.4437767930444929E-3</v>
      </c>
      <c r="C177" s="30">
        <f>META[[#This Row],[Stopa zwrotu]]</f>
        <v>8.7105772205313681E-3</v>
      </c>
      <c r="D177" s="30">
        <f>GOOG[[#This Row],[Stopa zwrotu]]</f>
        <v>2.8181818181818308E-3</v>
      </c>
      <c r="E177" s="30">
        <f>EBAY[[#This Row],[Stopa zwrotu]]</f>
        <v>6.3248324674346117E-3</v>
      </c>
      <c r="F177" s="30">
        <f>AMZN[[#This Row],[Stopa zwrotu]]</f>
        <v>8.2594196081658602E-3</v>
      </c>
      <c r="H177" s="9">
        <v>44817</v>
      </c>
      <c r="I177" s="30">
        <v>-6.7060866158050847E-2</v>
      </c>
      <c r="J177" s="30">
        <v>-8.7338600474286321E-2</v>
      </c>
      <c r="K177" s="30">
        <v>-5.3457135130262401E-2</v>
      </c>
      <c r="L177" s="30">
        <v>-5.5420083009973808E-2</v>
      </c>
      <c r="M177" s="31">
        <v>-5.7686589552238821E-2</v>
      </c>
      <c r="O177" s="9">
        <v>44874</v>
      </c>
      <c r="P177" s="30">
        <v>-1.0355044955717707E-2</v>
      </c>
      <c r="Q177" s="30">
        <v>6.2770302112350462E-2</v>
      </c>
      <c r="R177" s="30">
        <v>-3.3086251384227827E-3</v>
      </c>
      <c r="S177" s="30">
        <v>6.7131027669540266E-3</v>
      </c>
      <c r="T177" s="31">
        <v>-2.6748270653464634E-2</v>
      </c>
      <c r="V177" s="9">
        <v>44909</v>
      </c>
      <c r="W177" s="30">
        <v>-8.7641831488960431E-3</v>
      </c>
      <c r="X177" s="30">
        <v>6.3216453668377692E-3</v>
      </c>
      <c r="Y177" s="30">
        <v>-1.5097452770940989E-2</v>
      </c>
      <c r="Z177" s="30">
        <v>-9.6952446906740652E-3</v>
      </c>
      <c r="AA177" s="31">
        <v>-7.180667493835724E-3</v>
      </c>
    </row>
    <row r="178" spans="1:27" x14ac:dyDescent="0.25">
      <c r="A178" s="7">
        <f>NFLX[[#This Row],[Date]]</f>
        <v>44817</v>
      </c>
      <c r="B178" s="30">
        <f>NFLX[[#This Row],[Stopa zwrotu]]</f>
        <v>-6.7060866158050847E-2</v>
      </c>
      <c r="C178" s="30">
        <f>META[[#This Row],[Stopa zwrotu]]</f>
        <v>-8.7338600474286321E-2</v>
      </c>
      <c r="D178" s="30">
        <f>GOOG[[#This Row],[Stopa zwrotu]]</f>
        <v>-5.3457135130262401E-2</v>
      </c>
      <c r="E178" s="30">
        <f>EBAY[[#This Row],[Stopa zwrotu]]</f>
        <v>-5.5420083009973808E-2</v>
      </c>
      <c r="F178" s="30">
        <f>AMZN[[#This Row],[Stopa zwrotu]]</f>
        <v>-5.7686589552238821E-2</v>
      </c>
      <c r="H178" s="9">
        <v>44818</v>
      </c>
      <c r="I178" s="30">
        <v>-8.8186569501255141E-3</v>
      </c>
      <c r="J178" s="30">
        <v>-2.3711240239879916E-2</v>
      </c>
      <c r="K178" s="30">
        <v>-4.761904761904745E-3</v>
      </c>
      <c r="L178" s="30">
        <v>-1.713212820623955E-2</v>
      </c>
      <c r="M178" s="31">
        <v>4.7521185891841178E-4</v>
      </c>
      <c r="O178" s="9">
        <v>44875</v>
      </c>
      <c r="P178" s="30">
        <v>2.3090217043937322E-2</v>
      </c>
      <c r="Q178" s="30">
        <v>3.8415754187328899E-2</v>
      </c>
      <c r="R178" s="30">
        <v>4.910715374190544E-2</v>
      </c>
      <c r="S178" s="30">
        <v>4.3714396457673832E-2</v>
      </c>
      <c r="T178" s="31">
        <v>6.7311037592487466E-2</v>
      </c>
      <c r="V178" s="9">
        <v>44910</v>
      </c>
      <c r="W178" s="30">
        <v>-8.8639475375888344E-2</v>
      </c>
      <c r="X178" s="30">
        <v>-4.5062375785764108E-2</v>
      </c>
      <c r="Y178" s="30">
        <v>-3.7364295563885541E-2</v>
      </c>
      <c r="Z178" s="30">
        <v>-2.0746013018833831E-2</v>
      </c>
      <c r="AA178" s="31">
        <v>-2.6705262266431662E-2</v>
      </c>
    </row>
    <row r="179" spans="1:27" x14ac:dyDescent="0.25">
      <c r="A179" s="7">
        <f>NFLX[[#This Row],[Date]]</f>
        <v>44818</v>
      </c>
      <c r="B179" s="30">
        <f>NFLX[[#This Row],[Stopa zwrotu]]</f>
        <v>-8.8186569501255141E-3</v>
      </c>
      <c r="C179" s="30">
        <f>META[[#This Row],[Stopa zwrotu]]</f>
        <v>-2.3711240239879916E-2</v>
      </c>
      <c r="D179" s="30">
        <f>GOOG[[#This Row],[Stopa zwrotu]]</f>
        <v>-4.761904761904745E-3</v>
      </c>
      <c r="E179" s="30">
        <f>EBAY[[#This Row],[Stopa zwrotu]]</f>
        <v>-1.713212820623955E-2</v>
      </c>
      <c r="F179" s="30">
        <f>AMZN[[#This Row],[Stopa zwrotu]]</f>
        <v>4.7521185891841178E-4</v>
      </c>
      <c r="H179" s="9">
        <v>44819</v>
      </c>
      <c r="I179" s="30">
        <v>6.1631152989372273E-2</v>
      </c>
      <c r="J179" s="30">
        <v>-2.3482455079186781E-3</v>
      </c>
      <c r="K179" s="30">
        <v>-1.1387578947368526E-2</v>
      </c>
      <c r="L179" s="30">
        <v>1.3132736076104656E-2</v>
      </c>
      <c r="M179" s="31">
        <v>-6.5701099252732931E-3</v>
      </c>
      <c r="O179" s="9">
        <v>44876</v>
      </c>
      <c r="P179" s="30">
        <v>4.4100127557386015E-2</v>
      </c>
      <c r="Q179" s="30">
        <v>4.0149096260882366E-2</v>
      </c>
      <c r="R179" s="30">
        <v>2.7386818824073789E-2</v>
      </c>
      <c r="S179" s="30">
        <v>5.8684432498079975E-2</v>
      </c>
      <c r="T179" s="31">
        <v>5.4664505080970871E-2</v>
      </c>
      <c r="V179" s="9">
        <v>44911</v>
      </c>
      <c r="W179" s="30">
        <v>7.5031376375420678E-3</v>
      </c>
      <c r="X179" s="30">
        <v>4.218926335954265E-2</v>
      </c>
      <c r="Y179" s="30">
        <v>-4.6444542740241568E-3</v>
      </c>
      <c r="Z179" s="30">
        <v>-3.3087337923700999E-2</v>
      </c>
      <c r="AA179" s="31">
        <v>-8.4600204817649738E-3</v>
      </c>
    </row>
    <row r="180" spans="1:27" x14ac:dyDescent="0.25">
      <c r="A180" s="7">
        <f>NFLX[[#This Row],[Date]]</f>
        <v>44819</v>
      </c>
      <c r="B180" s="30">
        <f>NFLX[[#This Row],[Stopa zwrotu]]</f>
        <v>6.1631152989372273E-2</v>
      </c>
      <c r="C180" s="30">
        <f>META[[#This Row],[Stopa zwrotu]]</f>
        <v>-2.3482455079186781E-3</v>
      </c>
      <c r="D180" s="30">
        <f>GOOG[[#This Row],[Stopa zwrotu]]</f>
        <v>-1.1387578947368526E-2</v>
      </c>
      <c r="E180" s="30">
        <f>EBAY[[#This Row],[Stopa zwrotu]]</f>
        <v>1.3132736076104656E-2</v>
      </c>
      <c r="F180" s="30">
        <f>AMZN[[#This Row],[Stopa zwrotu]]</f>
        <v>-6.5701099252732931E-3</v>
      </c>
      <c r="H180" s="9">
        <v>44820</v>
      </c>
      <c r="I180" s="30">
        <v>-5.5434481306823047E-3</v>
      </c>
      <c r="J180" s="30">
        <v>-2.9657055070417937E-2</v>
      </c>
      <c r="K180" s="30">
        <v>-1.4083777254549901E-2</v>
      </c>
      <c r="L180" s="30">
        <v>-3.040304030167329E-2</v>
      </c>
      <c r="M180" s="31">
        <v>-3.8247035856573741E-2</v>
      </c>
      <c r="O180" s="9">
        <v>44879</v>
      </c>
      <c r="P180" s="30">
        <v>2.0412927925661073E-2</v>
      </c>
      <c r="Q180" s="30">
        <v>6.0962688373544793E-3</v>
      </c>
      <c r="R180" s="30">
        <v>3.3736723290708572E-3</v>
      </c>
      <c r="S180" s="30">
        <v>8.2699742987644154E-3</v>
      </c>
      <c r="T180" s="31">
        <v>2.1725531896315728E-3</v>
      </c>
      <c r="V180" s="9">
        <v>44914</v>
      </c>
      <c r="W180" s="30">
        <v>-2.9673327481538614E-3</v>
      </c>
      <c r="X180" s="30">
        <v>-1.2596078101329752E-2</v>
      </c>
      <c r="Y180" s="30">
        <v>-4.0180682734940092E-3</v>
      </c>
      <c r="Z180" s="30">
        <v>1.6412276786777666E-4</v>
      </c>
      <c r="AA180" s="31">
        <v>-8.5322299981164616E-3</v>
      </c>
    </row>
    <row r="181" spans="1:27" x14ac:dyDescent="0.25">
      <c r="A181" s="7">
        <f>NFLX[[#This Row],[Date]]</f>
        <v>44820</v>
      </c>
      <c r="B181" s="30">
        <f>NFLX[[#This Row],[Stopa zwrotu]]</f>
        <v>-5.5434481306823047E-3</v>
      </c>
      <c r="C181" s="30">
        <f>META[[#This Row],[Stopa zwrotu]]</f>
        <v>-2.9657055070417937E-2</v>
      </c>
      <c r="D181" s="30">
        <f>GOOG[[#This Row],[Stopa zwrotu]]</f>
        <v>-1.4083777254549901E-2</v>
      </c>
      <c r="E181" s="30">
        <f>EBAY[[#This Row],[Stopa zwrotu]]</f>
        <v>-3.040304030167329E-2</v>
      </c>
      <c r="F181" s="30">
        <f>AMZN[[#This Row],[Stopa zwrotu]]</f>
        <v>-3.8247035856573741E-2</v>
      </c>
      <c r="H181" s="9">
        <v>44823</v>
      </c>
      <c r="I181" s="30">
        <v>1.1587584208217372E-2</v>
      </c>
      <c r="J181" s="30">
        <v>1.8712616704703589E-3</v>
      </c>
      <c r="K181" s="30">
        <v>1.6854024015557172E-3</v>
      </c>
      <c r="L181" s="30">
        <v>-4.8612057574433837E-4</v>
      </c>
      <c r="M181" s="31">
        <v>3.0378514977649207E-3</v>
      </c>
      <c r="O181" s="9">
        <v>44880</v>
      </c>
      <c r="P181" s="30">
        <v>4.9828189390137112E-2</v>
      </c>
      <c r="Q181" s="30">
        <v>3.2581235579930423E-2</v>
      </c>
      <c r="R181" s="30">
        <v>2.0049814642055352E-2</v>
      </c>
      <c r="S181" s="30">
        <v>3.9258671287183411E-3</v>
      </c>
      <c r="T181" s="31">
        <v>5.1387603542107918E-4</v>
      </c>
      <c r="V181" s="9">
        <v>44915</v>
      </c>
      <c r="W181" s="30">
        <v>-1.8592971401234171E-2</v>
      </c>
      <c r="X181" s="30">
        <v>-1.6356187940939626E-2</v>
      </c>
      <c r="Y181" s="30">
        <v>-9.9522290710521988E-3</v>
      </c>
      <c r="Z181" s="30">
        <v>2.4613681708007817E-4</v>
      </c>
      <c r="AA181" s="31">
        <v>-2.1299254022028036E-3</v>
      </c>
    </row>
    <row r="182" spans="1:27" x14ac:dyDescent="0.25">
      <c r="A182" s="7">
        <f>NFLX[[#This Row],[Date]]</f>
        <v>44823</v>
      </c>
      <c r="B182" s="30">
        <f>NFLX[[#This Row],[Stopa zwrotu]]</f>
        <v>1.1587584208217372E-2</v>
      </c>
      <c r="C182" s="30">
        <f>META[[#This Row],[Stopa zwrotu]]</f>
        <v>1.8712616704703589E-3</v>
      </c>
      <c r="D182" s="30">
        <f>GOOG[[#This Row],[Stopa zwrotu]]</f>
        <v>1.6854024015557172E-3</v>
      </c>
      <c r="E182" s="30">
        <f>EBAY[[#This Row],[Stopa zwrotu]]</f>
        <v>-4.8612057574433837E-4</v>
      </c>
      <c r="F182" s="30">
        <f>AMZN[[#This Row],[Stopa zwrotu]]</f>
        <v>3.0378514977649207E-3</v>
      </c>
      <c r="H182" s="9">
        <v>44824</v>
      </c>
      <c r="I182" s="30">
        <v>1.65853828207847E-2</v>
      </c>
      <c r="J182" s="30">
        <v>8.2698135794689875E-4</v>
      </c>
      <c r="K182" s="30">
        <v>-1.221060821889397E-2</v>
      </c>
      <c r="L182" s="30">
        <v>-3.3349633235168707E-2</v>
      </c>
      <c r="M182" s="31">
        <v>-5.4187519190783684E-3</v>
      </c>
      <c r="O182" s="9">
        <v>44881</v>
      </c>
      <c r="P182" s="30">
        <v>3.5035433549579498E-3</v>
      </c>
      <c r="Q182" s="30">
        <v>-1.52958652112275E-2</v>
      </c>
      <c r="R182" s="30">
        <v>9.0909402934737926E-3</v>
      </c>
      <c r="S182" s="30">
        <v>-1.5641929516444164E-2</v>
      </c>
      <c r="T182" s="31">
        <v>-1.8491833511067646E-2</v>
      </c>
      <c r="V182" s="9">
        <v>44916</v>
      </c>
      <c r="W182" s="30">
        <v>2.0262818420019313E-2</v>
      </c>
      <c r="X182" s="30">
        <v>2.8098915419695114E-2</v>
      </c>
      <c r="Y182" s="30">
        <v>9.8819058395966941E-3</v>
      </c>
      <c r="Z182" s="30">
        <v>8.8559897241826668E-3</v>
      </c>
      <c r="AA182" s="31">
        <v>1.0435159244986281E-2</v>
      </c>
    </row>
    <row r="183" spans="1:27" x14ac:dyDescent="0.25">
      <c r="A183" s="7">
        <f>NFLX[[#This Row],[Date]]</f>
        <v>44824</v>
      </c>
      <c r="B183" s="30">
        <f>NFLX[[#This Row],[Stopa zwrotu]]</f>
        <v>1.65853828207847E-2</v>
      </c>
      <c r="C183" s="30">
        <f>META[[#This Row],[Stopa zwrotu]]</f>
        <v>8.2698135794689875E-4</v>
      </c>
      <c r="D183" s="30">
        <f>GOOG[[#This Row],[Stopa zwrotu]]</f>
        <v>-1.221060821889397E-2</v>
      </c>
      <c r="E183" s="30">
        <f>EBAY[[#This Row],[Stopa zwrotu]]</f>
        <v>-3.3349633235168707E-2</v>
      </c>
      <c r="F183" s="30">
        <f>AMZN[[#This Row],[Stopa zwrotu]]</f>
        <v>-5.4187519190783684E-3</v>
      </c>
      <c r="H183" s="9">
        <v>44825</v>
      </c>
      <c r="I183" s="30">
        <v>-1.2434327590180594E-2</v>
      </c>
      <c r="J183" s="30">
        <v>-2.2173261106092412E-2</v>
      </c>
      <c r="K183" s="30">
        <v>-1.1174890886820887E-2</v>
      </c>
      <c r="L183" s="30">
        <v>-2.2916142606802969E-2</v>
      </c>
      <c r="M183" s="31">
        <v>-2.220572909200702E-2</v>
      </c>
      <c r="O183" s="9">
        <v>44882</v>
      </c>
      <c r="P183" s="30">
        <v>-4.1533498972374017E-2</v>
      </c>
      <c r="Q183" s="30">
        <v>-2.5386125496675849E-2</v>
      </c>
      <c r="R183" s="30">
        <v>-8.1918857633143105E-3</v>
      </c>
      <c r="S183" s="30">
        <v>-1.6331957264798969E-2</v>
      </c>
      <c r="T183" s="31">
        <v>-1.5804919240057336E-2</v>
      </c>
      <c r="V183" s="9">
        <v>44917</v>
      </c>
      <c r="W183" s="30">
        <v>1.5043623036649301E-2</v>
      </c>
      <c r="X183" s="30">
        <v>-1.0724839714802537E-2</v>
      </c>
      <c r="Y183" s="30">
        <v>-2.2157259153874231E-2</v>
      </c>
      <c r="Z183" s="30">
        <v>-3.7307926715821949E-2</v>
      </c>
      <c r="AA183" s="31">
        <v>-3.4737695513879729E-2</v>
      </c>
    </row>
    <row r="184" spans="1:27" x14ac:dyDescent="0.25">
      <c r="A184" s="7">
        <f>NFLX[[#This Row],[Date]]</f>
        <v>44825</v>
      </c>
      <c r="B184" s="30">
        <f>NFLX[[#This Row],[Stopa zwrotu]]</f>
        <v>-1.2434327590180594E-2</v>
      </c>
      <c r="C184" s="30">
        <f>META[[#This Row],[Stopa zwrotu]]</f>
        <v>-2.2173261106092412E-2</v>
      </c>
      <c r="D184" s="30">
        <f>GOOG[[#This Row],[Stopa zwrotu]]</f>
        <v>-1.1174890886820887E-2</v>
      </c>
      <c r="E184" s="30">
        <f>EBAY[[#This Row],[Stopa zwrotu]]</f>
        <v>-2.2916142606802969E-2</v>
      </c>
      <c r="F184" s="30">
        <f>AMZN[[#This Row],[Stopa zwrotu]]</f>
        <v>-2.220572909200702E-2</v>
      </c>
      <c r="H184" s="9">
        <v>44826</v>
      </c>
      <c r="I184" s="30">
        <v>-2.1210026823010764E-2</v>
      </c>
      <c r="J184" s="30">
        <v>-7.9577816901409415E-3</v>
      </c>
      <c r="K184" s="30">
        <v>-5.8005201680272345E-3</v>
      </c>
      <c r="L184" s="30">
        <v>-2.0360851040228001E-2</v>
      </c>
      <c r="M184" s="31">
        <v>-1.8488772101868389E-2</v>
      </c>
      <c r="O184" s="9">
        <v>44883</v>
      </c>
      <c r="P184" s="30">
        <v>-1.3745704467353903E-2</v>
      </c>
      <c r="Q184" s="30">
        <v>7.4681236575193655E-3</v>
      </c>
      <c r="R184" s="30">
        <v>-3.7075180990220336E-3</v>
      </c>
      <c r="S184" s="30">
        <v>1.5256899259591616E-2</v>
      </c>
      <c r="T184" s="31">
        <v>-1.6484058454579009E-2</v>
      </c>
      <c r="V184" s="9">
        <v>44918</v>
      </c>
      <c r="W184" s="30">
        <v>3.7825590851934265E-3</v>
      </c>
      <c r="X184" s="30">
        <v>1.0141668389797243E-2</v>
      </c>
      <c r="Y184" s="30">
        <v>7.8214974046122432E-3</v>
      </c>
      <c r="Z184" s="30">
        <v>1.2664387031409152E-3</v>
      </c>
      <c r="AA184" s="31">
        <v>8.2674772036475108E-3</v>
      </c>
    </row>
    <row r="185" spans="1:27" x14ac:dyDescent="0.25">
      <c r="A185" s="7">
        <f>NFLX[[#This Row],[Date]]</f>
        <v>44826</v>
      </c>
      <c r="B185" s="30">
        <f>NFLX[[#This Row],[Stopa zwrotu]]</f>
        <v>-2.1210026823010764E-2</v>
      </c>
      <c r="C185" s="30">
        <f>META[[#This Row],[Stopa zwrotu]]</f>
        <v>-7.9577816901409415E-3</v>
      </c>
      <c r="D185" s="30">
        <f>GOOG[[#This Row],[Stopa zwrotu]]</f>
        <v>-5.8005201680272345E-3</v>
      </c>
      <c r="E185" s="30">
        <f>EBAY[[#This Row],[Stopa zwrotu]]</f>
        <v>-2.0360851040228001E-2</v>
      </c>
      <c r="F185" s="30">
        <f>AMZN[[#This Row],[Stopa zwrotu]]</f>
        <v>-1.8488772101868389E-2</v>
      </c>
      <c r="H185" s="9">
        <v>44827</v>
      </c>
      <c r="I185" s="30">
        <v>-4.4159590880435196E-2</v>
      </c>
      <c r="J185" s="30">
        <v>-1.4055484278252428E-2</v>
      </c>
      <c r="K185" s="30">
        <v>-1.4083109784403636E-2</v>
      </c>
      <c r="L185" s="30">
        <v>-1.3417469793079229E-2</v>
      </c>
      <c r="M185" s="31">
        <v>-3.6125958435817007E-2</v>
      </c>
      <c r="O185" s="9">
        <v>44886</v>
      </c>
      <c r="P185" s="30">
        <v>-5.0406457607432937E-3</v>
      </c>
      <c r="Q185" s="30">
        <v>-4.3090488797039583E-3</v>
      </c>
      <c r="R185" s="30">
        <v>-3.6868583216909481E-3</v>
      </c>
      <c r="S185" s="30">
        <v>-5.2301952117863966E-3</v>
      </c>
      <c r="T185" s="31">
        <v>-6.8123087467171954E-3</v>
      </c>
      <c r="V185" s="9">
        <v>44922</v>
      </c>
      <c r="W185" s="30">
        <v>-8.3758683035748405E-3</v>
      </c>
      <c r="X185" s="30">
        <v>1.1035182525227505E-3</v>
      </c>
      <c r="Y185" s="30">
        <v>-2.4252167624325138E-4</v>
      </c>
      <c r="Z185" s="30">
        <v>1.0751454863431875E-3</v>
      </c>
      <c r="AA185" s="31">
        <v>2.1102134330153177E-4</v>
      </c>
    </row>
    <row r="186" spans="1:27" x14ac:dyDescent="0.25">
      <c r="A186" s="7">
        <f>NFLX[[#This Row],[Date]]</f>
        <v>44827</v>
      </c>
      <c r="B186" s="30">
        <f>NFLX[[#This Row],[Stopa zwrotu]]</f>
        <v>-4.4159590880435196E-2</v>
      </c>
      <c r="C186" s="30">
        <f>META[[#This Row],[Stopa zwrotu]]</f>
        <v>-1.4055484278252428E-2</v>
      </c>
      <c r="D186" s="30">
        <f>GOOG[[#This Row],[Stopa zwrotu]]</f>
        <v>-1.4083109784403636E-2</v>
      </c>
      <c r="E186" s="30">
        <f>EBAY[[#This Row],[Stopa zwrotu]]</f>
        <v>-1.3417469793079229E-2</v>
      </c>
      <c r="F186" s="30">
        <f>AMZN[[#This Row],[Stopa zwrotu]]</f>
        <v>-3.6125958435817007E-2</v>
      </c>
      <c r="H186" s="9">
        <v>44830</v>
      </c>
      <c r="I186" s="30">
        <v>2.3784823645518482E-3</v>
      </c>
      <c r="J186" s="30">
        <v>-6.4799410071274917E-3</v>
      </c>
      <c r="K186" s="30">
        <v>1.2583579650031023E-3</v>
      </c>
      <c r="L186" s="30">
        <v>5.3333155555555694E-3</v>
      </c>
      <c r="M186" s="31">
        <v>3.1828158102709856E-3</v>
      </c>
      <c r="O186" s="9">
        <v>44887</v>
      </c>
      <c r="P186" s="30">
        <v>-1.8821226649384903E-2</v>
      </c>
      <c r="Q186" s="30">
        <v>-7.9677807863764993E-3</v>
      </c>
      <c r="R186" s="30">
        <v>-1.3170210372535074E-2</v>
      </c>
      <c r="S186" s="30">
        <v>-2.9187471280029964E-3</v>
      </c>
      <c r="T186" s="31">
        <v>3.0909262872691468E-3</v>
      </c>
      <c r="V186" s="9">
        <v>44923</v>
      </c>
      <c r="W186" s="30">
        <v>-3.0907740564496078E-2</v>
      </c>
      <c r="X186" s="30">
        <v>-4.6531752351613997E-3</v>
      </c>
      <c r="Y186" s="30">
        <v>-1.3308972945268893E-2</v>
      </c>
      <c r="Z186" s="30">
        <v>1.5112594077768549E-3</v>
      </c>
      <c r="AA186" s="31">
        <v>-1.5783108433734871E-2</v>
      </c>
    </row>
    <row r="187" spans="1:27" x14ac:dyDescent="0.25">
      <c r="A187" s="7">
        <f>NFLX[[#This Row],[Date]]</f>
        <v>44830</v>
      </c>
      <c r="B187" s="30">
        <f>NFLX[[#This Row],[Stopa zwrotu]]</f>
        <v>2.3784823645518482E-3</v>
      </c>
      <c r="C187" s="30">
        <f>META[[#This Row],[Stopa zwrotu]]</f>
        <v>-6.4799410071274917E-3</v>
      </c>
      <c r="D187" s="30">
        <f>GOOG[[#This Row],[Stopa zwrotu]]</f>
        <v>1.2583579650031023E-3</v>
      </c>
      <c r="E187" s="30">
        <f>EBAY[[#This Row],[Stopa zwrotu]]</f>
        <v>5.3333155555555694E-3</v>
      </c>
      <c r="F187" s="30">
        <f>AMZN[[#This Row],[Stopa zwrotu]]</f>
        <v>3.1828158102709856E-3</v>
      </c>
      <c r="H187" s="9">
        <v>44831</v>
      </c>
      <c r="I187" s="30">
        <v>-1.0268571146329175E-2</v>
      </c>
      <c r="J187" s="30">
        <v>-1.5199405019466927E-2</v>
      </c>
      <c r="K187" s="30">
        <v>-1.0571264807011538E-2</v>
      </c>
      <c r="L187" s="30">
        <v>-2.1784725553003814E-2</v>
      </c>
      <c r="M187" s="31">
        <v>-7.0709804756730055E-4</v>
      </c>
      <c r="O187" s="9">
        <v>44888</v>
      </c>
      <c r="P187" s="30">
        <v>2.3148532821064993E-2</v>
      </c>
      <c r="Q187" s="30">
        <v>2.2248919867060568E-2</v>
      </c>
      <c r="R187" s="30">
        <v>3.1034761951710177E-2</v>
      </c>
      <c r="S187" s="30">
        <v>1.5762238234631853E-2</v>
      </c>
      <c r="T187" s="31">
        <v>2.1569263071334888E-2</v>
      </c>
      <c r="V187" s="9">
        <v>44924</v>
      </c>
      <c r="W187" s="30">
        <v>2.779710284485426E-2</v>
      </c>
      <c r="X187" s="30">
        <v>2.250844043791167E-3</v>
      </c>
      <c r="Y187" s="30">
        <v>7.1783602925197254E-3</v>
      </c>
      <c r="Z187" s="30">
        <v>7.7968313781102694E-3</v>
      </c>
      <c r="AA187" s="31">
        <v>1.0527616341593493E-2</v>
      </c>
    </row>
    <row r="188" spans="1:27" x14ac:dyDescent="0.25">
      <c r="A188" s="7">
        <f>NFLX[[#This Row],[Date]]</f>
        <v>44831</v>
      </c>
      <c r="B188" s="30">
        <f>NFLX[[#This Row],[Stopa zwrotu]]</f>
        <v>-1.0268571146329175E-2</v>
      </c>
      <c r="C188" s="30">
        <f>META[[#This Row],[Stopa zwrotu]]</f>
        <v>-1.5199405019466927E-2</v>
      </c>
      <c r="D188" s="30">
        <f>GOOG[[#This Row],[Stopa zwrotu]]</f>
        <v>-1.0571264807011538E-2</v>
      </c>
      <c r="E188" s="30">
        <f>EBAY[[#This Row],[Stopa zwrotu]]</f>
        <v>-2.1784725553003814E-2</v>
      </c>
      <c r="F188" s="30">
        <f>AMZN[[#This Row],[Stopa zwrotu]]</f>
        <v>-7.0709804756730055E-4</v>
      </c>
      <c r="H188" s="9">
        <v>44832</v>
      </c>
      <c r="I188" s="30">
        <v>3.0173994064090381E-2</v>
      </c>
      <c r="J188" s="30">
        <v>1.11846857733644E-3</v>
      </c>
      <c r="K188" s="30">
        <v>4.7257758260026428E-3</v>
      </c>
      <c r="L188" s="30">
        <v>7.5127180037561914E-3</v>
      </c>
      <c r="M188" s="31">
        <v>6.6342324643724471E-3</v>
      </c>
      <c r="O188" s="9">
        <v>44890</v>
      </c>
      <c r="P188" s="30">
        <v>7.2244676055654988E-4</v>
      </c>
      <c r="Q188" s="30">
        <v>1.3094644276312462E-3</v>
      </c>
      <c r="R188" s="30">
        <v>9.7597600065657542E-4</v>
      </c>
      <c r="S188" s="30">
        <v>-6.0962091310970967E-3</v>
      </c>
      <c r="T188" s="31">
        <v>1.29267475400896E-3</v>
      </c>
      <c r="V188" s="9">
        <v>44925</v>
      </c>
      <c r="W188" s="30">
        <v>7.8644565010335121E-3</v>
      </c>
      <c r="X188" s="30">
        <v>1.7016507308020401E-2</v>
      </c>
      <c r="Y188" s="30">
        <v>4.5983447430364421E-4</v>
      </c>
      <c r="Z188" s="30">
        <v>2.2710257050162053E-2</v>
      </c>
      <c r="AA188" s="31">
        <v>-9.6913382304797402E-4</v>
      </c>
    </row>
    <row r="189" spans="1:27" x14ac:dyDescent="0.25">
      <c r="A189" s="7">
        <f>NFLX[[#This Row],[Date]]</f>
        <v>44832</v>
      </c>
      <c r="B189" s="30">
        <f>NFLX[[#This Row],[Stopa zwrotu]]</f>
        <v>3.0173994064090381E-2</v>
      </c>
      <c r="C189" s="30">
        <f>META[[#This Row],[Stopa zwrotu]]</f>
        <v>1.11846857733644E-3</v>
      </c>
      <c r="D189" s="30">
        <f>GOOG[[#This Row],[Stopa zwrotu]]</f>
        <v>4.7257758260026428E-3</v>
      </c>
      <c r="E189" s="30">
        <f>EBAY[[#This Row],[Stopa zwrotu]]</f>
        <v>7.5127180037561914E-3</v>
      </c>
      <c r="F189" s="30">
        <f>AMZN[[#This Row],[Stopa zwrotu]]</f>
        <v>6.6342324643724471E-3</v>
      </c>
      <c r="H189" s="9">
        <v>44833</v>
      </c>
      <c r="I189" s="30">
        <v>3.6502717114462069E-2</v>
      </c>
      <c r="J189" s="30">
        <v>6.9262901042290714E-3</v>
      </c>
      <c r="K189" s="30">
        <v>-1.3087995508548222E-2</v>
      </c>
      <c r="L189" s="30">
        <v>-7.1904129744451151E-3</v>
      </c>
      <c r="M189" s="31">
        <v>-6.5026799691737525E-3</v>
      </c>
      <c r="O189" s="9">
        <v>44893</v>
      </c>
      <c r="P189" s="30">
        <v>-4.2697608631914559E-3</v>
      </c>
      <c r="Q189" s="30">
        <v>-7.9264999439695449E-3</v>
      </c>
      <c r="R189" s="30">
        <v>-5.6051130141677357E-3</v>
      </c>
      <c r="S189" s="30">
        <v>-2.3189781047506428E-3</v>
      </c>
      <c r="T189" s="31">
        <v>1.289352100569537E-3</v>
      </c>
      <c r="V189" s="9">
        <v>44929</v>
      </c>
      <c r="W189" s="30">
        <v>4.8372387019375851E-3</v>
      </c>
      <c r="X189" s="30">
        <v>9.6398867783232256E-3</v>
      </c>
      <c r="Y189" s="30">
        <v>5.7164139459544017E-3</v>
      </c>
      <c r="Z189" s="30">
        <v>3.4163067349926579E-3</v>
      </c>
      <c r="AA189" s="31">
        <v>5.2746391988039432E-3</v>
      </c>
    </row>
    <row r="190" spans="1:27" x14ac:dyDescent="0.25">
      <c r="A190" s="7">
        <f>NFLX[[#This Row],[Date]]</f>
        <v>44833</v>
      </c>
      <c r="B190" s="30">
        <f>NFLX[[#This Row],[Stopa zwrotu]]</f>
        <v>3.6502717114462069E-2</v>
      </c>
      <c r="C190" s="30">
        <f>META[[#This Row],[Stopa zwrotu]]</f>
        <v>6.9262901042290714E-3</v>
      </c>
      <c r="D190" s="30">
        <f>GOOG[[#This Row],[Stopa zwrotu]]</f>
        <v>-1.3087995508548222E-2</v>
      </c>
      <c r="E190" s="30">
        <f>EBAY[[#This Row],[Stopa zwrotu]]</f>
        <v>-7.1904129744451151E-3</v>
      </c>
      <c r="F190" s="30">
        <f>AMZN[[#This Row],[Stopa zwrotu]]</f>
        <v>-6.5026799691737525E-3</v>
      </c>
      <c r="H190" s="9">
        <v>44834</v>
      </c>
      <c r="I190" s="30">
        <v>-1.0268152036138178E-2</v>
      </c>
      <c r="J190" s="30">
        <v>2.2189571498290039E-3</v>
      </c>
      <c r="K190" s="30">
        <v>-5.0766474847694365E-3</v>
      </c>
      <c r="L190" s="30">
        <v>-1.394852505226718E-2</v>
      </c>
      <c r="M190" s="31">
        <v>-1.9458871739940209E-3</v>
      </c>
      <c r="O190" s="9">
        <v>44894</v>
      </c>
      <c r="P190" s="30">
        <v>-1.6361875793540315E-2</v>
      </c>
      <c r="Q190" s="30">
        <v>1.4763240858919335E-3</v>
      </c>
      <c r="R190" s="30">
        <v>-1.56429243470948E-2</v>
      </c>
      <c r="S190" s="30">
        <v>-1.4237310734463327E-2</v>
      </c>
      <c r="T190" s="31">
        <v>-2.1299347104784316E-2</v>
      </c>
      <c r="V190" s="9">
        <v>44930</v>
      </c>
      <c r="W190" s="30">
        <v>2.3588492265112837E-2</v>
      </c>
      <c r="X190" s="30">
        <v>2.9195281560314701E-2</v>
      </c>
      <c r="Y190" s="30">
        <v>-1.3704718502742685E-2</v>
      </c>
      <c r="Z190" s="30">
        <v>1.7814106456087941E-2</v>
      </c>
      <c r="AA190" s="31">
        <v>-1.0093789456047886E-2</v>
      </c>
    </row>
    <row r="191" spans="1:27" x14ac:dyDescent="0.25">
      <c r="A191" s="7">
        <f>NFLX[[#This Row],[Date]]</f>
        <v>44834</v>
      </c>
      <c r="B191" s="30">
        <f>NFLX[[#This Row],[Stopa zwrotu]]</f>
        <v>-1.0268152036138178E-2</v>
      </c>
      <c r="C191" s="30">
        <f>META[[#This Row],[Stopa zwrotu]]</f>
        <v>2.2189571498290039E-3</v>
      </c>
      <c r="D191" s="30">
        <f>GOOG[[#This Row],[Stopa zwrotu]]</f>
        <v>-5.0766474847694365E-3</v>
      </c>
      <c r="E191" s="30">
        <f>EBAY[[#This Row],[Stopa zwrotu]]</f>
        <v>-1.394852505226718E-2</v>
      </c>
      <c r="F191" s="30">
        <f>AMZN[[#This Row],[Stopa zwrotu]]</f>
        <v>-1.9458871739940209E-3</v>
      </c>
      <c r="H191" s="9">
        <v>44837</v>
      </c>
      <c r="I191" s="30">
        <v>-5.8588271855186669E-4</v>
      </c>
      <c r="J191" s="30">
        <v>1.4760295202952041E-3</v>
      </c>
      <c r="K191" s="30">
        <v>3.4364192103483551E-3</v>
      </c>
      <c r="L191" s="30">
        <v>-5.2593220126581075E-3</v>
      </c>
      <c r="M191" s="31">
        <v>-1.1520708195227696E-3</v>
      </c>
      <c r="O191" s="9">
        <v>44895</v>
      </c>
      <c r="P191" s="30">
        <v>1.6199180863961882E-2</v>
      </c>
      <c r="Q191" s="30">
        <v>7.7390454418735377E-3</v>
      </c>
      <c r="R191" s="30">
        <v>2.9664053709759219E-3</v>
      </c>
      <c r="S191" s="30">
        <v>-2.0632737749490815E-3</v>
      </c>
      <c r="T191" s="31">
        <v>9.8421913857782428E-4</v>
      </c>
      <c r="V191" s="9">
        <v>44931</v>
      </c>
      <c r="W191" s="30">
        <v>3.0591105864738566E-2</v>
      </c>
      <c r="X191" s="30">
        <v>-1.0409193649728921E-2</v>
      </c>
      <c r="Y191" s="30">
        <v>-1.4123063298756455E-2</v>
      </c>
      <c r="Z191" s="30">
        <v>5.9129613508268619E-3</v>
      </c>
      <c r="AA191" s="31">
        <v>-3.4788987106658675E-3</v>
      </c>
    </row>
    <row r="192" spans="1:27" x14ac:dyDescent="0.25">
      <c r="A192" s="7">
        <f>NFLX[[#This Row],[Date]]</f>
        <v>44837</v>
      </c>
      <c r="B192" s="30">
        <f>NFLX[[#This Row],[Stopa zwrotu]]</f>
        <v>-5.8588271855186669E-4</v>
      </c>
      <c r="C192" s="30">
        <f>META[[#This Row],[Stopa zwrotu]]</f>
        <v>1.4760295202952041E-3</v>
      </c>
      <c r="D192" s="30">
        <f>GOOG[[#This Row],[Stopa zwrotu]]</f>
        <v>3.4364192103483551E-3</v>
      </c>
      <c r="E192" s="30">
        <f>EBAY[[#This Row],[Stopa zwrotu]]</f>
        <v>-5.2593220126581075E-3</v>
      </c>
      <c r="F192" s="30">
        <f>AMZN[[#This Row],[Stopa zwrotu]]</f>
        <v>-1.1520708195227696E-3</v>
      </c>
      <c r="H192" s="9">
        <v>44838</v>
      </c>
      <c r="I192" s="30">
        <v>1.7178182937216402E-3</v>
      </c>
      <c r="J192" s="30">
        <v>2.380595045675471E-2</v>
      </c>
      <c r="K192" s="30">
        <v>4.1434798230307157E-2</v>
      </c>
      <c r="L192" s="30">
        <v>5.2791597567717119E-2</v>
      </c>
      <c r="M192" s="31">
        <v>6.527349218159606E-2</v>
      </c>
      <c r="O192" s="9">
        <v>44896</v>
      </c>
      <c r="P192" s="30">
        <v>8.0667574898647176E-2</v>
      </c>
      <c r="Q192" s="30">
        <v>8.2464849583054889E-2</v>
      </c>
      <c r="R192" s="30">
        <v>6.3378051407585234E-2</v>
      </c>
      <c r="S192" s="30">
        <v>3.4918447850182721E-2</v>
      </c>
      <c r="T192" s="31">
        <v>3.7037026516300919E-2</v>
      </c>
      <c r="V192" s="9">
        <v>44932</v>
      </c>
      <c r="W192" s="30">
        <v>-2.8237925919734064E-3</v>
      </c>
      <c r="X192" s="30">
        <v>1.2044323012330826E-2</v>
      </c>
      <c r="Y192" s="30">
        <v>-1.1437130578491939E-2</v>
      </c>
      <c r="Z192" s="30">
        <v>1.2461838995105667E-2</v>
      </c>
      <c r="AA192" s="31">
        <v>-1.9742385939568896E-2</v>
      </c>
    </row>
    <row r="193" spans="1:27" x14ac:dyDescent="0.25">
      <c r="A193" s="7">
        <f>NFLX[[#This Row],[Date]]</f>
        <v>44838</v>
      </c>
      <c r="B193" s="30">
        <f>NFLX[[#This Row],[Stopa zwrotu]]</f>
        <v>1.7178182937216402E-3</v>
      </c>
      <c r="C193" s="30">
        <f>META[[#This Row],[Stopa zwrotu]]</f>
        <v>2.380595045675471E-2</v>
      </c>
      <c r="D193" s="30">
        <f>GOOG[[#This Row],[Stopa zwrotu]]</f>
        <v>4.1434798230307157E-2</v>
      </c>
      <c r="E193" s="30">
        <f>EBAY[[#This Row],[Stopa zwrotu]]</f>
        <v>5.2791597567717119E-2</v>
      </c>
      <c r="F193" s="30">
        <f>AMZN[[#This Row],[Stopa zwrotu]]</f>
        <v>6.527349218159606E-2</v>
      </c>
      <c r="H193" s="9">
        <v>44839</v>
      </c>
      <c r="I193" s="30">
        <v>-2.5166109324758823E-2</v>
      </c>
      <c r="J193" s="30">
        <v>-3.2725686313354041E-2</v>
      </c>
      <c r="K193" s="30">
        <v>-1.2866221171157766E-2</v>
      </c>
      <c r="L193" s="30">
        <v>2.3628248884219882E-3</v>
      </c>
      <c r="M193" s="31">
        <v>-1.7530670193416253E-2</v>
      </c>
      <c r="O193" s="9">
        <v>44897</v>
      </c>
      <c r="P193" s="30">
        <v>2.3001026376929801E-2</v>
      </c>
      <c r="Q193" s="30">
        <v>-6.6723056305354467E-3</v>
      </c>
      <c r="R193" s="30">
        <v>-1.4900169164600574E-2</v>
      </c>
      <c r="S193" s="30">
        <v>-1.4872319974968295E-2</v>
      </c>
      <c r="T193" s="31">
        <v>-1.2010103497895219E-2</v>
      </c>
      <c r="V193" s="9">
        <v>44935</v>
      </c>
      <c r="W193" s="30">
        <v>1.0460226916964318E-2</v>
      </c>
      <c r="X193" s="30">
        <v>8.5687029892465016E-3</v>
      </c>
      <c r="Y193" s="30">
        <v>1.1725300923220772E-2</v>
      </c>
      <c r="Z193" s="30">
        <v>2.9416162809657496E-3</v>
      </c>
      <c r="AA193" s="31">
        <v>2.3128257398992973E-2</v>
      </c>
    </row>
    <row r="194" spans="1:27" x14ac:dyDescent="0.25">
      <c r="A194" s="7">
        <f>NFLX[[#This Row],[Date]]</f>
        <v>44839</v>
      </c>
      <c r="B194" s="30">
        <f>NFLX[[#This Row],[Stopa zwrotu]]</f>
        <v>-2.5166109324758823E-2</v>
      </c>
      <c r="C194" s="30">
        <f>META[[#This Row],[Stopa zwrotu]]</f>
        <v>-3.2725686313354041E-2</v>
      </c>
      <c r="D194" s="30">
        <f>GOOG[[#This Row],[Stopa zwrotu]]</f>
        <v>-1.2866221171157766E-2</v>
      </c>
      <c r="E194" s="30">
        <f>EBAY[[#This Row],[Stopa zwrotu]]</f>
        <v>2.3628248884219882E-3</v>
      </c>
      <c r="F194" s="30">
        <f>AMZN[[#This Row],[Stopa zwrotu]]</f>
        <v>-1.7530670193416253E-2</v>
      </c>
      <c r="H194" s="9">
        <v>44840</v>
      </c>
      <c r="I194" s="30">
        <v>2.8718439864578116E-2</v>
      </c>
      <c r="J194" s="30">
        <v>1.3503539200946379E-2</v>
      </c>
      <c r="K194" s="30">
        <v>1.7645899692117606E-2</v>
      </c>
      <c r="L194" s="30">
        <v>1.7286537454164641E-2</v>
      </c>
      <c r="M194" s="31">
        <v>1.5379369268767595E-2</v>
      </c>
      <c r="O194" s="9">
        <v>44900</v>
      </c>
      <c r="P194" s="30">
        <v>9.8926129032254439E-4</v>
      </c>
      <c r="Q194" s="30">
        <v>1.0599997075645554E-2</v>
      </c>
      <c r="R194" s="30">
        <v>6.2184465641849462E-4</v>
      </c>
      <c r="S194" s="30">
        <v>-4.2061062594388092E-3</v>
      </c>
      <c r="T194" s="31">
        <v>-1.0521074257351382E-2</v>
      </c>
      <c r="V194" s="9">
        <v>44936</v>
      </c>
      <c r="W194" s="30">
        <v>-6.8641657401694589E-3</v>
      </c>
      <c r="X194" s="30">
        <v>-1.6475843258631273E-2</v>
      </c>
      <c r="Y194" s="30">
        <v>-2.1223808507026209E-2</v>
      </c>
      <c r="Z194" s="30">
        <v>-2.7624079825600001E-3</v>
      </c>
      <c r="AA194" s="31">
        <v>2.4115640236206382E-3</v>
      </c>
    </row>
    <row r="195" spans="1:27" x14ac:dyDescent="0.25">
      <c r="A195" s="7">
        <f>NFLX[[#This Row],[Date]]</f>
        <v>44840</v>
      </c>
      <c r="B195" s="30">
        <f>NFLX[[#This Row],[Stopa zwrotu]]</f>
        <v>2.8718439864578116E-2</v>
      </c>
      <c r="C195" s="30">
        <f>META[[#This Row],[Stopa zwrotu]]</f>
        <v>1.3503539200946379E-2</v>
      </c>
      <c r="D195" s="30">
        <f>GOOG[[#This Row],[Stopa zwrotu]]</f>
        <v>1.7645899692117606E-2</v>
      </c>
      <c r="E195" s="30">
        <f>EBAY[[#This Row],[Stopa zwrotu]]</f>
        <v>1.7286537454164641E-2</v>
      </c>
      <c r="F195" s="30">
        <f>AMZN[[#This Row],[Stopa zwrotu]]</f>
        <v>1.5379369268767595E-2</v>
      </c>
      <c r="H195" s="9">
        <v>44841</v>
      </c>
      <c r="I195" s="30">
        <v>-4.1169701318118812E-2</v>
      </c>
      <c r="J195" s="30">
        <v>-3.0453907886358489E-2</v>
      </c>
      <c r="K195" s="30">
        <v>-2.2561586206896633E-2</v>
      </c>
      <c r="L195" s="30">
        <v>-3.6560298661174162E-2</v>
      </c>
      <c r="M195" s="31">
        <v>-4.7029313807531392E-2</v>
      </c>
      <c r="O195" s="9">
        <v>44901</v>
      </c>
      <c r="P195" s="30">
        <v>-2.5054701126620671E-2</v>
      </c>
      <c r="Q195" s="30">
        <v>-6.2711167082178276E-2</v>
      </c>
      <c r="R195" s="30">
        <v>-2.6118473369680206E-2</v>
      </c>
      <c r="S195" s="30">
        <v>-2.4646234596074956E-2</v>
      </c>
      <c r="T195" s="31">
        <v>-3.2151486456727496E-2</v>
      </c>
      <c r="V195" s="9">
        <v>44937</v>
      </c>
      <c r="W195" s="30">
        <v>3.3047220139098998E-2</v>
      </c>
      <c r="X195" s="30">
        <v>2.5088430592395961E-2</v>
      </c>
      <c r="Y195" s="30">
        <v>3.5063449886855391E-2</v>
      </c>
      <c r="Z195" s="30">
        <v>5.0784856879039664E-2</v>
      </c>
      <c r="AA195" s="31">
        <v>4.1700068258677225E-2</v>
      </c>
    </row>
    <row r="196" spans="1:27" x14ac:dyDescent="0.25">
      <c r="A196" s="7">
        <f>NFLX[[#This Row],[Date]]</f>
        <v>44841</v>
      </c>
      <c r="B196" s="30">
        <f>NFLX[[#This Row],[Stopa zwrotu]]</f>
        <v>-4.1169701318118812E-2</v>
      </c>
      <c r="C196" s="30">
        <f>META[[#This Row],[Stopa zwrotu]]</f>
        <v>-3.0453907886358489E-2</v>
      </c>
      <c r="D196" s="30">
        <f>GOOG[[#This Row],[Stopa zwrotu]]</f>
        <v>-2.2561586206896633E-2</v>
      </c>
      <c r="E196" s="30">
        <f>EBAY[[#This Row],[Stopa zwrotu]]</f>
        <v>-3.6560298661174162E-2</v>
      </c>
      <c r="F196" s="30">
        <f>AMZN[[#This Row],[Stopa zwrotu]]</f>
        <v>-4.7029313807531392E-2</v>
      </c>
      <c r="H196" s="9">
        <v>44844</v>
      </c>
      <c r="I196" s="30">
        <v>-7.4316331108363151E-5</v>
      </c>
      <c r="J196" s="30">
        <v>-1.4346294961044743E-3</v>
      </c>
      <c r="K196" s="30">
        <v>-4.502220923652378E-3</v>
      </c>
      <c r="L196" s="30">
        <v>-1.1579993492606411E-3</v>
      </c>
      <c r="M196" s="31">
        <v>-4.2442250269231581E-3</v>
      </c>
      <c r="O196" s="9">
        <v>44902</v>
      </c>
      <c r="P196" s="30">
        <v>-3.3978787418288414E-3</v>
      </c>
      <c r="Q196" s="30">
        <v>-7.5611131978391422E-3</v>
      </c>
      <c r="R196" s="30">
        <v>-1.793096283730955E-2</v>
      </c>
      <c r="S196" s="30">
        <v>5.1473324685387123E-3</v>
      </c>
      <c r="T196" s="31">
        <v>-4.7781455113050653E-3</v>
      </c>
      <c r="V196" s="9">
        <v>44938</v>
      </c>
      <c r="W196" s="30">
        <v>5.570278408521423E-3</v>
      </c>
      <c r="X196" s="30">
        <v>1.0894576059370165E-2</v>
      </c>
      <c r="Y196" s="30">
        <v>9.2489638789605699E-3</v>
      </c>
      <c r="Z196" s="30">
        <v>6.5905096660807683E-3</v>
      </c>
      <c r="AA196" s="31">
        <v>2.8263499395138947E-2</v>
      </c>
    </row>
    <row r="197" spans="1:27" x14ac:dyDescent="0.25">
      <c r="A197" s="7">
        <f>NFLX[[#This Row],[Date]]</f>
        <v>44844</v>
      </c>
      <c r="B197" s="30">
        <f>NFLX[[#This Row],[Stopa zwrotu]]</f>
        <v>-7.4316331108363151E-5</v>
      </c>
      <c r="C197" s="30">
        <f>META[[#This Row],[Stopa zwrotu]]</f>
        <v>-1.4346294961044743E-3</v>
      </c>
      <c r="D197" s="30">
        <f>GOOG[[#This Row],[Stopa zwrotu]]</f>
        <v>-4.502220923652378E-3</v>
      </c>
      <c r="E197" s="30">
        <f>EBAY[[#This Row],[Stopa zwrotu]]</f>
        <v>-1.1579993492606411E-3</v>
      </c>
      <c r="F197" s="30">
        <f>AMZN[[#This Row],[Stopa zwrotu]]</f>
        <v>-4.2442250269231581E-3</v>
      </c>
      <c r="H197" s="9">
        <v>44845</v>
      </c>
      <c r="I197" s="30">
        <v>-4.6960706363300297E-2</v>
      </c>
      <c r="J197" s="30">
        <v>-3.7006121066433528E-2</v>
      </c>
      <c r="K197" s="30">
        <v>-6.3349645549719558E-3</v>
      </c>
      <c r="L197" s="30">
        <v>-1.7967336605863804E-2</v>
      </c>
      <c r="M197" s="31">
        <v>-1.8144632215600809E-2</v>
      </c>
      <c r="O197" s="9">
        <v>44903</v>
      </c>
      <c r="P197" s="30">
        <v>8.9705128969774783E-3</v>
      </c>
      <c r="Q197" s="30">
        <v>1.5148822160227393E-2</v>
      </c>
      <c r="R197" s="30">
        <v>-1.2891333588185505E-2</v>
      </c>
      <c r="S197" s="30">
        <v>6.9832171085477679E-3</v>
      </c>
      <c r="T197" s="31">
        <v>4.5724049643667275E-3</v>
      </c>
      <c r="V197" s="9">
        <v>44939</v>
      </c>
      <c r="W197" s="30">
        <v>1.7794144126656697E-2</v>
      </c>
      <c r="X197" s="30">
        <v>2.3375843327863022E-2</v>
      </c>
      <c r="Y197" s="30">
        <v>3.974826101358131E-3</v>
      </c>
      <c r="Z197" s="30">
        <v>-8.2933435181143933E-3</v>
      </c>
      <c r="AA197" s="31">
        <v>6.631048128342254E-3</v>
      </c>
    </row>
    <row r="198" spans="1:27" x14ac:dyDescent="0.25">
      <c r="A198" s="7">
        <f>NFLX[[#This Row],[Date]]</f>
        <v>44845</v>
      </c>
      <c r="B198" s="30">
        <f>NFLX[[#This Row],[Stopa zwrotu]]</f>
        <v>-4.6960706363300297E-2</v>
      </c>
      <c r="C198" s="30">
        <f>META[[#This Row],[Stopa zwrotu]]</f>
        <v>-3.7006121066433528E-2</v>
      </c>
      <c r="D198" s="30">
        <f>GOOG[[#This Row],[Stopa zwrotu]]</f>
        <v>-6.3349645549719558E-3</v>
      </c>
      <c r="E198" s="30">
        <f>EBAY[[#This Row],[Stopa zwrotu]]</f>
        <v>-1.7967336605863804E-2</v>
      </c>
      <c r="F198" s="30">
        <f>AMZN[[#This Row],[Stopa zwrotu]]</f>
        <v>-1.8144632215600809E-2</v>
      </c>
      <c r="H198" s="9">
        <v>44846</v>
      </c>
      <c r="I198" s="30">
        <v>-4.9602153246638414E-3</v>
      </c>
      <c r="J198" s="30">
        <v>-5.8272148330925644E-3</v>
      </c>
      <c r="K198" s="30">
        <v>4.3187455012854148E-3</v>
      </c>
      <c r="L198" s="30">
        <v>-2.7302021499242546E-4</v>
      </c>
      <c r="M198" s="31">
        <v>9.1494067320354588E-3</v>
      </c>
      <c r="O198" s="9">
        <v>44904</v>
      </c>
      <c r="P198" s="30">
        <v>4.8259542326429816E-2</v>
      </c>
      <c r="Q198" s="30">
        <v>-6.2832099234910732E-3</v>
      </c>
      <c r="R198" s="30">
        <v>-8.3156287319094968E-3</v>
      </c>
      <c r="S198" s="30">
        <v>1.1558715282418142E-3</v>
      </c>
      <c r="T198" s="31">
        <v>8.5343653345824055E-3</v>
      </c>
      <c r="V198" s="9">
        <v>44943</v>
      </c>
      <c r="W198" s="30">
        <v>-4.0211079378618397E-3</v>
      </c>
      <c r="X198" s="30">
        <v>-1.0938816699460896E-3</v>
      </c>
      <c r="Y198" s="30">
        <v>-2.4745408556034465E-4</v>
      </c>
      <c r="Z198" s="30">
        <v>3.3560740175192505E-3</v>
      </c>
      <c r="AA198" s="31">
        <v>4.2764554523016529E-3</v>
      </c>
    </row>
    <row r="199" spans="1:27" x14ac:dyDescent="0.25">
      <c r="A199" s="7">
        <f>NFLX[[#This Row],[Date]]</f>
        <v>44846</v>
      </c>
      <c r="B199" s="30">
        <f>NFLX[[#This Row],[Stopa zwrotu]]</f>
        <v>-4.9602153246638414E-3</v>
      </c>
      <c r="C199" s="30">
        <f>META[[#This Row],[Stopa zwrotu]]</f>
        <v>-5.8272148330925644E-3</v>
      </c>
      <c r="D199" s="30">
        <f>GOOG[[#This Row],[Stopa zwrotu]]</f>
        <v>4.3187455012854148E-3</v>
      </c>
      <c r="E199" s="30">
        <f>EBAY[[#This Row],[Stopa zwrotu]]</f>
        <v>-2.7302021499242546E-4</v>
      </c>
      <c r="F199" s="30">
        <f>AMZN[[#This Row],[Stopa zwrotu]]</f>
        <v>9.1494067320354588E-3</v>
      </c>
      <c r="H199" s="9">
        <v>44847</v>
      </c>
      <c r="I199" s="30">
        <v>-4.2795476123003162E-3</v>
      </c>
      <c r="J199" s="30">
        <v>-2.9465354455445514E-2</v>
      </c>
      <c r="K199" s="30">
        <v>-2.4572550928075199E-2</v>
      </c>
      <c r="L199" s="30">
        <v>-1.8847390908293016E-2</v>
      </c>
      <c r="M199" s="31">
        <v>-5.4308832059087431E-2</v>
      </c>
      <c r="O199" s="9">
        <v>44907</v>
      </c>
      <c r="P199" s="30">
        <v>-1.1131262901990143E-2</v>
      </c>
      <c r="Q199" s="30">
        <v>-2.1369514380944108E-3</v>
      </c>
      <c r="R199" s="30">
        <v>-4.0134560170612303E-3</v>
      </c>
      <c r="S199" s="30">
        <v>-1.6932270832010765E-3</v>
      </c>
      <c r="T199" s="31">
        <v>-2.8583024022141856E-3</v>
      </c>
      <c r="V199" s="9">
        <v>44944</v>
      </c>
      <c r="W199" s="30">
        <v>-7.2620703227057604E-3</v>
      </c>
      <c r="X199" s="30">
        <v>-1.0800722532588458E-2</v>
      </c>
      <c r="Y199" s="30">
        <v>6.1647514823757188E-3</v>
      </c>
      <c r="Z199" s="30">
        <v>-1.9543974365775485E-3</v>
      </c>
      <c r="AA199" s="31">
        <v>-3.656178721732517E-3</v>
      </c>
    </row>
    <row r="200" spans="1:27" x14ac:dyDescent="0.25">
      <c r="A200" s="7">
        <f>NFLX[[#This Row],[Date]]</f>
        <v>44847</v>
      </c>
      <c r="B200" s="30">
        <f>NFLX[[#This Row],[Stopa zwrotu]]</f>
        <v>-4.2795476123003162E-3</v>
      </c>
      <c r="C200" s="30">
        <f>META[[#This Row],[Stopa zwrotu]]</f>
        <v>-2.9465354455445514E-2</v>
      </c>
      <c r="D200" s="30">
        <f>GOOG[[#This Row],[Stopa zwrotu]]</f>
        <v>-2.4572550928075199E-2</v>
      </c>
      <c r="E200" s="30">
        <f>EBAY[[#This Row],[Stopa zwrotu]]</f>
        <v>-1.8847390908293016E-2</v>
      </c>
      <c r="F200" s="30">
        <f>AMZN[[#This Row],[Stopa zwrotu]]</f>
        <v>-5.4308832059087431E-2</v>
      </c>
      <c r="H200" s="9">
        <v>44848</v>
      </c>
      <c r="I200" s="30">
        <v>8.3974870523305656E-2</v>
      </c>
      <c r="J200" s="30">
        <v>3.2563437791262917E-2</v>
      </c>
      <c r="K200" s="30">
        <v>1.8473832847921701E-2</v>
      </c>
      <c r="L200" s="30">
        <v>3.034521327089168E-2</v>
      </c>
      <c r="M200" s="31">
        <v>1.186521142601249E-2</v>
      </c>
      <c r="O200" s="9">
        <v>44908</v>
      </c>
      <c r="P200" s="30">
        <v>2.7035796787389543E-2</v>
      </c>
      <c r="Q200" s="30">
        <v>4.8612339125087001E-2</v>
      </c>
      <c r="R200" s="30">
        <v>3.7867191776557396E-2</v>
      </c>
      <c r="S200" s="30">
        <v>5.3376653515895267E-3</v>
      </c>
      <c r="T200" s="31">
        <v>3.0158118920287302E-2</v>
      </c>
      <c r="V200" s="9">
        <v>44945</v>
      </c>
      <c r="W200" s="30">
        <v>-2.446687937743186E-2</v>
      </c>
      <c r="X200" s="30">
        <v>-4.9699095262822901E-3</v>
      </c>
      <c r="Y200" s="30">
        <v>-2.1887308054979737E-4</v>
      </c>
      <c r="Z200" s="30">
        <v>-2.2193211971131777E-2</v>
      </c>
      <c r="AA200" s="31">
        <v>-2.6420592149945299E-2</v>
      </c>
    </row>
    <row r="201" spans="1:27" x14ac:dyDescent="0.25">
      <c r="A201" s="7">
        <f>NFLX[[#This Row],[Date]]</f>
        <v>44848</v>
      </c>
      <c r="B201" s="30">
        <f>NFLX[[#This Row],[Stopa zwrotu]]</f>
        <v>8.3974870523305656E-2</v>
      </c>
      <c r="C201" s="30">
        <f>META[[#This Row],[Stopa zwrotu]]</f>
        <v>3.2563437791262917E-2</v>
      </c>
      <c r="D201" s="30">
        <f>GOOG[[#This Row],[Stopa zwrotu]]</f>
        <v>1.8473832847921701E-2</v>
      </c>
      <c r="E201" s="30">
        <f>EBAY[[#This Row],[Stopa zwrotu]]</f>
        <v>3.034521327089168E-2</v>
      </c>
      <c r="F201" s="30">
        <f>AMZN[[#This Row],[Stopa zwrotu]]</f>
        <v>1.186521142601249E-2</v>
      </c>
      <c r="H201" s="9">
        <v>44851</v>
      </c>
      <c r="I201" s="30">
        <v>7.1020857573835068E-3</v>
      </c>
      <c r="J201" s="30">
        <v>9.6427339202882489E-3</v>
      </c>
      <c r="K201" s="30">
        <v>8.519712204332416E-3</v>
      </c>
      <c r="L201" s="30">
        <v>7.0251557430508109E-3</v>
      </c>
      <c r="M201" s="31">
        <v>1.0913064620007443E-2</v>
      </c>
      <c r="O201" s="9">
        <v>44909</v>
      </c>
      <c r="P201" s="30">
        <v>-8.7641831488960431E-3</v>
      </c>
      <c r="Q201" s="30">
        <v>6.3216453668377692E-3</v>
      </c>
      <c r="R201" s="30">
        <v>-1.5097452770940989E-2</v>
      </c>
      <c r="S201" s="30">
        <v>-9.6952446906740652E-3</v>
      </c>
      <c r="T201" s="31">
        <v>-7.180667493835724E-3</v>
      </c>
      <c r="V201" s="9">
        <v>44946</v>
      </c>
      <c r="W201" s="30">
        <v>6.1393117454619617E-2</v>
      </c>
      <c r="X201" s="30">
        <v>1.8692311326565347E-2</v>
      </c>
      <c r="Y201" s="30">
        <v>4.957328899890423E-2</v>
      </c>
      <c r="Z201" s="30">
        <v>1.3351179647333788E-2</v>
      </c>
      <c r="AA201" s="31">
        <v>3.6613826872562427E-3</v>
      </c>
    </row>
    <row r="202" spans="1:27" x14ac:dyDescent="0.25">
      <c r="A202" s="7">
        <f>NFLX[[#This Row],[Date]]</f>
        <v>44851</v>
      </c>
      <c r="B202" s="30">
        <f>NFLX[[#This Row],[Stopa zwrotu]]</f>
        <v>7.1020857573835068E-3</v>
      </c>
      <c r="C202" s="30">
        <f>META[[#This Row],[Stopa zwrotu]]</f>
        <v>9.6427339202882489E-3</v>
      </c>
      <c r="D202" s="30">
        <f>GOOG[[#This Row],[Stopa zwrotu]]</f>
        <v>8.519712204332416E-3</v>
      </c>
      <c r="E202" s="30">
        <f>EBAY[[#This Row],[Stopa zwrotu]]</f>
        <v>7.0251557430508109E-3</v>
      </c>
      <c r="F202" s="30">
        <f>AMZN[[#This Row],[Stopa zwrotu]]</f>
        <v>1.0913064620007443E-2</v>
      </c>
      <c r="H202" s="9">
        <v>44852</v>
      </c>
      <c r="I202" s="30">
        <v>1.4206493537708864E-2</v>
      </c>
      <c r="J202" s="30">
        <v>9.3716474543057426E-3</v>
      </c>
      <c r="K202" s="30">
        <v>1.1456134831551834E-2</v>
      </c>
      <c r="L202" s="30">
        <v>9.7909232656543388E-3</v>
      </c>
      <c r="M202" s="31">
        <v>4.2692389597325464E-2</v>
      </c>
      <c r="O202" s="9">
        <v>44910</v>
      </c>
      <c r="P202" s="30">
        <v>-8.8639475375888344E-2</v>
      </c>
      <c r="Q202" s="30">
        <v>-4.5062375785764108E-2</v>
      </c>
      <c r="R202" s="30">
        <v>-3.7364295563885541E-2</v>
      </c>
      <c r="S202" s="30">
        <v>-2.0746013018833831E-2</v>
      </c>
      <c r="T202" s="31">
        <v>-2.6705262266431662E-2</v>
      </c>
      <c r="V202" s="9">
        <v>44949</v>
      </c>
      <c r="W202" s="30">
        <v>8.0169155716023344E-3</v>
      </c>
      <c r="X202" s="30">
        <v>1.0028979941839452E-2</v>
      </c>
      <c r="Y202" s="30">
        <v>9.8703502643303995E-3</v>
      </c>
      <c r="Z202" s="30">
        <v>7.5391522279501339E-3</v>
      </c>
      <c r="AA202" s="31">
        <v>9.5136054564465642E-3</v>
      </c>
    </row>
    <row r="203" spans="1:27" x14ac:dyDescent="0.25">
      <c r="A203" s="7">
        <f>NFLX[[#This Row],[Date]]</f>
        <v>44852</v>
      </c>
      <c r="B203" s="30">
        <f>NFLX[[#This Row],[Stopa zwrotu]]</f>
        <v>1.4206493537708864E-2</v>
      </c>
      <c r="C203" s="30">
        <f>META[[#This Row],[Stopa zwrotu]]</f>
        <v>9.3716474543057426E-3</v>
      </c>
      <c r="D203" s="30">
        <f>GOOG[[#This Row],[Stopa zwrotu]]</f>
        <v>1.1456134831551834E-2</v>
      </c>
      <c r="E203" s="30">
        <f>EBAY[[#This Row],[Stopa zwrotu]]</f>
        <v>9.7909232656543388E-3</v>
      </c>
      <c r="F203" s="30">
        <f>AMZN[[#This Row],[Stopa zwrotu]]</f>
        <v>4.2692389597325464E-2</v>
      </c>
      <c r="H203" s="9">
        <v>44853</v>
      </c>
      <c r="I203" s="30">
        <v>0.10486690118818665</v>
      </c>
      <c r="J203" s="30">
        <v>6.2405406198116076E-3</v>
      </c>
      <c r="K203" s="30">
        <v>-1.008445086767118E-2</v>
      </c>
      <c r="L203" s="30">
        <v>-2.3060822851153073E-2</v>
      </c>
      <c r="M203" s="31">
        <v>-1.3677149458340088E-2</v>
      </c>
      <c r="O203" s="9">
        <v>44911</v>
      </c>
      <c r="P203" s="30">
        <v>7.5031376375420678E-3</v>
      </c>
      <c r="Q203" s="30">
        <v>4.218926335954265E-2</v>
      </c>
      <c r="R203" s="30">
        <v>-4.6444542740241568E-3</v>
      </c>
      <c r="S203" s="30">
        <v>-3.3087337923700999E-2</v>
      </c>
      <c r="T203" s="31">
        <v>-8.4600204817649738E-3</v>
      </c>
      <c r="V203" s="9">
        <v>44950</v>
      </c>
      <c r="W203" s="30">
        <v>4.2597568584717083E-2</v>
      </c>
      <c r="X203" s="30">
        <v>1.9472067806950433E-2</v>
      </c>
      <c r="Y203" s="30">
        <v>-5.0635949367094923E-4</v>
      </c>
      <c r="Z203" s="30">
        <v>-1.2884260253381852E-3</v>
      </c>
      <c r="AA203" s="31">
        <v>1.4604527283490487E-3</v>
      </c>
    </row>
    <row r="204" spans="1:27" x14ac:dyDescent="0.25">
      <c r="A204" s="7">
        <f>NFLX[[#This Row],[Date]]</f>
        <v>44853</v>
      </c>
      <c r="B204" s="30">
        <f>NFLX[[#This Row],[Stopa zwrotu]]</f>
        <v>0.10486690118818665</v>
      </c>
      <c r="C204" s="30">
        <f>META[[#This Row],[Stopa zwrotu]]</f>
        <v>6.2405406198116076E-3</v>
      </c>
      <c r="D204" s="30">
        <f>GOOG[[#This Row],[Stopa zwrotu]]</f>
        <v>-1.008445086767118E-2</v>
      </c>
      <c r="E204" s="30">
        <f>EBAY[[#This Row],[Stopa zwrotu]]</f>
        <v>-2.3060822851153073E-2</v>
      </c>
      <c r="F204" s="30">
        <f>AMZN[[#This Row],[Stopa zwrotu]]</f>
        <v>-1.3677149458340088E-2</v>
      </c>
      <c r="H204" s="9">
        <v>44854</v>
      </c>
      <c r="I204" s="30">
        <v>1.4162799601571407E-2</v>
      </c>
      <c r="J204" s="30">
        <v>-6.8824912503213653E-3</v>
      </c>
      <c r="K204" s="30">
        <v>3.3622621897473337E-3</v>
      </c>
      <c r="L204" s="30">
        <v>5.364833834893723E-3</v>
      </c>
      <c r="M204" s="31">
        <v>2.56139372406472E-3</v>
      </c>
      <c r="O204" s="9">
        <v>44914</v>
      </c>
      <c r="P204" s="30">
        <v>-2.9673327481538614E-3</v>
      </c>
      <c r="Q204" s="30">
        <v>-1.2596078101329752E-2</v>
      </c>
      <c r="R204" s="30">
        <v>-4.0180682734940092E-3</v>
      </c>
      <c r="S204" s="30">
        <v>1.6412276786777666E-4</v>
      </c>
      <c r="T204" s="31">
        <v>-8.5322299981164616E-3</v>
      </c>
      <c r="V204" s="9">
        <v>44951</v>
      </c>
      <c r="W204" s="30">
        <v>9.4610149746150451E-3</v>
      </c>
      <c r="X204" s="30">
        <v>-7.4278649729211388E-3</v>
      </c>
      <c r="Y204" s="30">
        <v>-3.4832787279618693E-2</v>
      </c>
      <c r="Z204" s="30">
        <v>-4.0851001541647447E-3</v>
      </c>
      <c r="AA204" s="31">
        <v>-4.6666697916666666E-2</v>
      </c>
    </row>
    <row r="205" spans="1:27" x14ac:dyDescent="0.25">
      <c r="A205" s="7">
        <f>NFLX[[#This Row],[Date]]</f>
        <v>44854</v>
      </c>
      <c r="B205" s="30">
        <f>NFLX[[#This Row],[Stopa zwrotu]]</f>
        <v>1.4162799601571407E-2</v>
      </c>
      <c r="C205" s="30">
        <f>META[[#This Row],[Stopa zwrotu]]</f>
        <v>-6.8824912503213653E-3</v>
      </c>
      <c r="D205" s="30">
        <f>GOOG[[#This Row],[Stopa zwrotu]]</f>
        <v>3.3622621897473337E-3</v>
      </c>
      <c r="E205" s="30">
        <f>EBAY[[#This Row],[Stopa zwrotu]]</f>
        <v>5.364833834893723E-3</v>
      </c>
      <c r="F205" s="30">
        <f>AMZN[[#This Row],[Stopa zwrotu]]</f>
        <v>2.56139372406472E-3</v>
      </c>
      <c r="H205" s="9">
        <v>44855</v>
      </c>
      <c r="I205" s="30">
        <v>-2.6278699108814862E-3</v>
      </c>
      <c r="J205" s="30">
        <v>-4.4703343914451965E-2</v>
      </c>
      <c r="K205" s="30">
        <v>-1.7405201386363922E-2</v>
      </c>
      <c r="L205" s="30">
        <v>-1.0672305229455614E-2</v>
      </c>
      <c r="M205" s="31">
        <v>8.7216807554986175E-3</v>
      </c>
      <c r="O205" s="9">
        <v>44915</v>
      </c>
      <c r="P205" s="30">
        <v>-1.8592971401234171E-2</v>
      </c>
      <c r="Q205" s="30">
        <v>-1.6356187940939626E-2</v>
      </c>
      <c r="R205" s="30">
        <v>-9.9522290710521988E-3</v>
      </c>
      <c r="S205" s="30">
        <v>2.4613681708007817E-4</v>
      </c>
      <c r="T205" s="31">
        <v>-2.1299254022028036E-3</v>
      </c>
      <c r="V205" s="9">
        <v>44952</v>
      </c>
      <c r="W205" s="30">
        <v>8.9261143654115749E-3</v>
      </c>
      <c r="X205" s="30">
        <v>2.1309992463972582E-2</v>
      </c>
      <c r="Y205" s="30">
        <v>1.6354884252326229E-2</v>
      </c>
      <c r="Z205" s="30">
        <v>3.9723661485319361E-2</v>
      </c>
      <c r="AA205" s="31">
        <v>5.9003509364188522E-2</v>
      </c>
    </row>
    <row r="206" spans="1:27" x14ac:dyDescent="0.25">
      <c r="A206" s="7">
        <f>NFLX[[#This Row],[Date]]</f>
        <v>44855</v>
      </c>
      <c r="B206" s="30">
        <f>NFLX[[#This Row],[Stopa zwrotu]]</f>
        <v>-2.6278699108814862E-3</v>
      </c>
      <c r="C206" s="30">
        <f>META[[#This Row],[Stopa zwrotu]]</f>
        <v>-4.4703343914451965E-2</v>
      </c>
      <c r="D206" s="30">
        <f>GOOG[[#This Row],[Stopa zwrotu]]</f>
        <v>-1.7405201386363922E-2</v>
      </c>
      <c r="E206" s="30">
        <f>EBAY[[#This Row],[Stopa zwrotu]]</f>
        <v>-1.0672305229455614E-2</v>
      </c>
      <c r="F206" s="30">
        <f>AMZN[[#This Row],[Stopa zwrotu]]</f>
        <v>8.7216807554986175E-3</v>
      </c>
      <c r="H206" s="9">
        <v>44858</v>
      </c>
      <c r="I206" s="30">
        <v>1.8418137592568568E-2</v>
      </c>
      <c r="J206" s="30">
        <v>-2.3118675226637317E-3</v>
      </c>
      <c r="K206" s="30">
        <v>7.0243304380230853E-3</v>
      </c>
      <c r="L206" s="30">
        <v>4.6745412796903212E-3</v>
      </c>
      <c r="M206" s="31">
        <v>6.0262008733624013E-3</v>
      </c>
      <c r="O206" s="9">
        <v>44916</v>
      </c>
      <c r="P206" s="30">
        <v>2.0262818420019313E-2</v>
      </c>
      <c r="Q206" s="30">
        <v>2.8098915419695114E-2</v>
      </c>
      <c r="R206" s="30">
        <v>9.8819058395966941E-3</v>
      </c>
      <c r="S206" s="30">
        <v>8.8559897241826668E-3</v>
      </c>
      <c r="T206" s="31">
        <v>1.0435159244986281E-2</v>
      </c>
      <c r="V206" s="9">
        <v>44953</v>
      </c>
      <c r="W206" s="30">
        <v>-3.0688857151600635E-3</v>
      </c>
      <c r="X206" s="30">
        <v>2.8541492773032084E-2</v>
      </c>
      <c r="Y206" s="30">
        <v>2.2206166081388146E-2</v>
      </c>
      <c r="Z206" s="30">
        <v>1.4950186877076499E-2</v>
      </c>
      <c r="AA206" s="31">
        <v>2.6929437204486817E-2</v>
      </c>
    </row>
    <row r="207" spans="1:27" x14ac:dyDescent="0.25">
      <c r="A207" s="7">
        <f>NFLX[[#This Row],[Date]]</f>
        <v>44858</v>
      </c>
      <c r="B207" s="30">
        <f>NFLX[[#This Row],[Stopa zwrotu]]</f>
        <v>1.8418137592568568E-2</v>
      </c>
      <c r="C207" s="30">
        <f>META[[#This Row],[Stopa zwrotu]]</f>
        <v>-2.3118675226637317E-3</v>
      </c>
      <c r="D207" s="30">
        <f>GOOG[[#This Row],[Stopa zwrotu]]</f>
        <v>7.0243304380230853E-3</v>
      </c>
      <c r="E207" s="30">
        <f>EBAY[[#This Row],[Stopa zwrotu]]</f>
        <v>4.6745412796903212E-3</v>
      </c>
      <c r="F207" s="30">
        <f>AMZN[[#This Row],[Stopa zwrotu]]</f>
        <v>6.0262008733624013E-3</v>
      </c>
      <c r="H207" s="9">
        <v>44859</v>
      </c>
      <c r="I207" s="30">
        <v>1.851192494535181E-2</v>
      </c>
      <c r="J207" s="30">
        <v>4.8326210162960681E-2</v>
      </c>
      <c r="K207" s="30">
        <v>2.7118583436134047E-2</v>
      </c>
      <c r="L207" s="30">
        <v>1.4361729487326169E-2</v>
      </c>
      <c r="M207" s="31">
        <v>2.0416891138371751E-2</v>
      </c>
      <c r="O207" s="9">
        <v>44917</v>
      </c>
      <c r="P207" s="30">
        <v>1.5043623036649301E-2</v>
      </c>
      <c r="Q207" s="30">
        <v>-1.0724839714802537E-2</v>
      </c>
      <c r="R207" s="30">
        <v>-2.2157259153874231E-2</v>
      </c>
      <c r="S207" s="30">
        <v>-3.7307926715821949E-2</v>
      </c>
      <c r="T207" s="31">
        <v>-3.4737695513879729E-2</v>
      </c>
      <c r="V207" s="9">
        <v>44956</v>
      </c>
      <c r="W207" s="30">
        <v>-7.145706652752863E-3</v>
      </c>
      <c r="X207" s="30">
        <v>-9.9509691518033061E-4</v>
      </c>
      <c r="Y207" s="30">
        <v>-4.8836481942307426E-3</v>
      </c>
      <c r="Z207" s="30">
        <v>-3.8870702969093784E-3</v>
      </c>
      <c r="AA207" s="31">
        <v>-1.7415084404183896E-3</v>
      </c>
    </row>
    <row r="208" spans="1:27" x14ac:dyDescent="0.25">
      <c r="A208" s="7">
        <f>NFLX[[#This Row],[Date]]</f>
        <v>44859</v>
      </c>
      <c r="B208" s="30">
        <f>NFLX[[#This Row],[Stopa zwrotu]]</f>
        <v>1.851192494535181E-2</v>
      </c>
      <c r="C208" s="30">
        <f>META[[#This Row],[Stopa zwrotu]]</f>
        <v>4.8326210162960681E-2</v>
      </c>
      <c r="D208" s="30">
        <f>GOOG[[#This Row],[Stopa zwrotu]]</f>
        <v>2.7118583436134047E-2</v>
      </c>
      <c r="E208" s="30">
        <f>EBAY[[#This Row],[Stopa zwrotu]]</f>
        <v>1.4361729487326169E-2</v>
      </c>
      <c r="F208" s="30">
        <f>AMZN[[#This Row],[Stopa zwrotu]]</f>
        <v>2.0416891138371751E-2</v>
      </c>
      <c r="H208" s="9">
        <v>44860</v>
      </c>
      <c r="I208" s="30">
        <v>8.7200879167959044E-3</v>
      </c>
      <c r="J208" s="30">
        <v>-1.57745391155385E-2</v>
      </c>
      <c r="K208" s="30">
        <v>-8.2022881441163431E-2</v>
      </c>
      <c r="L208" s="30">
        <v>2.0450944427135243E-2</v>
      </c>
      <c r="M208" s="31">
        <v>-3.522484325913855E-2</v>
      </c>
      <c r="O208" s="9">
        <v>44918</v>
      </c>
      <c r="P208" s="30">
        <v>3.7825590851934265E-3</v>
      </c>
      <c r="Q208" s="30">
        <v>1.0141668389797243E-2</v>
      </c>
      <c r="R208" s="30">
        <v>7.8214974046122432E-3</v>
      </c>
      <c r="S208" s="30">
        <v>1.2664387031409152E-3</v>
      </c>
      <c r="T208" s="31">
        <v>8.2674772036475108E-3</v>
      </c>
      <c r="V208" s="9">
        <v>44957</v>
      </c>
      <c r="W208" s="30">
        <v>-1.1761021868206378E-2</v>
      </c>
      <c r="X208" s="30">
        <v>3.8789180785081534E-3</v>
      </c>
      <c r="Y208" s="30">
        <v>2.7687039407928715E-3</v>
      </c>
      <c r="Z208" s="30">
        <v>1.0142785962683032E-2</v>
      </c>
      <c r="AA208" s="31">
        <v>2.1512947752490685E-2</v>
      </c>
    </row>
    <row r="209" spans="1:27" x14ac:dyDescent="0.25">
      <c r="A209" s="7">
        <f>NFLX[[#This Row],[Date]]</f>
        <v>44860</v>
      </c>
      <c r="B209" s="30">
        <f>NFLX[[#This Row],[Stopa zwrotu]]</f>
        <v>8.7200879167959044E-3</v>
      </c>
      <c r="C209" s="30">
        <f>META[[#This Row],[Stopa zwrotu]]</f>
        <v>-1.57745391155385E-2</v>
      </c>
      <c r="D209" s="30">
        <f>GOOG[[#This Row],[Stopa zwrotu]]</f>
        <v>-8.2022881441163431E-2</v>
      </c>
      <c r="E209" s="30">
        <f>EBAY[[#This Row],[Stopa zwrotu]]</f>
        <v>2.0450944427135243E-2</v>
      </c>
      <c r="F209" s="30">
        <f>AMZN[[#This Row],[Stopa zwrotu]]</f>
        <v>-3.522484325913855E-2</v>
      </c>
      <c r="H209" s="9">
        <v>44861</v>
      </c>
      <c r="I209" s="30">
        <v>2.3399492394821975E-2</v>
      </c>
      <c r="J209" s="30">
        <v>-0.25013617248997255</v>
      </c>
      <c r="K209" s="30">
        <v>-2.8233033731627333E-2</v>
      </c>
      <c r="L209" s="30">
        <v>1.7985638128758419E-2</v>
      </c>
      <c r="M209" s="31">
        <v>-4.3482092305993536E-2</v>
      </c>
      <c r="O209" s="9">
        <v>44922</v>
      </c>
      <c r="P209" s="30">
        <v>-8.3758683035748405E-3</v>
      </c>
      <c r="Q209" s="30">
        <v>1.1035182525227505E-3</v>
      </c>
      <c r="R209" s="30">
        <v>-2.4252167624325138E-4</v>
      </c>
      <c r="S209" s="30">
        <v>1.0751454863431875E-3</v>
      </c>
      <c r="T209" s="31">
        <v>2.1102134330153177E-4</v>
      </c>
      <c r="V209" s="9">
        <v>44958</v>
      </c>
      <c r="W209" s="30">
        <v>3.4412922800368673E-3</v>
      </c>
      <c r="X209" s="30">
        <v>-3.1182618460340317E-3</v>
      </c>
      <c r="Y209" s="30">
        <v>6.4423457772537773E-3</v>
      </c>
      <c r="Z209" s="30">
        <v>-2.2540984068463166E-3</v>
      </c>
      <c r="AA209" s="31">
        <v>9.8871861764604496E-4</v>
      </c>
    </row>
    <row r="210" spans="1:27" x14ac:dyDescent="0.25">
      <c r="A210" s="7">
        <f>NFLX[[#This Row],[Date]]</f>
        <v>44861</v>
      </c>
      <c r="B210" s="30">
        <f>NFLX[[#This Row],[Stopa zwrotu]]</f>
        <v>2.3399492394821975E-2</v>
      </c>
      <c r="C210" s="30">
        <f>META[[#This Row],[Stopa zwrotu]]</f>
        <v>-0.25013617248997255</v>
      </c>
      <c r="D210" s="30">
        <f>GOOG[[#This Row],[Stopa zwrotu]]</f>
        <v>-2.8233033731627333E-2</v>
      </c>
      <c r="E210" s="30">
        <f>EBAY[[#This Row],[Stopa zwrotu]]</f>
        <v>1.7985638128758419E-2</v>
      </c>
      <c r="F210" s="30">
        <f>AMZN[[#This Row],[Stopa zwrotu]]</f>
        <v>-4.3482092305993536E-2</v>
      </c>
      <c r="H210" s="9">
        <v>44862</v>
      </c>
      <c r="I210" s="30">
        <v>-8.4469435119306491E-3</v>
      </c>
      <c r="J210" s="30">
        <v>1.1724476397317218E-2</v>
      </c>
      <c r="K210" s="30">
        <v>4.602785536391929E-3</v>
      </c>
      <c r="L210" s="30">
        <v>-2.8773322281002711E-2</v>
      </c>
      <c r="M210" s="31">
        <v>-0.11032152073393975</v>
      </c>
      <c r="O210" s="9">
        <v>44923</v>
      </c>
      <c r="P210" s="30">
        <v>-3.0907740564496078E-2</v>
      </c>
      <c r="Q210" s="30">
        <v>-4.6531752351613997E-3</v>
      </c>
      <c r="R210" s="30">
        <v>-1.3308972945268893E-2</v>
      </c>
      <c r="S210" s="30">
        <v>1.5112594077768549E-3</v>
      </c>
      <c r="T210" s="31">
        <v>-1.5783108433734871E-2</v>
      </c>
      <c r="V210" s="9">
        <v>44959</v>
      </c>
      <c r="W210" s="30">
        <v>2.4349086629715355E-2</v>
      </c>
      <c r="X210" s="30">
        <v>0.22507824323511816</v>
      </c>
      <c r="Y210" s="30">
        <v>8.2503588345937517E-2</v>
      </c>
      <c r="Z210" s="30">
        <v>4.1076197187845498E-2</v>
      </c>
      <c r="AA210" s="31">
        <v>7.5464234995342494E-2</v>
      </c>
    </row>
    <row r="211" spans="1:27" x14ac:dyDescent="0.25">
      <c r="A211" s="7">
        <f>NFLX[[#This Row],[Date]]</f>
        <v>44862</v>
      </c>
      <c r="B211" s="30">
        <f>NFLX[[#This Row],[Stopa zwrotu]]</f>
        <v>-8.4469435119306491E-3</v>
      </c>
      <c r="C211" s="30">
        <f>META[[#This Row],[Stopa zwrotu]]</f>
        <v>1.1724476397317218E-2</v>
      </c>
      <c r="D211" s="30">
        <f>GOOG[[#This Row],[Stopa zwrotu]]</f>
        <v>4.602785536391929E-3</v>
      </c>
      <c r="E211" s="30">
        <f>EBAY[[#This Row],[Stopa zwrotu]]</f>
        <v>-2.8773322281002711E-2</v>
      </c>
      <c r="F211" s="30">
        <f>AMZN[[#This Row],[Stopa zwrotu]]</f>
        <v>-0.11032152073393975</v>
      </c>
      <c r="H211" s="9">
        <v>44865</v>
      </c>
      <c r="I211" s="30">
        <v>-3.1817816940845254E-3</v>
      </c>
      <c r="J211" s="30">
        <v>-1.6784616618098307E-2</v>
      </c>
      <c r="K211" s="30">
        <v>7.42682049096081E-3</v>
      </c>
      <c r="L211" s="30">
        <v>8.1427408177408758E-3</v>
      </c>
      <c r="M211" s="31">
        <v>1.0512642070613346E-2</v>
      </c>
      <c r="O211" s="9">
        <v>44924</v>
      </c>
      <c r="P211" s="30">
        <v>2.779710284485426E-2</v>
      </c>
      <c r="Q211" s="30">
        <v>2.250844043791167E-3</v>
      </c>
      <c r="R211" s="30">
        <v>7.1783602925197254E-3</v>
      </c>
      <c r="S211" s="30">
        <v>7.7968313781102694E-3</v>
      </c>
      <c r="T211" s="31">
        <v>1.0527616341593493E-2</v>
      </c>
      <c r="V211" s="9">
        <v>44960</v>
      </c>
      <c r="W211" s="30">
        <v>1.5902882323801659E-3</v>
      </c>
      <c r="X211" s="30">
        <v>1.5153169068535366E-2</v>
      </c>
      <c r="Y211" s="30">
        <v>-3.0411094139186301E-2</v>
      </c>
      <c r="Z211" s="30">
        <v>-1.1442059803552285E-2</v>
      </c>
      <c r="AA211" s="31">
        <v>-5.8412933277358525E-2</v>
      </c>
    </row>
    <row r="212" spans="1:27" x14ac:dyDescent="0.25">
      <c r="A212" s="7">
        <f>NFLX[[#This Row],[Date]]</f>
        <v>44865</v>
      </c>
      <c r="B212" s="30">
        <f>NFLX[[#This Row],[Stopa zwrotu]]</f>
        <v>-3.1817816940845254E-3</v>
      </c>
      <c r="C212" s="30">
        <f>META[[#This Row],[Stopa zwrotu]]</f>
        <v>-1.6784616618098307E-2</v>
      </c>
      <c r="D212" s="30">
        <f>GOOG[[#This Row],[Stopa zwrotu]]</f>
        <v>7.42682049096081E-3</v>
      </c>
      <c r="E212" s="30">
        <f>EBAY[[#This Row],[Stopa zwrotu]]</f>
        <v>8.1427408177408758E-3</v>
      </c>
      <c r="F212" s="30">
        <f>AMZN[[#This Row],[Stopa zwrotu]]</f>
        <v>1.0512642070613346E-2</v>
      </c>
      <c r="H212" s="9">
        <v>44866</v>
      </c>
      <c r="I212" s="30">
        <v>-1.0638987910190023E-2</v>
      </c>
      <c r="J212" s="30">
        <v>1.0259233482920793E-2</v>
      </c>
      <c r="K212" s="30">
        <v>-4.1852056850563368E-2</v>
      </c>
      <c r="L212" s="30">
        <v>-3.044114817053023E-3</v>
      </c>
      <c r="M212" s="31">
        <v>-4.6456224865122686E-2</v>
      </c>
      <c r="O212" s="9">
        <v>44925</v>
      </c>
      <c r="P212" s="30">
        <v>7.8644565010335121E-3</v>
      </c>
      <c r="Q212" s="30">
        <v>1.7016507308020401E-2</v>
      </c>
      <c r="R212" s="30">
        <v>4.5983447430364421E-4</v>
      </c>
      <c r="S212" s="30">
        <v>2.2710257050162053E-2</v>
      </c>
      <c r="T212" s="31">
        <v>-9.6913382304797402E-4</v>
      </c>
      <c r="V212" s="9">
        <v>44963</v>
      </c>
      <c r="W212" s="30">
        <v>1.5598820798514712E-3</v>
      </c>
      <c r="X212" s="30">
        <v>4.7934186567157866E-3</v>
      </c>
      <c r="Y212" s="30">
        <v>-3.5172764386722046E-3</v>
      </c>
      <c r="Z212" s="30">
        <v>-3.0599280969880369E-3</v>
      </c>
      <c r="AA212" s="31">
        <v>-6.0800983701420437E-3</v>
      </c>
    </row>
    <row r="213" spans="1:27" x14ac:dyDescent="0.25">
      <c r="A213" s="7">
        <f>NFLX[[#This Row],[Date]]</f>
        <v>44866</v>
      </c>
      <c r="B213" s="30">
        <f>NFLX[[#This Row],[Stopa zwrotu]]</f>
        <v>-1.0638987910190023E-2</v>
      </c>
      <c r="C213" s="30">
        <f>META[[#This Row],[Stopa zwrotu]]</f>
        <v>1.0259233482920793E-2</v>
      </c>
      <c r="D213" s="30">
        <f>GOOG[[#This Row],[Stopa zwrotu]]</f>
        <v>-4.1852056850563368E-2</v>
      </c>
      <c r="E213" s="30">
        <f>EBAY[[#This Row],[Stopa zwrotu]]</f>
        <v>-3.044114817053023E-3</v>
      </c>
      <c r="F213" s="30">
        <f>AMZN[[#This Row],[Stopa zwrotu]]</f>
        <v>-4.6456224865122686E-2</v>
      </c>
      <c r="H213" s="9">
        <v>44867</v>
      </c>
      <c r="I213" s="30">
        <v>-4.7412947362724944E-2</v>
      </c>
      <c r="J213" s="30">
        <v>-3.2816674522180511E-2</v>
      </c>
      <c r="K213" s="30">
        <v>-3.7819285635298128E-2</v>
      </c>
      <c r="L213" s="30">
        <v>-3.282445376143639E-2</v>
      </c>
      <c r="M213" s="31">
        <v>-4.2161108518865453E-2</v>
      </c>
      <c r="O213" s="9">
        <v>44929</v>
      </c>
      <c r="P213" s="30">
        <v>4.8372387019375851E-3</v>
      </c>
      <c r="Q213" s="30">
        <v>9.6398867783232256E-3</v>
      </c>
      <c r="R213" s="30">
        <v>5.7164139459544017E-3</v>
      </c>
      <c r="S213" s="30">
        <v>3.4163067349926579E-3</v>
      </c>
      <c r="T213" s="31">
        <v>5.2746391988039432E-3</v>
      </c>
      <c r="V213" s="9">
        <v>44964</v>
      </c>
      <c r="W213" s="30">
        <v>-1.8021515266027022E-2</v>
      </c>
      <c r="X213" s="30">
        <v>-6.0371387227869944E-3</v>
      </c>
      <c r="Y213" s="30">
        <v>1.3090676187170303E-2</v>
      </c>
      <c r="Z213" s="30">
        <v>-1.1681812218255261E-2</v>
      </c>
      <c r="AA213" s="31">
        <v>-2.5534028305334799E-2</v>
      </c>
    </row>
    <row r="214" spans="1:27" x14ac:dyDescent="0.25">
      <c r="A214" s="7">
        <f>NFLX[[#This Row],[Date]]</f>
        <v>44867</v>
      </c>
      <c r="B214" s="30">
        <f>NFLX[[#This Row],[Stopa zwrotu]]</f>
        <v>-4.7412947362724944E-2</v>
      </c>
      <c r="C214" s="30">
        <f>META[[#This Row],[Stopa zwrotu]]</f>
        <v>-3.2816674522180511E-2</v>
      </c>
      <c r="D214" s="30">
        <f>GOOG[[#This Row],[Stopa zwrotu]]</f>
        <v>-3.7819285635298128E-2</v>
      </c>
      <c r="E214" s="30">
        <f>EBAY[[#This Row],[Stopa zwrotu]]</f>
        <v>-3.282445376143639E-2</v>
      </c>
      <c r="F214" s="30">
        <f>AMZN[[#This Row],[Stopa zwrotu]]</f>
        <v>-4.2161108518865453E-2</v>
      </c>
      <c r="H214" s="9">
        <v>44868</v>
      </c>
      <c r="I214" s="30">
        <v>-1.4807242556916012E-2</v>
      </c>
      <c r="J214" s="30">
        <v>-2.2877972274160885E-2</v>
      </c>
      <c r="K214" s="30">
        <v>-4.0914893899209437E-2</v>
      </c>
      <c r="L214" s="30">
        <v>1.0523599606608647E-2</v>
      </c>
      <c r="M214" s="31">
        <v>-3.2496521410791845E-2</v>
      </c>
      <c r="O214" s="9">
        <v>44930</v>
      </c>
      <c r="P214" s="30">
        <v>2.3588492265112837E-2</v>
      </c>
      <c r="Q214" s="30">
        <v>2.9195281560314701E-2</v>
      </c>
      <c r="R214" s="30">
        <v>-1.3704718502742685E-2</v>
      </c>
      <c r="S214" s="30">
        <v>1.7814106456087941E-2</v>
      </c>
      <c r="T214" s="31">
        <v>-1.0093789456047886E-2</v>
      </c>
      <c r="V214" s="9">
        <v>44965</v>
      </c>
      <c r="W214" s="30">
        <v>1.1660751825696591E-2</v>
      </c>
      <c r="X214" s="30">
        <v>-8.0260089379395883E-3</v>
      </c>
      <c r="Y214" s="30">
        <v>-4.9184872209551256E-2</v>
      </c>
      <c r="Z214" s="30">
        <v>-4.8909313226003226E-3</v>
      </c>
      <c r="AA214" s="31">
        <v>7.1370002622961337E-3</v>
      </c>
    </row>
    <row r="215" spans="1:27" x14ac:dyDescent="0.25">
      <c r="A215" s="7">
        <f>NFLX[[#This Row],[Date]]</f>
        <v>44868</v>
      </c>
      <c r="B215" s="30">
        <f>NFLX[[#This Row],[Stopa zwrotu]]</f>
        <v>-1.4807242556916012E-2</v>
      </c>
      <c r="C215" s="30">
        <f>META[[#This Row],[Stopa zwrotu]]</f>
        <v>-2.2877972274160885E-2</v>
      </c>
      <c r="D215" s="30">
        <f>GOOG[[#This Row],[Stopa zwrotu]]</f>
        <v>-4.0914893899209437E-2</v>
      </c>
      <c r="E215" s="30">
        <f>EBAY[[#This Row],[Stopa zwrotu]]</f>
        <v>1.0523599606608647E-2</v>
      </c>
      <c r="F215" s="30">
        <f>AMZN[[#This Row],[Stopa zwrotu]]</f>
        <v>-3.2496521410791845E-2</v>
      </c>
      <c r="H215" s="9">
        <v>44869</v>
      </c>
      <c r="I215" s="30">
        <v>-5.014874107806877E-2</v>
      </c>
      <c r="J215" s="30">
        <v>-3.619590380292248E-3</v>
      </c>
      <c r="K215" s="30">
        <v>5.152786284701838E-3</v>
      </c>
      <c r="L215" s="30">
        <v>1.6141603749023625E-2</v>
      </c>
      <c r="M215" s="31">
        <v>-1.1008717513212196E-2</v>
      </c>
      <c r="O215" s="9">
        <v>44931</v>
      </c>
      <c r="P215" s="30">
        <v>3.0591105864738566E-2</v>
      </c>
      <c r="Q215" s="30">
        <v>-1.0409193649728921E-2</v>
      </c>
      <c r="R215" s="30">
        <v>-1.4123063298756455E-2</v>
      </c>
      <c r="S215" s="30">
        <v>5.9129613508268619E-3</v>
      </c>
      <c r="T215" s="31">
        <v>-3.4788987106658675E-3</v>
      </c>
      <c r="V215" s="9">
        <v>44966</v>
      </c>
      <c r="W215" s="30">
        <v>9.5726940893230417E-3</v>
      </c>
      <c r="X215" s="30">
        <v>-3.0887787348434115E-2</v>
      </c>
      <c r="Y215" s="30">
        <v>-4.6671077209464618E-2</v>
      </c>
      <c r="Z215" s="30">
        <v>-1.3925864676393007E-2</v>
      </c>
      <c r="AA215" s="31">
        <v>-1.2249433207627503E-2</v>
      </c>
    </row>
    <row r="216" spans="1:27" x14ac:dyDescent="0.25">
      <c r="A216" s="7">
        <f>NFLX[[#This Row],[Date]]</f>
        <v>44869</v>
      </c>
      <c r="B216" s="30">
        <f>NFLX[[#This Row],[Stopa zwrotu]]</f>
        <v>-5.014874107806877E-2</v>
      </c>
      <c r="C216" s="30">
        <f>META[[#This Row],[Stopa zwrotu]]</f>
        <v>-3.619590380292248E-3</v>
      </c>
      <c r="D216" s="30">
        <f>GOOG[[#This Row],[Stopa zwrotu]]</f>
        <v>5.152786284701838E-3</v>
      </c>
      <c r="E216" s="30">
        <f>EBAY[[#This Row],[Stopa zwrotu]]</f>
        <v>1.6141603749023625E-2</v>
      </c>
      <c r="F216" s="30">
        <f>AMZN[[#This Row],[Stopa zwrotu]]</f>
        <v>-1.1008717513212196E-2</v>
      </c>
      <c r="H216" s="9">
        <v>44872</v>
      </c>
      <c r="I216" s="30">
        <v>-4.2169446334588594E-3</v>
      </c>
      <c r="J216" s="30">
        <v>1.895789241115035E-2</v>
      </c>
      <c r="K216" s="30">
        <v>1.2239715904297585E-2</v>
      </c>
      <c r="L216" s="30">
        <v>2.9037493271094985E-3</v>
      </c>
      <c r="M216" s="31">
        <v>3.7861577640524078E-3</v>
      </c>
      <c r="O216" s="9">
        <v>44932</v>
      </c>
      <c r="P216" s="30">
        <v>-2.8237925919734064E-3</v>
      </c>
      <c r="Q216" s="30">
        <v>1.2044323012330826E-2</v>
      </c>
      <c r="R216" s="30">
        <v>-1.1437130578491939E-2</v>
      </c>
      <c r="S216" s="30">
        <v>1.2461838995105667E-2</v>
      </c>
      <c r="T216" s="31">
        <v>-1.9742385939568896E-2</v>
      </c>
      <c r="V216" s="9">
        <v>44967</v>
      </c>
      <c r="W216" s="30">
        <v>-4.036041190801154E-2</v>
      </c>
      <c r="X216" s="30">
        <v>-2.2113148934097104E-2</v>
      </c>
      <c r="Y216" s="30">
        <v>7.1382696874253693E-3</v>
      </c>
      <c r="Z216" s="30">
        <v>-1.038421556036484E-2</v>
      </c>
      <c r="AA216" s="31">
        <v>-1.3733698882853251E-2</v>
      </c>
    </row>
    <row r="217" spans="1:27" x14ac:dyDescent="0.25">
      <c r="A217" s="7">
        <f>NFLX[[#This Row],[Date]]</f>
        <v>44872</v>
      </c>
      <c r="B217" s="30">
        <f>NFLX[[#This Row],[Stopa zwrotu]]</f>
        <v>-4.2169446334588594E-3</v>
      </c>
      <c r="C217" s="30">
        <f>META[[#This Row],[Stopa zwrotu]]</f>
        <v>1.895789241115035E-2</v>
      </c>
      <c r="D217" s="30">
        <f>GOOG[[#This Row],[Stopa zwrotu]]</f>
        <v>1.2239715904297585E-2</v>
      </c>
      <c r="E217" s="30">
        <f>EBAY[[#This Row],[Stopa zwrotu]]</f>
        <v>2.9037493271094985E-3</v>
      </c>
      <c r="F217" s="30">
        <f>AMZN[[#This Row],[Stopa zwrotu]]</f>
        <v>3.7861577640524078E-3</v>
      </c>
      <c r="H217" s="9">
        <v>44873</v>
      </c>
      <c r="I217" s="30">
        <v>1.9001186385833257E-2</v>
      </c>
      <c r="J217" s="30">
        <v>1.8152556780935747E-2</v>
      </c>
      <c r="K217" s="30">
        <v>7.9347172025612256E-3</v>
      </c>
      <c r="L217" s="30">
        <v>2.159009452857763E-2</v>
      </c>
      <c r="M217" s="31">
        <v>-9.0970124764486737E-3</v>
      </c>
      <c r="O217" s="9">
        <v>44935</v>
      </c>
      <c r="P217" s="30">
        <v>1.0460226916964318E-2</v>
      </c>
      <c r="Q217" s="30">
        <v>8.5687029892465016E-3</v>
      </c>
      <c r="R217" s="30">
        <v>1.1725300923220772E-2</v>
      </c>
      <c r="S217" s="30">
        <v>2.9416162809657496E-3</v>
      </c>
      <c r="T217" s="31">
        <v>2.3128257398992973E-2</v>
      </c>
      <c r="V217" s="9">
        <v>44970</v>
      </c>
      <c r="W217" s="30">
        <v>-2.7750714170284851E-3</v>
      </c>
      <c r="X217" s="30">
        <v>4.7495450716434906E-3</v>
      </c>
      <c r="Y217" s="30">
        <v>-1.692570277787353E-3</v>
      </c>
      <c r="Z217" s="30">
        <v>1.8887442369187231E-3</v>
      </c>
      <c r="AA217" s="31">
        <v>2.3554711933241692E-3</v>
      </c>
    </row>
    <row r="218" spans="1:27" x14ac:dyDescent="0.25">
      <c r="A218" s="7">
        <f>NFLX[[#This Row],[Date]]</f>
        <v>44873</v>
      </c>
      <c r="B218" s="30">
        <f>NFLX[[#This Row],[Stopa zwrotu]]</f>
        <v>1.9001186385833257E-2</v>
      </c>
      <c r="C218" s="30">
        <f>META[[#This Row],[Stopa zwrotu]]</f>
        <v>1.8152556780935747E-2</v>
      </c>
      <c r="D218" s="30">
        <f>GOOG[[#This Row],[Stopa zwrotu]]</f>
        <v>7.9347172025612256E-3</v>
      </c>
      <c r="E218" s="30">
        <f>EBAY[[#This Row],[Stopa zwrotu]]</f>
        <v>2.159009452857763E-2</v>
      </c>
      <c r="F218" s="30">
        <f>AMZN[[#This Row],[Stopa zwrotu]]</f>
        <v>-9.0970124764486737E-3</v>
      </c>
      <c r="H218" s="9">
        <v>44874</v>
      </c>
      <c r="I218" s="30">
        <v>-1.0355044955717707E-2</v>
      </c>
      <c r="J218" s="30">
        <v>6.2770302112350462E-2</v>
      </c>
      <c r="K218" s="30">
        <v>-3.3086251384227827E-3</v>
      </c>
      <c r="L218" s="30">
        <v>6.7131027669540266E-3</v>
      </c>
      <c r="M218" s="31">
        <v>-2.6748270653464634E-2</v>
      </c>
      <c r="O218" s="9">
        <v>44936</v>
      </c>
      <c r="P218" s="30">
        <v>-6.8641657401694589E-3</v>
      </c>
      <c r="Q218" s="30">
        <v>-1.6475843258631273E-2</v>
      </c>
      <c r="R218" s="30">
        <v>-2.1223808507026209E-2</v>
      </c>
      <c r="S218" s="30">
        <v>-2.7624079825600001E-3</v>
      </c>
      <c r="T218" s="31">
        <v>2.4115640236206382E-3</v>
      </c>
      <c r="V218" s="9">
        <v>44971</v>
      </c>
      <c r="W218" s="30">
        <v>2.657950326797387E-2</v>
      </c>
      <c r="X218" s="30">
        <v>3.4124671602375756E-4</v>
      </c>
      <c r="Y218" s="30">
        <v>-1.4885709254044421E-2</v>
      </c>
      <c r="Z218" s="30">
        <v>6.0517740422276756E-3</v>
      </c>
      <c r="AA218" s="31">
        <v>6.2944275598213473E-3</v>
      </c>
    </row>
    <row r="219" spans="1:27" x14ac:dyDescent="0.25">
      <c r="A219" s="7">
        <f>NFLX[[#This Row],[Date]]</f>
        <v>44874</v>
      </c>
      <c r="B219" s="30">
        <f>NFLX[[#This Row],[Stopa zwrotu]]</f>
        <v>-1.0355044955717707E-2</v>
      </c>
      <c r="C219" s="30">
        <f>META[[#This Row],[Stopa zwrotu]]</f>
        <v>6.2770302112350462E-2</v>
      </c>
      <c r="D219" s="30">
        <f>GOOG[[#This Row],[Stopa zwrotu]]</f>
        <v>-3.3086251384227827E-3</v>
      </c>
      <c r="E219" s="30">
        <f>EBAY[[#This Row],[Stopa zwrotu]]</f>
        <v>6.7131027669540266E-3</v>
      </c>
      <c r="F219" s="30">
        <f>AMZN[[#This Row],[Stopa zwrotu]]</f>
        <v>-2.6748270653464634E-2</v>
      </c>
      <c r="H219" s="9">
        <v>44875</v>
      </c>
      <c r="I219" s="30">
        <v>2.3090217043937322E-2</v>
      </c>
      <c r="J219" s="30">
        <v>3.8415754187328899E-2</v>
      </c>
      <c r="K219" s="30">
        <v>4.910715374190544E-2</v>
      </c>
      <c r="L219" s="30">
        <v>4.3714396457673832E-2</v>
      </c>
      <c r="M219" s="31">
        <v>6.7311037592487466E-2</v>
      </c>
      <c r="O219" s="9">
        <v>44937</v>
      </c>
      <c r="P219" s="30">
        <v>3.3047220139098998E-2</v>
      </c>
      <c r="Q219" s="30">
        <v>2.5088430592395961E-2</v>
      </c>
      <c r="R219" s="30">
        <v>3.5063449886855391E-2</v>
      </c>
      <c r="S219" s="30">
        <v>5.0784856879039664E-2</v>
      </c>
      <c r="T219" s="31">
        <v>4.1700068258677225E-2</v>
      </c>
      <c r="V219" s="9">
        <v>44972</v>
      </c>
      <c r="W219" s="30">
        <v>2.3768987387136065E-3</v>
      </c>
      <c r="X219" s="30">
        <v>-3.1271491037312416E-3</v>
      </c>
      <c r="Y219" s="30">
        <v>1.8456545742977948E-2</v>
      </c>
      <c r="Z219" s="30">
        <v>0</v>
      </c>
      <c r="AA219" s="31">
        <v>9.5365056256102587E-3</v>
      </c>
    </row>
    <row r="220" spans="1:27" x14ac:dyDescent="0.25">
      <c r="A220" s="7">
        <f>NFLX[[#This Row],[Date]]</f>
        <v>44875</v>
      </c>
      <c r="B220" s="30">
        <f>NFLX[[#This Row],[Stopa zwrotu]]</f>
        <v>2.3090217043937322E-2</v>
      </c>
      <c r="C220" s="30">
        <f>META[[#This Row],[Stopa zwrotu]]</f>
        <v>3.8415754187328899E-2</v>
      </c>
      <c r="D220" s="30">
        <f>GOOG[[#This Row],[Stopa zwrotu]]</f>
        <v>4.910715374190544E-2</v>
      </c>
      <c r="E220" s="30">
        <f>EBAY[[#This Row],[Stopa zwrotu]]</f>
        <v>4.3714396457673832E-2</v>
      </c>
      <c r="F220" s="30">
        <f>AMZN[[#This Row],[Stopa zwrotu]]</f>
        <v>6.7311037592487466E-2</v>
      </c>
      <c r="H220" s="9">
        <v>44876</v>
      </c>
      <c r="I220" s="30">
        <v>4.4100127557386015E-2</v>
      </c>
      <c r="J220" s="30">
        <v>4.0149096260882366E-2</v>
      </c>
      <c r="K220" s="30">
        <v>2.7386818824073789E-2</v>
      </c>
      <c r="L220" s="30">
        <v>5.8684432498079975E-2</v>
      </c>
      <c r="M220" s="31">
        <v>5.4664505080970871E-2</v>
      </c>
      <c r="O220" s="9">
        <v>44938</v>
      </c>
      <c r="P220" s="30">
        <v>5.570278408521423E-3</v>
      </c>
      <c r="Q220" s="30">
        <v>1.0894576059370165E-2</v>
      </c>
      <c r="R220" s="30">
        <v>9.2489638789605699E-3</v>
      </c>
      <c r="S220" s="30">
        <v>6.5905096660807683E-3</v>
      </c>
      <c r="T220" s="31">
        <v>2.8263499395138947E-2</v>
      </c>
      <c r="V220" s="9">
        <v>44973</v>
      </c>
      <c r="W220" s="30">
        <v>-1.1094151171356925E-2</v>
      </c>
      <c r="X220" s="30">
        <v>-2.0190549019670878E-2</v>
      </c>
      <c r="Y220" s="30">
        <v>6.4646035771025456E-3</v>
      </c>
      <c r="Z220" s="30">
        <v>1.6594482816727485E-3</v>
      </c>
      <c r="AA220" s="31">
        <v>-3.5550940646549289E-3</v>
      </c>
    </row>
    <row r="221" spans="1:27" x14ac:dyDescent="0.25">
      <c r="A221" s="7">
        <f>NFLX[[#This Row],[Date]]</f>
        <v>44876</v>
      </c>
      <c r="B221" s="30">
        <f>NFLX[[#This Row],[Stopa zwrotu]]</f>
        <v>4.4100127557386015E-2</v>
      </c>
      <c r="C221" s="30">
        <f>META[[#This Row],[Stopa zwrotu]]</f>
        <v>4.0149096260882366E-2</v>
      </c>
      <c r="D221" s="30">
        <f>GOOG[[#This Row],[Stopa zwrotu]]</f>
        <v>2.7386818824073789E-2</v>
      </c>
      <c r="E221" s="30">
        <f>EBAY[[#This Row],[Stopa zwrotu]]</f>
        <v>5.8684432498079975E-2</v>
      </c>
      <c r="F221" s="30">
        <f>AMZN[[#This Row],[Stopa zwrotu]]</f>
        <v>5.4664505080970871E-2</v>
      </c>
      <c r="H221" s="9">
        <v>44879</v>
      </c>
      <c r="I221" s="30">
        <v>2.0412927925661073E-2</v>
      </c>
      <c r="J221" s="30">
        <v>6.0962688373544793E-3</v>
      </c>
      <c r="K221" s="30">
        <v>3.3736723290708572E-3</v>
      </c>
      <c r="L221" s="30">
        <v>8.2699742987644154E-3</v>
      </c>
      <c r="M221" s="31">
        <v>2.1725531896315728E-3</v>
      </c>
      <c r="O221" s="9">
        <v>44939</v>
      </c>
      <c r="P221" s="30">
        <v>1.7794144126656697E-2</v>
      </c>
      <c r="Q221" s="30">
        <v>2.3375843327863022E-2</v>
      </c>
      <c r="R221" s="30">
        <v>3.974826101358131E-3</v>
      </c>
      <c r="S221" s="30">
        <v>-8.2933435181143933E-3</v>
      </c>
      <c r="T221" s="31">
        <v>6.631048128342254E-3</v>
      </c>
      <c r="V221" s="9">
        <v>44974</v>
      </c>
      <c r="W221" s="30">
        <v>-2.2465804701354841E-2</v>
      </c>
      <c r="X221" s="30">
        <v>-1.2165993859723945E-2</v>
      </c>
      <c r="Y221" s="30">
        <v>-1.600509617768664E-2</v>
      </c>
      <c r="Z221" s="30">
        <v>-1.1182459905105357E-2</v>
      </c>
      <c r="AA221" s="31">
        <v>-2.4974475534647822E-2</v>
      </c>
    </row>
    <row r="222" spans="1:27" x14ac:dyDescent="0.25">
      <c r="A222" s="7">
        <f>NFLX[[#This Row],[Date]]</f>
        <v>44879</v>
      </c>
      <c r="B222" s="30">
        <f>NFLX[[#This Row],[Stopa zwrotu]]</f>
        <v>2.0412927925661073E-2</v>
      </c>
      <c r="C222" s="30">
        <f>META[[#This Row],[Stopa zwrotu]]</f>
        <v>6.0962688373544793E-3</v>
      </c>
      <c r="D222" s="30">
        <f>GOOG[[#This Row],[Stopa zwrotu]]</f>
        <v>3.3736723290708572E-3</v>
      </c>
      <c r="E222" s="30">
        <f>EBAY[[#This Row],[Stopa zwrotu]]</f>
        <v>8.2699742987644154E-3</v>
      </c>
      <c r="F222" s="30">
        <f>AMZN[[#This Row],[Stopa zwrotu]]</f>
        <v>2.1725531896315728E-3</v>
      </c>
      <c r="H222" s="9">
        <v>44880</v>
      </c>
      <c r="I222" s="30">
        <v>4.9828189390137112E-2</v>
      </c>
      <c r="J222" s="30">
        <v>3.2581235579930423E-2</v>
      </c>
      <c r="K222" s="30">
        <v>2.0049814642055352E-2</v>
      </c>
      <c r="L222" s="30">
        <v>3.9258671287183411E-3</v>
      </c>
      <c r="M222" s="31">
        <v>5.1387603542107918E-4</v>
      </c>
      <c r="O222" s="9">
        <v>44943</v>
      </c>
      <c r="P222" s="30">
        <v>-4.0211079378618397E-3</v>
      </c>
      <c r="Q222" s="30">
        <v>-1.0938816699460896E-3</v>
      </c>
      <c r="R222" s="30">
        <v>-2.4745408556034465E-4</v>
      </c>
      <c r="S222" s="30">
        <v>3.3560740175192505E-3</v>
      </c>
      <c r="T222" s="31">
        <v>4.2764554523016529E-3</v>
      </c>
      <c r="V222" s="9">
        <v>44978</v>
      </c>
      <c r="W222" s="30">
        <v>-4.3949224425013367E-3</v>
      </c>
      <c r="X222" s="30">
        <v>3.2115616360323673E-3</v>
      </c>
      <c r="Y222" s="30">
        <v>-3.8790718206229424E-3</v>
      </c>
      <c r="Z222" s="30">
        <v>3.6649214659684182E-4</v>
      </c>
      <c r="AA222" s="31">
        <v>-3.6069131498815687E-3</v>
      </c>
    </row>
    <row r="223" spans="1:27" x14ac:dyDescent="0.25">
      <c r="A223" s="7">
        <f>NFLX[[#This Row],[Date]]</f>
        <v>44880</v>
      </c>
      <c r="B223" s="30">
        <f>NFLX[[#This Row],[Stopa zwrotu]]</f>
        <v>4.9828189390137112E-2</v>
      </c>
      <c r="C223" s="30">
        <f>META[[#This Row],[Stopa zwrotu]]</f>
        <v>3.2581235579930423E-2</v>
      </c>
      <c r="D223" s="30">
        <f>GOOG[[#This Row],[Stopa zwrotu]]</f>
        <v>2.0049814642055352E-2</v>
      </c>
      <c r="E223" s="30">
        <f>EBAY[[#This Row],[Stopa zwrotu]]</f>
        <v>3.9258671287183411E-3</v>
      </c>
      <c r="F223" s="30">
        <f>AMZN[[#This Row],[Stopa zwrotu]]</f>
        <v>5.1387603542107918E-4</v>
      </c>
      <c r="H223" s="9">
        <v>44881</v>
      </c>
      <c r="I223" s="30">
        <v>3.5035433549579498E-3</v>
      </c>
      <c r="J223" s="30">
        <v>-1.52958652112275E-2</v>
      </c>
      <c r="K223" s="30">
        <v>9.0909402934737926E-3</v>
      </c>
      <c r="L223" s="30">
        <v>-1.5641929516444164E-2</v>
      </c>
      <c r="M223" s="31">
        <v>-1.8491833511067646E-2</v>
      </c>
      <c r="O223" s="9">
        <v>44944</v>
      </c>
      <c r="P223" s="30">
        <v>-7.2620703227057604E-3</v>
      </c>
      <c r="Q223" s="30">
        <v>-1.0800722532588458E-2</v>
      </c>
      <c r="R223" s="30">
        <v>6.1647514823757188E-3</v>
      </c>
      <c r="S223" s="30">
        <v>-1.9543974365775485E-3</v>
      </c>
      <c r="T223" s="31">
        <v>-3.656178721732517E-3</v>
      </c>
      <c r="V223" s="9">
        <v>44979</v>
      </c>
      <c r="W223" s="30">
        <v>-1.0700926998656324E-2</v>
      </c>
      <c r="X223" s="30">
        <v>-1.2741464604914432E-2</v>
      </c>
      <c r="Y223" s="30">
        <v>-1.2282576086956598E-2</v>
      </c>
      <c r="Z223" s="30">
        <v>-8.7828941865327748E-3</v>
      </c>
      <c r="AA223" s="31">
        <v>5.6222129719596392E-3</v>
      </c>
    </row>
    <row r="224" spans="1:27" x14ac:dyDescent="0.25">
      <c r="A224" s="7">
        <f>NFLX[[#This Row],[Date]]</f>
        <v>44881</v>
      </c>
      <c r="B224" s="30">
        <f>NFLX[[#This Row],[Stopa zwrotu]]</f>
        <v>3.5035433549579498E-3</v>
      </c>
      <c r="C224" s="30">
        <f>META[[#This Row],[Stopa zwrotu]]</f>
        <v>-1.52958652112275E-2</v>
      </c>
      <c r="D224" s="30">
        <f>GOOG[[#This Row],[Stopa zwrotu]]</f>
        <v>9.0909402934737926E-3</v>
      </c>
      <c r="E224" s="30">
        <f>EBAY[[#This Row],[Stopa zwrotu]]</f>
        <v>-1.5641929516444164E-2</v>
      </c>
      <c r="F224" s="30">
        <f>AMZN[[#This Row],[Stopa zwrotu]]</f>
        <v>-1.8491833511067646E-2</v>
      </c>
      <c r="H224" s="9">
        <v>44882</v>
      </c>
      <c r="I224" s="30">
        <v>-4.1533498972374017E-2</v>
      </c>
      <c r="J224" s="30">
        <v>-2.5386125496675849E-2</v>
      </c>
      <c r="K224" s="30">
        <v>-8.1918857633143105E-3</v>
      </c>
      <c r="L224" s="30">
        <v>-1.6331957264798969E-2</v>
      </c>
      <c r="M224" s="31">
        <v>-1.5804919240057336E-2</v>
      </c>
      <c r="O224" s="9">
        <v>44945</v>
      </c>
      <c r="P224" s="30">
        <v>-2.446687937743186E-2</v>
      </c>
      <c r="Q224" s="30">
        <v>-4.9699095262822901E-3</v>
      </c>
      <c r="R224" s="30">
        <v>-2.1887308054979737E-4</v>
      </c>
      <c r="S224" s="30">
        <v>-2.2193211971131777E-2</v>
      </c>
      <c r="T224" s="31">
        <v>-2.6420592149945299E-2</v>
      </c>
      <c r="V224" s="9">
        <v>44980</v>
      </c>
      <c r="W224" s="30">
        <v>-5.5645750286881013E-2</v>
      </c>
      <c r="X224" s="30">
        <v>-1.8268430452371698E-3</v>
      </c>
      <c r="Y224" s="30">
        <v>-9.4640802421894765E-3</v>
      </c>
      <c r="Z224" s="30">
        <v>-7.7848161272229377E-2</v>
      </c>
      <c r="AA224" s="31">
        <v>-1.1919883589033176E-2</v>
      </c>
    </row>
    <row r="225" spans="1:27" x14ac:dyDescent="0.25">
      <c r="A225" s="7">
        <f>NFLX[[#This Row],[Date]]</f>
        <v>44882</v>
      </c>
      <c r="B225" s="30">
        <f>NFLX[[#This Row],[Stopa zwrotu]]</f>
        <v>-4.1533498972374017E-2</v>
      </c>
      <c r="C225" s="30">
        <f>META[[#This Row],[Stopa zwrotu]]</f>
        <v>-2.5386125496675849E-2</v>
      </c>
      <c r="D225" s="30">
        <f>GOOG[[#This Row],[Stopa zwrotu]]</f>
        <v>-8.1918857633143105E-3</v>
      </c>
      <c r="E225" s="30">
        <f>EBAY[[#This Row],[Stopa zwrotu]]</f>
        <v>-1.6331957264798969E-2</v>
      </c>
      <c r="F225" s="30">
        <f>AMZN[[#This Row],[Stopa zwrotu]]</f>
        <v>-1.5804919240057336E-2</v>
      </c>
      <c r="H225" s="9">
        <v>44883</v>
      </c>
      <c r="I225" s="30">
        <v>-1.3745704467353903E-2</v>
      </c>
      <c r="J225" s="30">
        <v>7.4681236575193655E-3</v>
      </c>
      <c r="K225" s="30">
        <v>-3.7075180990220336E-3</v>
      </c>
      <c r="L225" s="30">
        <v>1.5256899259591616E-2</v>
      </c>
      <c r="M225" s="31">
        <v>-1.6484058454579009E-2</v>
      </c>
      <c r="O225" s="9">
        <v>44946</v>
      </c>
      <c r="P225" s="30">
        <v>6.1393117454619617E-2</v>
      </c>
      <c r="Q225" s="30">
        <v>1.8692311326565347E-2</v>
      </c>
      <c r="R225" s="30">
        <v>4.957328899890423E-2</v>
      </c>
      <c r="S225" s="30">
        <v>1.3351179647333788E-2</v>
      </c>
      <c r="T225" s="31">
        <v>3.6613826872562427E-3</v>
      </c>
      <c r="V225" s="9">
        <v>44981</v>
      </c>
      <c r="W225" s="30">
        <v>6.9997139166311229E-4</v>
      </c>
      <c r="X225" s="30">
        <v>-1.0154687384736016E-2</v>
      </c>
      <c r="Y225" s="30">
        <v>-1.2776369008413169E-2</v>
      </c>
      <c r="Z225" s="30">
        <v>1.3726882034474475E-2</v>
      </c>
      <c r="AA225" s="31">
        <v>-1.4412277450886801E-2</v>
      </c>
    </row>
    <row r="226" spans="1:27" x14ac:dyDescent="0.25">
      <c r="A226" s="7">
        <f>NFLX[[#This Row],[Date]]</f>
        <v>44883</v>
      </c>
      <c r="B226" s="30">
        <f>NFLX[[#This Row],[Stopa zwrotu]]</f>
        <v>-1.3745704467353903E-2</v>
      </c>
      <c r="C226" s="30">
        <f>META[[#This Row],[Stopa zwrotu]]</f>
        <v>7.4681236575193655E-3</v>
      </c>
      <c r="D226" s="30">
        <f>GOOG[[#This Row],[Stopa zwrotu]]</f>
        <v>-3.7075180990220336E-3</v>
      </c>
      <c r="E226" s="30">
        <f>EBAY[[#This Row],[Stopa zwrotu]]</f>
        <v>1.5256899259591616E-2</v>
      </c>
      <c r="F226" s="30">
        <f>AMZN[[#This Row],[Stopa zwrotu]]</f>
        <v>-1.6484058454579009E-2</v>
      </c>
      <c r="H226" s="9">
        <v>44886</v>
      </c>
      <c r="I226" s="30">
        <v>-5.0406457607432937E-3</v>
      </c>
      <c r="J226" s="30">
        <v>-4.3090488797039583E-3</v>
      </c>
      <c r="K226" s="30">
        <v>-3.6868583216909481E-3</v>
      </c>
      <c r="L226" s="30">
        <v>-5.2301952117863966E-3</v>
      </c>
      <c r="M226" s="31">
        <v>-6.8123087467171954E-3</v>
      </c>
      <c r="O226" s="9">
        <v>44949</v>
      </c>
      <c r="P226" s="30">
        <v>8.0169155716023344E-3</v>
      </c>
      <c r="Q226" s="30">
        <v>1.0028979941839452E-2</v>
      </c>
      <c r="R226" s="30">
        <v>9.8703502643303995E-3</v>
      </c>
      <c r="S226" s="30">
        <v>7.5391522279501339E-3</v>
      </c>
      <c r="T226" s="31">
        <v>9.5136054564465642E-3</v>
      </c>
      <c r="V226" s="9">
        <v>44984</v>
      </c>
      <c r="W226" s="30">
        <v>8.0546083617386213E-3</v>
      </c>
      <c r="X226" s="30">
        <v>2.7833988758981429E-3</v>
      </c>
      <c r="Y226" s="30">
        <v>2.8134143280057109E-3</v>
      </c>
      <c r="Z226" s="30">
        <v>5.7925297722290674E-3</v>
      </c>
      <c r="AA226" s="31">
        <v>2.960712738301563E-3</v>
      </c>
    </row>
    <row r="227" spans="1:27" x14ac:dyDescent="0.25">
      <c r="A227" s="7">
        <f>NFLX[[#This Row],[Date]]</f>
        <v>44886</v>
      </c>
      <c r="B227" s="30">
        <f>NFLX[[#This Row],[Stopa zwrotu]]</f>
        <v>-5.0406457607432937E-3</v>
      </c>
      <c r="C227" s="30">
        <f>META[[#This Row],[Stopa zwrotu]]</f>
        <v>-4.3090488797039583E-3</v>
      </c>
      <c r="D227" s="30">
        <f>GOOG[[#This Row],[Stopa zwrotu]]</f>
        <v>-3.6868583216909481E-3</v>
      </c>
      <c r="E227" s="30">
        <f>EBAY[[#This Row],[Stopa zwrotu]]</f>
        <v>-5.2301952117863966E-3</v>
      </c>
      <c r="F227" s="30">
        <f>AMZN[[#This Row],[Stopa zwrotu]]</f>
        <v>-6.8123087467171954E-3</v>
      </c>
      <c r="H227" s="9">
        <v>44887</v>
      </c>
      <c r="I227" s="30">
        <v>-1.8821226649384903E-2</v>
      </c>
      <c r="J227" s="30">
        <v>-7.9677807863764993E-3</v>
      </c>
      <c r="K227" s="30">
        <v>-1.3170210372535074E-2</v>
      </c>
      <c r="L227" s="30">
        <v>-2.9187471280029964E-3</v>
      </c>
      <c r="M227" s="31">
        <v>3.0909262872691468E-3</v>
      </c>
      <c r="O227" s="9">
        <v>44950</v>
      </c>
      <c r="P227" s="30">
        <v>4.2597568584717083E-2</v>
      </c>
      <c r="Q227" s="30">
        <v>1.9472067806950433E-2</v>
      </c>
      <c r="R227" s="30">
        <v>-5.0635949367094923E-4</v>
      </c>
      <c r="S227" s="30">
        <v>-1.2884260253381852E-3</v>
      </c>
      <c r="T227" s="31">
        <v>1.4604527283490487E-3</v>
      </c>
      <c r="V227" s="9">
        <v>44985</v>
      </c>
      <c r="W227" s="30">
        <v>-2.9491556399658947E-3</v>
      </c>
      <c r="X227" s="30">
        <v>1.6621300326763233E-2</v>
      </c>
      <c r="Y227" s="30">
        <v>-1.0043968195022623E-3</v>
      </c>
      <c r="Z227" s="30">
        <v>1.1091392586894733E-2</v>
      </c>
      <c r="AA227" s="31">
        <v>-2.3620464071509861E-3</v>
      </c>
    </row>
    <row r="228" spans="1:27" x14ac:dyDescent="0.25">
      <c r="A228" s="7">
        <f>NFLX[[#This Row],[Date]]</f>
        <v>44887</v>
      </c>
      <c r="B228" s="30">
        <f>NFLX[[#This Row],[Stopa zwrotu]]</f>
        <v>-1.8821226649384903E-2</v>
      </c>
      <c r="C228" s="30">
        <f>META[[#This Row],[Stopa zwrotu]]</f>
        <v>-7.9677807863764993E-3</v>
      </c>
      <c r="D228" s="30">
        <f>GOOG[[#This Row],[Stopa zwrotu]]</f>
        <v>-1.3170210372535074E-2</v>
      </c>
      <c r="E228" s="30">
        <f>EBAY[[#This Row],[Stopa zwrotu]]</f>
        <v>-2.9187471280029964E-3</v>
      </c>
      <c r="F228" s="30">
        <f>AMZN[[#This Row],[Stopa zwrotu]]</f>
        <v>3.0909262872691468E-3</v>
      </c>
      <c r="H228" s="9">
        <v>44888</v>
      </c>
      <c r="I228" s="30">
        <v>2.3148532821064993E-2</v>
      </c>
      <c r="J228" s="30">
        <v>2.2248919867060568E-2</v>
      </c>
      <c r="K228" s="30">
        <v>3.1034761951710177E-2</v>
      </c>
      <c r="L228" s="30">
        <v>1.5762238234631853E-2</v>
      </c>
      <c r="M228" s="31">
        <v>2.1569263071334888E-2</v>
      </c>
      <c r="O228" s="9">
        <v>44951</v>
      </c>
      <c r="P228" s="30">
        <v>9.4610149746150451E-3</v>
      </c>
      <c r="Q228" s="30">
        <v>-7.4278649729211388E-3</v>
      </c>
      <c r="R228" s="30">
        <v>-3.4832787279618693E-2</v>
      </c>
      <c r="S228" s="30">
        <v>-4.0851001541647447E-3</v>
      </c>
      <c r="T228" s="31">
        <v>-4.6666697916666666E-2</v>
      </c>
      <c r="V228" s="9">
        <v>44986</v>
      </c>
      <c r="W228" s="30">
        <v>-2.7431041639619069E-2</v>
      </c>
      <c r="X228" s="30">
        <v>6.8657010201229607E-3</v>
      </c>
      <c r="Y228" s="30">
        <v>3.6863383719729637E-3</v>
      </c>
      <c r="Z228" s="30">
        <v>-4.3879111720969144E-3</v>
      </c>
      <c r="AA228" s="31">
        <v>-1.4313409692497059E-2</v>
      </c>
    </row>
    <row r="229" spans="1:27" x14ac:dyDescent="0.25">
      <c r="A229" s="7">
        <f>NFLX[[#This Row],[Date]]</f>
        <v>44888</v>
      </c>
      <c r="B229" s="30">
        <f>NFLX[[#This Row],[Stopa zwrotu]]</f>
        <v>2.3148532821064993E-2</v>
      </c>
      <c r="C229" s="30">
        <f>META[[#This Row],[Stopa zwrotu]]</f>
        <v>2.2248919867060568E-2</v>
      </c>
      <c r="D229" s="30">
        <f>GOOG[[#This Row],[Stopa zwrotu]]</f>
        <v>3.1034761951710177E-2</v>
      </c>
      <c r="E229" s="30">
        <f>EBAY[[#This Row],[Stopa zwrotu]]</f>
        <v>1.5762238234631853E-2</v>
      </c>
      <c r="F229" s="30">
        <f>AMZN[[#This Row],[Stopa zwrotu]]</f>
        <v>2.1569263071334888E-2</v>
      </c>
      <c r="H229" s="9">
        <v>44890</v>
      </c>
      <c r="I229" s="30">
        <v>7.2244676055654988E-4</v>
      </c>
      <c r="J229" s="30">
        <v>1.3094644276312462E-3</v>
      </c>
      <c r="K229" s="30">
        <v>9.7597600065657542E-4</v>
      </c>
      <c r="L229" s="30">
        <v>-6.0962091310970967E-3</v>
      </c>
      <c r="M229" s="31">
        <v>1.29267475400896E-3</v>
      </c>
      <c r="O229" s="9">
        <v>44952</v>
      </c>
      <c r="P229" s="30">
        <v>8.9261143654115749E-3</v>
      </c>
      <c r="Q229" s="30">
        <v>2.1309992463972582E-2</v>
      </c>
      <c r="R229" s="30">
        <v>1.6354884252326229E-2</v>
      </c>
      <c r="S229" s="30">
        <v>3.9723661485319361E-2</v>
      </c>
      <c r="T229" s="31">
        <v>5.9003509364188522E-2</v>
      </c>
      <c r="V229" s="9">
        <v>44987</v>
      </c>
      <c r="W229" s="30">
        <v>-6.3387760759433531E-3</v>
      </c>
      <c r="X229" s="30">
        <v>-9.3615138509994811E-3</v>
      </c>
      <c r="Y229" s="30">
        <v>-8.9038399310814587E-4</v>
      </c>
      <c r="Z229" s="30">
        <v>-1.5425297147966255E-3</v>
      </c>
      <c r="AA229" s="31">
        <v>-1.3101834833577186E-2</v>
      </c>
    </row>
    <row r="230" spans="1:27" x14ac:dyDescent="0.25">
      <c r="A230" s="7">
        <f>NFLX[[#This Row],[Date]]</f>
        <v>44890</v>
      </c>
      <c r="B230" s="30">
        <f>NFLX[[#This Row],[Stopa zwrotu]]</f>
        <v>7.2244676055654988E-4</v>
      </c>
      <c r="C230" s="30">
        <f>META[[#This Row],[Stopa zwrotu]]</f>
        <v>1.3094644276312462E-3</v>
      </c>
      <c r="D230" s="30">
        <f>GOOG[[#This Row],[Stopa zwrotu]]</f>
        <v>9.7597600065657542E-4</v>
      </c>
      <c r="E230" s="30">
        <f>EBAY[[#This Row],[Stopa zwrotu]]</f>
        <v>-6.0962091310970967E-3</v>
      </c>
      <c r="F230" s="30">
        <f>AMZN[[#This Row],[Stopa zwrotu]]</f>
        <v>1.29267475400896E-3</v>
      </c>
      <c r="H230" s="9">
        <v>44893</v>
      </c>
      <c r="I230" s="30">
        <v>-4.2697608631914559E-3</v>
      </c>
      <c r="J230" s="30">
        <v>-7.9264999439695449E-3</v>
      </c>
      <c r="K230" s="30">
        <v>-5.6051130141677357E-3</v>
      </c>
      <c r="L230" s="30">
        <v>-2.3189781047506428E-3</v>
      </c>
      <c r="M230" s="31">
        <v>1.289352100569537E-3</v>
      </c>
      <c r="O230" s="9">
        <v>44953</v>
      </c>
      <c r="P230" s="30">
        <v>-3.0688857151600635E-3</v>
      </c>
      <c r="Q230" s="30">
        <v>2.8541492773032084E-2</v>
      </c>
      <c r="R230" s="30">
        <v>2.2206166081388146E-2</v>
      </c>
      <c r="S230" s="30">
        <v>1.4950186877076499E-2</v>
      </c>
      <c r="T230" s="31">
        <v>2.6929437204486817E-2</v>
      </c>
      <c r="V230" s="9">
        <v>44988</v>
      </c>
      <c r="W230" s="30">
        <v>1.4176235353819955E-3</v>
      </c>
      <c r="X230" s="30">
        <v>3.2783119812645589E-2</v>
      </c>
      <c r="Y230" s="30">
        <v>3.2193462143036422E-2</v>
      </c>
      <c r="Z230" s="30">
        <v>1.1035091347713744E-2</v>
      </c>
      <c r="AA230" s="31">
        <v>2.5113453093411398E-2</v>
      </c>
    </row>
    <row r="231" spans="1:27" x14ac:dyDescent="0.25">
      <c r="A231" s="7">
        <f>NFLX[[#This Row],[Date]]</f>
        <v>44893</v>
      </c>
      <c r="B231" s="30">
        <f>NFLX[[#This Row],[Stopa zwrotu]]</f>
        <v>-4.2697608631914559E-3</v>
      </c>
      <c r="C231" s="30">
        <f>META[[#This Row],[Stopa zwrotu]]</f>
        <v>-7.9264999439695449E-3</v>
      </c>
      <c r="D231" s="30">
        <f>GOOG[[#This Row],[Stopa zwrotu]]</f>
        <v>-5.6051130141677357E-3</v>
      </c>
      <c r="E231" s="30">
        <f>EBAY[[#This Row],[Stopa zwrotu]]</f>
        <v>-2.3189781047506428E-3</v>
      </c>
      <c r="F231" s="30">
        <f>AMZN[[#This Row],[Stopa zwrotu]]</f>
        <v>1.289352100569537E-3</v>
      </c>
      <c r="H231" s="9">
        <v>44894</v>
      </c>
      <c r="I231" s="30">
        <v>-1.6361875793540315E-2</v>
      </c>
      <c r="J231" s="30">
        <v>1.4763240858919335E-3</v>
      </c>
      <c r="K231" s="30">
        <v>-1.56429243470948E-2</v>
      </c>
      <c r="L231" s="30">
        <v>-1.4237310734463327E-2</v>
      </c>
      <c r="M231" s="31">
        <v>-2.1299347104784316E-2</v>
      </c>
      <c r="O231" s="9">
        <v>44956</v>
      </c>
      <c r="P231" s="30">
        <v>-7.145706652752863E-3</v>
      </c>
      <c r="Q231" s="30">
        <v>-9.9509691518033061E-4</v>
      </c>
      <c r="R231" s="30">
        <v>-4.8836481942307426E-3</v>
      </c>
      <c r="S231" s="30">
        <v>-3.8870702969093784E-3</v>
      </c>
      <c r="T231" s="31">
        <v>-1.7415084404183896E-3</v>
      </c>
      <c r="V231" s="9">
        <v>44991</v>
      </c>
      <c r="W231" s="30">
        <v>1.0938688812696846E-3</v>
      </c>
      <c r="X231" s="30">
        <v>1.428974088561108E-2</v>
      </c>
      <c r="Y231" s="30">
        <v>5.8997011626864548E-3</v>
      </c>
      <c r="Z231" s="30">
        <v>-8.5134393833928481E-3</v>
      </c>
      <c r="AA231" s="31">
        <v>3.8851498430757894E-3</v>
      </c>
    </row>
    <row r="232" spans="1:27" x14ac:dyDescent="0.25">
      <c r="A232" s="7">
        <f>NFLX[[#This Row],[Date]]</f>
        <v>44894</v>
      </c>
      <c r="B232" s="30">
        <f>NFLX[[#This Row],[Stopa zwrotu]]</f>
        <v>-1.6361875793540315E-2</v>
      </c>
      <c r="C232" s="30">
        <f>META[[#This Row],[Stopa zwrotu]]</f>
        <v>1.4763240858919335E-3</v>
      </c>
      <c r="D232" s="30">
        <f>GOOG[[#This Row],[Stopa zwrotu]]</f>
        <v>-1.56429243470948E-2</v>
      </c>
      <c r="E232" s="30">
        <f>EBAY[[#This Row],[Stopa zwrotu]]</f>
        <v>-1.4237310734463327E-2</v>
      </c>
      <c r="F232" s="30">
        <f>AMZN[[#This Row],[Stopa zwrotu]]</f>
        <v>-2.1299347104784316E-2</v>
      </c>
      <c r="H232" s="9">
        <v>44895</v>
      </c>
      <c r="I232" s="30">
        <v>1.6199180863961882E-2</v>
      </c>
      <c r="J232" s="30">
        <v>7.7390454418735377E-3</v>
      </c>
      <c r="K232" s="30">
        <v>2.9664053709759219E-3</v>
      </c>
      <c r="L232" s="30">
        <v>-2.0632737749490815E-3</v>
      </c>
      <c r="M232" s="31">
        <v>9.8421913857782428E-4</v>
      </c>
      <c r="O232" s="9">
        <v>44957</v>
      </c>
      <c r="P232" s="30">
        <v>-1.1761021868206378E-2</v>
      </c>
      <c r="Q232" s="30">
        <v>3.8789180785081534E-3</v>
      </c>
      <c r="R232" s="30">
        <v>2.7687039407928715E-3</v>
      </c>
      <c r="S232" s="30">
        <v>1.0142785962683032E-2</v>
      </c>
      <c r="T232" s="31">
        <v>2.1512947752490685E-2</v>
      </c>
      <c r="V232" s="9">
        <v>44992</v>
      </c>
      <c r="W232" s="30">
        <v>-1.6739356936112726E-2</v>
      </c>
      <c r="X232" s="30">
        <v>-3.4120667429162754E-3</v>
      </c>
      <c r="Y232" s="30">
        <v>-4.8356414156212058E-3</v>
      </c>
      <c r="Z232" s="30">
        <v>-1.8145094492497682E-2</v>
      </c>
      <c r="AA232" s="31">
        <v>-1.0241081933882623E-2</v>
      </c>
    </row>
    <row r="233" spans="1:27" x14ac:dyDescent="0.25">
      <c r="A233" s="7">
        <f>NFLX[[#This Row],[Date]]</f>
        <v>44895</v>
      </c>
      <c r="B233" s="30">
        <f>NFLX[[#This Row],[Stopa zwrotu]]</f>
        <v>1.6199180863961882E-2</v>
      </c>
      <c r="C233" s="30">
        <f>META[[#This Row],[Stopa zwrotu]]</f>
        <v>7.7390454418735377E-3</v>
      </c>
      <c r="D233" s="30">
        <f>GOOG[[#This Row],[Stopa zwrotu]]</f>
        <v>2.9664053709759219E-3</v>
      </c>
      <c r="E233" s="30">
        <f>EBAY[[#This Row],[Stopa zwrotu]]</f>
        <v>-2.0632737749490815E-3</v>
      </c>
      <c r="F233" s="30">
        <f>AMZN[[#This Row],[Stopa zwrotu]]</f>
        <v>9.8421913857782428E-4</v>
      </c>
      <c r="H233" s="9">
        <v>44896</v>
      </c>
      <c r="I233" s="30">
        <v>8.0667574898647176E-2</v>
      </c>
      <c r="J233" s="30">
        <v>8.2464849583054889E-2</v>
      </c>
      <c r="K233" s="30">
        <v>6.3378051407585234E-2</v>
      </c>
      <c r="L233" s="30">
        <v>3.4918447850182721E-2</v>
      </c>
      <c r="M233" s="31">
        <v>3.7037026516300919E-2</v>
      </c>
      <c r="O233" s="9">
        <v>44958</v>
      </c>
      <c r="P233" s="30">
        <v>3.4412922800368673E-3</v>
      </c>
      <c r="Q233" s="30">
        <v>-3.1182618460340317E-3</v>
      </c>
      <c r="R233" s="30">
        <v>6.4423457772537773E-3</v>
      </c>
      <c r="S233" s="30">
        <v>-2.2540984068463166E-3</v>
      </c>
      <c r="T233" s="31">
        <v>9.8871861764604496E-4</v>
      </c>
      <c r="V233" s="9">
        <v>44993</v>
      </c>
      <c r="W233" s="30">
        <v>-2.8373720376585476E-3</v>
      </c>
      <c r="X233" s="30">
        <v>-1.4510075933646949E-2</v>
      </c>
      <c r="Y233" s="30">
        <v>5.97797395724875E-3</v>
      </c>
      <c r="Z233" s="30">
        <v>-1.5286378494803743E-2</v>
      </c>
      <c r="AA233" s="31">
        <v>-6.4669002637087747E-3</v>
      </c>
    </row>
    <row r="234" spans="1:27" x14ac:dyDescent="0.25">
      <c r="A234" s="7">
        <f>NFLX[[#This Row],[Date]]</f>
        <v>44896</v>
      </c>
      <c r="B234" s="30">
        <f>NFLX[[#This Row],[Stopa zwrotu]]</f>
        <v>8.0667574898647176E-2</v>
      </c>
      <c r="C234" s="30">
        <f>META[[#This Row],[Stopa zwrotu]]</f>
        <v>8.2464849583054889E-2</v>
      </c>
      <c r="D234" s="30">
        <f>GOOG[[#This Row],[Stopa zwrotu]]</f>
        <v>6.3378051407585234E-2</v>
      </c>
      <c r="E234" s="30">
        <f>EBAY[[#This Row],[Stopa zwrotu]]</f>
        <v>3.4918447850182721E-2</v>
      </c>
      <c r="F234" s="30">
        <f>AMZN[[#This Row],[Stopa zwrotu]]</f>
        <v>3.7037026516300919E-2</v>
      </c>
      <c r="H234" s="9">
        <v>44897</v>
      </c>
      <c r="I234" s="30">
        <v>2.3001026376929801E-2</v>
      </c>
      <c r="J234" s="30">
        <v>-6.6723056305354467E-3</v>
      </c>
      <c r="K234" s="30">
        <v>-1.4900169164600574E-2</v>
      </c>
      <c r="L234" s="30">
        <v>-1.4872319974968295E-2</v>
      </c>
      <c r="M234" s="31">
        <v>-1.2010103497895219E-2</v>
      </c>
      <c r="O234" s="9">
        <v>44959</v>
      </c>
      <c r="P234" s="30">
        <v>2.4349086629715355E-2</v>
      </c>
      <c r="Q234" s="30">
        <v>0.22507824323511816</v>
      </c>
      <c r="R234" s="30">
        <v>8.2503588345937517E-2</v>
      </c>
      <c r="S234" s="30">
        <v>4.1076197187845498E-2</v>
      </c>
      <c r="T234" s="31">
        <v>7.5464234995342494E-2</v>
      </c>
      <c r="V234" s="9">
        <v>44994</v>
      </c>
      <c r="W234" s="30">
        <v>-3.5551905151267382E-2</v>
      </c>
      <c r="X234" s="30">
        <v>-5.7350447939792382E-3</v>
      </c>
      <c r="Y234" s="30">
        <v>-2.1714909397965276E-2</v>
      </c>
      <c r="Z234" s="30">
        <v>-5.5607506950879904E-3</v>
      </c>
      <c r="AA234" s="31">
        <v>0</v>
      </c>
    </row>
    <row r="235" spans="1:27" x14ac:dyDescent="0.25">
      <c r="A235" s="7">
        <f>NFLX[[#This Row],[Date]]</f>
        <v>44897</v>
      </c>
      <c r="B235" s="30">
        <f>NFLX[[#This Row],[Stopa zwrotu]]</f>
        <v>2.3001026376929801E-2</v>
      </c>
      <c r="C235" s="30">
        <f>META[[#This Row],[Stopa zwrotu]]</f>
        <v>-6.6723056305354467E-3</v>
      </c>
      <c r="D235" s="30">
        <f>GOOG[[#This Row],[Stopa zwrotu]]</f>
        <v>-1.4900169164600574E-2</v>
      </c>
      <c r="E235" s="30">
        <f>EBAY[[#This Row],[Stopa zwrotu]]</f>
        <v>-1.4872319974968295E-2</v>
      </c>
      <c r="F235" s="30">
        <f>AMZN[[#This Row],[Stopa zwrotu]]</f>
        <v>-1.2010103497895219E-2</v>
      </c>
      <c r="H235" s="9">
        <v>44900</v>
      </c>
      <c r="I235" s="30">
        <v>9.8926129032254439E-4</v>
      </c>
      <c r="J235" s="30">
        <v>1.0599997075645554E-2</v>
      </c>
      <c r="K235" s="30">
        <v>6.2184465641849462E-4</v>
      </c>
      <c r="L235" s="30">
        <v>-4.2061062594388092E-3</v>
      </c>
      <c r="M235" s="31">
        <v>-1.0521074257351382E-2</v>
      </c>
      <c r="O235" s="9">
        <v>44960</v>
      </c>
      <c r="P235" s="30">
        <v>1.5902882323801659E-3</v>
      </c>
      <c r="Q235" s="30">
        <v>1.5153169068535366E-2</v>
      </c>
      <c r="R235" s="30">
        <v>-3.0411094139186301E-2</v>
      </c>
      <c r="S235" s="30">
        <v>-1.1442059803552285E-2</v>
      </c>
      <c r="T235" s="31">
        <v>-5.8412933277358525E-2</v>
      </c>
      <c r="V235" s="9">
        <v>44995</v>
      </c>
      <c r="W235" s="30">
        <v>-1.9940331322227056E-2</v>
      </c>
      <c r="X235" s="30">
        <v>-8.3194674156494841E-3</v>
      </c>
      <c r="Y235" s="30">
        <v>-1.6837203719218041E-2</v>
      </c>
      <c r="Z235" s="30">
        <v>-2.9123952894872018E-2</v>
      </c>
      <c r="AA235" s="31">
        <v>-2.0937296593621202E-2</v>
      </c>
    </row>
    <row r="236" spans="1:27" x14ac:dyDescent="0.25">
      <c r="A236" s="7">
        <f>NFLX[[#This Row],[Date]]</f>
        <v>44900</v>
      </c>
      <c r="B236" s="30">
        <f>NFLX[[#This Row],[Stopa zwrotu]]</f>
        <v>9.8926129032254439E-4</v>
      </c>
      <c r="C236" s="30">
        <f>META[[#This Row],[Stopa zwrotu]]</f>
        <v>1.0599997075645554E-2</v>
      </c>
      <c r="D236" s="30">
        <f>GOOG[[#This Row],[Stopa zwrotu]]</f>
        <v>6.2184465641849462E-4</v>
      </c>
      <c r="E236" s="30">
        <f>EBAY[[#This Row],[Stopa zwrotu]]</f>
        <v>-4.2061062594388092E-3</v>
      </c>
      <c r="F236" s="30">
        <f>AMZN[[#This Row],[Stopa zwrotu]]</f>
        <v>-1.0521074257351382E-2</v>
      </c>
      <c r="H236" s="9">
        <v>44901</v>
      </c>
      <c r="I236" s="30">
        <v>-2.5054701126620671E-2</v>
      </c>
      <c r="J236" s="30">
        <v>-6.2711167082178276E-2</v>
      </c>
      <c r="K236" s="30">
        <v>-2.6118473369680206E-2</v>
      </c>
      <c r="L236" s="30">
        <v>-2.4646234596074956E-2</v>
      </c>
      <c r="M236" s="31">
        <v>-3.2151486456727496E-2</v>
      </c>
      <c r="O236" s="9">
        <v>44963</v>
      </c>
      <c r="P236" s="30">
        <v>1.5598820798514712E-3</v>
      </c>
      <c r="Q236" s="30">
        <v>4.7934186567157866E-3</v>
      </c>
      <c r="R236" s="30">
        <v>-3.5172764386722046E-3</v>
      </c>
      <c r="S236" s="30">
        <v>-3.0599280969880369E-3</v>
      </c>
      <c r="T236" s="31">
        <v>-6.0800983701420437E-3</v>
      </c>
      <c r="V236" s="9">
        <v>44998</v>
      </c>
      <c r="W236" s="30">
        <v>-4.2330023068050488E-3</v>
      </c>
      <c r="X236" s="30">
        <v>-7.4198283617105494E-3</v>
      </c>
      <c r="Y236" s="30">
        <v>-3.1571254463504581E-3</v>
      </c>
      <c r="Z236" s="30">
        <v>-5.1995682841165331E-3</v>
      </c>
      <c r="AA236" s="31">
        <v>-7.8670249307479425E-3</v>
      </c>
    </row>
    <row r="237" spans="1:27" x14ac:dyDescent="0.25">
      <c r="A237" s="7">
        <f>NFLX[[#This Row],[Date]]</f>
        <v>44901</v>
      </c>
      <c r="B237" s="30">
        <f>NFLX[[#This Row],[Stopa zwrotu]]</f>
        <v>-2.5054701126620671E-2</v>
      </c>
      <c r="C237" s="30">
        <f>META[[#This Row],[Stopa zwrotu]]</f>
        <v>-6.2711167082178276E-2</v>
      </c>
      <c r="D237" s="30">
        <f>GOOG[[#This Row],[Stopa zwrotu]]</f>
        <v>-2.6118473369680206E-2</v>
      </c>
      <c r="E237" s="30">
        <f>EBAY[[#This Row],[Stopa zwrotu]]</f>
        <v>-2.4646234596074956E-2</v>
      </c>
      <c r="F237" s="30">
        <f>AMZN[[#This Row],[Stopa zwrotu]]</f>
        <v>-3.2151486456727496E-2</v>
      </c>
      <c r="H237" s="9">
        <v>44902</v>
      </c>
      <c r="I237" s="30">
        <v>-3.3978787418288414E-3</v>
      </c>
      <c r="J237" s="30">
        <v>-7.5611131978391422E-3</v>
      </c>
      <c r="K237" s="30">
        <v>-1.793096283730955E-2</v>
      </c>
      <c r="L237" s="30">
        <v>5.1473324685387123E-3</v>
      </c>
      <c r="M237" s="31">
        <v>-4.7781455113050653E-3</v>
      </c>
      <c r="O237" s="9">
        <v>44964</v>
      </c>
      <c r="P237" s="30">
        <v>-1.8021515266027022E-2</v>
      </c>
      <c r="Q237" s="30">
        <v>-6.0371387227869944E-3</v>
      </c>
      <c r="R237" s="30">
        <v>1.3090676187170303E-2</v>
      </c>
      <c r="S237" s="30">
        <v>-1.1681812218255261E-2</v>
      </c>
      <c r="T237" s="31">
        <v>-2.5534028305334799E-2</v>
      </c>
      <c r="V237" s="9">
        <v>44999</v>
      </c>
      <c r="W237" s="30">
        <v>1.7453514270829196E-2</v>
      </c>
      <c r="X237" s="30">
        <v>6.715473361123947E-2</v>
      </c>
      <c r="Y237" s="30">
        <v>3.1576572568899897E-2</v>
      </c>
      <c r="Z237" s="30">
        <v>-9.7513651877133567E-3</v>
      </c>
      <c r="AA237" s="31">
        <v>5.2088014568043128E-2</v>
      </c>
    </row>
    <row r="238" spans="1:27" x14ac:dyDescent="0.25">
      <c r="A238" s="7">
        <f>NFLX[[#This Row],[Date]]</f>
        <v>44902</v>
      </c>
      <c r="B238" s="30">
        <f>NFLX[[#This Row],[Stopa zwrotu]]</f>
        <v>-3.3978787418288414E-3</v>
      </c>
      <c r="C238" s="30">
        <f>META[[#This Row],[Stopa zwrotu]]</f>
        <v>-7.5611131978391422E-3</v>
      </c>
      <c r="D238" s="30">
        <f>GOOG[[#This Row],[Stopa zwrotu]]</f>
        <v>-1.793096283730955E-2</v>
      </c>
      <c r="E238" s="30">
        <f>EBAY[[#This Row],[Stopa zwrotu]]</f>
        <v>5.1473324685387123E-3</v>
      </c>
      <c r="F238" s="30">
        <f>AMZN[[#This Row],[Stopa zwrotu]]</f>
        <v>-4.7781455113050653E-3</v>
      </c>
      <c r="H238" s="9">
        <v>44903</v>
      </c>
      <c r="I238" s="30">
        <v>8.9705128969774783E-3</v>
      </c>
      <c r="J238" s="30">
        <v>1.5148822160227393E-2</v>
      </c>
      <c r="K238" s="30">
        <v>-1.2891333588185505E-2</v>
      </c>
      <c r="L238" s="30">
        <v>6.9832171085477679E-3</v>
      </c>
      <c r="M238" s="31">
        <v>4.5724049643667275E-3</v>
      </c>
      <c r="O238" s="9">
        <v>44965</v>
      </c>
      <c r="P238" s="30">
        <v>1.1660751825696591E-2</v>
      </c>
      <c r="Q238" s="30">
        <v>-8.0260089379395883E-3</v>
      </c>
      <c r="R238" s="30">
        <v>-4.9184872209551256E-2</v>
      </c>
      <c r="S238" s="30">
        <v>-4.8909313226003226E-3</v>
      </c>
      <c r="T238" s="31">
        <v>7.1370002622961337E-3</v>
      </c>
      <c r="V238" s="9">
        <v>45000</v>
      </c>
      <c r="W238" s="30">
        <v>6.7858531003812672E-3</v>
      </c>
      <c r="X238" s="30">
        <v>2.2941670486081422E-2</v>
      </c>
      <c r="Y238" s="30">
        <v>2.802349674524196E-3</v>
      </c>
      <c r="Z238" s="30">
        <v>-1.2062974201451859E-2</v>
      </c>
      <c r="AA238" s="31">
        <v>3.8830870875103951E-3</v>
      </c>
    </row>
    <row r="239" spans="1:27" x14ac:dyDescent="0.25">
      <c r="A239" s="7">
        <f>NFLX[[#This Row],[Date]]</f>
        <v>44903</v>
      </c>
      <c r="B239" s="30">
        <f>NFLX[[#This Row],[Stopa zwrotu]]</f>
        <v>8.9705128969774783E-3</v>
      </c>
      <c r="C239" s="30">
        <f>META[[#This Row],[Stopa zwrotu]]</f>
        <v>1.5148822160227393E-2</v>
      </c>
      <c r="D239" s="30">
        <f>GOOG[[#This Row],[Stopa zwrotu]]</f>
        <v>-1.2891333588185505E-2</v>
      </c>
      <c r="E239" s="30">
        <f>EBAY[[#This Row],[Stopa zwrotu]]</f>
        <v>6.9832171085477679E-3</v>
      </c>
      <c r="F239" s="30">
        <f>AMZN[[#This Row],[Stopa zwrotu]]</f>
        <v>4.5724049643667275E-3</v>
      </c>
      <c r="H239" s="9">
        <v>44904</v>
      </c>
      <c r="I239" s="30">
        <v>4.8259542326429816E-2</v>
      </c>
      <c r="J239" s="30">
        <v>-6.2832099234910732E-3</v>
      </c>
      <c r="K239" s="30">
        <v>-8.3156287319094968E-3</v>
      </c>
      <c r="L239" s="30">
        <v>1.1558715282418142E-3</v>
      </c>
      <c r="M239" s="31">
        <v>8.5343653345824055E-3</v>
      </c>
      <c r="O239" s="9">
        <v>44966</v>
      </c>
      <c r="P239" s="30">
        <v>9.5726940893230417E-3</v>
      </c>
      <c r="Q239" s="30">
        <v>-3.0887787348434115E-2</v>
      </c>
      <c r="R239" s="30">
        <v>-4.6671077209464618E-2</v>
      </c>
      <c r="S239" s="30">
        <v>-1.3925864676393007E-2</v>
      </c>
      <c r="T239" s="31">
        <v>-1.2249433207627503E-2</v>
      </c>
      <c r="V239" s="9">
        <v>45001</v>
      </c>
      <c r="W239" s="30">
        <v>3.2263555605116956E-2</v>
      </c>
      <c r="X239" s="30">
        <v>2.7509956560678228E-2</v>
      </c>
      <c r="Y239" s="30">
        <v>3.0417046104717738E-2</v>
      </c>
      <c r="Z239" s="30">
        <v>2.4918763395993526E-3</v>
      </c>
      <c r="AA239" s="31">
        <v>2.7291296873321214E-2</v>
      </c>
    </row>
    <row r="240" spans="1:27" x14ac:dyDescent="0.25">
      <c r="A240" s="7">
        <f>NFLX[[#This Row],[Date]]</f>
        <v>44904</v>
      </c>
      <c r="B240" s="30">
        <f>NFLX[[#This Row],[Stopa zwrotu]]</f>
        <v>4.8259542326429816E-2</v>
      </c>
      <c r="C240" s="30">
        <f>META[[#This Row],[Stopa zwrotu]]</f>
        <v>-6.2832099234910732E-3</v>
      </c>
      <c r="D240" s="30">
        <f>GOOG[[#This Row],[Stopa zwrotu]]</f>
        <v>-8.3156287319094968E-3</v>
      </c>
      <c r="E240" s="30">
        <f>EBAY[[#This Row],[Stopa zwrotu]]</f>
        <v>1.1558715282418142E-3</v>
      </c>
      <c r="F240" s="30">
        <f>AMZN[[#This Row],[Stopa zwrotu]]</f>
        <v>8.5343653345824055E-3</v>
      </c>
      <c r="H240" s="9">
        <v>44907</v>
      </c>
      <c r="I240" s="30">
        <v>-1.1131262901990143E-2</v>
      </c>
      <c r="J240" s="30">
        <v>-2.1369514380944108E-3</v>
      </c>
      <c r="K240" s="30">
        <v>-4.0134560170612303E-3</v>
      </c>
      <c r="L240" s="30">
        <v>-1.6932270832010765E-3</v>
      </c>
      <c r="M240" s="31">
        <v>-2.8583024022141856E-3</v>
      </c>
      <c r="O240" s="9">
        <v>44967</v>
      </c>
      <c r="P240" s="30">
        <v>-4.036041190801154E-2</v>
      </c>
      <c r="Q240" s="30">
        <v>-2.2113148934097104E-2</v>
      </c>
      <c r="R240" s="30">
        <v>7.1382696874253693E-3</v>
      </c>
      <c r="S240" s="30">
        <v>-1.038421556036484E-2</v>
      </c>
      <c r="T240" s="31">
        <v>-1.3733698882853251E-2</v>
      </c>
      <c r="V240" s="9">
        <v>45002</v>
      </c>
      <c r="W240" s="30">
        <v>-5.667664482479795E-3</v>
      </c>
      <c r="X240" s="30">
        <v>-3.3658167854724308E-3</v>
      </c>
      <c r="Y240" s="30">
        <v>5.0902230596571618E-2</v>
      </c>
      <c r="Z240" s="30">
        <v>1.7648496147153914E-2</v>
      </c>
      <c r="AA240" s="31">
        <v>1.9349419314408367E-2</v>
      </c>
    </row>
    <row r="241" spans="1:27" x14ac:dyDescent="0.25">
      <c r="A241" s="7">
        <f>NFLX[[#This Row],[Date]]</f>
        <v>44907</v>
      </c>
      <c r="B241" s="30">
        <f>NFLX[[#This Row],[Stopa zwrotu]]</f>
        <v>-1.1131262901990143E-2</v>
      </c>
      <c r="C241" s="30">
        <f>META[[#This Row],[Stopa zwrotu]]</f>
        <v>-2.1369514380944108E-3</v>
      </c>
      <c r="D241" s="30">
        <f>GOOG[[#This Row],[Stopa zwrotu]]</f>
        <v>-4.0134560170612303E-3</v>
      </c>
      <c r="E241" s="30">
        <f>EBAY[[#This Row],[Stopa zwrotu]]</f>
        <v>-1.6932270832010765E-3</v>
      </c>
      <c r="F241" s="30">
        <f>AMZN[[#This Row],[Stopa zwrotu]]</f>
        <v>-2.8583024022141856E-3</v>
      </c>
      <c r="H241" s="9">
        <v>44908</v>
      </c>
      <c r="I241" s="30">
        <v>2.7035796787389543E-2</v>
      </c>
      <c r="J241" s="30">
        <v>4.8612339125087001E-2</v>
      </c>
      <c r="K241" s="30">
        <v>3.7867191776557396E-2</v>
      </c>
      <c r="L241" s="30">
        <v>5.3376653515895267E-3</v>
      </c>
      <c r="M241" s="31">
        <v>3.0158118920287302E-2</v>
      </c>
      <c r="O241" s="9">
        <v>44970</v>
      </c>
      <c r="P241" s="30">
        <v>-2.7750714170284851E-3</v>
      </c>
      <c r="Q241" s="30">
        <v>4.7495450716434906E-3</v>
      </c>
      <c r="R241" s="30">
        <v>-1.692570277787353E-3</v>
      </c>
      <c r="S241" s="30">
        <v>1.8887442369187231E-3</v>
      </c>
      <c r="T241" s="31">
        <v>2.3554711933241692E-3</v>
      </c>
      <c r="V241" s="9">
        <v>45005</v>
      </c>
      <c r="W241" s="30">
        <v>-4.4444444444444358E-3</v>
      </c>
      <c r="X241" s="30">
        <v>-3.0530864659380486E-3</v>
      </c>
      <c r="Y241" s="30">
        <v>1.3234408602154821E-4</v>
      </c>
      <c r="Z241" s="30">
        <v>8.6305245553783827E-3</v>
      </c>
      <c r="AA241" s="31">
        <v>-6.0195704838180335E-3</v>
      </c>
    </row>
    <row r="242" spans="1:27" x14ac:dyDescent="0.25">
      <c r="A242" s="7">
        <f>NFLX[[#This Row],[Date]]</f>
        <v>44908</v>
      </c>
      <c r="B242" s="30">
        <f>NFLX[[#This Row],[Stopa zwrotu]]</f>
        <v>2.7035796787389543E-2</v>
      </c>
      <c r="C242" s="30">
        <f>META[[#This Row],[Stopa zwrotu]]</f>
        <v>4.8612339125087001E-2</v>
      </c>
      <c r="D242" s="30">
        <f>GOOG[[#This Row],[Stopa zwrotu]]</f>
        <v>3.7867191776557396E-2</v>
      </c>
      <c r="E242" s="30">
        <f>EBAY[[#This Row],[Stopa zwrotu]]</f>
        <v>5.3376653515895267E-3</v>
      </c>
      <c r="F242" s="30">
        <f>AMZN[[#This Row],[Stopa zwrotu]]</f>
        <v>3.0158118920287302E-2</v>
      </c>
      <c r="H242" s="9">
        <v>44909</v>
      </c>
      <c r="I242" s="30">
        <v>-8.7641831488960431E-3</v>
      </c>
      <c r="J242" s="30">
        <v>6.3216453668377692E-3</v>
      </c>
      <c r="K242" s="30">
        <v>-1.5097452770940989E-2</v>
      </c>
      <c r="L242" s="30">
        <v>-9.6952446906740652E-3</v>
      </c>
      <c r="M242" s="31">
        <v>-7.180667493835724E-3</v>
      </c>
      <c r="O242" s="9">
        <v>44971</v>
      </c>
      <c r="P242" s="30">
        <v>2.657950326797387E-2</v>
      </c>
      <c r="Q242" s="30">
        <v>3.4124671602375756E-4</v>
      </c>
      <c r="R242" s="30">
        <v>-1.4885709254044421E-2</v>
      </c>
      <c r="S242" s="30">
        <v>6.0517740422276756E-3</v>
      </c>
      <c r="T242" s="31">
        <v>6.2944275598213473E-3</v>
      </c>
      <c r="V242" s="9">
        <v>45006</v>
      </c>
      <c r="W242" s="30">
        <v>1.4966192567567704E-2</v>
      </c>
      <c r="X242" s="30">
        <v>2.2257787762124615E-2</v>
      </c>
      <c r="Y242" s="30">
        <v>1.0616132447503368E-2</v>
      </c>
      <c r="Z242" s="30">
        <v>2.6190428571428503E-2</v>
      </c>
      <c r="AA242" s="31">
        <v>2.4033469927904116E-2</v>
      </c>
    </row>
    <row r="243" spans="1:27" x14ac:dyDescent="0.25">
      <c r="A243" s="7">
        <f>NFLX[[#This Row],[Date]]</f>
        <v>44909</v>
      </c>
      <c r="B243" s="30">
        <f>NFLX[[#This Row],[Stopa zwrotu]]</f>
        <v>-8.7641831488960431E-3</v>
      </c>
      <c r="C243" s="30">
        <f>META[[#This Row],[Stopa zwrotu]]</f>
        <v>6.3216453668377692E-3</v>
      </c>
      <c r="D243" s="30">
        <f>GOOG[[#This Row],[Stopa zwrotu]]</f>
        <v>-1.5097452770940989E-2</v>
      </c>
      <c r="E243" s="30">
        <f>EBAY[[#This Row],[Stopa zwrotu]]</f>
        <v>-9.6952446906740652E-3</v>
      </c>
      <c r="F243" s="30">
        <f>AMZN[[#This Row],[Stopa zwrotu]]</f>
        <v>-7.180667493835724E-3</v>
      </c>
      <c r="H243" s="9">
        <v>44910</v>
      </c>
      <c r="I243" s="30">
        <v>-8.8639475375888344E-2</v>
      </c>
      <c r="J243" s="30">
        <v>-4.5062375785764108E-2</v>
      </c>
      <c r="K243" s="30">
        <v>-3.7364295563885541E-2</v>
      </c>
      <c r="L243" s="30">
        <v>-2.0746013018833831E-2</v>
      </c>
      <c r="M243" s="31">
        <v>-2.6705262266431662E-2</v>
      </c>
      <c r="O243" s="9">
        <v>44972</v>
      </c>
      <c r="P243" s="30">
        <v>2.3768987387136065E-3</v>
      </c>
      <c r="Q243" s="30">
        <v>-3.1271491037312416E-3</v>
      </c>
      <c r="R243" s="30">
        <v>1.8456545742977948E-2</v>
      </c>
      <c r="S243" s="30">
        <v>0</v>
      </c>
      <c r="T243" s="31">
        <v>9.5365056256102587E-3</v>
      </c>
      <c r="V243" s="9">
        <v>45007</v>
      </c>
      <c r="W243" s="30">
        <v>-2.2933742171341809E-2</v>
      </c>
      <c r="X243" s="30">
        <v>8.6890680781368523E-3</v>
      </c>
      <c r="Y243" s="30">
        <v>2.3070861740910553E-2</v>
      </c>
      <c r="Z243" s="30">
        <v>-6.2644086433599755E-3</v>
      </c>
      <c r="AA243" s="31">
        <v>6.2245000000000772E-3</v>
      </c>
    </row>
    <row r="244" spans="1:27" x14ac:dyDescent="0.25">
      <c r="A244" s="7">
        <f>NFLX[[#This Row],[Date]]</f>
        <v>44910</v>
      </c>
      <c r="B244" s="30">
        <f>NFLX[[#This Row],[Stopa zwrotu]]</f>
        <v>-8.8639475375888344E-2</v>
      </c>
      <c r="C244" s="30">
        <f>META[[#This Row],[Stopa zwrotu]]</f>
        <v>-4.5062375785764108E-2</v>
      </c>
      <c r="D244" s="30">
        <f>GOOG[[#This Row],[Stopa zwrotu]]</f>
        <v>-3.7364295563885541E-2</v>
      </c>
      <c r="E244" s="30">
        <f>EBAY[[#This Row],[Stopa zwrotu]]</f>
        <v>-2.0746013018833831E-2</v>
      </c>
      <c r="F244" s="30">
        <f>AMZN[[#This Row],[Stopa zwrotu]]</f>
        <v>-2.6705262266431662E-2</v>
      </c>
      <c r="H244" s="9">
        <v>44911</v>
      </c>
      <c r="I244" s="30">
        <v>7.5031376375420678E-3</v>
      </c>
      <c r="J244" s="30">
        <v>4.218926335954265E-2</v>
      </c>
      <c r="K244" s="30">
        <v>-4.6444542740241568E-3</v>
      </c>
      <c r="L244" s="30">
        <v>-3.3087337923700999E-2</v>
      </c>
      <c r="M244" s="31">
        <v>-8.4600204817649738E-3</v>
      </c>
      <c r="O244" s="9">
        <v>44973</v>
      </c>
      <c r="P244" s="30">
        <v>-1.1094151171356925E-2</v>
      </c>
      <c r="Q244" s="30">
        <v>-2.0190549019670878E-2</v>
      </c>
      <c r="R244" s="30">
        <v>6.4646035771025456E-3</v>
      </c>
      <c r="S244" s="30">
        <v>1.6594482816727485E-3</v>
      </c>
      <c r="T244" s="31">
        <v>-3.5550940646549289E-3</v>
      </c>
      <c r="V244" s="9">
        <v>45008</v>
      </c>
      <c r="W244" s="30">
        <v>3.6110941183489675E-2</v>
      </c>
      <c r="X244" s="30">
        <v>1.2420473906149976E-2</v>
      </c>
      <c r="Y244" s="30">
        <v>1.1515257763317077E-2</v>
      </c>
      <c r="Z244" s="30">
        <v>-1.8912023398924838E-2</v>
      </c>
      <c r="AA244" s="31">
        <v>-1.003952935767638E-2</v>
      </c>
    </row>
    <row r="245" spans="1:27" x14ac:dyDescent="0.25">
      <c r="A245" s="7">
        <f>NFLX[[#This Row],[Date]]</f>
        <v>44911</v>
      </c>
      <c r="B245" s="30">
        <f>NFLX[[#This Row],[Stopa zwrotu]]</f>
        <v>7.5031376375420678E-3</v>
      </c>
      <c r="C245" s="30">
        <f>META[[#This Row],[Stopa zwrotu]]</f>
        <v>4.218926335954265E-2</v>
      </c>
      <c r="D245" s="30">
        <f>GOOG[[#This Row],[Stopa zwrotu]]</f>
        <v>-4.6444542740241568E-3</v>
      </c>
      <c r="E245" s="30">
        <f>EBAY[[#This Row],[Stopa zwrotu]]</f>
        <v>-3.3087337923700999E-2</v>
      </c>
      <c r="F245" s="30">
        <f>AMZN[[#This Row],[Stopa zwrotu]]</f>
        <v>-8.4600204817649738E-3</v>
      </c>
      <c r="H245" s="9">
        <v>44914</v>
      </c>
      <c r="I245" s="30">
        <v>-2.9673327481538614E-3</v>
      </c>
      <c r="J245" s="30">
        <v>-1.2596078101329752E-2</v>
      </c>
      <c r="K245" s="30">
        <v>-4.0180682734940092E-3</v>
      </c>
      <c r="L245" s="30">
        <v>1.6412276786777666E-4</v>
      </c>
      <c r="M245" s="31">
        <v>-8.5322299981164616E-3</v>
      </c>
      <c r="O245" s="9">
        <v>44974</v>
      </c>
      <c r="P245" s="30">
        <v>-2.2465804701354841E-2</v>
      </c>
      <c r="Q245" s="30">
        <v>-1.2165993859723945E-2</v>
      </c>
      <c r="R245" s="30">
        <v>-1.600509617768664E-2</v>
      </c>
      <c r="S245" s="30">
        <v>-1.1182459905105357E-2</v>
      </c>
      <c r="T245" s="31">
        <v>-2.4974475534647822E-2</v>
      </c>
      <c r="V245" s="9">
        <v>45009</v>
      </c>
      <c r="W245" s="30">
        <v>5.4218416475056541E-2</v>
      </c>
      <c r="X245" s="30">
        <v>6.925595060863543E-3</v>
      </c>
      <c r="Y245" s="30">
        <v>-6.3561898735911004E-3</v>
      </c>
      <c r="Z245" s="30">
        <v>-8.5673488814851373E-3</v>
      </c>
      <c r="AA245" s="31">
        <v>-1.2497448909113418E-2</v>
      </c>
    </row>
    <row r="246" spans="1:27" x14ac:dyDescent="0.25">
      <c r="A246" s="7">
        <f>NFLX[[#This Row],[Date]]</f>
        <v>44914</v>
      </c>
      <c r="B246" s="30">
        <f>NFLX[[#This Row],[Stopa zwrotu]]</f>
        <v>-2.9673327481538614E-3</v>
      </c>
      <c r="C246" s="30">
        <f>META[[#This Row],[Stopa zwrotu]]</f>
        <v>-1.2596078101329752E-2</v>
      </c>
      <c r="D246" s="30">
        <f>GOOG[[#This Row],[Stopa zwrotu]]</f>
        <v>-4.0180682734940092E-3</v>
      </c>
      <c r="E246" s="30">
        <f>EBAY[[#This Row],[Stopa zwrotu]]</f>
        <v>1.6412276786777666E-4</v>
      </c>
      <c r="F246" s="30">
        <f>AMZN[[#This Row],[Stopa zwrotu]]</f>
        <v>-8.5322299981164616E-3</v>
      </c>
      <c r="H246" s="9">
        <v>44915</v>
      </c>
      <c r="I246" s="30">
        <v>-1.8592971401234171E-2</v>
      </c>
      <c r="J246" s="30">
        <v>-1.6356187940939626E-2</v>
      </c>
      <c r="K246" s="30">
        <v>-9.9522290710521988E-3</v>
      </c>
      <c r="L246" s="30">
        <v>2.4613681708007817E-4</v>
      </c>
      <c r="M246" s="31">
        <v>-2.1299254022028036E-3</v>
      </c>
      <c r="O246" s="9">
        <v>44978</v>
      </c>
      <c r="P246" s="30">
        <v>-4.3949224425013367E-3</v>
      </c>
      <c r="Q246" s="30">
        <v>3.2115616360323673E-3</v>
      </c>
      <c r="R246" s="30">
        <v>-3.8790718206229424E-3</v>
      </c>
      <c r="S246" s="30">
        <v>3.6649214659684182E-4</v>
      </c>
      <c r="T246" s="31">
        <v>-3.6069131498815687E-3</v>
      </c>
      <c r="V246" s="9">
        <v>45012</v>
      </c>
      <c r="W246" s="30">
        <v>3.929762177643588E-3</v>
      </c>
      <c r="X246" s="30">
        <v>-3.5863456443508968E-3</v>
      </c>
      <c r="Y246" s="30">
        <v>-6.7150437282485669E-3</v>
      </c>
      <c r="Z246" s="30">
        <v>7.121131381020958E-3</v>
      </c>
      <c r="AA246" s="31">
        <v>2.3513139207887632E-3</v>
      </c>
    </row>
    <row r="247" spans="1:27" x14ac:dyDescent="0.25">
      <c r="A247" s="7">
        <f>NFLX[[#This Row],[Date]]</f>
        <v>44915</v>
      </c>
      <c r="B247" s="30">
        <f>NFLX[[#This Row],[Stopa zwrotu]]</f>
        <v>-1.8592971401234171E-2</v>
      </c>
      <c r="C247" s="30">
        <f>META[[#This Row],[Stopa zwrotu]]</f>
        <v>-1.6356187940939626E-2</v>
      </c>
      <c r="D247" s="30">
        <f>GOOG[[#This Row],[Stopa zwrotu]]</f>
        <v>-9.9522290710521988E-3</v>
      </c>
      <c r="E247" s="30">
        <f>EBAY[[#This Row],[Stopa zwrotu]]</f>
        <v>2.4613681708007817E-4</v>
      </c>
      <c r="F247" s="30">
        <f>AMZN[[#This Row],[Stopa zwrotu]]</f>
        <v>-2.1299254022028036E-3</v>
      </c>
      <c r="H247" s="9">
        <v>44916</v>
      </c>
      <c r="I247" s="30">
        <v>2.0262818420019313E-2</v>
      </c>
      <c r="J247" s="30">
        <v>2.8098915419695114E-2</v>
      </c>
      <c r="K247" s="30">
        <v>9.8819058395966941E-3</v>
      </c>
      <c r="L247" s="30">
        <v>8.8559897241826668E-3</v>
      </c>
      <c r="M247" s="31">
        <v>1.0435159244986281E-2</v>
      </c>
      <c r="O247" s="9">
        <v>44979</v>
      </c>
      <c r="P247" s="30">
        <v>-1.0700926998656324E-2</v>
      </c>
      <c r="Q247" s="30">
        <v>-1.2741464604914432E-2</v>
      </c>
      <c r="R247" s="30">
        <v>-1.2282576086956598E-2</v>
      </c>
      <c r="S247" s="30">
        <v>-8.7828941865327748E-3</v>
      </c>
      <c r="T247" s="31">
        <v>5.6222129719596392E-3</v>
      </c>
      <c r="V247" s="9">
        <v>45013</v>
      </c>
      <c r="W247" s="30">
        <v>-9.6482998717882795E-3</v>
      </c>
      <c r="X247" s="30">
        <v>-1.7183189227338191E-2</v>
      </c>
      <c r="Y247" s="30">
        <v>-2.2897769352950514E-2</v>
      </c>
      <c r="Z247" s="30">
        <v>2.3506463537170674E-4</v>
      </c>
      <c r="AA247" s="31">
        <v>-8.1376285921377356E-3</v>
      </c>
    </row>
    <row r="248" spans="1:27" x14ac:dyDescent="0.25">
      <c r="A248" s="7">
        <f>NFLX[[#This Row],[Date]]</f>
        <v>44916</v>
      </c>
      <c r="B248" s="30">
        <f>NFLX[[#This Row],[Stopa zwrotu]]</f>
        <v>2.0262818420019313E-2</v>
      </c>
      <c r="C248" s="30">
        <f>META[[#This Row],[Stopa zwrotu]]</f>
        <v>2.8098915419695114E-2</v>
      </c>
      <c r="D248" s="30">
        <f>GOOG[[#This Row],[Stopa zwrotu]]</f>
        <v>9.8819058395966941E-3</v>
      </c>
      <c r="E248" s="30">
        <f>EBAY[[#This Row],[Stopa zwrotu]]</f>
        <v>8.8559897241826668E-3</v>
      </c>
      <c r="F248" s="30">
        <f>AMZN[[#This Row],[Stopa zwrotu]]</f>
        <v>1.0435159244986281E-2</v>
      </c>
      <c r="H248" s="9">
        <v>44917</v>
      </c>
      <c r="I248" s="30">
        <v>1.5043623036649301E-2</v>
      </c>
      <c r="J248" s="30">
        <v>-1.0724839714802537E-2</v>
      </c>
      <c r="K248" s="30">
        <v>-2.2157259153874231E-2</v>
      </c>
      <c r="L248" s="30">
        <v>-3.7307926715821949E-2</v>
      </c>
      <c r="M248" s="31">
        <v>-3.4737695513879729E-2</v>
      </c>
      <c r="O248" s="9">
        <v>44980</v>
      </c>
      <c r="P248" s="30">
        <v>-5.5645750286881013E-2</v>
      </c>
      <c r="Q248" s="30">
        <v>-1.8268430452371698E-3</v>
      </c>
      <c r="R248" s="30">
        <v>-9.4640802421894765E-3</v>
      </c>
      <c r="S248" s="30">
        <v>-7.7848161272229377E-2</v>
      </c>
      <c r="T248" s="31">
        <v>-1.1919883589033176E-2</v>
      </c>
      <c r="V248" s="9">
        <v>45014</v>
      </c>
      <c r="W248" s="30">
        <v>1.3850884007255093E-2</v>
      </c>
      <c r="X248" s="30">
        <v>2.3446180599682176E-2</v>
      </c>
      <c r="Y248" s="30">
        <v>7.4790587104014428E-3</v>
      </c>
      <c r="Z248" s="30">
        <v>1.5037593631635593E-2</v>
      </c>
      <c r="AA248" s="31">
        <v>2.3574586939717479E-2</v>
      </c>
    </row>
    <row r="249" spans="1:27" x14ac:dyDescent="0.25">
      <c r="A249" s="7">
        <f>NFLX[[#This Row],[Date]]</f>
        <v>44917</v>
      </c>
      <c r="B249" s="30">
        <f>NFLX[[#This Row],[Stopa zwrotu]]</f>
        <v>1.5043623036649301E-2</v>
      </c>
      <c r="C249" s="30">
        <f>META[[#This Row],[Stopa zwrotu]]</f>
        <v>-1.0724839714802537E-2</v>
      </c>
      <c r="D249" s="30">
        <f>GOOG[[#This Row],[Stopa zwrotu]]</f>
        <v>-2.2157259153874231E-2</v>
      </c>
      <c r="E249" s="30">
        <f>EBAY[[#This Row],[Stopa zwrotu]]</f>
        <v>-3.7307926715821949E-2</v>
      </c>
      <c r="F249" s="30">
        <f>AMZN[[#This Row],[Stopa zwrotu]]</f>
        <v>-3.4737695513879729E-2</v>
      </c>
      <c r="H249" s="9">
        <v>44918</v>
      </c>
      <c r="I249" s="30">
        <v>3.7825590851934265E-3</v>
      </c>
      <c r="J249" s="30">
        <v>1.0141668389797243E-2</v>
      </c>
      <c r="K249" s="30">
        <v>7.8214974046122432E-3</v>
      </c>
      <c r="L249" s="30">
        <v>1.2664387031409152E-3</v>
      </c>
      <c r="M249" s="31">
        <v>8.2674772036475108E-3</v>
      </c>
      <c r="O249" s="9">
        <v>44981</v>
      </c>
      <c r="P249" s="30">
        <v>6.9997139166311229E-4</v>
      </c>
      <c r="Q249" s="30">
        <v>-1.0154687384736016E-2</v>
      </c>
      <c r="R249" s="30">
        <v>-1.2776369008413169E-2</v>
      </c>
      <c r="S249" s="30">
        <v>1.3726882034474475E-2</v>
      </c>
      <c r="T249" s="31">
        <v>-1.4412277450886801E-2</v>
      </c>
      <c r="V249" s="9">
        <v>45015</v>
      </c>
      <c r="W249" s="30">
        <v>2.938008988063423E-2</v>
      </c>
      <c r="X249" s="30">
        <v>1.3825121441570776E-3</v>
      </c>
      <c r="Y249" s="30">
        <v>-7.3245373386572332E-3</v>
      </c>
      <c r="Z249" s="30">
        <v>9.95370347329394E-3</v>
      </c>
      <c r="AA249" s="31">
        <v>2.4857995634293806E-2</v>
      </c>
    </row>
    <row r="250" spans="1:27" x14ac:dyDescent="0.25">
      <c r="A250" s="7">
        <f>NFLX[[#This Row],[Date]]</f>
        <v>44918</v>
      </c>
      <c r="B250" s="30">
        <f>NFLX[[#This Row],[Stopa zwrotu]]</f>
        <v>3.7825590851934265E-3</v>
      </c>
      <c r="C250" s="30">
        <f>META[[#This Row],[Stopa zwrotu]]</f>
        <v>1.0141668389797243E-2</v>
      </c>
      <c r="D250" s="30">
        <f>GOOG[[#This Row],[Stopa zwrotu]]</f>
        <v>7.8214974046122432E-3</v>
      </c>
      <c r="E250" s="30">
        <f>EBAY[[#This Row],[Stopa zwrotu]]</f>
        <v>1.2664387031409152E-3</v>
      </c>
      <c r="F250" s="30">
        <f>AMZN[[#This Row],[Stopa zwrotu]]</f>
        <v>8.2674772036475108E-3</v>
      </c>
      <c r="H250" s="9">
        <v>44922</v>
      </c>
      <c r="I250" s="30">
        <v>-8.3758683035748405E-3</v>
      </c>
      <c r="J250" s="30">
        <v>1.1035182525227505E-3</v>
      </c>
      <c r="K250" s="30">
        <v>-2.4252167624325138E-4</v>
      </c>
      <c r="L250" s="30">
        <v>1.0751454863431875E-3</v>
      </c>
      <c r="M250" s="31">
        <v>2.1102134330153177E-4</v>
      </c>
      <c r="O250" s="9">
        <v>44984</v>
      </c>
      <c r="P250" s="30">
        <v>8.0546083617386213E-3</v>
      </c>
      <c r="Q250" s="30">
        <v>2.7833988758981429E-3</v>
      </c>
      <c r="R250" s="30">
        <v>2.8134143280057109E-3</v>
      </c>
      <c r="S250" s="30">
        <v>5.7925297722290674E-3</v>
      </c>
      <c r="T250" s="31">
        <v>2.960712738301563E-3</v>
      </c>
      <c r="V250" s="9">
        <v>45016</v>
      </c>
      <c r="W250" s="30">
        <v>5.6666390337003492E-3</v>
      </c>
      <c r="X250" s="30">
        <v>1.9475381440056783E-2</v>
      </c>
      <c r="Y250" s="30">
        <v>1.1466756292085378E-2</v>
      </c>
      <c r="Z250" s="30">
        <v>2.5212238707030821E-3</v>
      </c>
      <c r="AA250" s="31">
        <v>9.3059596217015539E-3</v>
      </c>
    </row>
    <row r="251" spans="1:27" x14ac:dyDescent="0.25">
      <c r="A251" s="7">
        <f>NFLX[[#This Row],[Date]]</f>
        <v>44922</v>
      </c>
      <c r="B251" s="30">
        <f>NFLX[[#This Row],[Stopa zwrotu]]</f>
        <v>-8.3758683035748405E-3</v>
      </c>
      <c r="C251" s="30">
        <f>META[[#This Row],[Stopa zwrotu]]</f>
        <v>1.1035182525227505E-3</v>
      </c>
      <c r="D251" s="30">
        <f>GOOG[[#This Row],[Stopa zwrotu]]</f>
        <v>-2.4252167624325138E-4</v>
      </c>
      <c r="E251" s="30">
        <f>EBAY[[#This Row],[Stopa zwrotu]]</f>
        <v>1.0751454863431875E-3</v>
      </c>
      <c r="F251" s="30">
        <f>AMZN[[#This Row],[Stopa zwrotu]]</f>
        <v>2.1102134330153177E-4</v>
      </c>
      <c r="H251" s="9">
        <v>44923</v>
      </c>
      <c r="I251" s="30">
        <v>-3.0907740564496078E-2</v>
      </c>
      <c r="J251" s="30">
        <v>-4.6531752351613997E-3</v>
      </c>
      <c r="K251" s="30">
        <v>-1.3308972945268893E-2</v>
      </c>
      <c r="L251" s="30">
        <v>1.5112594077768549E-3</v>
      </c>
      <c r="M251" s="31">
        <v>-1.5783108433734871E-2</v>
      </c>
      <c r="O251" s="9">
        <v>44985</v>
      </c>
      <c r="P251" s="30">
        <v>-2.9491556399658947E-3</v>
      </c>
      <c r="Q251" s="30">
        <v>1.6621300326763233E-2</v>
      </c>
      <c r="R251" s="30">
        <v>-1.0043968195022623E-3</v>
      </c>
      <c r="S251" s="30">
        <v>1.1091392586894733E-2</v>
      </c>
      <c r="T251" s="31">
        <v>-2.3620464071509861E-3</v>
      </c>
      <c r="V251" s="9">
        <v>45019</v>
      </c>
      <c r="W251" s="30">
        <v>3.1632877482420016E-3</v>
      </c>
      <c r="X251" s="30">
        <v>2.3052876341450959E-3</v>
      </c>
      <c r="Y251" s="30">
        <v>3.088837347091792E-3</v>
      </c>
      <c r="Z251" s="30">
        <v>7.6206367495523786E-4</v>
      </c>
      <c r="AA251" s="31">
        <v>-1.7001700680121523E-3</v>
      </c>
    </row>
    <row r="252" spans="1:27" x14ac:dyDescent="0.25">
      <c r="A252" s="7">
        <f>NFLX[[#This Row],[Date]]</f>
        <v>44923</v>
      </c>
      <c r="B252" s="30">
        <f>NFLX[[#This Row],[Stopa zwrotu]]</f>
        <v>-3.0907740564496078E-2</v>
      </c>
      <c r="C252" s="30">
        <f>META[[#This Row],[Stopa zwrotu]]</f>
        <v>-4.6531752351613997E-3</v>
      </c>
      <c r="D252" s="30">
        <f>GOOG[[#This Row],[Stopa zwrotu]]</f>
        <v>-1.3308972945268893E-2</v>
      </c>
      <c r="E252" s="30">
        <f>EBAY[[#This Row],[Stopa zwrotu]]</f>
        <v>1.5112594077768549E-3</v>
      </c>
      <c r="F252" s="30">
        <f>AMZN[[#This Row],[Stopa zwrotu]]</f>
        <v>-1.5783108433734871E-2</v>
      </c>
      <c r="H252" s="9">
        <v>44924</v>
      </c>
      <c r="I252" s="30">
        <v>2.779710284485426E-2</v>
      </c>
      <c r="J252" s="30">
        <v>2.250844043791167E-3</v>
      </c>
      <c r="K252" s="30">
        <v>7.1783602925197254E-3</v>
      </c>
      <c r="L252" s="30">
        <v>7.7968313781102694E-3</v>
      </c>
      <c r="M252" s="31">
        <v>1.0527616341593493E-2</v>
      </c>
      <c r="O252" s="9">
        <v>44986</v>
      </c>
      <c r="P252" s="30">
        <v>-2.7431041639619069E-2</v>
      </c>
      <c r="Q252" s="30">
        <v>6.8657010201229607E-3</v>
      </c>
      <c r="R252" s="30">
        <v>3.6863383719729637E-3</v>
      </c>
      <c r="S252" s="30">
        <v>-4.3879111720969144E-3</v>
      </c>
      <c r="T252" s="31">
        <v>-1.4313409692497059E-2</v>
      </c>
      <c r="V252" s="9">
        <v>45020</v>
      </c>
      <c r="W252" s="30">
        <v>1.0428960230827844E-2</v>
      </c>
      <c r="X252" s="30">
        <v>2.0845322106320729E-2</v>
      </c>
      <c r="Y252" s="30">
        <v>2.1683933044069015E-2</v>
      </c>
      <c r="Z252" s="30">
        <v>-2.280565693431047E-4</v>
      </c>
      <c r="AA252" s="31">
        <v>6.7041407867494129E-3</v>
      </c>
    </row>
    <row r="253" spans="1:27" x14ac:dyDescent="0.25">
      <c r="A253" s="7">
        <f>NFLX[[#This Row],[Date]]</f>
        <v>44924</v>
      </c>
      <c r="B253" s="30">
        <f>NFLX[[#This Row],[Stopa zwrotu]]</f>
        <v>2.779710284485426E-2</v>
      </c>
      <c r="C253" s="30">
        <f>META[[#This Row],[Stopa zwrotu]]</f>
        <v>2.250844043791167E-3</v>
      </c>
      <c r="D253" s="30">
        <f>GOOG[[#This Row],[Stopa zwrotu]]</f>
        <v>7.1783602925197254E-3</v>
      </c>
      <c r="E253" s="30">
        <f>EBAY[[#This Row],[Stopa zwrotu]]</f>
        <v>7.7968313781102694E-3</v>
      </c>
      <c r="F253" s="30">
        <f>AMZN[[#This Row],[Stopa zwrotu]]</f>
        <v>1.0527616341593493E-2</v>
      </c>
      <c r="H253" s="9">
        <v>44925</v>
      </c>
      <c r="I253" s="30">
        <v>7.8644565010335121E-3</v>
      </c>
      <c r="J253" s="30">
        <v>1.7016507308020401E-2</v>
      </c>
      <c r="K253" s="30">
        <v>4.5983447430364421E-4</v>
      </c>
      <c r="L253" s="30">
        <v>2.2710257050162053E-2</v>
      </c>
      <c r="M253" s="31">
        <v>-9.6913382304797402E-4</v>
      </c>
      <c r="O253" s="9">
        <v>44987</v>
      </c>
      <c r="P253" s="30">
        <v>-6.3387760759433531E-3</v>
      </c>
      <c r="Q253" s="30">
        <v>-9.3615138509994811E-3</v>
      </c>
      <c r="R253" s="30">
        <v>-8.9038399310814587E-4</v>
      </c>
      <c r="S253" s="30">
        <v>-1.5425297147966255E-3</v>
      </c>
      <c r="T253" s="31">
        <v>-1.3101834833577186E-2</v>
      </c>
      <c r="V253" s="9">
        <v>45021</v>
      </c>
      <c r="W253" s="30">
        <v>-2.2387008958732135E-2</v>
      </c>
      <c r="X253" s="30">
        <v>-1.2232949494827672E-2</v>
      </c>
      <c r="Y253" s="30">
        <v>-4.7610039151243511E-3</v>
      </c>
      <c r="Z253" s="30">
        <v>-2.9660276994739609E-3</v>
      </c>
      <c r="AA253" s="31">
        <v>-1.3318979401439779E-2</v>
      </c>
    </row>
    <row r="254" spans="1:27" x14ac:dyDescent="0.25">
      <c r="A254" s="7">
        <f>NFLX[[#This Row],[Date]]</f>
        <v>44925</v>
      </c>
      <c r="B254" s="30">
        <f>NFLX[[#This Row],[Stopa zwrotu]]</f>
        <v>7.8644565010335121E-3</v>
      </c>
      <c r="C254" s="30">
        <f>META[[#This Row],[Stopa zwrotu]]</f>
        <v>1.7016507308020401E-2</v>
      </c>
      <c r="D254" s="30">
        <f>GOOG[[#This Row],[Stopa zwrotu]]</f>
        <v>4.5983447430364421E-4</v>
      </c>
      <c r="E254" s="30">
        <f>EBAY[[#This Row],[Stopa zwrotu]]</f>
        <v>2.2710257050162053E-2</v>
      </c>
      <c r="F254" s="30">
        <f>AMZN[[#This Row],[Stopa zwrotu]]</f>
        <v>-9.6913382304797402E-4</v>
      </c>
      <c r="H254" s="9">
        <v>44929</v>
      </c>
      <c r="I254" s="30">
        <v>4.8372387019375851E-3</v>
      </c>
      <c r="J254" s="30">
        <v>9.6398867783232256E-3</v>
      </c>
      <c r="K254" s="30">
        <v>5.7164139459544017E-3</v>
      </c>
      <c r="L254" s="30">
        <v>3.4163067349926579E-3</v>
      </c>
      <c r="M254" s="31">
        <v>5.2746391988039432E-3</v>
      </c>
      <c r="O254" s="9">
        <v>44988</v>
      </c>
      <c r="P254" s="30">
        <v>1.4176235353819955E-3</v>
      </c>
      <c r="Q254" s="30">
        <v>3.2783119812645589E-2</v>
      </c>
      <c r="R254" s="30">
        <v>3.2193462143036422E-2</v>
      </c>
      <c r="S254" s="30">
        <v>1.1035091347713744E-2</v>
      </c>
      <c r="T254" s="31">
        <v>2.5113453093411398E-2</v>
      </c>
      <c r="V254" s="9">
        <v>45022</v>
      </c>
      <c r="W254" s="30">
        <v>-1.0765784386617128E-2</v>
      </c>
      <c r="X254" s="30">
        <v>-6.1446507940873252E-3</v>
      </c>
      <c r="Y254" s="30">
        <v>6.8491001186077316E-3</v>
      </c>
      <c r="Z254" s="30">
        <v>-1.052629266530225E-2</v>
      </c>
      <c r="AA254" s="31">
        <v>-9.4292506203473847E-3</v>
      </c>
    </row>
    <row r="255" spans="1:27" x14ac:dyDescent="0.25">
      <c r="A255" s="7">
        <f>NFLX[[#This Row],[Date]]</f>
        <v>44929</v>
      </c>
      <c r="B255" s="30">
        <f>NFLX[[#This Row],[Stopa zwrotu]]</f>
        <v>4.8372387019375851E-3</v>
      </c>
      <c r="C255" s="30">
        <f>META[[#This Row],[Stopa zwrotu]]</f>
        <v>9.6398867783232256E-3</v>
      </c>
      <c r="D255" s="30">
        <f>GOOG[[#This Row],[Stopa zwrotu]]</f>
        <v>5.7164139459544017E-3</v>
      </c>
      <c r="E255" s="30">
        <f>EBAY[[#This Row],[Stopa zwrotu]]</f>
        <v>3.4163067349926579E-3</v>
      </c>
      <c r="F255" s="30">
        <f>AMZN[[#This Row],[Stopa zwrotu]]</f>
        <v>5.2746391988039432E-3</v>
      </c>
      <c r="H255" s="9">
        <v>44930</v>
      </c>
      <c r="I255" s="30">
        <v>2.3588492265112837E-2</v>
      </c>
      <c r="J255" s="30">
        <v>2.9195281560314701E-2</v>
      </c>
      <c r="K255" s="30">
        <v>-1.3704718502742685E-2</v>
      </c>
      <c r="L255" s="30">
        <v>1.7814106456087941E-2</v>
      </c>
      <c r="M255" s="31">
        <v>-1.0093789456047886E-2</v>
      </c>
      <c r="O255" s="9">
        <v>44991</v>
      </c>
      <c r="P255" s="30">
        <v>1.0938688812696846E-3</v>
      </c>
      <c r="Q255" s="30">
        <v>1.428974088561108E-2</v>
      </c>
      <c r="R255" s="30">
        <v>5.8997011626864548E-3</v>
      </c>
      <c r="S255" s="30">
        <v>-8.5134393833928481E-3</v>
      </c>
      <c r="T255" s="31">
        <v>3.8851498430757894E-3</v>
      </c>
      <c r="V255" s="9">
        <v>45026</v>
      </c>
      <c r="W255" s="30">
        <v>5.4864262771486816E-4</v>
      </c>
      <c r="X255" s="30">
        <v>2.4083513752701236E-3</v>
      </c>
      <c r="Y255" s="30">
        <v>1.8723369389431199E-3</v>
      </c>
      <c r="Z255" s="30">
        <v>-8.6726406719403459E-4</v>
      </c>
      <c r="AA255" s="31">
        <v>-5.7615980231986996E-4</v>
      </c>
    </row>
    <row r="256" spans="1:27" x14ac:dyDescent="0.25">
      <c r="A256" s="7">
        <f>NFLX[[#This Row],[Date]]</f>
        <v>44930</v>
      </c>
      <c r="B256" s="30">
        <f>NFLX[[#This Row],[Stopa zwrotu]]</f>
        <v>2.3588492265112837E-2</v>
      </c>
      <c r="C256" s="30">
        <f>META[[#This Row],[Stopa zwrotu]]</f>
        <v>2.9195281560314701E-2</v>
      </c>
      <c r="D256" s="30">
        <f>GOOG[[#This Row],[Stopa zwrotu]]</f>
        <v>-1.3704718502742685E-2</v>
      </c>
      <c r="E256" s="30">
        <f>EBAY[[#This Row],[Stopa zwrotu]]</f>
        <v>1.7814106456087941E-2</v>
      </c>
      <c r="F256" s="30">
        <f>AMZN[[#This Row],[Stopa zwrotu]]</f>
        <v>-1.0093789456047886E-2</v>
      </c>
      <c r="H256" s="9">
        <v>44931</v>
      </c>
      <c r="I256" s="30">
        <v>3.0591105864738566E-2</v>
      </c>
      <c r="J256" s="30">
        <v>-1.0409193649728921E-2</v>
      </c>
      <c r="K256" s="30">
        <v>-1.4123063298756455E-2</v>
      </c>
      <c r="L256" s="30">
        <v>5.9129613508268619E-3</v>
      </c>
      <c r="M256" s="31">
        <v>-3.4788987106658675E-3</v>
      </c>
      <c r="O256" s="9">
        <v>44992</v>
      </c>
      <c r="P256" s="30">
        <v>-1.6739356936112726E-2</v>
      </c>
      <c r="Q256" s="30">
        <v>-3.4120667429162754E-3</v>
      </c>
      <c r="R256" s="30">
        <v>-4.8356414156212058E-3</v>
      </c>
      <c r="S256" s="30">
        <v>-1.8145094492497682E-2</v>
      </c>
      <c r="T256" s="31">
        <v>-1.0241081933882623E-2</v>
      </c>
      <c r="V256" s="9">
        <v>45027</v>
      </c>
      <c r="W256" s="30">
        <v>1.2839063452681598E-2</v>
      </c>
      <c r="X256" s="30">
        <v>1.3054210328411475E-2</v>
      </c>
      <c r="Y256" s="30">
        <v>-3.0302936179978923E-3</v>
      </c>
      <c r="Z256" s="30">
        <v>-1.6245068461360201E-3</v>
      </c>
      <c r="AA256" s="31">
        <v>-5.6241639047904801E-3</v>
      </c>
    </row>
    <row r="257" spans="1:27" x14ac:dyDescent="0.25">
      <c r="A257" s="7">
        <f>NFLX[[#This Row],[Date]]</f>
        <v>44931</v>
      </c>
      <c r="B257" s="30">
        <f>NFLX[[#This Row],[Stopa zwrotu]]</f>
        <v>3.0591105864738566E-2</v>
      </c>
      <c r="C257" s="30">
        <f>META[[#This Row],[Stopa zwrotu]]</f>
        <v>-1.0409193649728921E-2</v>
      </c>
      <c r="D257" s="30">
        <f>GOOG[[#This Row],[Stopa zwrotu]]</f>
        <v>-1.4123063298756455E-2</v>
      </c>
      <c r="E257" s="30">
        <f>EBAY[[#This Row],[Stopa zwrotu]]</f>
        <v>5.9129613508268619E-3</v>
      </c>
      <c r="F257" s="30">
        <f>AMZN[[#This Row],[Stopa zwrotu]]</f>
        <v>-3.4788987106658675E-3</v>
      </c>
      <c r="H257" s="9">
        <v>44932</v>
      </c>
      <c r="I257" s="30">
        <v>-2.8237925919734064E-3</v>
      </c>
      <c r="J257" s="30">
        <v>1.2044323012330826E-2</v>
      </c>
      <c r="K257" s="30">
        <v>-1.1437130578491939E-2</v>
      </c>
      <c r="L257" s="30">
        <v>1.2461838995105667E-2</v>
      </c>
      <c r="M257" s="31">
        <v>-1.9742385939568896E-2</v>
      </c>
      <c r="O257" s="9">
        <v>44993</v>
      </c>
      <c r="P257" s="30">
        <v>-2.8373720376585476E-3</v>
      </c>
      <c r="Q257" s="30">
        <v>-1.4510075933646949E-2</v>
      </c>
      <c r="R257" s="30">
        <v>5.97797395724875E-3</v>
      </c>
      <c r="S257" s="30">
        <v>-1.5286378494803743E-2</v>
      </c>
      <c r="T257" s="31">
        <v>-6.4669002637087747E-3</v>
      </c>
      <c r="V257" s="9">
        <v>45028</v>
      </c>
      <c r="W257" s="30">
        <v>-2.2509198147026566E-2</v>
      </c>
      <c r="X257" s="30">
        <v>-3.8892366076708207E-3</v>
      </c>
      <c r="Y257" s="30">
        <v>-2.9445099063878377E-3</v>
      </c>
      <c r="Z257" s="30">
        <v>-1.2319804741980578E-2</v>
      </c>
      <c r="AA257" s="31">
        <v>-1.3130016904756792E-2</v>
      </c>
    </row>
    <row r="258" spans="1:27" x14ac:dyDescent="0.25">
      <c r="A258" s="7">
        <f>NFLX[[#This Row],[Date]]</f>
        <v>44932</v>
      </c>
      <c r="B258" s="30">
        <f>NFLX[[#This Row],[Stopa zwrotu]]</f>
        <v>-2.8237925919734064E-3</v>
      </c>
      <c r="C258" s="30">
        <f>META[[#This Row],[Stopa zwrotu]]</f>
        <v>1.2044323012330826E-2</v>
      </c>
      <c r="D258" s="30">
        <f>GOOG[[#This Row],[Stopa zwrotu]]</f>
        <v>-1.1437130578491939E-2</v>
      </c>
      <c r="E258" s="30">
        <f>EBAY[[#This Row],[Stopa zwrotu]]</f>
        <v>1.2461838995105667E-2</v>
      </c>
      <c r="F258" s="30">
        <f>AMZN[[#This Row],[Stopa zwrotu]]</f>
        <v>-1.9742385939568896E-2</v>
      </c>
      <c r="H258" s="9">
        <v>44935</v>
      </c>
      <c r="I258" s="30">
        <v>1.0460226916964318E-2</v>
      </c>
      <c r="J258" s="30">
        <v>8.5687029892465016E-3</v>
      </c>
      <c r="K258" s="30">
        <v>1.1725300923220772E-2</v>
      </c>
      <c r="L258" s="30">
        <v>2.9416162809657496E-3</v>
      </c>
      <c r="M258" s="31">
        <v>2.3128257398992973E-2</v>
      </c>
      <c r="O258" s="9">
        <v>44994</v>
      </c>
      <c r="P258" s="30">
        <v>-3.5551905151267382E-2</v>
      </c>
      <c r="Q258" s="30">
        <v>-5.7350447939792382E-3</v>
      </c>
      <c r="R258" s="30">
        <v>-2.1714909397965276E-2</v>
      </c>
      <c r="S258" s="30">
        <v>-5.5607506950879904E-3</v>
      </c>
      <c r="T258" s="31">
        <v>0</v>
      </c>
      <c r="V258" s="9">
        <v>45029</v>
      </c>
      <c r="W258" s="30">
        <v>2.6390712527219806E-2</v>
      </c>
      <c r="X258" s="30">
        <v>1.4629786295702329E-2</v>
      </c>
      <c r="Y258" s="30">
        <v>1.4004010536305511E-2</v>
      </c>
      <c r="Z258" s="30">
        <v>8.7079073331179924E-3</v>
      </c>
      <c r="AA258" s="31">
        <v>1.0234367109142939E-2</v>
      </c>
    </row>
    <row r="259" spans="1:27" x14ac:dyDescent="0.25">
      <c r="A259" s="7">
        <f>NFLX[[#This Row],[Date]]</f>
        <v>44935</v>
      </c>
      <c r="B259" s="30">
        <f>NFLX[[#This Row],[Stopa zwrotu]]</f>
        <v>1.0460226916964318E-2</v>
      </c>
      <c r="C259" s="30">
        <f>META[[#This Row],[Stopa zwrotu]]</f>
        <v>8.5687029892465016E-3</v>
      </c>
      <c r="D259" s="30">
        <f>GOOG[[#This Row],[Stopa zwrotu]]</f>
        <v>1.1725300923220772E-2</v>
      </c>
      <c r="E259" s="30">
        <f>EBAY[[#This Row],[Stopa zwrotu]]</f>
        <v>2.9416162809657496E-3</v>
      </c>
      <c r="F259" s="30">
        <f>AMZN[[#This Row],[Stopa zwrotu]]</f>
        <v>2.3128257398992973E-2</v>
      </c>
      <c r="H259" s="9">
        <v>44936</v>
      </c>
      <c r="I259" s="30">
        <v>-6.8641657401694589E-3</v>
      </c>
      <c r="J259" s="30">
        <v>-1.6475843258631273E-2</v>
      </c>
      <c r="K259" s="30">
        <v>-2.1223808507026209E-2</v>
      </c>
      <c r="L259" s="30">
        <v>-2.7624079825600001E-3</v>
      </c>
      <c r="M259" s="31">
        <v>2.4115640236206382E-3</v>
      </c>
      <c r="O259" s="9">
        <v>44995</v>
      </c>
      <c r="P259" s="30">
        <v>-1.9940331322227056E-2</v>
      </c>
      <c r="Q259" s="30">
        <v>-8.3194674156494841E-3</v>
      </c>
      <c r="R259" s="30">
        <v>-1.6837203719218041E-2</v>
      </c>
      <c r="S259" s="30">
        <v>-2.9123952894872018E-2</v>
      </c>
      <c r="T259" s="31">
        <v>-2.0937296593621202E-2</v>
      </c>
      <c r="V259" s="9">
        <v>45030</v>
      </c>
      <c r="W259" s="30">
        <v>-6.9077372693726602E-3</v>
      </c>
      <c r="X259" s="30">
        <v>8.6234919688117362E-3</v>
      </c>
      <c r="Y259" s="30">
        <v>1.0804152371210796E-2</v>
      </c>
      <c r="Z259" s="30">
        <v>6.5328509908342269E-3</v>
      </c>
      <c r="AA259" s="31">
        <v>2.4313666541522228E-2</v>
      </c>
    </row>
    <row r="260" spans="1:27" x14ac:dyDescent="0.25">
      <c r="A260" s="7">
        <f>NFLX[[#This Row],[Date]]</f>
        <v>44936</v>
      </c>
      <c r="B260" s="30">
        <f>NFLX[[#This Row],[Stopa zwrotu]]</f>
        <v>-6.8641657401694589E-3</v>
      </c>
      <c r="C260" s="30">
        <f>META[[#This Row],[Stopa zwrotu]]</f>
        <v>-1.6475843258631273E-2</v>
      </c>
      <c r="D260" s="30">
        <f>GOOG[[#This Row],[Stopa zwrotu]]</f>
        <v>-2.1223808507026209E-2</v>
      </c>
      <c r="E260" s="30">
        <f>EBAY[[#This Row],[Stopa zwrotu]]</f>
        <v>-2.7624079825600001E-3</v>
      </c>
      <c r="F260" s="30">
        <f>AMZN[[#This Row],[Stopa zwrotu]]</f>
        <v>2.4115640236206382E-3</v>
      </c>
      <c r="H260" s="9">
        <v>44937</v>
      </c>
      <c r="I260" s="30">
        <v>3.3047220139098998E-2</v>
      </c>
      <c r="J260" s="30">
        <v>2.5088430592395961E-2</v>
      </c>
      <c r="K260" s="30">
        <v>3.5063449886855391E-2</v>
      </c>
      <c r="L260" s="30">
        <v>5.0784856879039664E-2</v>
      </c>
      <c r="M260" s="31">
        <v>4.1700068258677225E-2</v>
      </c>
      <c r="O260" s="9">
        <v>44998</v>
      </c>
      <c r="P260" s="30">
        <v>-4.2330023068050488E-3</v>
      </c>
      <c r="Q260" s="30">
        <v>-7.4198283617105494E-3</v>
      </c>
      <c r="R260" s="30">
        <v>-3.1571254463504581E-3</v>
      </c>
      <c r="S260" s="30">
        <v>-5.1995682841165331E-3</v>
      </c>
      <c r="T260" s="31">
        <v>-7.8670249307479425E-3</v>
      </c>
      <c r="V260" s="9">
        <v>45033</v>
      </c>
      <c r="W260" s="30">
        <v>-8.8285166850547627E-3</v>
      </c>
      <c r="X260" s="30">
        <v>-6.435271496334124E-4</v>
      </c>
      <c r="Y260" s="30">
        <v>-7.0328595730529964E-3</v>
      </c>
      <c r="Z260" s="30">
        <v>2.3953176262242839E-3</v>
      </c>
      <c r="AA260" s="31">
        <v>1.5824184724648009E-3</v>
      </c>
    </row>
    <row r="261" spans="1:27" x14ac:dyDescent="0.25">
      <c r="A261" s="7">
        <f>NFLX[[#This Row],[Date]]</f>
        <v>44937</v>
      </c>
      <c r="B261" s="30">
        <f>NFLX[[#This Row],[Stopa zwrotu]]</f>
        <v>3.3047220139098998E-2</v>
      </c>
      <c r="C261" s="30">
        <f>META[[#This Row],[Stopa zwrotu]]</f>
        <v>2.5088430592395961E-2</v>
      </c>
      <c r="D261" s="30">
        <f>GOOG[[#This Row],[Stopa zwrotu]]</f>
        <v>3.5063449886855391E-2</v>
      </c>
      <c r="E261" s="30">
        <f>EBAY[[#This Row],[Stopa zwrotu]]</f>
        <v>5.0784856879039664E-2</v>
      </c>
      <c r="F261" s="30">
        <f>AMZN[[#This Row],[Stopa zwrotu]]</f>
        <v>4.1700068258677225E-2</v>
      </c>
      <c r="H261" s="9">
        <v>44938</v>
      </c>
      <c r="I261" s="30">
        <v>5.570278408521423E-3</v>
      </c>
      <c r="J261" s="30">
        <v>1.0894576059370165E-2</v>
      </c>
      <c r="K261" s="30">
        <v>9.2489638789605699E-3</v>
      </c>
      <c r="L261" s="30">
        <v>6.5905096660807683E-3</v>
      </c>
      <c r="M261" s="31">
        <v>2.8263499395138947E-2</v>
      </c>
      <c r="O261" s="9">
        <v>44999</v>
      </c>
      <c r="P261" s="30">
        <v>1.7453514270829196E-2</v>
      </c>
      <c r="Q261" s="30">
        <v>6.715473361123947E-2</v>
      </c>
      <c r="R261" s="30">
        <v>3.1576572568899897E-2</v>
      </c>
      <c r="S261" s="30">
        <v>-9.7513651877133567E-3</v>
      </c>
      <c r="T261" s="31">
        <v>5.2088014568043128E-2</v>
      </c>
      <c r="V261" s="9">
        <v>45034</v>
      </c>
      <c r="W261" s="30">
        <v>9.1603053435114212E-3</v>
      </c>
      <c r="X261" s="30">
        <v>-4.2370836771270515E-3</v>
      </c>
      <c r="Y261" s="30">
        <v>-5.1272407899732864E-3</v>
      </c>
      <c r="Z261" s="30">
        <v>9.436133269594027E-3</v>
      </c>
      <c r="AA261" s="31">
        <v>-6.890343809049515E-4</v>
      </c>
    </row>
    <row r="262" spans="1:27" x14ac:dyDescent="0.25">
      <c r="A262" s="7">
        <f>NFLX[[#This Row],[Date]]</f>
        <v>44938</v>
      </c>
      <c r="B262" s="30">
        <f>NFLX[[#This Row],[Stopa zwrotu]]</f>
        <v>5.570278408521423E-3</v>
      </c>
      <c r="C262" s="30">
        <f>META[[#This Row],[Stopa zwrotu]]</f>
        <v>1.0894576059370165E-2</v>
      </c>
      <c r="D262" s="30">
        <f>GOOG[[#This Row],[Stopa zwrotu]]</f>
        <v>9.2489638789605699E-3</v>
      </c>
      <c r="E262" s="30">
        <f>EBAY[[#This Row],[Stopa zwrotu]]</f>
        <v>6.5905096660807683E-3</v>
      </c>
      <c r="F262" s="30">
        <f>AMZN[[#This Row],[Stopa zwrotu]]</f>
        <v>2.8263499395138947E-2</v>
      </c>
      <c r="H262" s="9">
        <v>44939</v>
      </c>
      <c r="I262" s="30">
        <v>1.7794144126656697E-2</v>
      </c>
      <c r="J262" s="30">
        <v>2.3375843327863022E-2</v>
      </c>
      <c r="K262" s="30">
        <v>3.974826101358131E-3</v>
      </c>
      <c r="L262" s="30">
        <v>-8.2933435181143933E-3</v>
      </c>
      <c r="M262" s="31">
        <v>6.631048128342254E-3</v>
      </c>
      <c r="O262" s="9">
        <v>45000</v>
      </c>
      <c r="P262" s="30">
        <v>6.7858531003812672E-3</v>
      </c>
      <c r="Q262" s="30">
        <v>2.2941670486081422E-2</v>
      </c>
      <c r="R262" s="30">
        <v>2.802349674524196E-3</v>
      </c>
      <c r="S262" s="30">
        <v>-1.2062974201451859E-2</v>
      </c>
      <c r="T262" s="31">
        <v>3.8830870875103951E-3</v>
      </c>
      <c r="V262" s="9">
        <v>45035</v>
      </c>
      <c r="W262" s="30">
        <v>-4.3570329803328312E-2</v>
      </c>
      <c r="X262" s="30">
        <v>-1.5170500410741861E-2</v>
      </c>
      <c r="Y262" s="30">
        <v>-9.3528918625013224E-3</v>
      </c>
      <c r="Z262" s="30">
        <v>-7.5239852365712734E-3</v>
      </c>
      <c r="AA262" s="31">
        <v>-1.2805161922926356E-3</v>
      </c>
    </row>
    <row r="263" spans="1:27" x14ac:dyDescent="0.25">
      <c r="A263" s="7">
        <f>NFLX[[#This Row],[Date]]</f>
        <v>44939</v>
      </c>
      <c r="B263" s="30">
        <f>NFLX[[#This Row],[Stopa zwrotu]]</f>
        <v>1.7794144126656697E-2</v>
      </c>
      <c r="C263" s="30">
        <f>META[[#This Row],[Stopa zwrotu]]</f>
        <v>2.3375843327863022E-2</v>
      </c>
      <c r="D263" s="30">
        <f>GOOG[[#This Row],[Stopa zwrotu]]</f>
        <v>3.974826101358131E-3</v>
      </c>
      <c r="E263" s="30">
        <f>EBAY[[#This Row],[Stopa zwrotu]]</f>
        <v>-8.2933435181143933E-3</v>
      </c>
      <c r="F263" s="30">
        <f>AMZN[[#This Row],[Stopa zwrotu]]</f>
        <v>6.631048128342254E-3</v>
      </c>
      <c r="H263" s="9">
        <v>44943</v>
      </c>
      <c r="I263" s="30">
        <v>-4.0211079378618397E-3</v>
      </c>
      <c r="J263" s="30">
        <v>-1.0938816699460896E-3</v>
      </c>
      <c r="K263" s="30">
        <v>-2.4745408556034465E-4</v>
      </c>
      <c r="L263" s="30">
        <v>3.3560740175192505E-3</v>
      </c>
      <c r="M263" s="31">
        <v>4.2764554523016529E-3</v>
      </c>
      <c r="O263" s="9">
        <v>45001</v>
      </c>
      <c r="P263" s="30">
        <v>3.2263555605116956E-2</v>
      </c>
      <c r="Q263" s="30">
        <v>2.7509956560678228E-2</v>
      </c>
      <c r="R263" s="30">
        <v>3.0417046104717738E-2</v>
      </c>
      <c r="S263" s="30">
        <v>2.4918763395993526E-3</v>
      </c>
      <c r="T263" s="31">
        <v>2.7291296873321214E-2</v>
      </c>
      <c r="V263" s="9">
        <v>45036</v>
      </c>
      <c r="W263" s="30">
        <v>7.0546692745081518E-3</v>
      </c>
      <c r="X263" s="30">
        <v>-7.5136901920624943E-4</v>
      </c>
      <c r="Y263" s="30">
        <v>8.0924467796017474E-3</v>
      </c>
      <c r="Z263" s="30">
        <v>-7.1214796030661942E-3</v>
      </c>
      <c r="AA263" s="31">
        <v>1.7950488390871655E-2</v>
      </c>
    </row>
    <row r="264" spans="1:27" x14ac:dyDescent="0.25">
      <c r="A264" s="7">
        <f>NFLX[[#This Row],[Date]]</f>
        <v>44943</v>
      </c>
      <c r="B264" s="30">
        <f>NFLX[[#This Row],[Stopa zwrotu]]</f>
        <v>-4.0211079378618397E-3</v>
      </c>
      <c r="C264" s="30">
        <f>META[[#This Row],[Stopa zwrotu]]</f>
        <v>-1.0938816699460896E-3</v>
      </c>
      <c r="D264" s="30">
        <f>GOOG[[#This Row],[Stopa zwrotu]]</f>
        <v>-2.4745408556034465E-4</v>
      </c>
      <c r="E264" s="30">
        <f>EBAY[[#This Row],[Stopa zwrotu]]</f>
        <v>3.3560740175192505E-3</v>
      </c>
      <c r="F264" s="30">
        <f>AMZN[[#This Row],[Stopa zwrotu]]</f>
        <v>4.2764554523016529E-3</v>
      </c>
      <c r="H264" s="9">
        <v>44944</v>
      </c>
      <c r="I264" s="30">
        <v>-7.2620703227057604E-3</v>
      </c>
      <c r="J264" s="30">
        <v>-1.0800722532588458E-2</v>
      </c>
      <c r="K264" s="30">
        <v>6.1647514823757188E-3</v>
      </c>
      <c r="L264" s="30">
        <v>-1.9543974365775485E-3</v>
      </c>
      <c r="M264" s="31">
        <v>-3.656178721732517E-3</v>
      </c>
      <c r="O264" s="9">
        <v>45002</v>
      </c>
      <c r="P264" s="30">
        <v>-5.667664482479795E-3</v>
      </c>
      <c r="Q264" s="30">
        <v>-3.3658167854724308E-3</v>
      </c>
      <c r="R264" s="30">
        <v>5.0902230596571618E-2</v>
      </c>
      <c r="S264" s="30">
        <v>1.7648496147153914E-2</v>
      </c>
      <c r="T264" s="31">
        <v>1.9349419314408367E-2</v>
      </c>
      <c r="V264" s="9">
        <v>45037</v>
      </c>
      <c r="W264" s="30">
        <v>3.6754721445704241E-3</v>
      </c>
      <c r="X264" s="30">
        <v>-1.4992724256375878E-2</v>
      </c>
      <c r="Y264" s="30">
        <v>8.0753250007197241E-3</v>
      </c>
      <c r="Z264" s="30">
        <v>-1.0643289897193653E-2</v>
      </c>
      <c r="AA264" s="31">
        <v>1.8118428622404981E-2</v>
      </c>
    </row>
    <row r="265" spans="1:27" x14ac:dyDescent="0.25">
      <c r="A265" s="7">
        <f>NFLX[[#This Row],[Date]]</f>
        <v>44944</v>
      </c>
      <c r="B265" s="30">
        <f>NFLX[[#This Row],[Stopa zwrotu]]</f>
        <v>-7.2620703227057604E-3</v>
      </c>
      <c r="C265" s="30">
        <f>META[[#This Row],[Stopa zwrotu]]</f>
        <v>-1.0800722532588458E-2</v>
      </c>
      <c r="D265" s="30">
        <f>GOOG[[#This Row],[Stopa zwrotu]]</f>
        <v>6.1647514823757188E-3</v>
      </c>
      <c r="E265" s="30">
        <f>EBAY[[#This Row],[Stopa zwrotu]]</f>
        <v>-1.9543974365775485E-3</v>
      </c>
      <c r="F265" s="30">
        <f>AMZN[[#This Row],[Stopa zwrotu]]</f>
        <v>-3.656178721732517E-3</v>
      </c>
      <c r="H265" s="9">
        <v>44945</v>
      </c>
      <c r="I265" s="30">
        <v>-2.446687937743186E-2</v>
      </c>
      <c r="J265" s="30">
        <v>-4.9699095262822901E-3</v>
      </c>
      <c r="K265" s="30">
        <v>-2.1887308054979737E-4</v>
      </c>
      <c r="L265" s="30">
        <v>-2.2193211971131777E-2</v>
      </c>
      <c r="M265" s="31">
        <v>-2.6420592149945299E-2</v>
      </c>
      <c r="O265" s="9">
        <v>45005</v>
      </c>
      <c r="P265" s="30">
        <v>-4.4444444444444358E-3</v>
      </c>
      <c r="Q265" s="30">
        <v>-3.0530864659380486E-3</v>
      </c>
      <c r="R265" s="30">
        <v>1.3234408602154821E-4</v>
      </c>
      <c r="S265" s="30">
        <v>8.6305245553783827E-3</v>
      </c>
      <c r="T265" s="31">
        <v>-6.0195704838180335E-3</v>
      </c>
      <c r="V265" s="9">
        <v>45040</v>
      </c>
      <c r="W265" s="30">
        <v>7.5639019300991111E-3</v>
      </c>
      <c r="X265" s="30">
        <v>1.7972532194809876E-3</v>
      </c>
      <c r="Y265" s="30">
        <v>-3.9500086525730743E-4</v>
      </c>
      <c r="Z265" s="30">
        <v>3.2741036766808693E-3</v>
      </c>
      <c r="AA265" s="31">
        <v>-3.1728206476418684E-5</v>
      </c>
    </row>
    <row r="266" spans="1:27" x14ac:dyDescent="0.25">
      <c r="A266" s="7">
        <f>NFLX[[#This Row],[Date]]</f>
        <v>44945</v>
      </c>
      <c r="B266" s="30">
        <f>NFLX[[#This Row],[Stopa zwrotu]]</f>
        <v>-2.446687937743186E-2</v>
      </c>
      <c r="C266" s="30">
        <f>META[[#This Row],[Stopa zwrotu]]</f>
        <v>-4.9699095262822901E-3</v>
      </c>
      <c r="D266" s="30">
        <f>GOOG[[#This Row],[Stopa zwrotu]]</f>
        <v>-2.1887308054979737E-4</v>
      </c>
      <c r="E266" s="30">
        <f>EBAY[[#This Row],[Stopa zwrotu]]</f>
        <v>-2.2193211971131777E-2</v>
      </c>
      <c r="F266" s="30">
        <f>AMZN[[#This Row],[Stopa zwrotu]]</f>
        <v>-2.6420592149945299E-2</v>
      </c>
      <c r="H266" s="9">
        <v>44946</v>
      </c>
      <c r="I266" s="30">
        <v>6.1393117454619617E-2</v>
      </c>
      <c r="J266" s="30">
        <v>1.8692311326565347E-2</v>
      </c>
      <c r="K266" s="30">
        <v>4.957328899890423E-2</v>
      </c>
      <c r="L266" s="30">
        <v>1.3351179647333788E-2</v>
      </c>
      <c r="M266" s="31">
        <v>3.6613826872562427E-3</v>
      </c>
      <c r="O266" s="9">
        <v>45006</v>
      </c>
      <c r="P266" s="30">
        <v>1.4966192567567704E-2</v>
      </c>
      <c r="Q266" s="30">
        <v>2.2257787762124615E-2</v>
      </c>
      <c r="R266" s="30">
        <v>1.0616132447503368E-2</v>
      </c>
      <c r="S266" s="30">
        <v>2.6190428571428503E-2</v>
      </c>
      <c r="T266" s="31">
        <v>2.4033469927904116E-2</v>
      </c>
      <c r="V266" s="9">
        <v>45041</v>
      </c>
      <c r="W266" s="30">
        <v>-1.7291488905891383E-2</v>
      </c>
      <c r="X266" s="30">
        <v>-1.6990184998664892E-2</v>
      </c>
      <c r="Y266" s="30">
        <v>-7.5930428284639584E-3</v>
      </c>
      <c r="Z266" s="30">
        <v>8.5687586845761832E-3</v>
      </c>
      <c r="AA266" s="31">
        <v>-2.4935785666698407E-2</v>
      </c>
    </row>
    <row r="267" spans="1:27" x14ac:dyDescent="0.25">
      <c r="A267" s="7">
        <f>NFLX[[#This Row],[Date]]</f>
        <v>44946</v>
      </c>
      <c r="B267" s="30">
        <f>NFLX[[#This Row],[Stopa zwrotu]]</f>
        <v>6.1393117454619617E-2</v>
      </c>
      <c r="C267" s="30">
        <f>META[[#This Row],[Stopa zwrotu]]</f>
        <v>1.8692311326565347E-2</v>
      </c>
      <c r="D267" s="30">
        <f>GOOG[[#This Row],[Stopa zwrotu]]</f>
        <v>4.957328899890423E-2</v>
      </c>
      <c r="E267" s="30">
        <f>EBAY[[#This Row],[Stopa zwrotu]]</f>
        <v>1.3351179647333788E-2</v>
      </c>
      <c r="F267" s="30">
        <f>AMZN[[#This Row],[Stopa zwrotu]]</f>
        <v>3.6613826872562427E-3</v>
      </c>
      <c r="H267" s="9">
        <v>44949</v>
      </c>
      <c r="I267" s="30">
        <v>8.0169155716023344E-3</v>
      </c>
      <c r="J267" s="30">
        <v>1.0028979941839452E-2</v>
      </c>
      <c r="K267" s="30">
        <v>9.8703502643303995E-3</v>
      </c>
      <c r="L267" s="30">
        <v>7.5391522279501339E-3</v>
      </c>
      <c r="M267" s="31">
        <v>9.5136054564465642E-3</v>
      </c>
      <c r="O267" s="9">
        <v>45007</v>
      </c>
      <c r="P267" s="30">
        <v>-2.2933742171341809E-2</v>
      </c>
      <c r="Q267" s="30">
        <v>8.6890680781368523E-3</v>
      </c>
      <c r="R267" s="30">
        <v>2.3070861740910553E-2</v>
      </c>
      <c r="S267" s="30">
        <v>-6.2644086433599755E-3</v>
      </c>
      <c r="T267" s="31">
        <v>6.2245000000000772E-3</v>
      </c>
      <c r="V267" s="9">
        <v>45042</v>
      </c>
      <c r="W267" s="30">
        <v>-1.9620211405414478E-3</v>
      </c>
      <c r="X267" s="30">
        <v>8.4488000664124652E-3</v>
      </c>
      <c r="Y267" s="30">
        <v>-1.2337423724893215E-2</v>
      </c>
      <c r="Z267" s="30">
        <v>-7.5774513795051623E-3</v>
      </c>
      <c r="AA267" s="31">
        <v>1.6105427509187864E-2</v>
      </c>
    </row>
    <row r="268" spans="1:27" x14ac:dyDescent="0.25">
      <c r="A268" s="7">
        <f>NFLX[[#This Row],[Date]]</f>
        <v>44949</v>
      </c>
      <c r="B268" s="30">
        <f>NFLX[[#This Row],[Stopa zwrotu]]</f>
        <v>8.0169155716023344E-3</v>
      </c>
      <c r="C268" s="30">
        <f>META[[#This Row],[Stopa zwrotu]]</f>
        <v>1.0028979941839452E-2</v>
      </c>
      <c r="D268" s="30">
        <f>GOOG[[#This Row],[Stopa zwrotu]]</f>
        <v>9.8703502643303995E-3</v>
      </c>
      <c r="E268" s="30">
        <f>EBAY[[#This Row],[Stopa zwrotu]]</f>
        <v>7.5391522279501339E-3</v>
      </c>
      <c r="F268" s="30">
        <f>AMZN[[#This Row],[Stopa zwrotu]]</f>
        <v>9.5136054564465642E-3</v>
      </c>
      <c r="H268" s="9">
        <v>44950</v>
      </c>
      <c r="I268" s="30">
        <v>4.2597568584717083E-2</v>
      </c>
      <c r="J268" s="30">
        <v>1.9472067806950433E-2</v>
      </c>
      <c r="K268" s="30">
        <v>-5.0635949367094923E-4</v>
      </c>
      <c r="L268" s="30">
        <v>-1.2884260253381852E-3</v>
      </c>
      <c r="M268" s="31">
        <v>1.4604527283490487E-3</v>
      </c>
      <c r="O268" s="9">
        <v>45008</v>
      </c>
      <c r="P268" s="30">
        <v>3.6110941183489675E-2</v>
      </c>
      <c r="Q268" s="30">
        <v>1.2420473906149976E-2</v>
      </c>
      <c r="R268" s="30">
        <v>1.1515257763317077E-2</v>
      </c>
      <c r="S268" s="30">
        <v>-1.8912023398924838E-2</v>
      </c>
      <c r="T268" s="31">
        <v>-1.003952935767638E-2</v>
      </c>
      <c r="V268" s="9">
        <v>45043</v>
      </c>
      <c r="W268" s="30">
        <v>-9.4548600197995603E-3</v>
      </c>
      <c r="X268" s="30">
        <v>0.13352163123511973</v>
      </c>
      <c r="Y268" s="30">
        <v>1.1135867467876537E-2</v>
      </c>
      <c r="Z268" s="30">
        <v>1.89726973861013E-2</v>
      </c>
      <c r="AA268" s="31">
        <v>2.5936647952673475E-2</v>
      </c>
    </row>
    <row r="269" spans="1:27" x14ac:dyDescent="0.25">
      <c r="A269" s="7">
        <f>NFLX[[#This Row],[Date]]</f>
        <v>44950</v>
      </c>
      <c r="B269" s="30">
        <f>NFLX[[#This Row],[Stopa zwrotu]]</f>
        <v>4.2597568584717083E-2</v>
      </c>
      <c r="C269" s="30">
        <f>META[[#This Row],[Stopa zwrotu]]</f>
        <v>1.9472067806950433E-2</v>
      </c>
      <c r="D269" s="30">
        <f>GOOG[[#This Row],[Stopa zwrotu]]</f>
        <v>-5.0635949367094923E-4</v>
      </c>
      <c r="E269" s="30">
        <f>EBAY[[#This Row],[Stopa zwrotu]]</f>
        <v>-1.2884260253381852E-3</v>
      </c>
      <c r="F269" s="30">
        <f>AMZN[[#This Row],[Stopa zwrotu]]</f>
        <v>1.4604527283490487E-3</v>
      </c>
      <c r="H269" s="9">
        <v>44951</v>
      </c>
      <c r="I269" s="30">
        <v>9.4610149746150451E-3</v>
      </c>
      <c r="J269" s="30">
        <v>-7.4278649729211388E-3</v>
      </c>
      <c r="K269" s="30">
        <v>-3.4832787279618693E-2</v>
      </c>
      <c r="L269" s="30">
        <v>-4.0851001541647447E-3</v>
      </c>
      <c r="M269" s="31">
        <v>-4.6666697916666666E-2</v>
      </c>
      <c r="O269" s="9">
        <v>45009</v>
      </c>
      <c r="P269" s="30">
        <v>5.4218416475056541E-2</v>
      </c>
      <c r="Q269" s="30">
        <v>6.925595060863543E-3</v>
      </c>
      <c r="R269" s="30">
        <v>-6.3561898735911004E-3</v>
      </c>
      <c r="S269" s="30">
        <v>-8.5673488814851373E-3</v>
      </c>
      <c r="T269" s="31">
        <v>-1.2497448909113418E-2</v>
      </c>
      <c r="V269" s="9">
        <v>45044</v>
      </c>
      <c r="W269" s="30">
        <v>2.0665316150042079E-2</v>
      </c>
      <c r="X269" s="30">
        <v>-4.3079950279512058E-3</v>
      </c>
      <c r="Y269" s="30">
        <v>1.5514298324349696E-2</v>
      </c>
      <c r="Z269" s="30">
        <v>3.0653904844371027E-2</v>
      </c>
      <c r="AA269" s="31">
        <v>-2.3127349537621411E-2</v>
      </c>
    </row>
    <row r="270" spans="1:27" x14ac:dyDescent="0.25">
      <c r="A270" s="7">
        <f>NFLX[[#This Row],[Date]]</f>
        <v>44951</v>
      </c>
      <c r="B270" s="30">
        <f>NFLX[[#This Row],[Stopa zwrotu]]</f>
        <v>9.4610149746150451E-3</v>
      </c>
      <c r="C270" s="30">
        <f>META[[#This Row],[Stopa zwrotu]]</f>
        <v>-7.4278649729211388E-3</v>
      </c>
      <c r="D270" s="30">
        <f>GOOG[[#This Row],[Stopa zwrotu]]</f>
        <v>-3.4832787279618693E-2</v>
      </c>
      <c r="E270" s="30">
        <f>EBAY[[#This Row],[Stopa zwrotu]]</f>
        <v>-4.0851001541647447E-3</v>
      </c>
      <c r="F270" s="30">
        <f>AMZN[[#This Row],[Stopa zwrotu]]</f>
        <v>-4.6666697916666666E-2</v>
      </c>
      <c r="H270" s="9">
        <v>44952</v>
      </c>
      <c r="I270" s="30">
        <v>8.9261143654115749E-3</v>
      </c>
      <c r="J270" s="30">
        <v>2.1309992463972582E-2</v>
      </c>
      <c r="K270" s="30">
        <v>1.6354884252326229E-2</v>
      </c>
      <c r="L270" s="30">
        <v>3.9723661485319361E-2</v>
      </c>
      <c r="M270" s="31">
        <v>5.9003509364188522E-2</v>
      </c>
      <c r="O270" s="9">
        <v>45012</v>
      </c>
      <c r="P270" s="30">
        <v>3.929762177643588E-3</v>
      </c>
      <c r="Q270" s="30">
        <v>-3.5863456443508968E-3</v>
      </c>
      <c r="R270" s="30">
        <v>-6.7150437282485669E-3</v>
      </c>
      <c r="S270" s="30">
        <v>7.121131381020958E-3</v>
      </c>
      <c r="T270" s="31">
        <v>2.3513139207887632E-3</v>
      </c>
      <c r="V270" s="9">
        <v>45047</v>
      </c>
      <c r="W270" s="30">
        <v>-6.0802510288066047E-3</v>
      </c>
      <c r="X270" s="30">
        <v>1.0038981972428178E-3</v>
      </c>
      <c r="Y270" s="30">
        <v>4.5894599089388128E-3</v>
      </c>
      <c r="Z270" s="30">
        <v>1.4688257649001871E-4</v>
      </c>
      <c r="AA270" s="31">
        <v>-8.0194317770005599E-3</v>
      </c>
    </row>
    <row r="271" spans="1:27" x14ac:dyDescent="0.25">
      <c r="A271" s="7">
        <f>NFLX[[#This Row],[Date]]</f>
        <v>44952</v>
      </c>
      <c r="B271" s="30">
        <f>NFLX[[#This Row],[Stopa zwrotu]]</f>
        <v>8.9261143654115749E-3</v>
      </c>
      <c r="C271" s="30">
        <f>META[[#This Row],[Stopa zwrotu]]</f>
        <v>2.1309992463972582E-2</v>
      </c>
      <c r="D271" s="30">
        <f>GOOG[[#This Row],[Stopa zwrotu]]</f>
        <v>1.6354884252326229E-2</v>
      </c>
      <c r="E271" s="30">
        <f>EBAY[[#This Row],[Stopa zwrotu]]</f>
        <v>3.9723661485319361E-2</v>
      </c>
      <c r="F271" s="30">
        <f>AMZN[[#This Row],[Stopa zwrotu]]</f>
        <v>5.9003509364188522E-2</v>
      </c>
      <c r="H271" s="9">
        <v>44953</v>
      </c>
      <c r="I271" s="30">
        <v>-3.0688857151600635E-3</v>
      </c>
      <c r="J271" s="30">
        <v>2.8541492773032084E-2</v>
      </c>
      <c r="K271" s="30">
        <v>2.2206166081388146E-2</v>
      </c>
      <c r="L271" s="30">
        <v>1.4950186877076499E-2</v>
      </c>
      <c r="M271" s="31">
        <v>2.6929437204486817E-2</v>
      </c>
      <c r="O271" s="9">
        <v>45013</v>
      </c>
      <c r="P271" s="30">
        <v>-9.6482998717882795E-3</v>
      </c>
      <c r="Q271" s="30">
        <v>-1.7183189227338191E-2</v>
      </c>
      <c r="R271" s="30">
        <v>-2.2897769352950514E-2</v>
      </c>
      <c r="S271" s="30">
        <v>2.3506463537170674E-4</v>
      </c>
      <c r="T271" s="31">
        <v>-8.1376285921377356E-3</v>
      </c>
      <c r="V271" s="9">
        <v>45048</v>
      </c>
      <c r="W271" s="30">
        <v>-7.7651011696701078E-3</v>
      </c>
      <c r="X271" s="30">
        <v>1.0699475281670034E-2</v>
      </c>
      <c r="Y271" s="30">
        <v>-2.7906976744186074E-2</v>
      </c>
      <c r="Z271" s="30">
        <v>-1.9599207223078507E-2</v>
      </c>
      <c r="AA271" s="31">
        <v>-6.5802199960713903E-3</v>
      </c>
    </row>
    <row r="272" spans="1:27" x14ac:dyDescent="0.25">
      <c r="A272" s="7">
        <f>NFLX[[#This Row],[Date]]</f>
        <v>44953</v>
      </c>
      <c r="B272" s="30">
        <f>NFLX[[#This Row],[Stopa zwrotu]]</f>
        <v>-3.0688857151600635E-3</v>
      </c>
      <c r="C272" s="30">
        <f>META[[#This Row],[Stopa zwrotu]]</f>
        <v>2.8541492773032084E-2</v>
      </c>
      <c r="D272" s="30">
        <f>GOOG[[#This Row],[Stopa zwrotu]]</f>
        <v>2.2206166081388146E-2</v>
      </c>
      <c r="E272" s="30">
        <f>EBAY[[#This Row],[Stopa zwrotu]]</f>
        <v>1.4950186877076499E-2</v>
      </c>
      <c r="F272" s="30">
        <f>AMZN[[#This Row],[Stopa zwrotu]]</f>
        <v>2.6929437204486817E-2</v>
      </c>
      <c r="H272" s="9">
        <v>44956</v>
      </c>
      <c r="I272" s="30">
        <v>-7.145706652752863E-3</v>
      </c>
      <c r="J272" s="30">
        <v>-9.9509691518033061E-4</v>
      </c>
      <c r="K272" s="30">
        <v>-4.8836481942307426E-3</v>
      </c>
      <c r="L272" s="30">
        <v>-3.8870702969093784E-3</v>
      </c>
      <c r="M272" s="31">
        <v>-1.7415084404183896E-3</v>
      </c>
      <c r="O272" s="9">
        <v>45014</v>
      </c>
      <c r="P272" s="30">
        <v>1.3850884007255093E-2</v>
      </c>
      <c r="Q272" s="30">
        <v>2.3446180599682176E-2</v>
      </c>
      <c r="R272" s="30">
        <v>7.4790587104014428E-3</v>
      </c>
      <c r="S272" s="30">
        <v>1.5037593631635593E-2</v>
      </c>
      <c r="T272" s="31">
        <v>2.3574586939717479E-2</v>
      </c>
      <c r="V272" s="9">
        <v>45049</v>
      </c>
      <c r="W272" s="30">
        <v>7.2875927901838722E-4</v>
      </c>
      <c r="X272" s="30">
        <v>-2.6109899449560658E-2</v>
      </c>
      <c r="Y272" s="30">
        <v>1.0717732057416329E-2</v>
      </c>
      <c r="Z272" s="30">
        <v>2.0215858041328083E-3</v>
      </c>
      <c r="AA272" s="31">
        <v>2.1057804823375159E-2</v>
      </c>
    </row>
    <row r="273" spans="1:27" x14ac:dyDescent="0.25">
      <c r="A273" s="7">
        <f>NFLX[[#This Row],[Date]]</f>
        <v>44956</v>
      </c>
      <c r="B273" s="30">
        <f>NFLX[[#This Row],[Stopa zwrotu]]</f>
        <v>-7.145706652752863E-3</v>
      </c>
      <c r="C273" s="30">
        <f>META[[#This Row],[Stopa zwrotu]]</f>
        <v>-9.9509691518033061E-4</v>
      </c>
      <c r="D273" s="30">
        <f>GOOG[[#This Row],[Stopa zwrotu]]</f>
        <v>-4.8836481942307426E-3</v>
      </c>
      <c r="E273" s="30">
        <f>EBAY[[#This Row],[Stopa zwrotu]]</f>
        <v>-3.8870702969093784E-3</v>
      </c>
      <c r="F273" s="30">
        <f>AMZN[[#This Row],[Stopa zwrotu]]</f>
        <v>-1.7415084404183896E-3</v>
      </c>
      <c r="H273" s="9">
        <v>44957</v>
      </c>
      <c r="I273" s="30">
        <v>-1.1761021868206378E-2</v>
      </c>
      <c r="J273" s="30">
        <v>3.8789180785081534E-3</v>
      </c>
      <c r="K273" s="30">
        <v>2.7687039407928715E-3</v>
      </c>
      <c r="L273" s="30">
        <v>1.0142785962683032E-2</v>
      </c>
      <c r="M273" s="31">
        <v>2.1512947752490685E-2</v>
      </c>
      <c r="O273" s="9">
        <v>45015</v>
      </c>
      <c r="P273" s="30">
        <v>2.938008988063423E-2</v>
      </c>
      <c r="Q273" s="30">
        <v>1.3825121441570776E-3</v>
      </c>
      <c r="R273" s="30">
        <v>-7.3245373386572332E-3</v>
      </c>
      <c r="S273" s="30">
        <v>9.95370347329394E-3</v>
      </c>
      <c r="T273" s="31">
        <v>2.4857995634293806E-2</v>
      </c>
      <c r="V273" s="9">
        <v>45050</v>
      </c>
      <c r="W273" s="30">
        <v>6.6487445309721949E-3</v>
      </c>
      <c r="X273" s="30">
        <v>7.7333190118156203E-4</v>
      </c>
      <c r="Y273" s="30">
        <v>-8.7105280616210923E-3</v>
      </c>
      <c r="Z273" s="30">
        <v>-7.3974891863374248E-3</v>
      </c>
      <c r="AA273" s="31">
        <v>2.9046282233213816E-4</v>
      </c>
    </row>
    <row r="274" spans="1:27" x14ac:dyDescent="0.25">
      <c r="A274" s="7">
        <f>NFLX[[#This Row],[Date]]</f>
        <v>44957</v>
      </c>
      <c r="B274" s="30">
        <f>NFLX[[#This Row],[Stopa zwrotu]]</f>
        <v>-1.1761021868206378E-2</v>
      </c>
      <c r="C274" s="30">
        <f>META[[#This Row],[Stopa zwrotu]]</f>
        <v>3.8789180785081534E-3</v>
      </c>
      <c r="D274" s="30">
        <f>GOOG[[#This Row],[Stopa zwrotu]]</f>
        <v>2.7687039407928715E-3</v>
      </c>
      <c r="E274" s="30">
        <f>EBAY[[#This Row],[Stopa zwrotu]]</f>
        <v>1.0142785962683032E-2</v>
      </c>
      <c r="F274" s="30">
        <f>AMZN[[#This Row],[Stopa zwrotu]]</f>
        <v>2.1512947752490685E-2</v>
      </c>
      <c r="H274" s="9">
        <v>44958</v>
      </c>
      <c r="I274" s="30">
        <v>3.4412922800368673E-3</v>
      </c>
      <c r="J274" s="30">
        <v>-3.1182618460340317E-3</v>
      </c>
      <c r="K274" s="30">
        <v>6.4423457772537773E-3</v>
      </c>
      <c r="L274" s="30">
        <v>-2.2540984068463166E-3</v>
      </c>
      <c r="M274" s="31">
        <v>9.8871861764604496E-4</v>
      </c>
      <c r="O274" s="9">
        <v>45016</v>
      </c>
      <c r="P274" s="30">
        <v>5.6666390337003492E-3</v>
      </c>
      <c r="Q274" s="30">
        <v>1.9475381440056783E-2</v>
      </c>
      <c r="R274" s="30">
        <v>1.1466756292085378E-2</v>
      </c>
      <c r="S274" s="30">
        <v>2.5212238707030821E-3</v>
      </c>
      <c r="T274" s="31">
        <v>9.3059596217015539E-3</v>
      </c>
      <c r="V274" s="9">
        <v>45051</v>
      </c>
      <c r="W274" s="30">
        <v>4.6862397979716697E-3</v>
      </c>
      <c r="X274" s="30">
        <v>-1.3222801238825355E-2</v>
      </c>
      <c r="Y274" s="30">
        <v>3.725023984479936E-4</v>
      </c>
      <c r="Z274" s="30">
        <v>7.9042910547491019E-3</v>
      </c>
      <c r="AA274" s="31">
        <v>2.323153660306998E-3</v>
      </c>
    </row>
    <row r="275" spans="1:27" x14ac:dyDescent="0.25">
      <c r="A275" s="7">
        <f>NFLX[[#This Row],[Date]]</f>
        <v>44958</v>
      </c>
      <c r="B275" s="30">
        <f>NFLX[[#This Row],[Stopa zwrotu]]</f>
        <v>3.4412922800368673E-3</v>
      </c>
      <c r="C275" s="30">
        <f>META[[#This Row],[Stopa zwrotu]]</f>
        <v>-3.1182618460340317E-3</v>
      </c>
      <c r="D275" s="30">
        <f>GOOG[[#This Row],[Stopa zwrotu]]</f>
        <v>6.4423457772537773E-3</v>
      </c>
      <c r="E275" s="30">
        <f>EBAY[[#This Row],[Stopa zwrotu]]</f>
        <v>-2.2540984068463166E-3</v>
      </c>
      <c r="F275" s="30">
        <f>AMZN[[#This Row],[Stopa zwrotu]]</f>
        <v>9.8871861764604496E-4</v>
      </c>
      <c r="H275" s="9">
        <v>44959</v>
      </c>
      <c r="I275" s="30">
        <v>2.4349086629715355E-2</v>
      </c>
      <c r="J275" s="30">
        <v>0.22507824323511816</v>
      </c>
      <c r="K275" s="30">
        <v>8.2503588345937517E-2</v>
      </c>
      <c r="L275" s="30">
        <v>4.1076197187845498E-2</v>
      </c>
      <c r="M275" s="31">
        <v>7.5464234995342494E-2</v>
      </c>
      <c r="O275" s="9">
        <v>45019</v>
      </c>
      <c r="P275" s="30">
        <v>3.1632877482420016E-3</v>
      </c>
      <c r="Q275" s="30">
        <v>2.3052876341450959E-3</v>
      </c>
      <c r="R275" s="30">
        <v>3.088837347091792E-3</v>
      </c>
      <c r="S275" s="30">
        <v>7.6206367495523786E-4</v>
      </c>
      <c r="T275" s="31">
        <v>-1.7001700680121523E-3</v>
      </c>
      <c r="V275" s="9">
        <v>45054</v>
      </c>
      <c r="W275" s="30">
        <v>2.7026431502881199E-3</v>
      </c>
      <c r="X275" s="30">
        <v>6.0908997032319923E-4</v>
      </c>
      <c r="Y275" s="30">
        <v>3.3448318202674945E-3</v>
      </c>
      <c r="Z275" s="30">
        <v>6.2738067158008741E-3</v>
      </c>
      <c r="AA275" s="31">
        <v>3.7018959172152588E-3</v>
      </c>
    </row>
    <row r="276" spans="1:27" x14ac:dyDescent="0.25">
      <c r="A276" s="7">
        <f>NFLX[[#This Row],[Date]]</f>
        <v>44959</v>
      </c>
      <c r="B276" s="30">
        <f>NFLX[[#This Row],[Stopa zwrotu]]</f>
        <v>2.4349086629715355E-2</v>
      </c>
      <c r="C276" s="30">
        <f>META[[#This Row],[Stopa zwrotu]]</f>
        <v>0.22507824323511816</v>
      </c>
      <c r="D276" s="30">
        <f>GOOG[[#This Row],[Stopa zwrotu]]</f>
        <v>8.2503588345937517E-2</v>
      </c>
      <c r="E276" s="30">
        <f>EBAY[[#This Row],[Stopa zwrotu]]</f>
        <v>4.1076197187845498E-2</v>
      </c>
      <c r="F276" s="30">
        <f>AMZN[[#This Row],[Stopa zwrotu]]</f>
        <v>7.5464234995342494E-2</v>
      </c>
      <c r="H276" s="9">
        <v>44960</v>
      </c>
      <c r="I276" s="30">
        <v>1.5902882323801659E-3</v>
      </c>
      <c r="J276" s="30">
        <v>1.5153169068535366E-2</v>
      </c>
      <c r="K276" s="30">
        <v>-3.0411094139186301E-2</v>
      </c>
      <c r="L276" s="30">
        <v>-1.1442059803552285E-2</v>
      </c>
      <c r="M276" s="31">
        <v>-5.8412933277358525E-2</v>
      </c>
      <c r="O276" s="9">
        <v>45020</v>
      </c>
      <c r="P276" s="30">
        <v>1.0428960230827844E-2</v>
      </c>
      <c r="Q276" s="30">
        <v>2.0845322106320729E-2</v>
      </c>
      <c r="R276" s="30">
        <v>2.1683933044069015E-2</v>
      </c>
      <c r="S276" s="30">
        <v>-2.280565693431047E-4</v>
      </c>
      <c r="T276" s="31">
        <v>6.7041407867494129E-3</v>
      </c>
      <c r="V276" s="9">
        <v>45055</v>
      </c>
      <c r="W276" s="30">
        <v>2.3941840896630318E-2</v>
      </c>
      <c r="X276" s="30">
        <v>3.5176010158926019E-3</v>
      </c>
      <c r="Y276" s="30">
        <v>1.8290925245383116E-2</v>
      </c>
      <c r="Z276" s="30">
        <v>1.099604110411212E-3</v>
      </c>
      <c r="AA276" s="31">
        <v>4.3935722366830188E-3</v>
      </c>
    </row>
    <row r="277" spans="1:27" x14ac:dyDescent="0.25">
      <c r="A277" s="7">
        <f>NFLX[[#This Row],[Date]]</f>
        <v>44960</v>
      </c>
      <c r="B277" s="30">
        <f>NFLX[[#This Row],[Stopa zwrotu]]</f>
        <v>1.5902882323801659E-3</v>
      </c>
      <c r="C277" s="30">
        <f>META[[#This Row],[Stopa zwrotu]]</f>
        <v>1.5153169068535366E-2</v>
      </c>
      <c r="D277" s="30">
        <f>GOOG[[#This Row],[Stopa zwrotu]]</f>
        <v>-3.0411094139186301E-2</v>
      </c>
      <c r="E277" s="30">
        <f>EBAY[[#This Row],[Stopa zwrotu]]</f>
        <v>-1.1442059803552285E-2</v>
      </c>
      <c r="F277" s="30">
        <f>AMZN[[#This Row],[Stopa zwrotu]]</f>
        <v>-5.8412933277358525E-2</v>
      </c>
      <c r="H277" s="9">
        <v>44963</v>
      </c>
      <c r="I277" s="30">
        <v>1.5598820798514712E-3</v>
      </c>
      <c r="J277" s="30">
        <v>4.7934186567157866E-3</v>
      </c>
      <c r="K277" s="30">
        <v>-3.5172764386722046E-3</v>
      </c>
      <c r="L277" s="30">
        <v>-3.0599280969880369E-3</v>
      </c>
      <c r="M277" s="31">
        <v>-6.0800983701420437E-3</v>
      </c>
      <c r="O277" s="9">
        <v>45021</v>
      </c>
      <c r="P277" s="30">
        <v>-2.2387008958732135E-2</v>
      </c>
      <c r="Q277" s="30">
        <v>-1.2232949494827672E-2</v>
      </c>
      <c r="R277" s="30">
        <v>-4.7610039151243511E-3</v>
      </c>
      <c r="S277" s="30">
        <v>-2.9660276994739609E-3</v>
      </c>
      <c r="T277" s="31">
        <v>-1.3318979401439779E-2</v>
      </c>
      <c r="V277" s="9">
        <v>45056</v>
      </c>
      <c r="W277" s="30">
        <v>-6.9745862490000476E-4</v>
      </c>
      <c r="X277" s="30">
        <v>-1.5579063392946457E-3</v>
      </c>
      <c r="Y277" s="30">
        <v>7.008633223646088E-3</v>
      </c>
      <c r="Z277" s="30">
        <v>-6.1510984182777673E-3</v>
      </c>
      <c r="AA277" s="31">
        <v>2.7481921738991222E-2</v>
      </c>
    </row>
    <row r="278" spans="1:27" x14ac:dyDescent="0.25">
      <c r="A278" s="7">
        <f>NFLX[[#This Row],[Date]]</f>
        <v>44963</v>
      </c>
      <c r="B278" s="30">
        <f>NFLX[[#This Row],[Stopa zwrotu]]</f>
        <v>1.5598820798514712E-3</v>
      </c>
      <c r="C278" s="30">
        <f>META[[#This Row],[Stopa zwrotu]]</f>
        <v>4.7934186567157866E-3</v>
      </c>
      <c r="D278" s="30">
        <f>GOOG[[#This Row],[Stopa zwrotu]]</f>
        <v>-3.5172764386722046E-3</v>
      </c>
      <c r="E278" s="30">
        <f>EBAY[[#This Row],[Stopa zwrotu]]</f>
        <v>-3.0599280969880369E-3</v>
      </c>
      <c r="F278" s="30">
        <f>AMZN[[#This Row],[Stopa zwrotu]]</f>
        <v>-6.0800983701420437E-3</v>
      </c>
      <c r="H278" s="9">
        <v>44964</v>
      </c>
      <c r="I278" s="30">
        <v>-1.8021515266027022E-2</v>
      </c>
      <c r="J278" s="30">
        <v>-6.0371387227869944E-3</v>
      </c>
      <c r="K278" s="30">
        <v>1.3090676187170303E-2</v>
      </c>
      <c r="L278" s="30">
        <v>-1.1681812218255261E-2</v>
      </c>
      <c r="M278" s="31">
        <v>-2.5534028305334799E-2</v>
      </c>
      <c r="O278" s="9">
        <v>45022</v>
      </c>
      <c r="P278" s="30">
        <v>-1.0765784386617128E-2</v>
      </c>
      <c r="Q278" s="30">
        <v>-6.1446507940873252E-3</v>
      </c>
      <c r="R278" s="30">
        <v>6.8491001186077316E-3</v>
      </c>
      <c r="S278" s="30">
        <v>-1.052629266530225E-2</v>
      </c>
      <c r="T278" s="31">
        <v>-9.4292506203473847E-3</v>
      </c>
      <c r="V278" s="9">
        <v>45057</v>
      </c>
      <c r="W278" s="30">
        <v>7.0710628790910945E-3</v>
      </c>
      <c r="X278" s="30">
        <v>6.8481362393890688E-3</v>
      </c>
      <c r="Y278" s="30">
        <v>5.9457935302601461E-2</v>
      </c>
      <c r="Z278" s="30">
        <v>5.0839741342187938E-3</v>
      </c>
      <c r="AA278" s="31">
        <v>2.2582090997258053E-2</v>
      </c>
    </row>
    <row r="279" spans="1:27" x14ac:dyDescent="0.25">
      <c r="A279" s="7">
        <f>NFLX[[#This Row],[Date]]</f>
        <v>44964</v>
      </c>
      <c r="B279" s="30">
        <f>NFLX[[#This Row],[Stopa zwrotu]]</f>
        <v>-1.8021515266027022E-2</v>
      </c>
      <c r="C279" s="30">
        <f>META[[#This Row],[Stopa zwrotu]]</f>
        <v>-6.0371387227869944E-3</v>
      </c>
      <c r="D279" s="30">
        <f>GOOG[[#This Row],[Stopa zwrotu]]</f>
        <v>1.3090676187170303E-2</v>
      </c>
      <c r="E279" s="30">
        <f>EBAY[[#This Row],[Stopa zwrotu]]</f>
        <v>-1.1681812218255261E-2</v>
      </c>
      <c r="F279" s="30">
        <f>AMZN[[#This Row],[Stopa zwrotu]]</f>
        <v>-2.5534028305334799E-2</v>
      </c>
      <c r="H279" s="9">
        <v>44965</v>
      </c>
      <c r="I279" s="30">
        <v>1.1660751825696591E-2</v>
      </c>
      <c r="J279" s="30">
        <v>-8.0260089379395883E-3</v>
      </c>
      <c r="K279" s="30">
        <v>-4.9184872209551256E-2</v>
      </c>
      <c r="L279" s="30">
        <v>-4.8909313226003226E-3</v>
      </c>
      <c r="M279" s="31">
        <v>7.1370002622961337E-3</v>
      </c>
      <c r="O279" s="9">
        <v>45026</v>
      </c>
      <c r="P279" s="30">
        <v>5.4864262771486816E-4</v>
      </c>
      <c r="Q279" s="30">
        <v>2.4083513752701236E-3</v>
      </c>
      <c r="R279" s="30">
        <v>1.8723369389431199E-3</v>
      </c>
      <c r="S279" s="30">
        <v>-8.6726406719403459E-4</v>
      </c>
      <c r="T279" s="31">
        <v>-5.7615980231986996E-4</v>
      </c>
      <c r="V279" s="9">
        <v>45058</v>
      </c>
      <c r="W279" s="30">
        <v>1.6634489713530431E-2</v>
      </c>
      <c r="X279" s="30">
        <v>-3.6590873397449597E-3</v>
      </c>
      <c r="Y279" s="30">
        <v>1.4095562516314164E-2</v>
      </c>
      <c r="Z279" s="30">
        <v>-1.8253837293735753E-2</v>
      </c>
      <c r="AA279" s="31">
        <v>-1.058917568267137E-2</v>
      </c>
    </row>
    <row r="280" spans="1:27" x14ac:dyDescent="0.25">
      <c r="A280" s="7">
        <f>NFLX[[#This Row],[Date]]</f>
        <v>44965</v>
      </c>
      <c r="B280" s="30">
        <f>NFLX[[#This Row],[Stopa zwrotu]]</f>
        <v>1.1660751825696591E-2</v>
      </c>
      <c r="C280" s="30">
        <f>META[[#This Row],[Stopa zwrotu]]</f>
        <v>-8.0260089379395883E-3</v>
      </c>
      <c r="D280" s="30">
        <f>GOOG[[#This Row],[Stopa zwrotu]]</f>
        <v>-4.9184872209551256E-2</v>
      </c>
      <c r="E280" s="30">
        <f>EBAY[[#This Row],[Stopa zwrotu]]</f>
        <v>-4.8909313226003226E-3</v>
      </c>
      <c r="F280" s="30">
        <f>AMZN[[#This Row],[Stopa zwrotu]]</f>
        <v>7.1370002622961337E-3</v>
      </c>
      <c r="H280" s="9">
        <v>44966</v>
      </c>
      <c r="I280" s="30">
        <v>9.5726940893230417E-3</v>
      </c>
      <c r="J280" s="30">
        <v>-3.0887787348434115E-2</v>
      </c>
      <c r="K280" s="30">
        <v>-4.6671077209464618E-2</v>
      </c>
      <c r="L280" s="30">
        <v>-1.3925864676393007E-2</v>
      </c>
      <c r="M280" s="31">
        <v>-1.2249433207627503E-2</v>
      </c>
      <c r="O280" s="9">
        <v>45027</v>
      </c>
      <c r="P280" s="30">
        <v>1.2839063452681598E-2</v>
      </c>
      <c r="Q280" s="30">
        <v>1.3054210328411475E-2</v>
      </c>
      <c r="R280" s="30">
        <v>-3.0302936179978923E-3</v>
      </c>
      <c r="S280" s="30">
        <v>-1.6245068461360201E-3</v>
      </c>
      <c r="T280" s="31">
        <v>-5.6241639047904801E-3</v>
      </c>
      <c r="V280" s="9">
        <v>45061</v>
      </c>
      <c r="W280" s="30">
        <v>-1.7982531824770609E-3</v>
      </c>
      <c r="X280" s="30">
        <v>5.5879672359641459E-3</v>
      </c>
      <c r="Y280" s="30">
        <v>-2.0020019504707331E-4</v>
      </c>
      <c r="Z280" s="30">
        <v>-5.9735664420605217E-4</v>
      </c>
      <c r="AA280" s="31">
        <v>-2.1344066349552696E-4</v>
      </c>
    </row>
    <row r="281" spans="1:27" x14ac:dyDescent="0.25">
      <c r="A281" s="7">
        <f>NFLX[[#This Row],[Date]]</f>
        <v>44966</v>
      </c>
      <c r="B281" s="30">
        <f>NFLX[[#This Row],[Stopa zwrotu]]</f>
        <v>9.5726940893230417E-3</v>
      </c>
      <c r="C281" s="30">
        <f>META[[#This Row],[Stopa zwrotu]]</f>
        <v>-3.0887787348434115E-2</v>
      </c>
      <c r="D281" s="30">
        <f>GOOG[[#This Row],[Stopa zwrotu]]</f>
        <v>-4.6671077209464618E-2</v>
      </c>
      <c r="E281" s="30">
        <f>EBAY[[#This Row],[Stopa zwrotu]]</f>
        <v>-1.3925864676393007E-2</v>
      </c>
      <c r="F281" s="30">
        <f>AMZN[[#This Row],[Stopa zwrotu]]</f>
        <v>-1.2249433207627503E-2</v>
      </c>
      <c r="H281" s="9">
        <v>44967</v>
      </c>
      <c r="I281" s="30">
        <v>-4.036041190801154E-2</v>
      </c>
      <c r="J281" s="30">
        <v>-2.2113148934097104E-2</v>
      </c>
      <c r="K281" s="30">
        <v>7.1382696874253693E-3</v>
      </c>
      <c r="L281" s="30">
        <v>-1.038421556036484E-2</v>
      </c>
      <c r="M281" s="31">
        <v>-1.3733698882853251E-2</v>
      </c>
      <c r="O281" s="9">
        <v>45028</v>
      </c>
      <c r="P281" s="30">
        <v>-2.2509198147026566E-2</v>
      </c>
      <c r="Q281" s="30">
        <v>-3.8892366076708207E-3</v>
      </c>
      <c r="R281" s="30">
        <v>-2.9445099063878377E-3</v>
      </c>
      <c r="S281" s="30">
        <v>-1.2319804741980578E-2</v>
      </c>
      <c r="T281" s="31">
        <v>-1.3130016904756792E-2</v>
      </c>
      <c r="V281" s="9">
        <v>45062</v>
      </c>
      <c r="W281" s="30">
        <v>-1.0818396920290851E-2</v>
      </c>
      <c r="X281" s="30">
        <v>8.0738536686864038E-4</v>
      </c>
      <c r="Y281" s="30">
        <v>3.0047990297528138E-3</v>
      </c>
      <c r="Z281" s="30">
        <v>-3.4560165292635392E-2</v>
      </c>
      <c r="AA281" s="31">
        <v>1.6475999999999935E-2</v>
      </c>
    </row>
    <row r="282" spans="1:27" x14ac:dyDescent="0.25">
      <c r="A282" s="7">
        <f>NFLX[[#This Row],[Date]]</f>
        <v>44967</v>
      </c>
      <c r="B282" s="30">
        <f>NFLX[[#This Row],[Stopa zwrotu]]</f>
        <v>-4.036041190801154E-2</v>
      </c>
      <c r="C282" s="30">
        <f>META[[#This Row],[Stopa zwrotu]]</f>
        <v>-2.2113148934097104E-2</v>
      </c>
      <c r="D282" s="30">
        <f>GOOG[[#This Row],[Stopa zwrotu]]</f>
        <v>7.1382696874253693E-3</v>
      </c>
      <c r="E282" s="30">
        <f>EBAY[[#This Row],[Stopa zwrotu]]</f>
        <v>-1.038421556036484E-2</v>
      </c>
      <c r="F282" s="30">
        <f>AMZN[[#This Row],[Stopa zwrotu]]</f>
        <v>-1.3733698882853251E-2</v>
      </c>
      <c r="H282" s="9">
        <v>44970</v>
      </c>
      <c r="I282" s="30">
        <v>-2.7750714170284851E-3</v>
      </c>
      <c r="J282" s="30">
        <v>4.7495450716434906E-3</v>
      </c>
      <c r="K282" s="30">
        <v>-1.692570277787353E-3</v>
      </c>
      <c r="L282" s="30">
        <v>1.8887442369187231E-3</v>
      </c>
      <c r="M282" s="31">
        <v>2.3554711933241692E-3</v>
      </c>
      <c r="O282" s="9">
        <v>45029</v>
      </c>
      <c r="P282" s="30">
        <v>2.6390712527219806E-2</v>
      </c>
      <c r="Q282" s="30">
        <v>1.4629786295702329E-2</v>
      </c>
      <c r="R282" s="30">
        <v>1.4004010536305511E-2</v>
      </c>
      <c r="S282" s="30">
        <v>8.7079073331179924E-3</v>
      </c>
      <c r="T282" s="31">
        <v>1.0234367109142939E-2</v>
      </c>
      <c r="V282" s="9">
        <v>45063</v>
      </c>
      <c r="W282" s="30">
        <v>-6.8994877298124146E-3</v>
      </c>
      <c r="X282" s="30">
        <v>1.1124299233622681E-2</v>
      </c>
      <c r="Y282" s="30">
        <v>2.2511315201381166E-2</v>
      </c>
      <c r="Z282" s="30">
        <v>-1.3947233844723295E-3</v>
      </c>
      <c r="AA282" s="31">
        <v>2.8545681354011254E-2</v>
      </c>
    </row>
    <row r="283" spans="1:27" x14ac:dyDescent="0.25">
      <c r="A283" s="7">
        <f>NFLX[[#This Row],[Date]]</f>
        <v>44970</v>
      </c>
      <c r="B283" s="30">
        <f>NFLX[[#This Row],[Stopa zwrotu]]</f>
        <v>-2.7750714170284851E-3</v>
      </c>
      <c r="C283" s="30">
        <f>META[[#This Row],[Stopa zwrotu]]</f>
        <v>4.7495450716434906E-3</v>
      </c>
      <c r="D283" s="30">
        <f>GOOG[[#This Row],[Stopa zwrotu]]</f>
        <v>-1.692570277787353E-3</v>
      </c>
      <c r="E283" s="30">
        <f>EBAY[[#This Row],[Stopa zwrotu]]</f>
        <v>1.8887442369187231E-3</v>
      </c>
      <c r="F283" s="30">
        <f>AMZN[[#This Row],[Stopa zwrotu]]</f>
        <v>2.3554711933241692E-3</v>
      </c>
      <c r="H283" s="9">
        <v>44971</v>
      </c>
      <c r="I283" s="30">
        <v>2.657950326797387E-2</v>
      </c>
      <c r="J283" s="30">
        <v>3.4124671602375756E-4</v>
      </c>
      <c r="K283" s="30">
        <v>-1.4885709254044421E-2</v>
      </c>
      <c r="L283" s="30">
        <v>6.0517740422276756E-3</v>
      </c>
      <c r="M283" s="31">
        <v>6.2944275598213473E-3</v>
      </c>
      <c r="O283" s="9">
        <v>45030</v>
      </c>
      <c r="P283" s="30">
        <v>-6.9077372693726602E-3</v>
      </c>
      <c r="Q283" s="30">
        <v>8.6234919688117362E-3</v>
      </c>
      <c r="R283" s="30">
        <v>1.0804152371210796E-2</v>
      </c>
      <c r="S283" s="30">
        <v>6.5328509908342269E-3</v>
      </c>
      <c r="T283" s="31">
        <v>2.4313666541522228E-2</v>
      </c>
      <c r="V283" s="9">
        <v>45064</v>
      </c>
      <c r="W283" s="30">
        <v>5.0816092027426985E-2</v>
      </c>
      <c r="X283" s="30">
        <v>1.280760482408505E-2</v>
      </c>
      <c r="Y283" s="30">
        <v>1.6993127548912801E-2</v>
      </c>
      <c r="Z283" s="30">
        <v>1.1173184617625287E-2</v>
      </c>
      <c r="AA283" s="31">
        <v>1.8560628448952565E-2</v>
      </c>
    </row>
    <row r="284" spans="1:27" x14ac:dyDescent="0.25">
      <c r="A284" s="7">
        <f>NFLX[[#This Row],[Date]]</f>
        <v>44971</v>
      </c>
      <c r="B284" s="30">
        <f>NFLX[[#This Row],[Stopa zwrotu]]</f>
        <v>2.657950326797387E-2</v>
      </c>
      <c r="C284" s="30">
        <f>META[[#This Row],[Stopa zwrotu]]</f>
        <v>3.4124671602375756E-4</v>
      </c>
      <c r="D284" s="30">
        <f>GOOG[[#This Row],[Stopa zwrotu]]</f>
        <v>-1.4885709254044421E-2</v>
      </c>
      <c r="E284" s="30">
        <f>EBAY[[#This Row],[Stopa zwrotu]]</f>
        <v>6.0517740422276756E-3</v>
      </c>
      <c r="F284" s="30">
        <f>AMZN[[#This Row],[Stopa zwrotu]]</f>
        <v>6.2944275598213473E-3</v>
      </c>
      <c r="H284" s="9">
        <v>44972</v>
      </c>
      <c r="I284" s="30">
        <v>2.3768987387136065E-3</v>
      </c>
      <c r="J284" s="30">
        <v>-3.1271491037312416E-3</v>
      </c>
      <c r="K284" s="30">
        <v>1.8456545742977948E-2</v>
      </c>
      <c r="L284" s="30">
        <v>0</v>
      </c>
      <c r="M284" s="31">
        <v>9.5365056256102587E-3</v>
      </c>
      <c r="O284" s="9">
        <v>45033</v>
      </c>
      <c r="P284" s="30">
        <v>-8.8285166850547627E-3</v>
      </c>
      <c r="Q284" s="30">
        <v>-6.435271496334124E-4</v>
      </c>
      <c r="R284" s="30">
        <v>-7.0328595730529964E-3</v>
      </c>
      <c r="S284" s="30">
        <v>2.3953176262242839E-3</v>
      </c>
      <c r="T284" s="31">
        <v>1.5824184724648009E-3</v>
      </c>
      <c r="V284" s="9">
        <v>45065</v>
      </c>
      <c r="W284" s="30">
        <v>5.0350790344873886E-2</v>
      </c>
      <c r="X284" s="30">
        <v>9.2043699224315656E-3</v>
      </c>
      <c r="Y284" s="30">
        <v>1.0124314925085365E-2</v>
      </c>
      <c r="Z284" s="30">
        <v>-6.6758058627026662E-3</v>
      </c>
      <c r="AA284" s="31">
        <v>-5.5011090081179548E-3</v>
      </c>
    </row>
    <row r="285" spans="1:27" x14ac:dyDescent="0.25">
      <c r="A285" s="7">
        <f>NFLX[[#This Row],[Date]]</f>
        <v>44972</v>
      </c>
      <c r="B285" s="30">
        <f>NFLX[[#This Row],[Stopa zwrotu]]</f>
        <v>2.3768987387136065E-3</v>
      </c>
      <c r="C285" s="30">
        <f>META[[#This Row],[Stopa zwrotu]]</f>
        <v>-3.1271491037312416E-3</v>
      </c>
      <c r="D285" s="30">
        <f>GOOG[[#This Row],[Stopa zwrotu]]</f>
        <v>1.8456545742977948E-2</v>
      </c>
      <c r="E285" s="30">
        <f>EBAY[[#This Row],[Stopa zwrotu]]</f>
        <v>0</v>
      </c>
      <c r="F285" s="30">
        <f>AMZN[[#This Row],[Stopa zwrotu]]</f>
        <v>9.5365056256102587E-3</v>
      </c>
      <c r="H285" s="9">
        <v>44973</v>
      </c>
      <c r="I285" s="30">
        <v>-1.1094151171356925E-2</v>
      </c>
      <c r="J285" s="30">
        <v>-2.0190549019670878E-2</v>
      </c>
      <c r="K285" s="30">
        <v>6.4646035771025456E-3</v>
      </c>
      <c r="L285" s="30">
        <v>1.6594482816727485E-3</v>
      </c>
      <c r="M285" s="31">
        <v>-3.5550940646549289E-3</v>
      </c>
      <c r="O285" s="9">
        <v>45034</v>
      </c>
      <c r="P285" s="30">
        <v>9.1603053435114212E-3</v>
      </c>
      <c r="Q285" s="30">
        <v>-4.2370836771270515E-3</v>
      </c>
      <c r="R285" s="30">
        <v>-5.1272407899732864E-3</v>
      </c>
      <c r="S285" s="30">
        <v>9.436133269594027E-3</v>
      </c>
      <c r="T285" s="31">
        <v>-6.890343809049515E-4</v>
      </c>
      <c r="V285" s="9">
        <v>45068</v>
      </c>
      <c r="W285" s="30">
        <v>-1.2002583832234255E-3</v>
      </c>
      <c r="X285" s="30">
        <v>2.3417155853627434E-3</v>
      </c>
      <c r="Y285" s="30">
        <v>1.9828226696315308E-3</v>
      </c>
      <c r="Z285" s="30">
        <v>4.6349785414455296E-3</v>
      </c>
      <c r="AA285" s="31">
        <v>-4.1774619348808884E-3</v>
      </c>
    </row>
    <row r="286" spans="1:27" x14ac:dyDescent="0.25">
      <c r="A286" s="7">
        <f>NFLX[[#This Row],[Date]]</f>
        <v>44973</v>
      </c>
      <c r="B286" s="30">
        <f>NFLX[[#This Row],[Stopa zwrotu]]</f>
        <v>-1.1094151171356925E-2</v>
      </c>
      <c r="C286" s="30">
        <f>META[[#This Row],[Stopa zwrotu]]</f>
        <v>-2.0190549019670878E-2</v>
      </c>
      <c r="D286" s="30">
        <f>GOOG[[#This Row],[Stopa zwrotu]]</f>
        <v>6.4646035771025456E-3</v>
      </c>
      <c r="E286" s="30">
        <f>EBAY[[#This Row],[Stopa zwrotu]]</f>
        <v>1.6594482816727485E-3</v>
      </c>
      <c r="F286" s="30">
        <f>AMZN[[#This Row],[Stopa zwrotu]]</f>
        <v>-3.5550940646549289E-3</v>
      </c>
      <c r="H286" s="9">
        <v>44974</v>
      </c>
      <c r="I286" s="30">
        <v>-2.2465804701354841E-2</v>
      </c>
      <c r="J286" s="30">
        <v>-1.2165993859723945E-2</v>
      </c>
      <c r="K286" s="30">
        <v>-1.600509617768664E-2</v>
      </c>
      <c r="L286" s="30">
        <v>-1.1182459905105357E-2</v>
      </c>
      <c r="M286" s="31">
        <v>-2.4974475534647822E-2</v>
      </c>
      <c r="O286" s="9">
        <v>45035</v>
      </c>
      <c r="P286" s="30">
        <v>-4.3570329803328312E-2</v>
      </c>
      <c r="Q286" s="30">
        <v>-1.5170500410741861E-2</v>
      </c>
      <c r="R286" s="30">
        <v>-9.3528918625013224E-3</v>
      </c>
      <c r="S286" s="30">
        <v>-7.5239852365712734E-3</v>
      </c>
      <c r="T286" s="31">
        <v>-1.2805161922926356E-3</v>
      </c>
      <c r="V286" s="9">
        <v>45069</v>
      </c>
      <c r="W286" s="30">
        <v>-2.259310896551725E-2</v>
      </c>
      <c r="X286" s="30">
        <v>6.2418367787580031E-3</v>
      </c>
      <c r="Y286" s="30">
        <v>-3.240129685867843E-3</v>
      </c>
      <c r="Z286" s="30">
        <v>-1.3714239999999989E-2</v>
      </c>
      <c r="AA286" s="31">
        <v>-4.1137943107221187E-3</v>
      </c>
    </row>
    <row r="287" spans="1:27" x14ac:dyDescent="0.25">
      <c r="A287" s="7">
        <f>NFLX[[#This Row],[Date]]</f>
        <v>44974</v>
      </c>
      <c r="B287" s="30">
        <f>NFLX[[#This Row],[Stopa zwrotu]]</f>
        <v>-2.2465804701354841E-2</v>
      </c>
      <c r="C287" s="30">
        <f>META[[#This Row],[Stopa zwrotu]]</f>
        <v>-1.2165993859723945E-2</v>
      </c>
      <c r="D287" s="30">
        <f>GOOG[[#This Row],[Stopa zwrotu]]</f>
        <v>-1.600509617768664E-2</v>
      </c>
      <c r="E287" s="30">
        <f>EBAY[[#This Row],[Stopa zwrotu]]</f>
        <v>-1.1182459905105357E-2</v>
      </c>
      <c r="F287" s="30">
        <f>AMZN[[#This Row],[Stopa zwrotu]]</f>
        <v>-2.4974475534647822E-2</v>
      </c>
      <c r="H287" s="9">
        <v>44978</v>
      </c>
      <c r="I287" s="30">
        <v>-4.3949224425013367E-3</v>
      </c>
      <c r="J287" s="30">
        <v>3.2115616360323673E-3</v>
      </c>
      <c r="K287" s="30">
        <v>-3.8790718206229424E-3</v>
      </c>
      <c r="L287" s="30">
        <v>3.6649214659684182E-4</v>
      </c>
      <c r="M287" s="31">
        <v>-3.6069131498815687E-3</v>
      </c>
      <c r="O287" s="9">
        <v>45036</v>
      </c>
      <c r="P287" s="30">
        <v>7.0546692745081518E-3</v>
      </c>
      <c r="Q287" s="30">
        <v>-7.5136901920624943E-4</v>
      </c>
      <c r="R287" s="30">
        <v>8.0924467796017474E-3</v>
      </c>
      <c r="S287" s="30">
        <v>-7.1214796030661942E-3</v>
      </c>
      <c r="T287" s="31">
        <v>1.7950488390871655E-2</v>
      </c>
      <c r="V287" s="9">
        <v>45070</v>
      </c>
      <c r="W287" s="30">
        <v>6.5479580398404291E-3</v>
      </c>
      <c r="X287" s="30">
        <v>-6.892345596408167E-3</v>
      </c>
      <c r="Y287" s="30">
        <v>-1.8691612709672234E-2</v>
      </c>
      <c r="Z287" s="30">
        <v>-2.5492698702540562E-3</v>
      </c>
      <c r="AA287" s="31">
        <v>1.0898207162051365E-2</v>
      </c>
    </row>
    <row r="288" spans="1:27" x14ac:dyDescent="0.25">
      <c r="A288" s="7">
        <f>NFLX[[#This Row],[Date]]</f>
        <v>44978</v>
      </c>
      <c r="B288" s="30">
        <f>NFLX[[#This Row],[Stopa zwrotu]]</f>
        <v>-4.3949224425013367E-3</v>
      </c>
      <c r="C288" s="30">
        <f>META[[#This Row],[Stopa zwrotu]]</f>
        <v>3.2115616360323673E-3</v>
      </c>
      <c r="D288" s="30">
        <f>GOOG[[#This Row],[Stopa zwrotu]]</f>
        <v>-3.8790718206229424E-3</v>
      </c>
      <c r="E288" s="30">
        <f>EBAY[[#This Row],[Stopa zwrotu]]</f>
        <v>3.6649214659684182E-4</v>
      </c>
      <c r="F288" s="30">
        <f>AMZN[[#This Row],[Stopa zwrotu]]</f>
        <v>-3.6069131498815687E-3</v>
      </c>
      <c r="H288" s="9">
        <v>44979</v>
      </c>
      <c r="I288" s="30">
        <v>-1.0700926998656324E-2</v>
      </c>
      <c r="J288" s="30">
        <v>-1.2741464604914432E-2</v>
      </c>
      <c r="K288" s="30">
        <v>-1.2282576086956598E-2</v>
      </c>
      <c r="L288" s="30">
        <v>-8.7828941865327748E-3</v>
      </c>
      <c r="M288" s="31">
        <v>5.6222129719596392E-3</v>
      </c>
      <c r="O288" s="9">
        <v>45037</v>
      </c>
      <c r="P288" s="30">
        <v>3.6754721445704241E-3</v>
      </c>
      <c r="Q288" s="30">
        <v>-1.4992724256375878E-2</v>
      </c>
      <c r="R288" s="30">
        <v>8.0753250007197241E-3</v>
      </c>
      <c r="S288" s="30">
        <v>-1.0643289897193653E-2</v>
      </c>
      <c r="T288" s="31">
        <v>1.8118428622404981E-2</v>
      </c>
      <c r="V288" s="9">
        <v>45071</v>
      </c>
      <c r="W288" s="30">
        <v>2.2152034010711752E-3</v>
      </c>
      <c r="X288" s="30">
        <v>1.7228010008916161E-2</v>
      </c>
      <c r="Y288" s="30">
        <v>1.7805399585921311E-2</v>
      </c>
      <c r="Z288" s="30">
        <v>-2.5557852566033823E-3</v>
      </c>
      <c r="AA288" s="31">
        <v>-6.172830973035115E-3</v>
      </c>
    </row>
    <row r="289" spans="1:27" x14ac:dyDescent="0.25">
      <c r="A289" s="7">
        <f>NFLX[[#This Row],[Date]]</f>
        <v>44979</v>
      </c>
      <c r="B289" s="30">
        <f>NFLX[[#This Row],[Stopa zwrotu]]</f>
        <v>-1.0700926998656324E-2</v>
      </c>
      <c r="C289" s="30">
        <f>META[[#This Row],[Stopa zwrotu]]</f>
        <v>-1.2741464604914432E-2</v>
      </c>
      <c r="D289" s="30">
        <f>GOOG[[#This Row],[Stopa zwrotu]]</f>
        <v>-1.2282576086956598E-2</v>
      </c>
      <c r="E289" s="30">
        <f>EBAY[[#This Row],[Stopa zwrotu]]</f>
        <v>-8.7828941865327748E-3</v>
      </c>
      <c r="F289" s="30">
        <f>AMZN[[#This Row],[Stopa zwrotu]]</f>
        <v>5.6222129719596392E-3</v>
      </c>
      <c r="H289" s="9">
        <v>44980</v>
      </c>
      <c r="I289" s="30">
        <v>-5.5645750286881013E-2</v>
      </c>
      <c r="J289" s="30">
        <v>-1.8268430452371698E-3</v>
      </c>
      <c r="K289" s="30">
        <v>-9.4640802421894765E-3</v>
      </c>
      <c r="L289" s="30">
        <v>-7.7848161272229377E-2</v>
      </c>
      <c r="M289" s="31">
        <v>-1.1919883589033176E-2</v>
      </c>
      <c r="O289" s="9">
        <v>45040</v>
      </c>
      <c r="P289" s="30">
        <v>7.5639019300991111E-3</v>
      </c>
      <c r="Q289" s="30">
        <v>1.7972532194809876E-3</v>
      </c>
      <c r="R289" s="30">
        <v>-3.9500086525730743E-4</v>
      </c>
      <c r="S289" s="30">
        <v>3.2741036766808693E-3</v>
      </c>
      <c r="T289" s="31">
        <v>-3.1728206476418684E-5</v>
      </c>
      <c r="V289" s="9">
        <v>45072</v>
      </c>
      <c r="W289" s="30">
        <v>-3.9729532436674209E-3</v>
      </c>
      <c r="X289" s="30">
        <v>1.4207204031040588E-2</v>
      </c>
      <c r="Y289" s="30">
        <v>3.1733034471390642E-3</v>
      </c>
      <c r="Z289" s="30">
        <v>1.3743303051479305E-2</v>
      </c>
      <c r="AA289" s="31">
        <v>1.4959312657848223E-2</v>
      </c>
    </row>
    <row r="290" spans="1:27" x14ac:dyDescent="0.25">
      <c r="A290" s="7">
        <f>NFLX[[#This Row],[Date]]</f>
        <v>44980</v>
      </c>
      <c r="B290" s="30">
        <f>NFLX[[#This Row],[Stopa zwrotu]]</f>
        <v>-5.5645750286881013E-2</v>
      </c>
      <c r="C290" s="30">
        <f>META[[#This Row],[Stopa zwrotu]]</f>
        <v>-1.8268430452371698E-3</v>
      </c>
      <c r="D290" s="30">
        <f>GOOG[[#This Row],[Stopa zwrotu]]</f>
        <v>-9.4640802421894765E-3</v>
      </c>
      <c r="E290" s="30">
        <f>EBAY[[#This Row],[Stopa zwrotu]]</f>
        <v>-7.7848161272229377E-2</v>
      </c>
      <c r="F290" s="30">
        <f>AMZN[[#This Row],[Stopa zwrotu]]</f>
        <v>-1.1919883589033176E-2</v>
      </c>
      <c r="H290" s="9">
        <v>44981</v>
      </c>
      <c r="I290" s="30">
        <v>6.9997139166311229E-4</v>
      </c>
      <c r="J290" s="30">
        <v>-1.0154687384736016E-2</v>
      </c>
      <c r="K290" s="30">
        <v>-1.2776369008413169E-2</v>
      </c>
      <c r="L290" s="30">
        <v>1.3726882034474475E-2</v>
      </c>
      <c r="M290" s="31">
        <v>-1.4412277450886801E-2</v>
      </c>
      <c r="O290" s="9">
        <v>45041</v>
      </c>
      <c r="P290" s="30">
        <v>-1.7291488905891383E-2</v>
      </c>
      <c r="Q290" s="30">
        <v>-1.6990184998664892E-2</v>
      </c>
      <c r="R290" s="30">
        <v>-7.5930428284639584E-3</v>
      </c>
      <c r="S290" s="30">
        <v>8.5687586845761832E-3</v>
      </c>
      <c r="T290" s="31">
        <v>-2.4935785666698407E-2</v>
      </c>
      <c r="V290" s="9">
        <v>45076</v>
      </c>
      <c r="W290" s="30">
        <v>2.091995014044945E-2</v>
      </c>
      <c r="X290" s="30">
        <v>8.4879919298170292E-3</v>
      </c>
      <c r="Y290" s="30">
        <v>-8.1109983931301755E-4</v>
      </c>
      <c r="Z290" s="30">
        <v>-1.0340073529411797E-3</v>
      </c>
      <c r="AA290" s="31">
        <v>8.2744442753260872E-3</v>
      </c>
    </row>
    <row r="291" spans="1:27" x14ac:dyDescent="0.25">
      <c r="A291" s="7">
        <f>NFLX[[#This Row],[Date]]</f>
        <v>44981</v>
      </c>
      <c r="B291" s="30">
        <f>NFLX[[#This Row],[Stopa zwrotu]]</f>
        <v>6.9997139166311229E-4</v>
      </c>
      <c r="C291" s="30">
        <f>META[[#This Row],[Stopa zwrotu]]</f>
        <v>-1.0154687384736016E-2</v>
      </c>
      <c r="D291" s="30">
        <f>GOOG[[#This Row],[Stopa zwrotu]]</f>
        <v>-1.2776369008413169E-2</v>
      </c>
      <c r="E291" s="30">
        <f>EBAY[[#This Row],[Stopa zwrotu]]</f>
        <v>1.3726882034474475E-2</v>
      </c>
      <c r="F291" s="30">
        <f>AMZN[[#This Row],[Stopa zwrotu]]</f>
        <v>-1.4412277450886801E-2</v>
      </c>
      <c r="H291" s="9">
        <v>44984</v>
      </c>
      <c r="I291" s="30">
        <v>8.0546083617386213E-3</v>
      </c>
      <c r="J291" s="30">
        <v>2.7833988758981429E-3</v>
      </c>
      <c r="K291" s="30">
        <v>2.8134143280057109E-3</v>
      </c>
      <c r="L291" s="30">
        <v>5.7925297722290674E-3</v>
      </c>
      <c r="M291" s="31">
        <v>2.960712738301563E-3</v>
      </c>
      <c r="O291" s="9">
        <v>45042</v>
      </c>
      <c r="P291" s="30">
        <v>-1.9620211405414478E-3</v>
      </c>
      <c r="Q291" s="30">
        <v>8.4488000664124652E-3</v>
      </c>
      <c r="R291" s="30">
        <v>-1.2337423724893215E-2</v>
      </c>
      <c r="S291" s="30">
        <v>-7.5774513795051623E-3</v>
      </c>
      <c r="T291" s="31">
        <v>1.6105427509187864E-2</v>
      </c>
      <c r="V291" s="9">
        <v>45077</v>
      </c>
      <c r="W291" s="30">
        <v>8.0872882324953821E-3</v>
      </c>
      <c r="X291" s="30">
        <v>-1.0869137365294268E-2</v>
      </c>
      <c r="Y291" s="30">
        <v>1.7088371853595241E-3</v>
      </c>
      <c r="Z291" s="30">
        <v>-3.068763267189667E-2</v>
      </c>
      <c r="AA291" s="31">
        <v>-5.7567411500354382E-3</v>
      </c>
    </row>
    <row r="292" spans="1:27" x14ac:dyDescent="0.25">
      <c r="A292" s="7">
        <f>NFLX[[#This Row],[Date]]</f>
        <v>44984</v>
      </c>
      <c r="B292" s="30">
        <f>NFLX[[#This Row],[Stopa zwrotu]]</f>
        <v>8.0546083617386213E-3</v>
      </c>
      <c r="C292" s="30">
        <f>META[[#This Row],[Stopa zwrotu]]</f>
        <v>2.7833988758981429E-3</v>
      </c>
      <c r="D292" s="30">
        <f>GOOG[[#This Row],[Stopa zwrotu]]</f>
        <v>2.8134143280057109E-3</v>
      </c>
      <c r="E292" s="30">
        <f>EBAY[[#This Row],[Stopa zwrotu]]</f>
        <v>5.7925297722290674E-3</v>
      </c>
      <c r="F292" s="30">
        <f>AMZN[[#This Row],[Stopa zwrotu]]</f>
        <v>2.960712738301563E-3</v>
      </c>
      <c r="H292" s="9">
        <v>44985</v>
      </c>
      <c r="I292" s="30">
        <v>-2.9491556399658947E-3</v>
      </c>
      <c r="J292" s="30">
        <v>1.6621300326763233E-2</v>
      </c>
      <c r="K292" s="30">
        <v>-1.0043968195022623E-3</v>
      </c>
      <c r="L292" s="30">
        <v>1.1091392586894733E-2</v>
      </c>
      <c r="M292" s="31">
        <v>-2.3620464071509861E-3</v>
      </c>
      <c r="O292" s="9">
        <v>45043</v>
      </c>
      <c r="P292" s="30">
        <v>-9.4548600197995603E-3</v>
      </c>
      <c r="Q292" s="30">
        <v>0.13352163123511973</v>
      </c>
      <c r="R292" s="30">
        <v>1.1135867467876537E-2</v>
      </c>
      <c r="S292" s="30">
        <v>1.89726973861013E-2</v>
      </c>
      <c r="T292" s="31">
        <v>2.5936647952673475E-2</v>
      </c>
      <c r="V292" s="9">
        <v>45078</v>
      </c>
      <c r="W292" s="30">
        <v>1.0722231254303161E-2</v>
      </c>
      <c r="X292" s="30">
        <v>2.87870096906786E-2</v>
      </c>
      <c r="Y292" s="30">
        <v>1.6247360133994082E-3</v>
      </c>
      <c r="Z292" s="30">
        <v>1.2378029629994014E-2</v>
      </c>
      <c r="AA292" s="31">
        <v>6.3774608773594643E-3</v>
      </c>
    </row>
    <row r="293" spans="1:27" x14ac:dyDescent="0.25">
      <c r="A293" s="7">
        <f>NFLX[[#This Row],[Date]]</f>
        <v>44985</v>
      </c>
      <c r="B293" s="30">
        <f>NFLX[[#This Row],[Stopa zwrotu]]</f>
        <v>-2.9491556399658947E-3</v>
      </c>
      <c r="C293" s="30">
        <f>META[[#This Row],[Stopa zwrotu]]</f>
        <v>1.6621300326763233E-2</v>
      </c>
      <c r="D293" s="30">
        <f>GOOG[[#This Row],[Stopa zwrotu]]</f>
        <v>-1.0043968195022623E-3</v>
      </c>
      <c r="E293" s="30">
        <f>EBAY[[#This Row],[Stopa zwrotu]]</f>
        <v>1.1091392586894733E-2</v>
      </c>
      <c r="F293" s="30">
        <f>AMZN[[#This Row],[Stopa zwrotu]]</f>
        <v>-2.3620464071509861E-3</v>
      </c>
      <c r="H293" s="9">
        <v>44986</v>
      </c>
      <c r="I293" s="30">
        <v>-2.7431041639619069E-2</v>
      </c>
      <c r="J293" s="30">
        <v>6.8657010201229607E-3</v>
      </c>
      <c r="K293" s="30">
        <v>3.6863383719729637E-3</v>
      </c>
      <c r="L293" s="30">
        <v>-4.3879111720969144E-3</v>
      </c>
      <c r="M293" s="31">
        <v>-1.4313409692497059E-2</v>
      </c>
      <c r="O293" s="9">
        <v>45044</v>
      </c>
      <c r="P293" s="30">
        <v>2.0665316150042079E-2</v>
      </c>
      <c r="Q293" s="30">
        <v>-4.3079950279512058E-3</v>
      </c>
      <c r="R293" s="30">
        <v>1.5514298324349696E-2</v>
      </c>
      <c r="S293" s="30">
        <v>3.0653904844371027E-2</v>
      </c>
      <c r="T293" s="31">
        <v>-2.3127349537621411E-2</v>
      </c>
      <c r="V293" s="9">
        <v>45079</v>
      </c>
      <c r="W293" s="30">
        <v>7.1741301853660566E-3</v>
      </c>
      <c r="X293" s="30">
        <v>1.9669711929573674E-2</v>
      </c>
      <c r="Y293" s="30">
        <v>8.5157743264612229E-3</v>
      </c>
      <c r="Z293" s="30">
        <v>1.7399506640007445E-2</v>
      </c>
      <c r="AA293" s="31">
        <v>3.4103201867756061E-2</v>
      </c>
    </row>
    <row r="294" spans="1:27" x14ac:dyDescent="0.25">
      <c r="A294" s="7">
        <f>NFLX[[#This Row],[Date]]</f>
        <v>44986</v>
      </c>
      <c r="B294" s="30">
        <f>NFLX[[#This Row],[Stopa zwrotu]]</f>
        <v>-2.7431041639619069E-2</v>
      </c>
      <c r="C294" s="30">
        <f>META[[#This Row],[Stopa zwrotu]]</f>
        <v>6.8657010201229607E-3</v>
      </c>
      <c r="D294" s="30">
        <f>GOOG[[#This Row],[Stopa zwrotu]]</f>
        <v>3.6863383719729637E-3</v>
      </c>
      <c r="E294" s="30">
        <f>EBAY[[#This Row],[Stopa zwrotu]]</f>
        <v>-4.3879111720969144E-3</v>
      </c>
      <c r="F294" s="30">
        <f>AMZN[[#This Row],[Stopa zwrotu]]</f>
        <v>-1.4313409692497059E-2</v>
      </c>
      <c r="H294" s="9">
        <v>44987</v>
      </c>
      <c r="I294" s="30">
        <v>-6.3387760759433531E-3</v>
      </c>
      <c r="J294" s="30">
        <v>-9.3615138509994811E-3</v>
      </c>
      <c r="K294" s="30">
        <v>-8.9038399310814587E-4</v>
      </c>
      <c r="L294" s="30">
        <v>-1.5425297147966255E-3</v>
      </c>
      <c r="M294" s="31">
        <v>-1.3101834833577186E-2</v>
      </c>
      <c r="O294" s="9">
        <v>45047</v>
      </c>
      <c r="P294" s="30">
        <v>-6.0802510288066047E-3</v>
      </c>
      <c r="Q294" s="30">
        <v>1.0038981972428178E-3</v>
      </c>
      <c r="R294" s="30">
        <v>4.5894599089388128E-3</v>
      </c>
      <c r="S294" s="30">
        <v>1.4688257649001871E-4</v>
      </c>
      <c r="T294" s="31">
        <v>-8.0194317770005599E-3</v>
      </c>
      <c r="V294" s="9">
        <v>45082</v>
      </c>
      <c r="W294" s="30">
        <v>3.5783447540710758E-3</v>
      </c>
      <c r="X294" s="30">
        <v>-1.9179662495936538E-3</v>
      </c>
      <c r="Y294" s="30">
        <v>8.0415495194996467E-5</v>
      </c>
      <c r="Z294" s="30">
        <v>7.8576457900007366E-3</v>
      </c>
      <c r="AA294" s="31">
        <v>-2.6608558403152793E-3</v>
      </c>
    </row>
    <row r="295" spans="1:27" x14ac:dyDescent="0.25">
      <c r="A295" s="7">
        <f>NFLX[[#This Row],[Date]]</f>
        <v>44987</v>
      </c>
      <c r="B295" s="30">
        <f>NFLX[[#This Row],[Stopa zwrotu]]</f>
        <v>-6.3387760759433531E-3</v>
      </c>
      <c r="C295" s="30">
        <f>META[[#This Row],[Stopa zwrotu]]</f>
        <v>-9.3615138509994811E-3</v>
      </c>
      <c r="D295" s="30">
        <f>GOOG[[#This Row],[Stopa zwrotu]]</f>
        <v>-8.9038399310814587E-4</v>
      </c>
      <c r="E295" s="30">
        <f>EBAY[[#This Row],[Stopa zwrotu]]</f>
        <v>-1.5425297147966255E-3</v>
      </c>
      <c r="F295" s="30">
        <f>AMZN[[#This Row],[Stopa zwrotu]]</f>
        <v>-1.3101834833577186E-2</v>
      </c>
      <c r="H295" s="9">
        <v>44988</v>
      </c>
      <c r="I295" s="30">
        <v>1.4176235353819955E-3</v>
      </c>
      <c r="J295" s="30">
        <v>3.2783119812645589E-2</v>
      </c>
      <c r="K295" s="30">
        <v>3.2193462143036422E-2</v>
      </c>
      <c r="L295" s="30">
        <v>1.1035091347713744E-2</v>
      </c>
      <c r="M295" s="31">
        <v>2.5113453093411398E-2</v>
      </c>
      <c r="O295" s="9">
        <v>45048</v>
      </c>
      <c r="P295" s="30">
        <v>-7.7651011696701078E-3</v>
      </c>
      <c r="Q295" s="30">
        <v>1.0699475281670034E-2</v>
      </c>
      <c r="R295" s="30">
        <v>-2.7906976744186074E-2</v>
      </c>
      <c r="S295" s="30">
        <v>-1.9599207223078507E-2</v>
      </c>
      <c r="T295" s="31">
        <v>-6.5802199960713903E-3</v>
      </c>
      <c r="V295" s="9">
        <v>45083</v>
      </c>
      <c r="W295" s="30">
        <v>-8.0469850013291655E-3</v>
      </c>
      <c r="X295" s="30">
        <v>4.8228224129887032E-4</v>
      </c>
      <c r="Y295" s="30">
        <v>1.2783438160076432E-2</v>
      </c>
      <c r="Z295" s="30">
        <v>1.2418130223117663E-2</v>
      </c>
      <c r="AA295" s="31">
        <v>1.6012362968482075E-2</v>
      </c>
    </row>
    <row r="296" spans="1:27" x14ac:dyDescent="0.25">
      <c r="A296" s="7">
        <f>NFLX[[#This Row],[Date]]</f>
        <v>44988</v>
      </c>
      <c r="B296" s="30">
        <f>NFLX[[#This Row],[Stopa zwrotu]]</f>
        <v>1.4176235353819955E-3</v>
      </c>
      <c r="C296" s="30">
        <f>META[[#This Row],[Stopa zwrotu]]</f>
        <v>3.2783119812645589E-2</v>
      </c>
      <c r="D296" s="30">
        <f>GOOG[[#This Row],[Stopa zwrotu]]</f>
        <v>3.2193462143036422E-2</v>
      </c>
      <c r="E296" s="30">
        <f>EBAY[[#This Row],[Stopa zwrotu]]</f>
        <v>1.1035091347713744E-2</v>
      </c>
      <c r="F296" s="30">
        <f>AMZN[[#This Row],[Stopa zwrotu]]</f>
        <v>2.5113453093411398E-2</v>
      </c>
      <c r="H296" s="9">
        <v>44991</v>
      </c>
      <c r="I296" s="30">
        <v>1.0938688812696846E-3</v>
      </c>
      <c r="J296" s="30">
        <v>1.428974088561108E-2</v>
      </c>
      <c r="K296" s="30">
        <v>5.8997011626864548E-3</v>
      </c>
      <c r="L296" s="30">
        <v>-8.5134393833928481E-3</v>
      </c>
      <c r="M296" s="31">
        <v>3.8851498430757894E-3</v>
      </c>
      <c r="O296" s="9">
        <v>45049</v>
      </c>
      <c r="P296" s="30">
        <v>7.2875927901838722E-4</v>
      </c>
      <c r="Q296" s="30">
        <v>-2.6109899449560658E-2</v>
      </c>
      <c r="R296" s="30">
        <v>1.0717732057416329E-2</v>
      </c>
      <c r="S296" s="30">
        <v>2.0215858041328083E-3</v>
      </c>
      <c r="T296" s="31">
        <v>2.1057804823375159E-2</v>
      </c>
      <c r="V296" s="9">
        <v>45084</v>
      </c>
      <c r="W296" s="30">
        <v>5.7945180272631625E-3</v>
      </c>
      <c r="X296" s="30">
        <v>-2.5547902958597657E-2</v>
      </c>
      <c r="Y296" s="30">
        <v>-2.6514280967577353E-2</v>
      </c>
      <c r="Z296" s="30">
        <v>2.2297056199804821E-4</v>
      </c>
      <c r="AA296" s="31">
        <v>-3.4960023999999978E-2</v>
      </c>
    </row>
    <row r="297" spans="1:27" x14ac:dyDescent="0.25">
      <c r="A297" s="7">
        <f>NFLX[[#This Row],[Date]]</f>
        <v>44991</v>
      </c>
      <c r="B297" s="30">
        <f>NFLX[[#This Row],[Stopa zwrotu]]</f>
        <v>1.0938688812696846E-3</v>
      </c>
      <c r="C297" s="30">
        <f>META[[#This Row],[Stopa zwrotu]]</f>
        <v>1.428974088561108E-2</v>
      </c>
      <c r="D297" s="30">
        <f>GOOG[[#This Row],[Stopa zwrotu]]</f>
        <v>5.8997011626864548E-3</v>
      </c>
      <c r="E297" s="30">
        <f>EBAY[[#This Row],[Stopa zwrotu]]</f>
        <v>-8.5134393833928481E-3</v>
      </c>
      <c r="F297" s="30">
        <f>AMZN[[#This Row],[Stopa zwrotu]]</f>
        <v>3.8851498430757894E-3</v>
      </c>
      <c r="H297" s="9">
        <v>44992</v>
      </c>
      <c r="I297" s="30">
        <v>-1.6739356936112726E-2</v>
      </c>
      <c r="J297" s="30">
        <v>-3.4120667429162754E-3</v>
      </c>
      <c r="K297" s="30">
        <v>-4.8356414156212058E-3</v>
      </c>
      <c r="L297" s="30">
        <v>-1.8145094492497682E-2</v>
      </c>
      <c r="M297" s="31">
        <v>-1.0241081933882623E-2</v>
      </c>
      <c r="O297" s="9">
        <v>45050</v>
      </c>
      <c r="P297" s="30">
        <v>6.6487445309721949E-3</v>
      </c>
      <c r="Q297" s="30">
        <v>7.7333190118156203E-4</v>
      </c>
      <c r="R297" s="30">
        <v>-8.7105280616210923E-3</v>
      </c>
      <c r="S297" s="30">
        <v>-7.3974891863374248E-3</v>
      </c>
      <c r="T297" s="31">
        <v>2.9046282233213816E-4</v>
      </c>
      <c r="V297" s="9">
        <v>45085</v>
      </c>
      <c r="W297" s="30">
        <v>-7.2389723226493619E-3</v>
      </c>
      <c r="X297" s="30">
        <v>-1.4916222142293267E-2</v>
      </c>
      <c r="Y297" s="30">
        <v>-5.0558184389419836E-3</v>
      </c>
      <c r="Z297" s="30">
        <v>1.114827251497319E-2</v>
      </c>
      <c r="AA297" s="31">
        <v>1.3512435053778526E-2</v>
      </c>
    </row>
    <row r="298" spans="1:27" x14ac:dyDescent="0.25">
      <c r="A298" s="7">
        <f>NFLX[[#This Row],[Date]]</f>
        <v>44992</v>
      </c>
      <c r="B298" s="30">
        <f>NFLX[[#This Row],[Stopa zwrotu]]</f>
        <v>-1.6739356936112726E-2</v>
      </c>
      <c r="C298" s="30">
        <f>META[[#This Row],[Stopa zwrotu]]</f>
        <v>-3.4120667429162754E-3</v>
      </c>
      <c r="D298" s="30">
        <f>GOOG[[#This Row],[Stopa zwrotu]]</f>
        <v>-4.8356414156212058E-3</v>
      </c>
      <c r="E298" s="30">
        <f>EBAY[[#This Row],[Stopa zwrotu]]</f>
        <v>-1.8145094492497682E-2</v>
      </c>
      <c r="F298" s="30">
        <f>AMZN[[#This Row],[Stopa zwrotu]]</f>
        <v>-1.0241081933882623E-2</v>
      </c>
      <c r="H298" s="9">
        <v>44993</v>
      </c>
      <c r="I298" s="30">
        <v>-2.8373720376585476E-3</v>
      </c>
      <c r="J298" s="30">
        <v>-1.4510075933646949E-2</v>
      </c>
      <c r="K298" s="30">
        <v>5.97797395724875E-3</v>
      </c>
      <c r="L298" s="30">
        <v>-1.5286378494803743E-2</v>
      </c>
      <c r="M298" s="31">
        <v>-6.4669002637087747E-3</v>
      </c>
      <c r="O298" s="9">
        <v>45051</v>
      </c>
      <c r="P298" s="30">
        <v>4.6862397979716697E-3</v>
      </c>
      <c r="Q298" s="30">
        <v>-1.3222801238825355E-2</v>
      </c>
      <c r="R298" s="30">
        <v>3.725023984479936E-4</v>
      </c>
      <c r="S298" s="30">
        <v>7.9042910547491019E-3</v>
      </c>
      <c r="T298" s="31">
        <v>2.323153660306998E-3</v>
      </c>
      <c r="V298" s="9">
        <v>45086</v>
      </c>
      <c r="W298" s="30">
        <v>4.647528431624659E-2</v>
      </c>
      <c r="X298" s="30">
        <v>1.0893104703084466E-2</v>
      </c>
      <c r="Y298" s="30">
        <v>3.3603474574159797E-3</v>
      </c>
      <c r="Z298" s="30">
        <v>6.3947301607378826E-3</v>
      </c>
      <c r="AA298" s="31">
        <v>7.6067396105556906E-3</v>
      </c>
    </row>
    <row r="299" spans="1:27" x14ac:dyDescent="0.25">
      <c r="A299" s="7">
        <f>NFLX[[#This Row],[Date]]</f>
        <v>44993</v>
      </c>
      <c r="B299" s="30">
        <f>NFLX[[#This Row],[Stopa zwrotu]]</f>
        <v>-2.8373720376585476E-3</v>
      </c>
      <c r="C299" s="30">
        <f>META[[#This Row],[Stopa zwrotu]]</f>
        <v>-1.4510075933646949E-2</v>
      </c>
      <c r="D299" s="30">
        <f>GOOG[[#This Row],[Stopa zwrotu]]</f>
        <v>5.97797395724875E-3</v>
      </c>
      <c r="E299" s="30">
        <f>EBAY[[#This Row],[Stopa zwrotu]]</f>
        <v>-1.5286378494803743E-2</v>
      </c>
      <c r="F299" s="30">
        <f>AMZN[[#This Row],[Stopa zwrotu]]</f>
        <v>-6.4669002637087747E-3</v>
      </c>
      <c r="H299" s="9">
        <v>44994</v>
      </c>
      <c r="I299" s="30">
        <v>-3.5551905151267382E-2</v>
      </c>
      <c r="J299" s="30">
        <v>-5.7350447939792382E-3</v>
      </c>
      <c r="K299" s="30">
        <v>-2.1714909397965276E-2</v>
      </c>
      <c r="L299" s="30">
        <v>-5.5607506950879904E-3</v>
      </c>
      <c r="M299" s="31">
        <v>0</v>
      </c>
      <c r="O299" s="9">
        <v>45054</v>
      </c>
      <c r="P299" s="30">
        <v>2.7026431502881199E-3</v>
      </c>
      <c r="Q299" s="30">
        <v>6.0908997032319923E-4</v>
      </c>
      <c r="R299" s="30">
        <v>3.3448318202674945E-3</v>
      </c>
      <c r="S299" s="30">
        <v>6.2738067158008741E-3</v>
      </c>
      <c r="T299" s="31">
        <v>3.7018959172152588E-3</v>
      </c>
      <c r="V299" s="9">
        <v>45089</v>
      </c>
      <c r="W299" s="30">
        <v>1.4546540620763437E-3</v>
      </c>
      <c r="X299" s="30">
        <v>4.6235827710496098E-3</v>
      </c>
      <c r="Y299" s="30">
        <v>-1.906006674933606E-4</v>
      </c>
      <c r="Z299" s="30">
        <v>-4.5281844404364184E-3</v>
      </c>
      <c r="AA299" s="31">
        <v>9.1997996179375241E-4</v>
      </c>
    </row>
    <row r="300" spans="1:27" x14ac:dyDescent="0.25">
      <c r="A300" s="7">
        <f>NFLX[[#This Row],[Date]]</f>
        <v>44994</v>
      </c>
      <c r="B300" s="30">
        <f>NFLX[[#This Row],[Stopa zwrotu]]</f>
        <v>-3.5551905151267382E-2</v>
      </c>
      <c r="C300" s="30">
        <f>META[[#This Row],[Stopa zwrotu]]</f>
        <v>-5.7350447939792382E-3</v>
      </c>
      <c r="D300" s="30">
        <f>GOOG[[#This Row],[Stopa zwrotu]]</f>
        <v>-2.1714909397965276E-2</v>
      </c>
      <c r="E300" s="30">
        <f>EBAY[[#This Row],[Stopa zwrotu]]</f>
        <v>-5.5607506950879904E-3</v>
      </c>
      <c r="F300" s="30">
        <f>AMZN[[#This Row],[Stopa zwrotu]]</f>
        <v>0</v>
      </c>
      <c r="H300" s="9">
        <v>44995</v>
      </c>
      <c r="I300" s="30">
        <v>-1.9940331322227056E-2</v>
      </c>
      <c r="J300" s="30">
        <v>-8.3194674156494841E-3</v>
      </c>
      <c r="K300" s="30">
        <v>-1.6837203719218041E-2</v>
      </c>
      <c r="L300" s="30">
        <v>-2.9123952894872018E-2</v>
      </c>
      <c r="M300" s="31">
        <v>-2.0937296593621202E-2</v>
      </c>
      <c r="O300" s="9">
        <v>45055</v>
      </c>
      <c r="P300" s="30">
        <v>2.3941840896630318E-2</v>
      </c>
      <c r="Q300" s="30">
        <v>3.5176010158926019E-3</v>
      </c>
      <c r="R300" s="30">
        <v>1.8290925245383116E-2</v>
      </c>
      <c r="S300" s="30">
        <v>1.099604110411212E-3</v>
      </c>
      <c r="T300" s="31">
        <v>4.3935722366830188E-3</v>
      </c>
      <c r="V300" s="9">
        <v>45090</v>
      </c>
      <c r="W300" s="30">
        <v>2.8398556788079121E-2</v>
      </c>
      <c r="X300" s="30">
        <v>1.4171066913744479E-2</v>
      </c>
      <c r="Y300" s="30">
        <v>1.221906844657239E-2</v>
      </c>
      <c r="Z300" s="30">
        <v>-2.221679253665565E-4</v>
      </c>
      <c r="AA300" s="31">
        <v>1.3357087455331484E-2</v>
      </c>
    </row>
    <row r="301" spans="1:27" x14ac:dyDescent="0.25">
      <c r="A301" s="7">
        <f>NFLX[[#This Row],[Date]]</f>
        <v>44995</v>
      </c>
      <c r="B301" s="30">
        <f>NFLX[[#This Row],[Stopa zwrotu]]</f>
        <v>-1.9940331322227056E-2</v>
      </c>
      <c r="C301" s="30">
        <f>META[[#This Row],[Stopa zwrotu]]</f>
        <v>-8.3194674156494841E-3</v>
      </c>
      <c r="D301" s="30">
        <f>GOOG[[#This Row],[Stopa zwrotu]]</f>
        <v>-1.6837203719218041E-2</v>
      </c>
      <c r="E301" s="30">
        <f>EBAY[[#This Row],[Stopa zwrotu]]</f>
        <v>-2.9123952894872018E-2</v>
      </c>
      <c r="F301" s="30">
        <f>AMZN[[#This Row],[Stopa zwrotu]]</f>
        <v>-2.0937296593621202E-2</v>
      </c>
      <c r="H301" s="9">
        <v>44998</v>
      </c>
      <c r="I301" s="30">
        <v>-4.2330023068050488E-3</v>
      </c>
      <c r="J301" s="30">
        <v>-7.4198283617105494E-3</v>
      </c>
      <c r="K301" s="30">
        <v>-3.1571254463504581E-3</v>
      </c>
      <c r="L301" s="30">
        <v>-5.1995682841165331E-3</v>
      </c>
      <c r="M301" s="31">
        <v>-7.8670249307479425E-3</v>
      </c>
      <c r="O301" s="9">
        <v>45056</v>
      </c>
      <c r="P301" s="30">
        <v>-6.9745862490000476E-4</v>
      </c>
      <c r="Q301" s="30">
        <v>-1.5579063392946457E-3</v>
      </c>
      <c r="R301" s="30">
        <v>7.008633223646088E-3</v>
      </c>
      <c r="S301" s="30">
        <v>-6.1510984182777673E-3</v>
      </c>
      <c r="T301" s="31">
        <v>2.7481921738991222E-2</v>
      </c>
      <c r="V301" s="9">
        <v>45091</v>
      </c>
      <c r="W301" s="30">
        <v>1.1904776077097612E-2</v>
      </c>
      <c r="X301" s="30">
        <v>-2.8614553177220836E-3</v>
      </c>
      <c r="Y301" s="30">
        <v>-1.3605692489759846E-2</v>
      </c>
      <c r="Z301" s="30">
        <v>-8.220373615657528E-3</v>
      </c>
      <c r="AA301" s="31">
        <v>-8.4677823933536622E-3</v>
      </c>
    </row>
    <row r="302" spans="1:27" x14ac:dyDescent="0.25">
      <c r="A302" s="7">
        <f>NFLX[[#This Row],[Date]]</f>
        <v>44998</v>
      </c>
      <c r="B302" s="30">
        <f>NFLX[[#This Row],[Stopa zwrotu]]</f>
        <v>-4.2330023068050488E-3</v>
      </c>
      <c r="C302" s="30">
        <f>META[[#This Row],[Stopa zwrotu]]</f>
        <v>-7.4198283617105494E-3</v>
      </c>
      <c r="D302" s="30">
        <f>GOOG[[#This Row],[Stopa zwrotu]]</f>
        <v>-3.1571254463504581E-3</v>
      </c>
      <c r="E302" s="30">
        <f>EBAY[[#This Row],[Stopa zwrotu]]</f>
        <v>-5.1995682841165331E-3</v>
      </c>
      <c r="F302" s="30">
        <f>AMZN[[#This Row],[Stopa zwrotu]]</f>
        <v>-7.8670249307479425E-3</v>
      </c>
      <c r="H302" s="9">
        <v>44999</v>
      </c>
      <c r="I302" s="30">
        <v>1.7453514270829196E-2</v>
      </c>
      <c r="J302" s="30">
        <v>6.715473361123947E-2</v>
      </c>
      <c r="K302" s="30">
        <v>3.1576572568899897E-2</v>
      </c>
      <c r="L302" s="30">
        <v>-9.7513651877133567E-3</v>
      </c>
      <c r="M302" s="31">
        <v>5.2088014568043128E-2</v>
      </c>
      <c r="O302" s="9">
        <v>45057</v>
      </c>
      <c r="P302" s="30">
        <v>7.0710628790910945E-3</v>
      </c>
      <c r="Q302" s="30">
        <v>6.8481362393890688E-3</v>
      </c>
      <c r="R302" s="30">
        <v>5.9457935302601461E-2</v>
      </c>
      <c r="S302" s="30">
        <v>5.0839741342187938E-3</v>
      </c>
      <c r="T302" s="31">
        <v>2.2582090997258053E-2</v>
      </c>
      <c r="V302" s="9">
        <v>45092</v>
      </c>
      <c r="W302" s="30">
        <v>1.384083044982698E-2</v>
      </c>
      <c r="X302" s="30">
        <v>1.1553391171460481E-2</v>
      </c>
      <c r="Y302" s="30">
        <v>8.0222246882049042E-3</v>
      </c>
      <c r="Z302" s="30">
        <v>-5.8243280874625825E-3</v>
      </c>
      <c r="AA302" s="31">
        <v>1.6113196516760464E-3</v>
      </c>
    </row>
    <row r="303" spans="1:27" x14ac:dyDescent="0.25">
      <c r="A303" s="7">
        <f>NFLX[[#This Row],[Date]]</f>
        <v>44999</v>
      </c>
      <c r="B303" s="30">
        <f>NFLX[[#This Row],[Stopa zwrotu]]</f>
        <v>1.7453514270829196E-2</v>
      </c>
      <c r="C303" s="30">
        <f>META[[#This Row],[Stopa zwrotu]]</f>
        <v>6.715473361123947E-2</v>
      </c>
      <c r="D303" s="30">
        <f>GOOG[[#This Row],[Stopa zwrotu]]</f>
        <v>3.1576572568899897E-2</v>
      </c>
      <c r="E303" s="30">
        <f>EBAY[[#This Row],[Stopa zwrotu]]</f>
        <v>-9.7513651877133567E-3</v>
      </c>
      <c r="F303" s="30">
        <f>AMZN[[#This Row],[Stopa zwrotu]]</f>
        <v>5.2088014568043128E-2</v>
      </c>
      <c r="H303" s="9">
        <v>45000</v>
      </c>
      <c r="I303" s="30">
        <v>6.7858531003812672E-3</v>
      </c>
      <c r="J303" s="30">
        <v>2.2941670486081422E-2</v>
      </c>
      <c r="K303" s="30">
        <v>2.802349674524196E-3</v>
      </c>
      <c r="L303" s="30">
        <v>-1.2062974201451859E-2</v>
      </c>
      <c r="M303" s="31">
        <v>3.8830870875103951E-3</v>
      </c>
      <c r="O303" s="9">
        <v>45058</v>
      </c>
      <c r="P303" s="30">
        <v>1.6634489713530431E-2</v>
      </c>
      <c r="Q303" s="30">
        <v>-3.6590873397449597E-3</v>
      </c>
      <c r="R303" s="30">
        <v>1.4095562516314164E-2</v>
      </c>
      <c r="S303" s="30">
        <v>-1.8253837293735753E-2</v>
      </c>
      <c r="T303" s="31">
        <v>-1.058917568267137E-2</v>
      </c>
      <c r="V303" s="9">
        <v>45093</v>
      </c>
      <c r="W303" s="30">
        <v>-1.9567704209328851E-2</v>
      </c>
      <c r="X303" s="30">
        <v>3.2090456056385275E-2</v>
      </c>
      <c r="Y303" s="30">
        <v>5.2785610303602848E-3</v>
      </c>
      <c r="Z303" s="30">
        <v>1.2167575210284554E-2</v>
      </c>
      <c r="AA303" s="31">
        <v>7.882907014157059E-3</v>
      </c>
    </row>
    <row r="304" spans="1:27" x14ac:dyDescent="0.25">
      <c r="A304" s="7">
        <f>NFLX[[#This Row],[Date]]</f>
        <v>45000</v>
      </c>
      <c r="B304" s="30">
        <f>NFLX[[#This Row],[Stopa zwrotu]]</f>
        <v>6.7858531003812672E-3</v>
      </c>
      <c r="C304" s="30">
        <f>META[[#This Row],[Stopa zwrotu]]</f>
        <v>2.2941670486081422E-2</v>
      </c>
      <c r="D304" s="30">
        <f>GOOG[[#This Row],[Stopa zwrotu]]</f>
        <v>2.802349674524196E-3</v>
      </c>
      <c r="E304" s="30">
        <f>EBAY[[#This Row],[Stopa zwrotu]]</f>
        <v>-1.2062974201451859E-2</v>
      </c>
      <c r="F304" s="30">
        <f>AMZN[[#This Row],[Stopa zwrotu]]</f>
        <v>3.8830870875103951E-3</v>
      </c>
      <c r="H304" s="9">
        <v>45001</v>
      </c>
      <c r="I304" s="30">
        <v>3.2263555605116956E-2</v>
      </c>
      <c r="J304" s="30">
        <v>2.7509956560678228E-2</v>
      </c>
      <c r="K304" s="30">
        <v>3.0417046104717738E-2</v>
      </c>
      <c r="L304" s="30">
        <v>2.4918763395993526E-3</v>
      </c>
      <c r="M304" s="31">
        <v>2.7291296873321214E-2</v>
      </c>
      <c r="O304" s="9">
        <v>45061</v>
      </c>
      <c r="P304" s="30">
        <v>-1.7982531824770609E-3</v>
      </c>
      <c r="Q304" s="30">
        <v>5.5879672359641459E-3</v>
      </c>
      <c r="R304" s="30">
        <v>-2.0020019504707331E-4</v>
      </c>
      <c r="S304" s="30">
        <v>-5.9735664420605217E-4</v>
      </c>
      <c r="T304" s="31">
        <v>-2.1344066349552696E-4</v>
      </c>
      <c r="V304" s="9">
        <v>45097</v>
      </c>
      <c r="W304" s="30">
        <v>-5.2215944101405287E-4</v>
      </c>
      <c r="X304" s="30">
        <v>-3.4894548336583675E-3</v>
      </c>
      <c r="Y304" s="30">
        <v>-1.9387652319350357E-3</v>
      </c>
      <c r="Z304" s="30">
        <v>-1.6696294153886737E-3</v>
      </c>
      <c r="AA304" s="31">
        <v>-1.596175141352546E-3</v>
      </c>
    </row>
    <row r="305" spans="1:27" x14ac:dyDescent="0.25">
      <c r="A305" s="7">
        <f>NFLX[[#This Row],[Date]]</f>
        <v>45001</v>
      </c>
      <c r="B305" s="30">
        <f>NFLX[[#This Row],[Stopa zwrotu]]</f>
        <v>3.2263555605116956E-2</v>
      </c>
      <c r="C305" s="30">
        <f>META[[#This Row],[Stopa zwrotu]]</f>
        <v>2.7509956560678228E-2</v>
      </c>
      <c r="D305" s="30">
        <f>GOOG[[#This Row],[Stopa zwrotu]]</f>
        <v>3.0417046104717738E-2</v>
      </c>
      <c r="E305" s="30">
        <f>EBAY[[#This Row],[Stopa zwrotu]]</f>
        <v>2.4918763395993526E-3</v>
      </c>
      <c r="F305" s="30">
        <f>AMZN[[#This Row],[Stopa zwrotu]]</f>
        <v>2.7291296873321214E-2</v>
      </c>
      <c r="H305" s="9">
        <v>45002</v>
      </c>
      <c r="I305" s="30">
        <v>-5.667664482479795E-3</v>
      </c>
      <c r="J305" s="30">
        <v>-3.3658167854724308E-3</v>
      </c>
      <c r="K305" s="30">
        <v>5.0902230596571618E-2</v>
      </c>
      <c r="L305" s="30">
        <v>1.7648496147153914E-2</v>
      </c>
      <c r="M305" s="31">
        <v>1.9349419314408367E-2</v>
      </c>
      <c r="O305" s="9">
        <v>45062</v>
      </c>
      <c r="P305" s="30">
        <v>-1.0818396920290851E-2</v>
      </c>
      <c r="Q305" s="30">
        <v>8.0738536686864038E-4</v>
      </c>
      <c r="R305" s="30">
        <v>3.0047990297528138E-3</v>
      </c>
      <c r="S305" s="30">
        <v>-3.4560165292635392E-2</v>
      </c>
      <c r="T305" s="31">
        <v>1.6475999999999935E-2</v>
      </c>
      <c r="V305" s="9">
        <v>45098</v>
      </c>
      <c r="W305" s="30">
        <v>-1.7348816279069812E-2</v>
      </c>
      <c r="X305" s="30">
        <v>7.7473897337361208E-3</v>
      </c>
      <c r="Y305" s="30">
        <v>-1.6038434974543048E-2</v>
      </c>
      <c r="Z305" s="30">
        <v>-1.2102129361320713E-2</v>
      </c>
      <c r="AA305" s="31">
        <v>-5.220899598393558E-3</v>
      </c>
    </row>
    <row r="306" spans="1:27" x14ac:dyDescent="0.25">
      <c r="A306" s="7">
        <f>NFLX[[#This Row],[Date]]</f>
        <v>45002</v>
      </c>
      <c r="B306" s="30">
        <f>NFLX[[#This Row],[Stopa zwrotu]]</f>
        <v>-5.667664482479795E-3</v>
      </c>
      <c r="C306" s="30">
        <f>META[[#This Row],[Stopa zwrotu]]</f>
        <v>-3.3658167854724308E-3</v>
      </c>
      <c r="D306" s="30">
        <f>GOOG[[#This Row],[Stopa zwrotu]]</f>
        <v>5.0902230596571618E-2</v>
      </c>
      <c r="E306" s="30">
        <f>EBAY[[#This Row],[Stopa zwrotu]]</f>
        <v>1.7648496147153914E-2</v>
      </c>
      <c r="F306" s="30">
        <f>AMZN[[#This Row],[Stopa zwrotu]]</f>
        <v>1.9349419314408367E-2</v>
      </c>
      <c r="H306" s="9">
        <v>45005</v>
      </c>
      <c r="I306" s="30">
        <v>-4.4444444444444358E-3</v>
      </c>
      <c r="J306" s="30">
        <v>-3.0530864659380486E-3</v>
      </c>
      <c r="K306" s="30">
        <v>1.3234408602154821E-4</v>
      </c>
      <c r="L306" s="30">
        <v>8.6305245553783827E-3</v>
      </c>
      <c r="M306" s="31">
        <v>-6.0195704838180335E-3</v>
      </c>
      <c r="O306" s="9">
        <v>45063</v>
      </c>
      <c r="P306" s="30">
        <v>-6.8994877298124146E-3</v>
      </c>
      <c r="Q306" s="30">
        <v>1.1124299233622681E-2</v>
      </c>
      <c r="R306" s="30">
        <v>2.2511315201381166E-2</v>
      </c>
      <c r="S306" s="30">
        <v>-1.3947233844723295E-3</v>
      </c>
      <c r="T306" s="31">
        <v>2.8545681354011254E-2</v>
      </c>
      <c r="V306" s="9">
        <v>45099</v>
      </c>
      <c r="W306" s="30">
        <v>-9.1352674723873539E-3</v>
      </c>
      <c r="X306" s="30">
        <v>-2.0476218950794545E-3</v>
      </c>
      <c r="Y306" s="30">
        <v>-1.0425310190093406E-2</v>
      </c>
      <c r="Z306" s="30">
        <v>-1.0662454144171885E-2</v>
      </c>
      <c r="AA306" s="31">
        <v>1.0415833837962518E-2</v>
      </c>
    </row>
    <row r="307" spans="1:27" x14ac:dyDescent="0.25">
      <c r="A307" s="7">
        <f>NFLX[[#This Row],[Date]]</f>
        <v>45005</v>
      </c>
      <c r="B307" s="30">
        <f>NFLX[[#This Row],[Stopa zwrotu]]</f>
        <v>-4.4444444444444358E-3</v>
      </c>
      <c r="C307" s="30">
        <f>META[[#This Row],[Stopa zwrotu]]</f>
        <v>-3.0530864659380486E-3</v>
      </c>
      <c r="D307" s="30">
        <f>GOOG[[#This Row],[Stopa zwrotu]]</f>
        <v>1.3234408602154821E-4</v>
      </c>
      <c r="E307" s="30">
        <f>EBAY[[#This Row],[Stopa zwrotu]]</f>
        <v>8.6305245553783827E-3</v>
      </c>
      <c r="F307" s="30">
        <f>AMZN[[#This Row],[Stopa zwrotu]]</f>
        <v>-6.0195704838180335E-3</v>
      </c>
      <c r="H307" s="9">
        <v>45006</v>
      </c>
      <c r="I307" s="30">
        <v>1.4966192567567704E-2</v>
      </c>
      <c r="J307" s="30">
        <v>2.2257787762124615E-2</v>
      </c>
      <c r="K307" s="30">
        <v>1.0616132447503368E-2</v>
      </c>
      <c r="L307" s="30">
        <v>2.6190428571428503E-2</v>
      </c>
      <c r="M307" s="31">
        <v>2.4033469927904116E-2</v>
      </c>
      <c r="O307" s="9">
        <v>45064</v>
      </c>
      <c r="P307" s="30">
        <v>5.0816092027426985E-2</v>
      </c>
      <c r="Q307" s="30">
        <v>1.280760482408505E-2</v>
      </c>
      <c r="R307" s="30">
        <v>1.6993127548912801E-2</v>
      </c>
      <c r="S307" s="30">
        <v>1.1173184617625287E-2</v>
      </c>
      <c r="T307" s="31">
        <v>1.8560628448952565E-2</v>
      </c>
      <c r="V307" s="9">
        <v>45100</v>
      </c>
      <c r="W307" s="30">
        <v>-2.2689930636357047E-3</v>
      </c>
      <c r="X307" s="30">
        <v>4.1758269283185268E-3</v>
      </c>
      <c r="Y307" s="30">
        <v>1.8896346469838621E-2</v>
      </c>
      <c r="Z307" s="30">
        <v>-1.1465259998503563E-2</v>
      </c>
      <c r="AA307" s="31">
        <v>2.5091897275786312E-2</v>
      </c>
    </row>
    <row r="308" spans="1:27" x14ac:dyDescent="0.25">
      <c r="A308" s="7">
        <f>NFLX[[#This Row],[Date]]</f>
        <v>45006</v>
      </c>
      <c r="B308" s="30">
        <f>NFLX[[#This Row],[Stopa zwrotu]]</f>
        <v>1.4966192567567704E-2</v>
      </c>
      <c r="C308" s="30">
        <f>META[[#This Row],[Stopa zwrotu]]</f>
        <v>2.2257787762124615E-2</v>
      </c>
      <c r="D308" s="30">
        <f>GOOG[[#This Row],[Stopa zwrotu]]</f>
        <v>1.0616132447503368E-2</v>
      </c>
      <c r="E308" s="30">
        <f>EBAY[[#This Row],[Stopa zwrotu]]</f>
        <v>2.6190428571428503E-2</v>
      </c>
      <c r="F308" s="30">
        <f>AMZN[[#This Row],[Stopa zwrotu]]</f>
        <v>2.4033469927904116E-2</v>
      </c>
      <c r="H308" s="9">
        <v>45007</v>
      </c>
      <c r="I308" s="30">
        <v>-2.2933742171341809E-2</v>
      </c>
      <c r="J308" s="30">
        <v>8.6890680781368523E-3</v>
      </c>
      <c r="K308" s="30">
        <v>2.3070861740910553E-2</v>
      </c>
      <c r="L308" s="30">
        <v>-6.2644086433599755E-3</v>
      </c>
      <c r="M308" s="31">
        <v>6.2245000000000772E-3</v>
      </c>
      <c r="O308" s="9">
        <v>45065</v>
      </c>
      <c r="P308" s="30">
        <v>5.0350790344873886E-2</v>
      </c>
      <c r="Q308" s="30">
        <v>9.2043699224315656E-3</v>
      </c>
      <c r="R308" s="30">
        <v>1.0124314925085365E-2</v>
      </c>
      <c r="S308" s="30">
        <v>-6.6758058627026662E-3</v>
      </c>
      <c r="T308" s="31">
        <v>-5.5011090081179548E-3</v>
      </c>
      <c r="V308" s="9">
        <v>45103</v>
      </c>
      <c r="W308" s="30">
        <v>-2.2582504851440901E-3</v>
      </c>
      <c r="X308" s="30">
        <v>-1.6131994287205871E-3</v>
      </c>
      <c r="Y308" s="30">
        <v>-7.8505470114567464E-3</v>
      </c>
      <c r="Z308" s="30">
        <v>1.1598004834191638E-3</v>
      </c>
      <c r="AA308" s="31">
        <v>-3.0662119561340648E-3</v>
      </c>
    </row>
    <row r="309" spans="1:27" x14ac:dyDescent="0.25">
      <c r="A309" s="7">
        <f>NFLX[[#This Row],[Date]]</f>
        <v>45007</v>
      </c>
      <c r="B309" s="30">
        <f>NFLX[[#This Row],[Stopa zwrotu]]</f>
        <v>-2.2933742171341809E-2</v>
      </c>
      <c r="C309" s="30">
        <f>META[[#This Row],[Stopa zwrotu]]</f>
        <v>8.6890680781368523E-3</v>
      </c>
      <c r="D309" s="30">
        <f>GOOG[[#This Row],[Stopa zwrotu]]</f>
        <v>2.3070861740910553E-2</v>
      </c>
      <c r="E309" s="30">
        <f>EBAY[[#This Row],[Stopa zwrotu]]</f>
        <v>-6.2644086433599755E-3</v>
      </c>
      <c r="F309" s="30">
        <f>AMZN[[#This Row],[Stopa zwrotu]]</f>
        <v>6.2245000000000772E-3</v>
      </c>
      <c r="H309" s="9">
        <v>45008</v>
      </c>
      <c r="I309" s="30">
        <v>3.6110941183489675E-2</v>
      </c>
      <c r="J309" s="30">
        <v>1.2420473906149976E-2</v>
      </c>
      <c r="K309" s="30">
        <v>1.1515257763317077E-2</v>
      </c>
      <c r="L309" s="30">
        <v>-1.8912023398924838E-2</v>
      </c>
      <c r="M309" s="31">
        <v>-1.003952935767638E-2</v>
      </c>
      <c r="O309" s="9">
        <v>45068</v>
      </c>
      <c r="P309" s="30">
        <v>-1.2002583832234255E-3</v>
      </c>
      <c r="Q309" s="30">
        <v>2.3417155853627434E-3</v>
      </c>
      <c r="R309" s="30">
        <v>1.9828226696315308E-3</v>
      </c>
      <c r="S309" s="30">
        <v>4.6349785414455296E-3</v>
      </c>
      <c r="T309" s="31">
        <v>-4.1774619348808884E-3</v>
      </c>
      <c r="V309" s="9">
        <v>45104</v>
      </c>
      <c r="W309" s="30">
        <v>-8.1947313790512455E-3</v>
      </c>
      <c r="X309" s="30">
        <v>1.0986988235151429E-2</v>
      </c>
      <c r="Y309" s="30">
        <v>-1.748041041231041E-2</v>
      </c>
      <c r="Z309" s="30">
        <v>5.0855758245758054E-3</v>
      </c>
      <c r="AA309" s="31">
        <v>3.540558670976468E-3</v>
      </c>
    </row>
    <row r="310" spans="1:27" x14ac:dyDescent="0.25">
      <c r="A310" s="7">
        <f>NFLX[[#This Row],[Date]]</f>
        <v>45008</v>
      </c>
      <c r="B310" s="30">
        <f>NFLX[[#This Row],[Stopa zwrotu]]</f>
        <v>3.6110941183489675E-2</v>
      </c>
      <c r="C310" s="30">
        <f>META[[#This Row],[Stopa zwrotu]]</f>
        <v>1.2420473906149976E-2</v>
      </c>
      <c r="D310" s="30">
        <f>GOOG[[#This Row],[Stopa zwrotu]]</f>
        <v>1.1515257763317077E-2</v>
      </c>
      <c r="E310" s="30">
        <f>EBAY[[#This Row],[Stopa zwrotu]]</f>
        <v>-1.8912023398924838E-2</v>
      </c>
      <c r="F310" s="30">
        <f>AMZN[[#This Row],[Stopa zwrotu]]</f>
        <v>-1.003952935767638E-2</v>
      </c>
      <c r="H310" s="9">
        <v>45009</v>
      </c>
      <c r="I310" s="30">
        <v>5.4218416475056541E-2</v>
      </c>
      <c r="J310" s="30">
        <v>6.925595060863543E-3</v>
      </c>
      <c r="K310" s="30">
        <v>-6.3561898735911004E-3</v>
      </c>
      <c r="L310" s="30">
        <v>-8.5673488814851373E-3</v>
      </c>
      <c r="M310" s="31">
        <v>-1.2497448909113418E-2</v>
      </c>
      <c r="O310" s="9">
        <v>45069</v>
      </c>
      <c r="P310" s="30">
        <v>-2.259310896551725E-2</v>
      </c>
      <c r="Q310" s="30">
        <v>6.2418367787580031E-3</v>
      </c>
      <c r="R310" s="30">
        <v>-3.240129685867843E-3</v>
      </c>
      <c r="S310" s="30">
        <v>-1.3714239999999989E-2</v>
      </c>
      <c r="T310" s="31">
        <v>-4.1137943107221187E-3</v>
      </c>
      <c r="V310" s="9">
        <v>45105</v>
      </c>
      <c r="W310" s="30">
        <v>2.7679258809234497E-2</v>
      </c>
      <c r="X310" s="30">
        <v>1.2150379735978323E-2</v>
      </c>
      <c r="Y310" s="30">
        <v>5.9019243554212508E-3</v>
      </c>
      <c r="Z310" s="30">
        <v>1.7479346826126951E-2</v>
      </c>
      <c r="AA310" s="31">
        <v>6.9776478170682221E-3</v>
      </c>
    </row>
    <row r="311" spans="1:27" x14ac:dyDescent="0.25">
      <c r="A311" s="7">
        <f>NFLX[[#This Row],[Date]]</f>
        <v>45009</v>
      </c>
      <c r="B311" s="30">
        <f>NFLX[[#This Row],[Stopa zwrotu]]</f>
        <v>5.4218416475056541E-2</v>
      </c>
      <c r="C311" s="30">
        <f>META[[#This Row],[Stopa zwrotu]]</f>
        <v>6.925595060863543E-3</v>
      </c>
      <c r="D311" s="30">
        <f>GOOG[[#This Row],[Stopa zwrotu]]</f>
        <v>-6.3561898735911004E-3</v>
      </c>
      <c r="E311" s="30">
        <f>EBAY[[#This Row],[Stopa zwrotu]]</f>
        <v>-8.5673488814851373E-3</v>
      </c>
      <c r="F311" s="30">
        <f>AMZN[[#This Row],[Stopa zwrotu]]</f>
        <v>-1.2497448909113418E-2</v>
      </c>
      <c r="H311" s="9">
        <v>45012</v>
      </c>
      <c r="I311" s="30">
        <v>3.929762177643588E-3</v>
      </c>
      <c r="J311" s="30">
        <v>-3.5863456443508968E-3</v>
      </c>
      <c r="K311" s="30">
        <v>-6.7150437282485669E-3</v>
      </c>
      <c r="L311" s="30">
        <v>7.121131381020958E-3</v>
      </c>
      <c r="M311" s="31">
        <v>2.3513139207887632E-3</v>
      </c>
      <c r="O311" s="9">
        <v>45070</v>
      </c>
      <c r="P311" s="30">
        <v>6.5479580398404291E-3</v>
      </c>
      <c r="Q311" s="30">
        <v>-6.892345596408167E-3</v>
      </c>
      <c r="R311" s="30">
        <v>-1.8691612709672234E-2</v>
      </c>
      <c r="S311" s="30">
        <v>-2.5492698702540562E-3</v>
      </c>
      <c r="T311" s="31">
        <v>1.0898207162051365E-2</v>
      </c>
      <c r="V311" s="9">
        <v>45106</v>
      </c>
      <c r="W311" s="30">
        <v>7.7088105284301989E-3</v>
      </c>
      <c r="X311" s="30">
        <v>-1.1863676771553089E-2</v>
      </c>
      <c r="Y311" s="30">
        <v>1.369048492670899E-2</v>
      </c>
      <c r="Z311" s="30">
        <v>2.0343579550472501E-3</v>
      </c>
      <c r="AA311" s="31">
        <v>-9.1871689631396469E-3</v>
      </c>
    </row>
    <row r="312" spans="1:27" x14ac:dyDescent="0.25">
      <c r="A312" s="7">
        <f>NFLX[[#This Row],[Date]]</f>
        <v>45012</v>
      </c>
      <c r="B312" s="30">
        <f>NFLX[[#This Row],[Stopa zwrotu]]</f>
        <v>3.929762177643588E-3</v>
      </c>
      <c r="C312" s="30">
        <f>META[[#This Row],[Stopa zwrotu]]</f>
        <v>-3.5863456443508968E-3</v>
      </c>
      <c r="D312" s="30">
        <f>GOOG[[#This Row],[Stopa zwrotu]]</f>
        <v>-6.7150437282485669E-3</v>
      </c>
      <c r="E312" s="30">
        <f>EBAY[[#This Row],[Stopa zwrotu]]</f>
        <v>7.121131381020958E-3</v>
      </c>
      <c r="F312" s="30">
        <f>AMZN[[#This Row],[Stopa zwrotu]]</f>
        <v>2.3513139207887632E-3</v>
      </c>
      <c r="H312" s="9">
        <v>45013</v>
      </c>
      <c r="I312" s="30">
        <v>-9.6482998717882795E-3</v>
      </c>
      <c r="J312" s="30">
        <v>-1.7183189227338191E-2</v>
      </c>
      <c r="K312" s="30">
        <v>-2.2897769352950514E-2</v>
      </c>
      <c r="L312" s="30">
        <v>2.3506463537170674E-4</v>
      </c>
      <c r="M312" s="31">
        <v>-8.1376285921377356E-3</v>
      </c>
      <c r="O312" s="9">
        <v>45071</v>
      </c>
      <c r="P312" s="30">
        <v>2.2152034010711752E-3</v>
      </c>
      <c r="Q312" s="30">
        <v>1.7228010008916161E-2</v>
      </c>
      <c r="R312" s="30">
        <v>1.7805399585921311E-2</v>
      </c>
      <c r="S312" s="30">
        <v>-2.5557852566033823E-3</v>
      </c>
      <c r="T312" s="31">
        <v>-6.172830973035115E-3</v>
      </c>
      <c r="V312" s="9">
        <v>45107</v>
      </c>
      <c r="W312" s="30">
        <v>1.1615656622536497E-2</v>
      </c>
      <c r="X312" s="30">
        <v>1.328872055799124E-2</v>
      </c>
      <c r="Y312" s="30">
        <v>1.4008875211885652E-2</v>
      </c>
      <c r="Z312" s="30">
        <v>-9.0234600034544421E-4</v>
      </c>
      <c r="AA312" s="31">
        <v>1.327985992016556E-2</v>
      </c>
    </row>
    <row r="313" spans="1:27" x14ac:dyDescent="0.25">
      <c r="A313" s="7">
        <f>NFLX[[#This Row],[Date]]</f>
        <v>45013</v>
      </c>
      <c r="B313" s="30">
        <f>NFLX[[#This Row],[Stopa zwrotu]]</f>
        <v>-9.6482998717882795E-3</v>
      </c>
      <c r="C313" s="30">
        <f>META[[#This Row],[Stopa zwrotu]]</f>
        <v>-1.7183189227338191E-2</v>
      </c>
      <c r="D313" s="30">
        <f>GOOG[[#This Row],[Stopa zwrotu]]</f>
        <v>-2.2897769352950514E-2</v>
      </c>
      <c r="E313" s="30">
        <f>EBAY[[#This Row],[Stopa zwrotu]]</f>
        <v>2.3506463537170674E-4</v>
      </c>
      <c r="F313" s="30">
        <f>AMZN[[#This Row],[Stopa zwrotu]]</f>
        <v>-8.1376285921377356E-3</v>
      </c>
      <c r="H313" s="9">
        <v>45014</v>
      </c>
      <c r="I313" s="30">
        <v>1.3850884007255093E-2</v>
      </c>
      <c r="J313" s="30">
        <v>2.3446180599682176E-2</v>
      </c>
      <c r="K313" s="30">
        <v>7.4790587104014428E-3</v>
      </c>
      <c r="L313" s="30">
        <v>1.5037593631635593E-2</v>
      </c>
      <c r="M313" s="31">
        <v>2.3574586939717479E-2</v>
      </c>
      <c r="O313" s="9">
        <v>45072</v>
      </c>
      <c r="P313" s="30">
        <v>-3.9729532436674209E-3</v>
      </c>
      <c r="Q313" s="30">
        <v>1.4207204031040588E-2</v>
      </c>
      <c r="R313" s="30">
        <v>3.1733034471390642E-3</v>
      </c>
      <c r="S313" s="30">
        <v>1.3743303051479305E-2</v>
      </c>
      <c r="T313" s="31">
        <v>1.4959312657848223E-2</v>
      </c>
      <c r="V313" s="9">
        <v>45110</v>
      </c>
      <c r="W313" s="30">
        <v>4.0206370738641678E-4</v>
      </c>
      <c r="X313" s="30">
        <v>5.0394133130149399E-4</v>
      </c>
      <c r="Y313" s="30">
        <v>-3.2401142432192756E-3</v>
      </c>
      <c r="Z313" s="30">
        <v>2.3330849175942823E-3</v>
      </c>
      <c r="AA313" s="31">
        <v>2.8952049271212164E-3</v>
      </c>
    </row>
    <row r="314" spans="1:27" x14ac:dyDescent="0.25">
      <c r="A314" s="7">
        <f>NFLX[[#This Row],[Date]]</f>
        <v>45014</v>
      </c>
      <c r="B314" s="30">
        <f>NFLX[[#This Row],[Stopa zwrotu]]</f>
        <v>1.3850884007255093E-2</v>
      </c>
      <c r="C314" s="30">
        <f>META[[#This Row],[Stopa zwrotu]]</f>
        <v>2.3446180599682176E-2</v>
      </c>
      <c r="D314" s="30">
        <f>GOOG[[#This Row],[Stopa zwrotu]]</f>
        <v>7.4790587104014428E-3</v>
      </c>
      <c r="E314" s="30">
        <f>EBAY[[#This Row],[Stopa zwrotu]]</f>
        <v>1.5037593631635593E-2</v>
      </c>
      <c r="F314" s="30">
        <f>AMZN[[#This Row],[Stopa zwrotu]]</f>
        <v>2.3574586939717479E-2</v>
      </c>
      <c r="H314" s="9">
        <v>45015</v>
      </c>
      <c r="I314" s="30">
        <v>2.938008988063423E-2</v>
      </c>
      <c r="J314" s="30">
        <v>1.3825121441570776E-3</v>
      </c>
      <c r="K314" s="30">
        <v>-7.3245373386572332E-3</v>
      </c>
      <c r="L314" s="30">
        <v>9.95370347329394E-3</v>
      </c>
      <c r="M314" s="31">
        <v>2.4857995634293806E-2</v>
      </c>
      <c r="O314" s="9">
        <v>45076</v>
      </c>
      <c r="P314" s="30">
        <v>2.091995014044945E-2</v>
      </c>
      <c r="Q314" s="30">
        <v>8.4879919298170292E-3</v>
      </c>
      <c r="R314" s="30">
        <v>-8.1109983931301755E-4</v>
      </c>
      <c r="S314" s="30">
        <v>-1.0340073529411797E-3</v>
      </c>
      <c r="T314" s="31">
        <v>8.2744442753260872E-3</v>
      </c>
      <c r="V314" s="9">
        <v>45112</v>
      </c>
      <c r="W314" s="30">
        <v>9.2674112560517941E-3</v>
      </c>
      <c r="X314" s="30">
        <v>2.6504808990595041E-3</v>
      </c>
      <c r="Y314" s="30">
        <v>1.4827951801045236E-3</v>
      </c>
      <c r="Z314" s="30">
        <v>3.3635651732544236E-4</v>
      </c>
      <c r="AA314" s="31">
        <v>-1.6529867642738338E-3</v>
      </c>
    </row>
    <row r="315" spans="1:27" x14ac:dyDescent="0.25">
      <c r="A315" s="7">
        <f>NFLX[[#This Row],[Date]]</f>
        <v>45015</v>
      </c>
      <c r="B315" s="30">
        <f>NFLX[[#This Row],[Stopa zwrotu]]</f>
        <v>2.938008988063423E-2</v>
      </c>
      <c r="C315" s="30">
        <f>META[[#This Row],[Stopa zwrotu]]</f>
        <v>1.3825121441570776E-3</v>
      </c>
      <c r="D315" s="30">
        <f>GOOG[[#This Row],[Stopa zwrotu]]</f>
        <v>-7.3245373386572332E-3</v>
      </c>
      <c r="E315" s="30">
        <f>EBAY[[#This Row],[Stopa zwrotu]]</f>
        <v>9.95370347329394E-3</v>
      </c>
      <c r="F315" s="30">
        <f>AMZN[[#This Row],[Stopa zwrotu]]</f>
        <v>2.4857995634293806E-2</v>
      </c>
      <c r="H315" s="9">
        <v>45016</v>
      </c>
      <c r="I315" s="30">
        <v>5.6666390337003492E-3</v>
      </c>
      <c r="J315" s="30">
        <v>1.9475381440056783E-2</v>
      </c>
      <c r="K315" s="30">
        <v>1.1466756292085378E-2</v>
      </c>
      <c r="L315" s="30">
        <v>2.5212238707030821E-3</v>
      </c>
      <c r="M315" s="31">
        <v>9.3059596217015539E-3</v>
      </c>
      <c r="O315" s="9">
        <v>45077</v>
      </c>
      <c r="P315" s="30">
        <v>8.0872882324953821E-3</v>
      </c>
      <c r="Q315" s="30">
        <v>-1.0869137365294268E-2</v>
      </c>
      <c r="R315" s="30">
        <v>1.7088371853595241E-3</v>
      </c>
      <c r="S315" s="30">
        <v>-3.068763267189667E-2</v>
      </c>
      <c r="T315" s="31">
        <v>-5.7567411500354382E-3</v>
      </c>
      <c r="V315" s="9">
        <v>45113</v>
      </c>
      <c r="W315" s="30">
        <v>-2.0244743417550892E-2</v>
      </c>
      <c r="X315" s="30">
        <v>1.7285980092504927E-2</v>
      </c>
      <c r="Y315" s="30">
        <v>-6.7466101407064327E-3</v>
      </c>
      <c r="Z315" s="30">
        <v>-2.4199013573851347E-2</v>
      </c>
      <c r="AA315" s="31">
        <v>-1.7509997049598769E-2</v>
      </c>
    </row>
    <row r="316" spans="1:27" x14ac:dyDescent="0.25">
      <c r="A316" s="7">
        <f>NFLX[[#This Row],[Date]]</f>
        <v>45016</v>
      </c>
      <c r="B316" s="30">
        <f>NFLX[[#This Row],[Stopa zwrotu]]</f>
        <v>5.6666390337003492E-3</v>
      </c>
      <c r="C316" s="30">
        <f>META[[#This Row],[Stopa zwrotu]]</f>
        <v>1.9475381440056783E-2</v>
      </c>
      <c r="D316" s="30">
        <f>GOOG[[#This Row],[Stopa zwrotu]]</f>
        <v>1.1466756292085378E-2</v>
      </c>
      <c r="E316" s="30">
        <f>EBAY[[#This Row],[Stopa zwrotu]]</f>
        <v>2.5212238707030821E-3</v>
      </c>
      <c r="F316" s="30">
        <f>AMZN[[#This Row],[Stopa zwrotu]]</f>
        <v>9.3059596217015539E-3</v>
      </c>
      <c r="H316" s="9">
        <v>45019</v>
      </c>
      <c r="I316" s="30">
        <v>3.1632877482420016E-3</v>
      </c>
      <c r="J316" s="30">
        <v>2.3052876341450959E-3</v>
      </c>
      <c r="K316" s="30">
        <v>3.088837347091792E-3</v>
      </c>
      <c r="L316" s="30">
        <v>7.6206367495523786E-4</v>
      </c>
      <c r="M316" s="31">
        <v>-1.7001700680121523E-3</v>
      </c>
      <c r="O316" s="9">
        <v>45078</v>
      </c>
      <c r="P316" s="30">
        <v>1.0722231254303161E-2</v>
      </c>
      <c r="Q316" s="30">
        <v>2.87870096906786E-2</v>
      </c>
      <c r="R316" s="30">
        <v>1.6247360133994082E-3</v>
      </c>
      <c r="S316" s="30">
        <v>1.2378029629994014E-2</v>
      </c>
      <c r="T316" s="31">
        <v>6.3774608773594643E-3</v>
      </c>
      <c r="V316" s="9">
        <v>45114</v>
      </c>
      <c r="W316" s="30">
        <v>1.1887061172253244E-2</v>
      </c>
      <c r="X316" s="30">
        <v>-9.0968178853922943E-3</v>
      </c>
      <c r="Y316" s="30">
        <v>7.0439916142557291E-3</v>
      </c>
      <c r="Z316" s="30">
        <v>2.9850976575223065E-3</v>
      </c>
      <c r="AA316" s="31">
        <v>5.9668837410642439E-3</v>
      </c>
    </row>
    <row r="317" spans="1:27" x14ac:dyDescent="0.25">
      <c r="A317" s="7">
        <f>NFLX[[#This Row],[Date]]</f>
        <v>45019</v>
      </c>
      <c r="B317" s="30">
        <f>NFLX[[#This Row],[Stopa zwrotu]]</f>
        <v>3.1632877482420016E-3</v>
      </c>
      <c r="C317" s="30">
        <f>META[[#This Row],[Stopa zwrotu]]</f>
        <v>2.3052876341450959E-3</v>
      </c>
      <c r="D317" s="30">
        <f>GOOG[[#This Row],[Stopa zwrotu]]</f>
        <v>3.088837347091792E-3</v>
      </c>
      <c r="E317" s="30">
        <f>EBAY[[#This Row],[Stopa zwrotu]]</f>
        <v>7.6206367495523786E-4</v>
      </c>
      <c r="F317" s="30">
        <f>AMZN[[#This Row],[Stopa zwrotu]]</f>
        <v>-1.7001700680121523E-3</v>
      </c>
      <c r="H317" s="9">
        <v>45020</v>
      </c>
      <c r="I317" s="30">
        <v>1.0428960230827844E-2</v>
      </c>
      <c r="J317" s="30">
        <v>2.0845322106320729E-2</v>
      </c>
      <c r="K317" s="30">
        <v>2.1683933044069015E-2</v>
      </c>
      <c r="L317" s="30">
        <v>-2.280565693431047E-4</v>
      </c>
      <c r="M317" s="31">
        <v>6.7041407867494129E-3</v>
      </c>
      <c r="O317" s="9">
        <v>45079</v>
      </c>
      <c r="P317" s="30">
        <v>7.1741301853660566E-3</v>
      </c>
      <c r="Q317" s="30">
        <v>1.9669711929573674E-2</v>
      </c>
      <c r="R317" s="30">
        <v>8.5157743264612229E-3</v>
      </c>
      <c r="S317" s="30">
        <v>1.7399506640007445E-2</v>
      </c>
      <c r="T317" s="31">
        <v>3.4103201867756061E-2</v>
      </c>
      <c r="V317" s="9">
        <v>45117</v>
      </c>
      <c r="W317" s="30">
        <v>7.4951894349169679E-4</v>
      </c>
      <c r="X317" s="30">
        <v>-1.8591837891057672E-3</v>
      </c>
      <c r="Y317" s="30">
        <v>-9.576143211795932E-3</v>
      </c>
      <c r="Z317" s="30">
        <v>3.35774572649572E-3</v>
      </c>
      <c r="AA317" s="31">
        <v>-5.7493871166242423E-3</v>
      </c>
    </row>
    <row r="318" spans="1:27" x14ac:dyDescent="0.25">
      <c r="A318" s="7">
        <f>NFLX[[#This Row],[Date]]</f>
        <v>45020</v>
      </c>
      <c r="B318" s="30">
        <f>NFLX[[#This Row],[Stopa zwrotu]]</f>
        <v>1.0428960230827844E-2</v>
      </c>
      <c r="C318" s="30">
        <f>META[[#This Row],[Stopa zwrotu]]</f>
        <v>2.0845322106320729E-2</v>
      </c>
      <c r="D318" s="30">
        <f>GOOG[[#This Row],[Stopa zwrotu]]</f>
        <v>2.1683933044069015E-2</v>
      </c>
      <c r="E318" s="30">
        <f>EBAY[[#This Row],[Stopa zwrotu]]</f>
        <v>-2.280565693431047E-4</v>
      </c>
      <c r="F318" s="30">
        <f>AMZN[[#This Row],[Stopa zwrotu]]</f>
        <v>6.7041407867494129E-3</v>
      </c>
      <c r="H318" s="9">
        <v>45021</v>
      </c>
      <c r="I318" s="30">
        <v>-2.2387008958732135E-2</v>
      </c>
      <c r="J318" s="30">
        <v>-1.2232949494827672E-2</v>
      </c>
      <c r="K318" s="30">
        <v>-4.7610039151243511E-3</v>
      </c>
      <c r="L318" s="30">
        <v>-2.9660276994739609E-3</v>
      </c>
      <c r="M318" s="31">
        <v>-1.3318979401439779E-2</v>
      </c>
      <c r="O318" s="9">
        <v>45082</v>
      </c>
      <c r="P318" s="30">
        <v>3.5783447540710758E-3</v>
      </c>
      <c r="Q318" s="30">
        <v>-1.9179662495936538E-3</v>
      </c>
      <c r="R318" s="30">
        <v>8.0415495194996467E-5</v>
      </c>
      <c r="S318" s="30">
        <v>7.8576457900007366E-3</v>
      </c>
      <c r="T318" s="31">
        <v>-2.6608558403152793E-3</v>
      </c>
      <c r="V318" s="9">
        <v>45118</v>
      </c>
      <c r="W318" s="30">
        <v>-1.3231990081443268E-2</v>
      </c>
      <c r="X318" s="30">
        <v>1.689603275649687E-2</v>
      </c>
      <c r="Y318" s="30">
        <v>-6.9444187838171301E-3</v>
      </c>
      <c r="Z318" s="30">
        <v>4.1704443374987354E-2</v>
      </c>
      <c r="AA318" s="31">
        <v>1.1356416952928994E-2</v>
      </c>
    </row>
    <row r="319" spans="1:27" x14ac:dyDescent="0.25">
      <c r="A319" s="7">
        <f>NFLX[[#This Row],[Date]]</f>
        <v>45021</v>
      </c>
      <c r="B319" s="30">
        <f>NFLX[[#This Row],[Stopa zwrotu]]</f>
        <v>-2.2387008958732135E-2</v>
      </c>
      <c r="C319" s="30">
        <f>META[[#This Row],[Stopa zwrotu]]</f>
        <v>-1.2232949494827672E-2</v>
      </c>
      <c r="D319" s="30">
        <f>GOOG[[#This Row],[Stopa zwrotu]]</f>
        <v>-4.7610039151243511E-3</v>
      </c>
      <c r="E319" s="30">
        <f>EBAY[[#This Row],[Stopa zwrotu]]</f>
        <v>-2.9660276994739609E-3</v>
      </c>
      <c r="F319" s="30">
        <f>AMZN[[#This Row],[Stopa zwrotu]]</f>
        <v>-1.3318979401439779E-2</v>
      </c>
      <c r="H319" s="9">
        <v>45022</v>
      </c>
      <c r="I319" s="30">
        <v>-1.0765784386617128E-2</v>
      </c>
      <c r="J319" s="30">
        <v>-6.1446507940873252E-3</v>
      </c>
      <c r="K319" s="30">
        <v>6.8491001186077316E-3</v>
      </c>
      <c r="L319" s="30">
        <v>-1.052629266530225E-2</v>
      </c>
      <c r="M319" s="31">
        <v>-9.4292506203473847E-3</v>
      </c>
      <c r="O319" s="9">
        <v>45083</v>
      </c>
      <c r="P319" s="30">
        <v>-8.0469850013291655E-3</v>
      </c>
      <c r="Q319" s="30">
        <v>4.8228224129887032E-4</v>
      </c>
      <c r="R319" s="30">
        <v>1.2783438160076432E-2</v>
      </c>
      <c r="S319" s="30">
        <v>1.2418130223117663E-2</v>
      </c>
      <c r="T319" s="31">
        <v>1.6012362968482075E-2</v>
      </c>
      <c r="V319" s="9">
        <v>45119</v>
      </c>
      <c r="W319" s="30">
        <v>1.5566979537623427E-2</v>
      </c>
      <c r="X319" s="30">
        <v>2.8091853951871082E-2</v>
      </c>
      <c r="Y319" s="30">
        <v>2.7367676295127819E-2</v>
      </c>
      <c r="Z319" s="30">
        <v>8.0505441264260291E-3</v>
      </c>
      <c r="AA319" s="31">
        <v>1.1621547100456153E-2</v>
      </c>
    </row>
    <row r="320" spans="1:27" x14ac:dyDescent="0.25">
      <c r="A320" s="7">
        <f>NFLX[[#This Row],[Date]]</f>
        <v>45022</v>
      </c>
      <c r="B320" s="30">
        <f>NFLX[[#This Row],[Stopa zwrotu]]</f>
        <v>-1.0765784386617128E-2</v>
      </c>
      <c r="C320" s="30">
        <f>META[[#This Row],[Stopa zwrotu]]</f>
        <v>-6.1446507940873252E-3</v>
      </c>
      <c r="D320" s="30">
        <f>GOOG[[#This Row],[Stopa zwrotu]]</f>
        <v>6.8491001186077316E-3</v>
      </c>
      <c r="E320" s="30">
        <f>EBAY[[#This Row],[Stopa zwrotu]]</f>
        <v>-1.052629266530225E-2</v>
      </c>
      <c r="F320" s="30">
        <f>AMZN[[#This Row],[Stopa zwrotu]]</f>
        <v>-9.4292506203473847E-3</v>
      </c>
      <c r="H320" s="9">
        <v>45026</v>
      </c>
      <c r="I320" s="30">
        <v>5.4864262771486816E-4</v>
      </c>
      <c r="J320" s="30">
        <v>2.4083513752701236E-3</v>
      </c>
      <c r="K320" s="30">
        <v>1.8723369389431199E-3</v>
      </c>
      <c r="L320" s="30">
        <v>-8.6726406719403459E-4</v>
      </c>
      <c r="M320" s="31">
        <v>-5.7615980231986996E-4</v>
      </c>
      <c r="O320" s="9">
        <v>45084</v>
      </c>
      <c r="P320" s="30">
        <v>5.7945180272631625E-3</v>
      </c>
      <c r="Q320" s="30">
        <v>-2.5547902958597657E-2</v>
      </c>
      <c r="R320" s="30">
        <v>-2.6514280967577353E-2</v>
      </c>
      <c r="S320" s="30">
        <v>2.2297056199804821E-4</v>
      </c>
      <c r="T320" s="31">
        <v>-3.4960023999999978E-2</v>
      </c>
      <c r="V320" s="9">
        <v>45120</v>
      </c>
      <c r="W320" s="30">
        <v>7.8355065676756208E-3</v>
      </c>
      <c r="X320" s="30">
        <v>3.3955357535047748E-2</v>
      </c>
      <c r="Y320" s="30">
        <v>1.7310907563025113E-2</v>
      </c>
      <c r="Z320" s="30">
        <v>-5.3960714268909138E-3</v>
      </c>
      <c r="AA320" s="31">
        <v>3.0117247067961594E-2</v>
      </c>
    </row>
    <row r="321" spans="1:27" x14ac:dyDescent="0.25">
      <c r="A321" s="7">
        <f>NFLX[[#This Row],[Date]]</f>
        <v>45026</v>
      </c>
      <c r="B321" s="30">
        <f>NFLX[[#This Row],[Stopa zwrotu]]</f>
        <v>5.4864262771486816E-4</v>
      </c>
      <c r="C321" s="30">
        <f>META[[#This Row],[Stopa zwrotu]]</f>
        <v>2.4083513752701236E-3</v>
      </c>
      <c r="D321" s="30">
        <f>GOOG[[#This Row],[Stopa zwrotu]]</f>
        <v>1.8723369389431199E-3</v>
      </c>
      <c r="E321" s="30">
        <f>EBAY[[#This Row],[Stopa zwrotu]]</f>
        <v>-8.6726406719403459E-4</v>
      </c>
      <c r="F321" s="30">
        <f>AMZN[[#This Row],[Stopa zwrotu]]</f>
        <v>-5.7615980231986996E-4</v>
      </c>
      <c r="H321" s="9">
        <v>45027</v>
      </c>
      <c r="I321" s="30">
        <v>1.2839063452681598E-2</v>
      </c>
      <c r="J321" s="30">
        <v>1.3054210328411475E-2</v>
      </c>
      <c r="K321" s="30">
        <v>-3.0302936179978923E-3</v>
      </c>
      <c r="L321" s="30">
        <v>-1.6245068461360201E-3</v>
      </c>
      <c r="M321" s="31">
        <v>-5.6241639047904801E-3</v>
      </c>
      <c r="O321" s="9">
        <v>45085</v>
      </c>
      <c r="P321" s="30">
        <v>-7.2389723226493619E-3</v>
      </c>
      <c r="Q321" s="30">
        <v>-1.4916222142293267E-2</v>
      </c>
      <c r="R321" s="30">
        <v>-5.0558184389419836E-3</v>
      </c>
      <c r="S321" s="30">
        <v>1.114827251497319E-2</v>
      </c>
      <c r="T321" s="31">
        <v>1.3512435053778526E-2</v>
      </c>
      <c r="V321" s="9">
        <v>45121</v>
      </c>
      <c r="W321" s="30">
        <v>-3.3545968164517825E-3</v>
      </c>
      <c r="X321" s="30">
        <v>-9.442856408567124E-3</v>
      </c>
      <c r="Y321" s="30">
        <v>3.1719841924993331E-2</v>
      </c>
      <c r="Z321" s="30">
        <v>-5.6424042689928733E-3</v>
      </c>
      <c r="AA321" s="31">
        <v>1.0172488348975994E-2</v>
      </c>
    </row>
    <row r="322" spans="1:27" x14ac:dyDescent="0.25">
      <c r="A322" s="7">
        <f>NFLX[[#This Row],[Date]]</f>
        <v>45027</v>
      </c>
      <c r="B322" s="30">
        <f>NFLX[[#This Row],[Stopa zwrotu]]</f>
        <v>1.2839063452681598E-2</v>
      </c>
      <c r="C322" s="30">
        <f>META[[#This Row],[Stopa zwrotu]]</f>
        <v>1.3054210328411475E-2</v>
      </c>
      <c r="D322" s="30">
        <f>GOOG[[#This Row],[Stopa zwrotu]]</f>
        <v>-3.0302936179978923E-3</v>
      </c>
      <c r="E322" s="30">
        <f>EBAY[[#This Row],[Stopa zwrotu]]</f>
        <v>-1.6245068461360201E-3</v>
      </c>
      <c r="F322" s="30">
        <f>AMZN[[#This Row],[Stopa zwrotu]]</f>
        <v>-5.6241639047904801E-3</v>
      </c>
      <c r="H322" s="9">
        <v>45028</v>
      </c>
      <c r="I322" s="30">
        <v>-2.2509198147026566E-2</v>
      </c>
      <c r="J322" s="30">
        <v>-3.8892366076708207E-3</v>
      </c>
      <c r="K322" s="30">
        <v>-2.9445099063878377E-3</v>
      </c>
      <c r="L322" s="30">
        <v>-1.2319804741980578E-2</v>
      </c>
      <c r="M322" s="31">
        <v>-1.3130016904756792E-2</v>
      </c>
      <c r="O322" s="9">
        <v>45086</v>
      </c>
      <c r="P322" s="30">
        <v>4.647528431624659E-2</v>
      </c>
      <c r="Q322" s="30">
        <v>1.0893104703084466E-2</v>
      </c>
      <c r="R322" s="30">
        <v>3.3603474574159797E-3</v>
      </c>
      <c r="S322" s="30">
        <v>6.3947301607378826E-3</v>
      </c>
      <c r="T322" s="31">
        <v>7.6067396105556906E-3</v>
      </c>
      <c r="V322" s="9">
        <v>45124</v>
      </c>
      <c r="W322" s="30">
        <v>4.1012605961296229E-3</v>
      </c>
      <c r="X322" s="30">
        <v>-2.8739308187216706E-3</v>
      </c>
      <c r="Y322" s="30">
        <v>-1.0675260037225816E-3</v>
      </c>
      <c r="Z322" s="30">
        <v>1.0184708278772419E-3</v>
      </c>
      <c r="AA322" s="31">
        <v>-2.1134591791754178E-3</v>
      </c>
    </row>
    <row r="323" spans="1:27" x14ac:dyDescent="0.25">
      <c r="A323" s="7">
        <f>NFLX[[#This Row],[Date]]</f>
        <v>45028</v>
      </c>
      <c r="B323" s="30">
        <f>NFLX[[#This Row],[Stopa zwrotu]]</f>
        <v>-2.2509198147026566E-2</v>
      </c>
      <c r="C323" s="30">
        <f>META[[#This Row],[Stopa zwrotu]]</f>
        <v>-3.8892366076708207E-3</v>
      </c>
      <c r="D323" s="30">
        <f>GOOG[[#This Row],[Stopa zwrotu]]</f>
        <v>-2.9445099063878377E-3</v>
      </c>
      <c r="E323" s="30">
        <f>EBAY[[#This Row],[Stopa zwrotu]]</f>
        <v>-1.2319804741980578E-2</v>
      </c>
      <c r="F323" s="30">
        <f>AMZN[[#This Row],[Stopa zwrotu]]</f>
        <v>-1.3130016904756792E-2</v>
      </c>
      <c r="H323" s="9">
        <v>45029</v>
      </c>
      <c r="I323" s="30">
        <v>2.6390712527219806E-2</v>
      </c>
      <c r="J323" s="30">
        <v>1.4629786295702329E-2</v>
      </c>
      <c r="K323" s="30">
        <v>1.4004010536305511E-2</v>
      </c>
      <c r="L323" s="30">
        <v>8.7079073331179924E-3</v>
      </c>
      <c r="M323" s="31">
        <v>1.0234367109142939E-2</v>
      </c>
      <c r="O323" s="9">
        <v>45089</v>
      </c>
      <c r="P323" s="30">
        <v>1.4546540620763437E-3</v>
      </c>
      <c r="Q323" s="30">
        <v>4.6235827710496098E-3</v>
      </c>
      <c r="R323" s="30">
        <v>-1.906006674933606E-4</v>
      </c>
      <c r="S323" s="30">
        <v>-4.5281844404364184E-3</v>
      </c>
      <c r="T323" s="31">
        <v>9.1997996179375241E-4</v>
      </c>
      <c r="V323" s="9">
        <v>45125</v>
      </c>
      <c r="W323" s="30">
        <v>8.2451846143150043E-3</v>
      </c>
      <c r="X323" s="30">
        <v>9.5500774045838011E-3</v>
      </c>
      <c r="Y323" s="30">
        <v>-9.6385301204818807E-3</v>
      </c>
      <c r="Z323" s="30">
        <v>2.0887707155955226E-2</v>
      </c>
      <c r="AA323" s="31">
        <v>-1.3962922470231454E-2</v>
      </c>
    </row>
    <row r="324" spans="1:27" x14ac:dyDescent="0.25">
      <c r="A324" s="7">
        <f>NFLX[[#This Row],[Date]]</f>
        <v>45029</v>
      </c>
      <c r="B324" s="30">
        <f>NFLX[[#This Row],[Stopa zwrotu]]</f>
        <v>2.6390712527219806E-2</v>
      </c>
      <c r="C324" s="30">
        <f>META[[#This Row],[Stopa zwrotu]]</f>
        <v>1.4629786295702329E-2</v>
      </c>
      <c r="D324" s="30">
        <f>GOOG[[#This Row],[Stopa zwrotu]]</f>
        <v>1.4004010536305511E-2</v>
      </c>
      <c r="E324" s="30">
        <f>EBAY[[#This Row],[Stopa zwrotu]]</f>
        <v>8.7079073331179924E-3</v>
      </c>
      <c r="F324" s="30">
        <f>AMZN[[#This Row],[Stopa zwrotu]]</f>
        <v>1.0234367109142939E-2</v>
      </c>
      <c r="H324" s="9">
        <v>45030</v>
      </c>
      <c r="I324" s="30">
        <v>-6.9077372693726602E-3</v>
      </c>
      <c r="J324" s="30">
        <v>8.6234919688117362E-3</v>
      </c>
      <c r="K324" s="30">
        <v>1.0804152371210796E-2</v>
      </c>
      <c r="L324" s="30">
        <v>6.5328509908342269E-3</v>
      </c>
      <c r="M324" s="31">
        <v>2.4313666541522228E-2</v>
      </c>
      <c r="O324" s="9">
        <v>45090</v>
      </c>
      <c r="P324" s="30">
        <v>2.8398556788079121E-2</v>
      </c>
      <c r="Q324" s="30">
        <v>1.4171066913744479E-2</v>
      </c>
      <c r="R324" s="30">
        <v>1.221906844657239E-2</v>
      </c>
      <c r="S324" s="30">
        <v>-2.221679253665565E-4</v>
      </c>
      <c r="T324" s="31">
        <v>1.3357087455331484E-2</v>
      </c>
      <c r="V324" s="9">
        <v>45126</v>
      </c>
      <c r="W324" s="30">
        <v>4.7283749381175078E-2</v>
      </c>
      <c r="X324" s="30">
        <v>9.4271960442622316E-3</v>
      </c>
      <c r="Y324" s="30">
        <v>-6.7315651241306451E-3</v>
      </c>
      <c r="Z324" s="30">
        <v>2.2165410151978371E-2</v>
      </c>
      <c r="AA324" s="31">
        <v>8.9835778157483226E-3</v>
      </c>
    </row>
    <row r="325" spans="1:27" x14ac:dyDescent="0.25">
      <c r="A325" s="7">
        <f>NFLX[[#This Row],[Date]]</f>
        <v>45030</v>
      </c>
      <c r="B325" s="30">
        <f>NFLX[[#This Row],[Stopa zwrotu]]</f>
        <v>-6.9077372693726602E-3</v>
      </c>
      <c r="C325" s="30">
        <f>META[[#This Row],[Stopa zwrotu]]</f>
        <v>8.6234919688117362E-3</v>
      </c>
      <c r="D325" s="30">
        <f>GOOG[[#This Row],[Stopa zwrotu]]</f>
        <v>1.0804152371210796E-2</v>
      </c>
      <c r="E325" s="30">
        <f>EBAY[[#This Row],[Stopa zwrotu]]</f>
        <v>6.5328509908342269E-3</v>
      </c>
      <c r="F325" s="30">
        <f>AMZN[[#This Row],[Stopa zwrotu]]</f>
        <v>2.4313666541522228E-2</v>
      </c>
      <c r="H325" s="9">
        <v>45033</v>
      </c>
      <c r="I325" s="30">
        <v>-8.8285166850547627E-3</v>
      </c>
      <c r="J325" s="30">
        <v>-6.435271496334124E-4</v>
      </c>
      <c r="K325" s="30">
        <v>-7.0328595730529964E-3</v>
      </c>
      <c r="L325" s="30">
        <v>2.3953176262242839E-3</v>
      </c>
      <c r="M325" s="31">
        <v>1.5824184724648009E-3</v>
      </c>
      <c r="O325" s="9">
        <v>45091</v>
      </c>
      <c r="P325" s="30">
        <v>1.1904776077097612E-2</v>
      </c>
      <c r="Q325" s="30">
        <v>-2.8614553177220836E-3</v>
      </c>
      <c r="R325" s="30">
        <v>-1.3605692489759846E-2</v>
      </c>
      <c r="S325" s="30">
        <v>-8.220373615657528E-3</v>
      </c>
      <c r="T325" s="31">
        <v>-8.4677823933536622E-3</v>
      </c>
      <c r="V325" s="9">
        <v>45127</v>
      </c>
      <c r="W325" s="30">
        <v>-8.085106382978724E-2</v>
      </c>
      <c r="X325" s="30">
        <v>-2.6729319509282812E-2</v>
      </c>
      <c r="Y325" s="30">
        <v>-3.0905552127822755E-2</v>
      </c>
      <c r="Z325" s="30">
        <v>1.2510634122406827E-3</v>
      </c>
      <c r="AA325" s="31">
        <v>-2.4145454041692105E-2</v>
      </c>
    </row>
    <row r="326" spans="1:27" x14ac:dyDescent="0.25">
      <c r="A326" s="7">
        <f>NFLX[[#This Row],[Date]]</f>
        <v>45033</v>
      </c>
      <c r="B326" s="30">
        <f>NFLX[[#This Row],[Stopa zwrotu]]</f>
        <v>-8.8285166850547627E-3</v>
      </c>
      <c r="C326" s="30">
        <f>META[[#This Row],[Stopa zwrotu]]</f>
        <v>-6.435271496334124E-4</v>
      </c>
      <c r="D326" s="30">
        <f>GOOG[[#This Row],[Stopa zwrotu]]</f>
        <v>-7.0328595730529964E-3</v>
      </c>
      <c r="E326" s="30">
        <f>EBAY[[#This Row],[Stopa zwrotu]]</f>
        <v>2.3953176262242839E-3</v>
      </c>
      <c r="F326" s="30">
        <f>AMZN[[#This Row],[Stopa zwrotu]]</f>
        <v>1.5824184724648009E-3</v>
      </c>
      <c r="H326" s="9">
        <v>45034</v>
      </c>
      <c r="I326" s="30">
        <v>9.1603053435114212E-3</v>
      </c>
      <c r="J326" s="30">
        <v>-4.2370836771270515E-3</v>
      </c>
      <c r="K326" s="30">
        <v>-5.1272407899732864E-3</v>
      </c>
      <c r="L326" s="30">
        <v>9.436133269594027E-3</v>
      </c>
      <c r="M326" s="31">
        <v>-6.890343809049515E-4</v>
      </c>
      <c r="O326" s="9">
        <v>45092</v>
      </c>
      <c r="P326" s="30">
        <v>1.384083044982698E-2</v>
      </c>
      <c r="Q326" s="30">
        <v>1.1553391171460481E-2</v>
      </c>
      <c r="R326" s="30">
        <v>8.0222246882049042E-3</v>
      </c>
      <c r="S326" s="30">
        <v>-5.8243280874625825E-3</v>
      </c>
      <c r="T326" s="31">
        <v>1.6113196516760464E-3</v>
      </c>
      <c r="V326" s="9">
        <v>45128</v>
      </c>
      <c r="W326" s="30">
        <v>-2.0393513888888881E-2</v>
      </c>
      <c r="X326" s="30">
        <v>-3.6463466890134799E-2</v>
      </c>
      <c r="Y326" s="30">
        <v>3.2438977670961044E-3</v>
      </c>
      <c r="Z326" s="30">
        <v>6.0391711786755842E-3</v>
      </c>
      <c r="AA326" s="31">
        <v>-7.0362946410532645E-3</v>
      </c>
    </row>
    <row r="327" spans="1:27" x14ac:dyDescent="0.25">
      <c r="A327" s="7">
        <f>NFLX[[#This Row],[Date]]</f>
        <v>45034</v>
      </c>
      <c r="B327" s="30">
        <f>NFLX[[#This Row],[Stopa zwrotu]]</f>
        <v>9.1603053435114212E-3</v>
      </c>
      <c r="C327" s="30">
        <f>META[[#This Row],[Stopa zwrotu]]</f>
        <v>-4.2370836771270515E-3</v>
      </c>
      <c r="D327" s="30">
        <f>GOOG[[#This Row],[Stopa zwrotu]]</f>
        <v>-5.1272407899732864E-3</v>
      </c>
      <c r="E327" s="30">
        <f>EBAY[[#This Row],[Stopa zwrotu]]</f>
        <v>9.436133269594027E-3</v>
      </c>
      <c r="F327" s="30">
        <f>AMZN[[#This Row],[Stopa zwrotu]]</f>
        <v>-6.890343809049515E-4</v>
      </c>
      <c r="H327" s="9">
        <v>45035</v>
      </c>
      <c r="I327" s="30">
        <v>-4.3570329803328312E-2</v>
      </c>
      <c r="J327" s="30">
        <v>-1.5170500410741861E-2</v>
      </c>
      <c r="K327" s="30">
        <v>-9.3528918625013224E-3</v>
      </c>
      <c r="L327" s="30">
        <v>-7.5239852365712734E-3</v>
      </c>
      <c r="M327" s="31">
        <v>-1.2805161922926356E-3</v>
      </c>
      <c r="O327" s="9">
        <v>45093</v>
      </c>
      <c r="P327" s="30">
        <v>-1.9567704209328851E-2</v>
      </c>
      <c r="Q327" s="30">
        <v>3.2090456056385275E-2</v>
      </c>
      <c r="R327" s="30">
        <v>5.2785610303602848E-3</v>
      </c>
      <c r="S327" s="30">
        <v>1.2167575210284554E-2</v>
      </c>
      <c r="T327" s="31">
        <v>7.882907014157059E-3</v>
      </c>
      <c r="V327" s="9">
        <v>45131</v>
      </c>
      <c r="W327" s="30">
        <v>-3.1506730476428637E-3</v>
      </c>
      <c r="X327" s="30">
        <v>-3.3196244053268855E-3</v>
      </c>
      <c r="Y327" s="30">
        <v>6.4667758461409708E-3</v>
      </c>
      <c r="Z327" s="30">
        <v>-1.1729938348237952E-3</v>
      </c>
      <c r="AA327" s="31">
        <v>-1.8167471601004959E-4</v>
      </c>
    </row>
    <row r="328" spans="1:27" x14ac:dyDescent="0.25">
      <c r="A328" s="7">
        <f>NFLX[[#This Row],[Date]]</f>
        <v>45035</v>
      </c>
      <c r="B328" s="30">
        <f>NFLX[[#This Row],[Stopa zwrotu]]</f>
        <v>-4.3570329803328312E-2</v>
      </c>
      <c r="C328" s="30">
        <f>META[[#This Row],[Stopa zwrotu]]</f>
        <v>-1.5170500410741861E-2</v>
      </c>
      <c r="D328" s="30">
        <f>GOOG[[#This Row],[Stopa zwrotu]]</f>
        <v>-9.3528918625013224E-3</v>
      </c>
      <c r="E328" s="30">
        <f>EBAY[[#This Row],[Stopa zwrotu]]</f>
        <v>-7.5239852365712734E-3</v>
      </c>
      <c r="F328" s="30">
        <f>AMZN[[#This Row],[Stopa zwrotu]]</f>
        <v>-1.2805161922926356E-3</v>
      </c>
      <c r="H328" s="9">
        <v>45036</v>
      </c>
      <c r="I328" s="30">
        <v>7.0546692745081518E-3</v>
      </c>
      <c r="J328" s="30">
        <v>-7.5136901920624943E-4</v>
      </c>
      <c r="K328" s="30">
        <v>8.0924467796017474E-3</v>
      </c>
      <c r="L328" s="30">
        <v>-7.1214796030661942E-3</v>
      </c>
      <c r="M328" s="31">
        <v>1.7950488390871655E-2</v>
      </c>
      <c r="O328" s="9">
        <v>45097</v>
      </c>
      <c r="P328" s="30">
        <v>-5.2215944101405287E-4</v>
      </c>
      <c r="Q328" s="30">
        <v>-3.4894548336583675E-3</v>
      </c>
      <c r="R328" s="30">
        <v>-1.9387652319350357E-3</v>
      </c>
      <c r="S328" s="30">
        <v>-1.6696294153886737E-3</v>
      </c>
      <c r="T328" s="31">
        <v>-1.596175141352546E-3</v>
      </c>
      <c r="V328" s="9">
        <v>45132</v>
      </c>
      <c r="W328" s="30">
        <v>1.6555745525629106E-2</v>
      </c>
      <c r="X328" s="30">
        <v>1.2348238460557992E-2</v>
      </c>
      <c r="Y328" s="30">
        <v>1.2358049407432681E-3</v>
      </c>
      <c r="Z328" s="30">
        <v>-1.2463024770732467E-3</v>
      </c>
      <c r="AA328" s="31">
        <v>1.4023606668160937E-3</v>
      </c>
    </row>
    <row r="329" spans="1:27" x14ac:dyDescent="0.25">
      <c r="A329" s="7">
        <f>NFLX[[#This Row],[Date]]</f>
        <v>45036</v>
      </c>
      <c r="B329" s="30">
        <f>NFLX[[#This Row],[Stopa zwrotu]]</f>
        <v>7.0546692745081518E-3</v>
      </c>
      <c r="C329" s="30">
        <f>META[[#This Row],[Stopa zwrotu]]</f>
        <v>-7.5136901920624943E-4</v>
      </c>
      <c r="D329" s="30">
        <f>GOOG[[#This Row],[Stopa zwrotu]]</f>
        <v>8.0924467796017474E-3</v>
      </c>
      <c r="E329" s="30">
        <f>EBAY[[#This Row],[Stopa zwrotu]]</f>
        <v>-7.1214796030661942E-3</v>
      </c>
      <c r="F329" s="30">
        <f>AMZN[[#This Row],[Stopa zwrotu]]</f>
        <v>1.7950488390871655E-2</v>
      </c>
      <c r="H329" s="9">
        <v>45037</v>
      </c>
      <c r="I329" s="30">
        <v>3.6754721445704241E-3</v>
      </c>
      <c r="J329" s="30">
        <v>-1.4992724256375878E-2</v>
      </c>
      <c r="K329" s="30">
        <v>8.0753250007197241E-3</v>
      </c>
      <c r="L329" s="30">
        <v>-1.0643289897193653E-2</v>
      </c>
      <c r="M329" s="31">
        <v>1.8118428622404981E-2</v>
      </c>
      <c r="O329" s="9">
        <v>45098</v>
      </c>
      <c r="P329" s="30">
        <v>-1.7348816279069812E-2</v>
      </c>
      <c r="Q329" s="30">
        <v>7.7473897337361208E-3</v>
      </c>
      <c r="R329" s="30">
        <v>-1.6038434974543048E-2</v>
      </c>
      <c r="S329" s="30">
        <v>-1.2102129361320713E-2</v>
      </c>
      <c r="T329" s="31">
        <v>-5.220899598393558E-3</v>
      </c>
      <c r="V329" s="9">
        <v>45133</v>
      </c>
      <c r="W329" s="30">
        <v>-2.4734256861353887E-2</v>
      </c>
      <c r="X329" s="30">
        <v>1.3708285498603701E-4</v>
      </c>
      <c r="Y329" s="30">
        <v>5.9080128849503089E-2</v>
      </c>
      <c r="Z329" s="30">
        <v>6.2393924193249184E-4</v>
      </c>
      <c r="AA329" s="31">
        <v>-1.8828273701301468E-2</v>
      </c>
    </row>
    <row r="330" spans="1:27" x14ac:dyDescent="0.25">
      <c r="A330" s="7">
        <f>NFLX[[#This Row],[Date]]</f>
        <v>45037</v>
      </c>
      <c r="B330" s="30">
        <f>NFLX[[#This Row],[Stopa zwrotu]]</f>
        <v>3.6754721445704241E-3</v>
      </c>
      <c r="C330" s="30">
        <f>META[[#This Row],[Stopa zwrotu]]</f>
        <v>-1.4992724256375878E-2</v>
      </c>
      <c r="D330" s="30">
        <f>GOOG[[#This Row],[Stopa zwrotu]]</f>
        <v>8.0753250007197241E-3</v>
      </c>
      <c r="E330" s="30">
        <f>EBAY[[#This Row],[Stopa zwrotu]]</f>
        <v>-1.0643289897193653E-2</v>
      </c>
      <c r="F330" s="30">
        <f>AMZN[[#This Row],[Stopa zwrotu]]</f>
        <v>1.8118428622404981E-2</v>
      </c>
      <c r="H330" s="9">
        <v>45040</v>
      </c>
      <c r="I330" s="30">
        <v>7.5639019300991111E-3</v>
      </c>
      <c r="J330" s="30">
        <v>1.7972532194809876E-3</v>
      </c>
      <c r="K330" s="30">
        <v>-3.9500086525730743E-4</v>
      </c>
      <c r="L330" s="30">
        <v>3.2741036766808693E-3</v>
      </c>
      <c r="M330" s="31">
        <v>-3.1728206476418684E-5</v>
      </c>
      <c r="O330" s="9">
        <v>45099</v>
      </c>
      <c r="P330" s="30">
        <v>-9.1352674723873539E-3</v>
      </c>
      <c r="Q330" s="30">
        <v>-2.0476218950794545E-3</v>
      </c>
      <c r="R330" s="30">
        <v>-1.0425310190093406E-2</v>
      </c>
      <c r="S330" s="30">
        <v>-1.0662454144171885E-2</v>
      </c>
      <c r="T330" s="31">
        <v>1.0415833837962518E-2</v>
      </c>
      <c r="V330" s="9">
        <v>45134</v>
      </c>
      <c r="W330" s="30">
        <v>-8.9270459724926088E-3</v>
      </c>
      <c r="X330" s="30">
        <v>6.1459412020405946E-2</v>
      </c>
      <c r="Y330" s="30">
        <v>3.6515109505044219E-3</v>
      </c>
      <c r="Z330" s="30">
        <v>-9.9979253793821332E-2</v>
      </c>
      <c r="AA330" s="31">
        <v>1.3321703169283161E-2</v>
      </c>
    </row>
    <row r="331" spans="1:27" x14ac:dyDescent="0.25">
      <c r="A331" s="7">
        <f>NFLX[[#This Row],[Date]]</f>
        <v>45040</v>
      </c>
      <c r="B331" s="30">
        <f>NFLX[[#This Row],[Stopa zwrotu]]</f>
        <v>7.5639019300991111E-3</v>
      </c>
      <c r="C331" s="30">
        <f>META[[#This Row],[Stopa zwrotu]]</f>
        <v>1.7972532194809876E-3</v>
      </c>
      <c r="D331" s="30">
        <f>GOOG[[#This Row],[Stopa zwrotu]]</f>
        <v>-3.9500086525730743E-4</v>
      </c>
      <c r="E331" s="30">
        <f>EBAY[[#This Row],[Stopa zwrotu]]</f>
        <v>3.2741036766808693E-3</v>
      </c>
      <c r="F331" s="30">
        <f>AMZN[[#This Row],[Stopa zwrotu]]</f>
        <v>-3.1728206476418684E-5</v>
      </c>
      <c r="H331" s="9">
        <v>45041</v>
      </c>
      <c r="I331" s="30">
        <v>-1.7291488905891383E-2</v>
      </c>
      <c r="J331" s="30">
        <v>-1.6990184998664892E-2</v>
      </c>
      <c r="K331" s="30">
        <v>-7.5930428284639584E-3</v>
      </c>
      <c r="L331" s="30">
        <v>8.5687586845761832E-3</v>
      </c>
      <c r="M331" s="31">
        <v>-2.4935785666698407E-2</v>
      </c>
      <c r="O331" s="9">
        <v>45100</v>
      </c>
      <c r="P331" s="30">
        <v>-2.2689930636357047E-3</v>
      </c>
      <c r="Q331" s="30">
        <v>4.1758269283185268E-3</v>
      </c>
      <c r="R331" s="30">
        <v>1.8896346469838621E-2</v>
      </c>
      <c r="S331" s="30">
        <v>-1.1465259998503563E-2</v>
      </c>
      <c r="T331" s="31">
        <v>2.5091897275786312E-2</v>
      </c>
      <c r="V331" s="9">
        <v>45135</v>
      </c>
      <c r="W331" s="30">
        <v>4.5644483276143788E-3</v>
      </c>
      <c r="X331" s="30">
        <v>1.4233165688525284E-2</v>
      </c>
      <c r="Y331" s="30">
        <v>1.3469616769525627E-2</v>
      </c>
      <c r="Z331" s="30">
        <v>1.5473487655276896E-2</v>
      </c>
      <c r="AA331" s="31">
        <v>1.2051028937702268E-2</v>
      </c>
    </row>
    <row r="332" spans="1:27" x14ac:dyDescent="0.25">
      <c r="A332" s="7">
        <f>NFLX[[#This Row],[Date]]</f>
        <v>45041</v>
      </c>
      <c r="B332" s="30">
        <f>NFLX[[#This Row],[Stopa zwrotu]]</f>
        <v>-1.7291488905891383E-2</v>
      </c>
      <c r="C332" s="30">
        <f>META[[#This Row],[Stopa zwrotu]]</f>
        <v>-1.6990184998664892E-2</v>
      </c>
      <c r="D332" s="30">
        <f>GOOG[[#This Row],[Stopa zwrotu]]</f>
        <v>-7.5930428284639584E-3</v>
      </c>
      <c r="E332" s="30">
        <f>EBAY[[#This Row],[Stopa zwrotu]]</f>
        <v>8.5687586845761832E-3</v>
      </c>
      <c r="F332" s="30">
        <f>AMZN[[#This Row],[Stopa zwrotu]]</f>
        <v>-2.4935785666698407E-2</v>
      </c>
      <c r="H332" s="9">
        <v>45042</v>
      </c>
      <c r="I332" s="30">
        <v>-1.9620211405414478E-3</v>
      </c>
      <c r="J332" s="30">
        <v>8.4488000664124652E-3</v>
      </c>
      <c r="K332" s="30">
        <v>-1.2337423724893215E-2</v>
      </c>
      <c r="L332" s="30">
        <v>-7.5774513795051623E-3</v>
      </c>
      <c r="M332" s="31">
        <v>1.6105427509187864E-2</v>
      </c>
      <c r="O332" s="9">
        <v>45103</v>
      </c>
      <c r="P332" s="30">
        <v>-2.2582504851440901E-3</v>
      </c>
      <c r="Q332" s="30">
        <v>-1.6131994287205871E-3</v>
      </c>
      <c r="R332" s="30">
        <v>-7.8505470114567464E-3</v>
      </c>
      <c r="S332" s="30">
        <v>1.1598004834191638E-3</v>
      </c>
      <c r="T332" s="31">
        <v>-3.0662119561340648E-3</v>
      </c>
      <c r="V332" s="9">
        <v>45138</v>
      </c>
      <c r="W332" s="30">
        <v>1.0102456896853443E-2</v>
      </c>
      <c r="X332" s="30">
        <v>3.5428225934765281E-3</v>
      </c>
      <c r="Y332" s="30">
        <v>3.0807796580219668E-3</v>
      </c>
      <c r="Z332" s="30">
        <v>2.8807292196028436E-3</v>
      </c>
      <c r="AA332" s="31">
        <v>7.8610349566581306E-3</v>
      </c>
    </row>
    <row r="333" spans="1:27" x14ac:dyDescent="0.25">
      <c r="A333" s="7">
        <f>NFLX[[#This Row],[Date]]</f>
        <v>45042</v>
      </c>
      <c r="B333" s="30">
        <f>NFLX[[#This Row],[Stopa zwrotu]]</f>
        <v>-1.9620211405414478E-3</v>
      </c>
      <c r="C333" s="30">
        <f>META[[#This Row],[Stopa zwrotu]]</f>
        <v>8.4488000664124652E-3</v>
      </c>
      <c r="D333" s="30">
        <f>GOOG[[#This Row],[Stopa zwrotu]]</f>
        <v>-1.2337423724893215E-2</v>
      </c>
      <c r="E333" s="30">
        <f>EBAY[[#This Row],[Stopa zwrotu]]</f>
        <v>-7.5774513795051623E-3</v>
      </c>
      <c r="F333" s="30">
        <f>AMZN[[#This Row],[Stopa zwrotu]]</f>
        <v>1.6105427509187864E-2</v>
      </c>
      <c r="H333" s="9">
        <v>45043</v>
      </c>
      <c r="I333" s="30">
        <v>-9.4548600197995603E-3</v>
      </c>
      <c r="J333" s="30">
        <v>0.13352163123511973</v>
      </c>
      <c r="K333" s="30">
        <v>1.1135867467876537E-2</v>
      </c>
      <c r="L333" s="30">
        <v>1.89726973861013E-2</v>
      </c>
      <c r="M333" s="31">
        <v>2.5936647952673475E-2</v>
      </c>
      <c r="O333" s="9">
        <v>45104</v>
      </c>
      <c r="P333" s="30">
        <v>-8.1947313790512455E-3</v>
      </c>
      <c r="Q333" s="30">
        <v>1.0986988235151429E-2</v>
      </c>
      <c r="R333" s="30">
        <v>-1.748041041231041E-2</v>
      </c>
      <c r="S333" s="30">
        <v>5.0855758245758054E-3</v>
      </c>
      <c r="T333" s="31">
        <v>3.540558670976468E-3</v>
      </c>
      <c r="V333" s="9">
        <v>45139</v>
      </c>
      <c r="W333" s="30">
        <v>1.1963420463432017E-2</v>
      </c>
      <c r="X333" s="30">
        <v>-9.2257062152548697E-3</v>
      </c>
      <c r="Y333" s="30">
        <v>-1.0444296887750948E-2</v>
      </c>
      <c r="Z333" s="30">
        <v>-1.8038309719878631E-2</v>
      </c>
      <c r="AA333" s="31">
        <v>-5.7411238200211212E-3</v>
      </c>
    </row>
    <row r="334" spans="1:27" x14ac:dyDescent="0.25">
      <c r="A334" s="7">
        <f>NFLX[[#This Row],[Date]]</f>
        <v>45043</v>
      </c>
      <c r="B334" s="30">
        <f>NFLX[[#This Row],[Stopa zwrotu]]</f>
        <v>-9.4548600197995603E-3</v>
      </c>
      <c r="C334" s="30">
        <f>META[[#This Row],[Stopa zwrotu]]</f>
        <v>0.13352163123511973</v>
      </c>
      <c r="D334" s="30">
        <f>GOOG[[#This Row],[Stopa zwrotu]]</f>
        <v>1.1135867467876537E-2</v>
      </c>
      <c r="E334" s="30">
        <f>EBAY[[#This Row],[Stopa zwrotu]]</f>
        <v>1.89726973861013E-2</v>
      </c>
      <c r="F334" s="30">
        <f>AMZN[[#This Row],[Stopa zwrotu]]</f>
        <v>2.5936647952673475E-2</v>
      </c>
      <c r="H334" s="9">
        <v>45044</v>
      </c>
      <c r="I334" s="30">
        <v>2.0665316150042079E-2</v>
      </c>
      <c r="J334" s="30">
        <v>-4.3079950279512058E-3</v>
      </c>
      <c r="K334" s="30">
        <v>1.5514298324349696E-2</v>
      </c>
      <c r="L334" s="30">
        <v>3.0653904844371027E-2</v>
      </c>
      <c r="M334" s="31">
        <v>-2.3127349537621411E-2</v>
      </c>
      <c r="O334" s="9">
        <v>45105</v>
      </c>
      <c r="P334" s="30">
        <v>2.7679258809234497E-2</v>
      </c>
      <c r="Q334" s="30">
        <v>1.2150379735978323E-2</v>
      </c>
      <c r="R334" s="30">
        <v>5.9019243554212508E-3</v>
      </c>
      <c r="S334" s="30">
        <v>1.7479346826126951E-2</v>
      </c>
      <c r="T334" s="31">
        <v>6.9776478170682221E-3</v>
      </c>
      <c r="V334" s="9">
        <v>45140</v>
      </c>
      <c r="W334" s="30">
        <v>-1.1219276929336219E-2</v>
      </c>
      <c r="X334" s="30">
        <v>-1.2743945684307589E-2</v>
      </c>
      <c r="Y334" s="30">
        <v>-2.2179747609942679E-2</v>
      </c>
      <c r="Z334" s="30">
        <v>-1.6991917726565275E-2</v>
      </c>
      <c r="AA334" s="31">
        <v>-3.6468585187227842E-2</v>
      </c>
    </row>
    <row r="335" spans="1:27" x14ac:dyDescent="0.25">
      <c r="A335" s="7">
        <f>NFLX[[#This Row],[Date]]</f>
        <v>45044</v>
      </c>
      <c r="B335" s="30">
        <f>NFLX[[#This Row],[Stopa zwrotu]]</f>
        <v>2.0665316150042079E-2</v>
      </c>
      <c r="C335" s="30">
        <f>META[[#This Row],[Stopa zwrotu]]</f>
        <v>-4.3079950279512058E-3</v>
      </c>
      <c r="D335" s="30">
        <f>GOOG[[#This Row],[Stopa zwrotu]]</f>
        <v>1.5514298324349696E-2</v>
      </c>
      <c r="E335" s="30">
        <f>EBAY[[#This Row],[Stopa zwrotu]]</f>
        <v>3.0653904844371027E-2</v>
      </c>
      <c r="F335" s="30">
        <f>AMZN[[#This Row],[Stopa zwrotu]]</f>
        <v>-2.3127349537621411E-2</v>
      </c>
      <c r="H335" s="9">
        <v>45047</v>
      </c>
      <c r="I335" s="30">
        <v>-6.0802510288066047E-3</v>
      </c>
      <c r="J335" s="30">
        <v>1.0038981972428178E-3</v>
      </c>
      <c r="K335" s="30">
        <v>4.5894599089388128E-3</v>
      </c>
      <c r="L335" s="30">
        <v>1.4688257649001871E-4</v>
      </c>
      <c r="M335" s="31">
        <v>-8.0194317770005599E-3</v>
      </c>
      <c r="O335" s="9">
        <v>45106</v>
      </c>
      <c r="P335" s="30">
        <v>7.7088105284301989E-3</v>
      </c>
      <c r="Q335" s="30">
        <v>-1.1863676771553089E-2</v>
      </c>
      <c r="R335" s="30">
        <v>1.369048492670899E-2</v>
      </c>
      <c r="S335" s="30">
        <v>2.0343579550472501E-3</v>
      </c>
      <c r="T335" s="31">
        <v>-9.1871689631396469E-3</v>
      </c>
      <c r="V335" s="9">
        <v>45141</v>
      </c>
      <c r="W335" s="30">
        <v>1.4769411172024238E-3</v>
      </c>
      <c r="X335" s="30">
        <v>-2.3177241715960362E-3</v>
      </c>
      <c r="Y335" s="30">
        <v>-5.865936736267896E-4</v>
      </c>
      <c r="Z335" s="30">
        <v>1.1913080777550045E-2</v>
      </c>
      <c r="AA335" s="31">
        <v>-3.2328970193975515E-3</v>
      </c>
    </row>
    <row r="336" spans="1:27" x14ac:dyDescent="0.25">
      <c r="A336" s="7">
        <f>NFLX[[#This Row],[Date]]</f>
        <v>45047</v>
      </c>
      <c r="B336" s="30">
        <f>NFLX[[#This Row],[Stopa zwrotu]]</f>
        <v>-6.0802510288066047E-3</v>
      </c>
      <c r="C336" s="30">
        <f>META[[#This Row],[Stopa zwrotu]]</f>
        <v>1.0038981972428178E-3</v>
      </c>
      <c r="D336" s="30">
        <f>GOOG[[#This Row],[Stopa zwrotu]]</f>
        <v>4.5894599089388128E-3</v>
      </c>
      <c r="E336" s="30">
        <f>EBAY[[#This Row],[Stopa zwrotu]]</f>
        <v>1.4688257649001871E-4</v>
      </c>
      <c r="F336" s="30">
        <f>AMZN[[#This Row],[Stopa zwrotu]]</f>
        <v>-8.0194317770005599E-3</v>
      </c>
      <c r="H336" s="9">
        <v>45048</v>
      </c>
      <c r="I336" s="30">
        <v>-7.7651011696701078E-3</v>
      </c>
      <c r="J336" s="30">
        <v>1.0699475281670034E-2</v>
      </c>
      <c r="K336" s="30">
        <v>-2.7906976744186074E-2</v>
      </c>
      <c r="L336" s="30">
        <v>-1.9599207223078507E-2</v>
      </c>
      <c r="M336" s="31">
        <v>-6.5802199960713903E-3</v>
      </c>
      <c r="O336" s="9">
        <v>45107</v>
      </c>
      <c r="P336" s="30">
        <v>1.1615656622536497E-2</v>
      </c>
      <c r="Q336" s="30">
        <v>1.328872055799124E-2</v>
      </c>
      <c r="R336" s="30">
        <v>1.4008875211885652E-2</v>
      </c>
      <c r="S336" s="30">
        <v>-9.0234600034544421E-4</v>
      </c>
      <c r="T336" s="31">
        <v>1.327985992016556E-2</v>
      </c>
      <c r="V336" s="9">
        <v>45142</v>
      </c>
      <c r="W336" s="30">
        <v>-2.1536388859587641E-3</v>
      </c>
      <c r="X336" s="30">
        <v>8.712257803329404E-4</v>
      </c>
      <c r="Y336" s="30">
        <v>4.226178763824251E-3</v>
      </c>
      <c r="Z336" s="30">
        <v>-8.5410664819944859E-3</v>
      </c>
      <c r="AA336" s="31">
        <v>0.10212801670348814</v>
      </c>
    </row>
    <row r="337" spans="1:27" x14ac:dyDescent="0.25">
      <c r="A337" s="7">
        <f>NFLX[[#This Row],[Date]]</f>
        <v>45048</v>
      </c>
      <c r="B337" s="30">
        <f>NFLX[[#This Row],[Stopa zwrotu]]</f>
        <v>-7.7651011696701078E-3</v>
      </c>
      <c r="C337" s="30">
        <f>META[[#This Row],[Stopa zwrotu]]</f>
        <v>1.0699475281670034E-2</v>
      </c>
      <c r="D337" s="30">
        <f>GOOG[[#This Row],[Stopa zwrotu]]</f>
        <v>-2.7906976744186074E-2</v>
      </c>
      <c r="E337" s="30">
        <f>EBAY[[#This Row],[Stopa zwrotu]]</f>
        <v>-1.9599207223078507E-2</v>
      </c>
      <c r="F337" s="30">
        <f>AMZN[[#This Row],[Stopa zwrotu]]</f>
        <v>-6.5802199960713903E-3</v>
      </c>
      <c r="H337" s="9">
        <v>45049</v>
      </c>
      <c r="I337" s="30">
        <v>7.2875927901838722E-4</v>
      </c>
      <c r="J337" s="30">
        <v>-2.6109899449560658E-2</v>
      </c>
      <c r="K337" s="30">
        <v>1.0717732057416329E-2</v>
      </c>
      <c r="L337" s="30">
        <v>2.0215858041328083E-3</v>
      </c>
      <c r="M337" s="31">
        <v>2.1057804823375159E-2</v>
      </c>
      <c r="O337" s="9">
        <v>45110</v>
      </c>
      <c r="P337" s="30">
        <v>4.0206370738641678E-4</v>
      </c>
      <c r="Q337" s="30">
        <v>5.0394133130149399E-4</v>
      </c>
      <c r="R337" s="30">
        <v>-3.2401142432192756E-3</v>
      </c>
      <c r="S337" s="30">
        <v>2.3330849175942823E-3</v>
      </c>
      <c r="T337" s="31">
        <v>2.8952049271212164E-3</v>
      </c>
      <c r="V337" s="9">
        <v>45145</v>
      </c>
      <c r="W337" s="30">
        <v>2.0644310477132923E-3</v>
      </c>
      <c r="X337" s="30">
        <v>2.7936706419814011E-4</v>
      </c>
      <c r="Y337" s="30">
        <v>2.8964942592345131E-3</v>
      </c>
      <c r="Z337" s="30">
        <v>-6.9848659607718577E-4</v>
      </c>
      <c r="AA337" s="31">
        <v>-8.8527605849653135E-4</v>
      </c>
    </row>
    <row r="338" spans="1:27" x14ac:dyDescent="0.25">
      <c r="A338" s="7">
        <f>NFLX[[#This Row],[Date]]</f>
        <v>45049</v>
      </c>
      <c r="B338" s="30">
        <f>NFLX[[#This Row],[Stopa zwrotu]]</f>
        <v>7.2875927901838722E-4</v>
      </c>
      <c r="C338" s="30">
        <f>META[[#This Row],[Stopa zwrotu]]</f>
        <v>-2.6109899449560658E-2</v>
      </c>
      <c r="D338" s="30">
        <f>GOOG[[#This Row],[Stopa zwrotu]]</f>
        <v>1.0717732057416329E-2</v>
      </c>
      <c r="E338" s="30">
        <f>EBAY[[#This Row],[Stopa zwrotu]]</f>
        <v>2.0215858041328083E-3</v>
      </c>
      <c r="F338" s="30">
        <f>AMZN[[#This Row],[Stopa zwrotu]]</f>
        <v>2.1057804823375159E-2</v>
      </c>
      <c r="H338" s="9">
        <v>45050</v>
      </c>
      <c r="I338" s="30">
        <v>6.6487445309721949E-3</v>
      </c>
      <c r="J338" s="30">
        <v>7.7333190118156203E-4</v>
      </c>
      <c r="K338" s="30">
        <v>-8.7105280616210923E-3</v>
      </c>
      <c r="L338" s="30">
        <v>-7.3974891863374248E-3</v>
      </c>
      <c r="M338" s="31">
        <v>2.9046282233213816E-4</v>
      </c>
      <c r="O338" s="9">
        <v>45112</v>
      </c>
      <c r="P338" s="30">
        <v>9.2674112560517941E-3</v>
      </c>
      <c r="Q338" s="30">
        <v>2.6504808990595041E-3</v>
      </c>
      <c r="R338" s="30">
        <v>1.4827951801045236E-3</v>
      </c>
      <c r="S338" s="30">
        <v>3.3635651732544236E-4</v>
      </c>
      <c r="T338" s="31">
        <v>-1.6529867642738338E-3</v>
      </c>
      <c r="V338" s="9">
        <v>45146</v>
      </c>
      <c r="W338" s="30">
        <v>1.4431936635360021E-2</v>
      </c>
      <c r="X338" s="30">
        <v>-1.1273787610204256E-3</v>
      </c>
      <c r="Y338" s="30">
        <v>5.4084218331065248E-3</v>
      </c>
      <c r="Z338" s="30">
        <v>-7.932827626392136E-3</v>
      </c>
      <c r="AA338" s="31">
        <v>-3.8143145839723003E-3</v>
      </c>
    </row>
    <row r="339" spans="1:27" x14ac:dyDescent="0.25">
      <c r="A339" s="7">
        <f>NFLX[[#This Row],[Date]]</f>
        <v>45050</v>
      </c>
      <c r="B339" s="30">
        <f>NFLX[[#This Row],[Stopa zwrotu]]</f>
        <v>6.6487445309721949E-3</v>
      </c>
      <c r="C339" s="30">
        <f>META[[#This Row],[Stopa zwrotu]]</f>
        <v>7.7333190118156203E-4</v>
      </c>
      <c r="D339" s="30">
        <f>GOOG[[#This Row],[Stopa zwrotu]]</f>
        <v>-8.7105280616210923E-3</v>
      </c>
      <c r="E339" s="30">
        <f>EBAY[[#This Row],[Stopa zwrotu]]</f>
        <v>-7.3974891863374248E-3</v>
      </c>
      <c r="F339" s="30">
        <f>AMZN[[#This Row],[Stopa zwrotu]]</f>
        <v>2.9046282233213816E-4</v>
      </c>
      <c r="H339" s="9">
        <v>45051</v>
      </c>
      <c r="I339" s="30">
        <v>4.6862397979716697E-3</v>
      </c>
      <c r="J339" s="30">
        <v>-1.3222801238825355E-2</v>
      </c>
      <c r="K339" s="30">
        <v>3.725023984479936E-4</v>
      </c>
      <c r="L339" s="30">
        <v>7.9042910547491019E-3</v>
      </c>
      <c r="M339" s="31">
        <v>2.323153660306998E-3</v>
      </c>
      <c r="O339" s="9">
        <v>45113</v>
      </c>
      <c r="P339" s="30">
        <v>-2.0244743417550892E-2</v>
      </c>
      <c r="Q339" s="30">
        <v>1.7285980092504927E-2</v>
      </c>
      <c r="R339" s="30">
        <v>-6.7466101407064327E-3</v>
      </c>
      <c r="S339" s="30">
        <v>-2.4199013573851347E-2</v>
      </c>
      <c r="T339" s="31">
        <v>-1.7509997049598769E-2</v>
      </c>
      <c r="V339" s="9">
        <v>45147</v>
      </c>
      <c r="W339" s="30">
        <v>-1.7260422653269325E-2</v>
      </c>
      <c r="X339" s="30">
        <v>-2.3410981107235163E-2</v>
      </c>
      <c r="Y339" s="30">
        <v>-4.8028892337320661E-3</v>
      </c>
      <c r="Z339" s="30">
        <v>1.9285042333019753E-2</v>
      </c>
      <c r="AA339" s="31">
        <v>-9.5361365342598869E-3</v>
      </c>
    </row>
    <row r="340" spans="1:27" x14ac:dyDescent="0.25">
      <c r="A340" s="7">
        <f>NFLX[[#This Row],[Date]]</f>
        <v>45051</v>
      </c>
      <c r="B340" s="30">
        <f>NFLX[[#This Row],[Stopa zwrotu]]</f>
        <v>4.6862397979716697E-3</v>
      </c>
      <c r="C340" s="30">
        <f>META[[#This Row],[Stopa zwrotu]]</f>
        <v>-1.3222801238825355E-2</v>
      </c>
      <c r="D340" s="30">
        <f>GOOG[[#This Row],[Stopa zwrotu]]</f>
        <v>3.725023984479936E-4</v>
      </c>
      <c r="E340" s="30">
        <f>EBAY[[#This Row],[Stopa zwrotu]]</f>
        <v>7.9042910547491019E-3</v>
      </c>
      <c r="F340" s="30">
        <f>AMZN[[#This Row],[Stopa zwrotu]]</f>
        <v>2.323153660306998E-3</v>
      </c>
      <c r="H340" s="9">
        <v>45054</v>
      </c>
      <c r="I340" s="30">
        <v>2.7026431502881199E-3</v>
      </c>
      <c r="J340" s="30">
        <v>6.0908997032319923E-4</v>
      </c>
      <c r="K340" s="30">
        <v>3.3448318202674945E-3</v>
      </c>
      <c r="L340" s="30">
        <v>6.2738067158008741E-3</v>
      </c>
      <c r="M340" s="31">
        <v>3.7018959172152588E-3</v>
      </c>
      <c r="O340" s="9">
        <v>45114</v>
      </c>
      <c r="P340" s="30">
        <v>1.1887061172253244E-2</v>
      </c>
      <c r="Q340" s="30">
        <v>-9.0968178853922943E-3</v>
      </c>
      <c r="R340" s="30">
        <v>7.0439916142557291E-3</v>
      </c>
      <c r="S340" s="30">
        <v>2.9850976575223065E-3</v>
      </c>
      <c r="T340" s="31">
        <v>5.9668837410642439E-3</v>
      </c>
      <c r="V340" s="9">
        <v>45148</v>
      </c>
      <c r="W340" s="30">
        <v>2.5725718802831476E-3</v>
      </c>
      <c r="X340" s="30">
        <v>3.3679675740208026E-3</v>
      </c>
      <c r="Y340" s="30">
        <v>4.0924982011310007E-3</v>
      </c>
      <c r="Z340" s="30">
        <v>-6.6913013382556841E-3</v>
      </c>
      <c r="AA340" s="31">
        <v>2.8446315312340431E-3</v>
      </c>
    </row>
    <row r="341" spans="1:27" x14ac:dyDescent="0.25">
      <c r="A341" s="7">
        <f>NFLX[[#This Row],[Date]]</f>
        <v>45054</v>
      </c>
      <c r="B341" s="30">
        <f>NFLX[[#This Row],[Stopa zwrotu]]</f>
        <v>2.7026431502881199E-3</v>
      </c>
      <c r="C341" s="30">
        <f>META[[#This Row],[Stopa zwrotu]]</f>
        <v>6.0908997032319923E-4</v>
      </c>
      <c r="D341" s="30">
        <f>GOOG[[#This Row],[Stopa zwrotu]]</f>
        <v>3.3448318202674945E-3</v>
      </c>
      <c r="E341" s="30">
        <f>EBAY[[#This Row],[Stopa zwrotu]]</f>
        <v>6.2738067158008741E-3</v>
      </c>
      <c r="F341" s="30">
        <f>AMZN[[#This Row],[Stopa zwrotu]]</f>
        <v>3.7018959172152588E-3</v>
      </c>
      <c r="H341" s="9">
        <v>45055</v>
      </c>
      <c r="I341" s="30">
        <v>2.3941840896630318E-2</v>
      </c>
      <c r="J341" s="30">
        <v>3.5176010158926019E-3</v>
      </c>
      <c r="K341" s="30">
        <v>1.8290925245383116E-2</v>
      </c>
      <c r="L341" s="30">
        <v>1.099604110411212E-3</v>
      </c>
      <c r="M341" s="31">
        <v>4.3935722366830188E-3</v>
      </c>
      <c r="O341" s="9">
        <v>45117</v>
      </c>
      <c r="P341" s="30">
        <v>7.4951894349169679E-4</v>
      </c>
      <c r="Q341" s="30">
        <v>-1.8591837891057672E-3</v>
      </c>
      <c r="R341" s="30">
        <v>-9.576143211795932E-3</v>
      </c>
      <c r="S341" s="30">
        <v>3.35774572649572E-3</v>
      </c>
      <c r="T341" s="31">
        <v>-5.7493871166242423E-3</v>
      </c>
      <c r="V341" s="9">
        <v>45149</v>
      </c>
      <c r="W341" s="30">
        <v>-1.716861826882532E-2</v>
      </c>
      <c r="X341" s="30">
        <v>-1.155102529948715E-2</v>
      </c>
      <c r="Y341" s="30">
        <v>-9.8819853152769532E-3</v>
      </c>
      <c r="Z341" s="30">
        <v>6.7363764630983258E-3</v>
      </c>
      <c r="AA341" s="31">
        <v>-3.5639317927146363E-3</v>
      </c>
    </row>
    <row r="342" spans="1:27" x14ac:dyDescent="0.25">
      <c r="A342" s="7">
        <f>NFLX[[#This Row],[Date]]</f>
        <v>45055</v>
      </c>
      <c r="B342" s="30">
        <f>NFLX[[#This Row],[Stopa zwrotu]]</f>
        <v>2.3941840896630318E-2</v>
      </c>
      <c r="C342" s="30">
        <f>META[[#This Row],[Stopa zwrotu]]</f>
        <v>3.5176010158926019E-3</v>
      </c>
      <c r="D342" s="30">
        <f>GOOG[[#This Row],[Stopa zwrotu]]</f>
        <v>1.8290925245383116E-2</v>
      </c>
      <c r="E342" s="30">
        <f>EBAY[[#This Row],[Stopa zwrotu]]</f>
        <v>1.099604110411212E-3</v>
      </c>
      <c r="F342" s="30">
        <f>AMZN[[#This Row],[Stopa zwrotu]]</f>
        <v>4.3935722366830188E-3</v>
      </c>
      <c r="H342" s="9">
        <v>45056</v>
      </c>
      <c r="I342" s="30">
        <v>-6.9745862490000476E-4</v>
      </c>
      <c r="J342" s="30">
        <v>-1.5579063392946457E-3</v>
      </c>
      <c r="K342" s="30">
        <v>7.008633223646088E-3</v>
      </c>
      <c r="L342" s="30">
        <v>-6.1510984182777673E-3</v>
      </c>
      <c r="M342" s="31">
        <v>2.7481921738991222E-2</v>
      </c>
      <c r="O342" s="9">
        <v>45118</v>
      </c>
      <c r="P342" s="30">
        <v>-1.3231990081443268E-2</v>
      </c>
      <c r="Q342" s="30">
        <v>1.689603275649687E-2</v>
      </c>
      <c r="R342" s="30">
        <v>-6.9444187838171301E-3</v>
      </c>
      <c r="S342" s="30">
        <v>4.1704443374987354E-2</v>
      </c>
      <c r="T342" s="31">
        <v>1.1356416952928994E-2</v>
      </c>
      <c r="V342" s="9">
        <v>45152</v>
      </c>
      <c r="W342" s="30">
        <v>-2.017411592401134E-3</v>
      </c>
      <c r="X342" s="30">
        <v>-2.3416179533147044E-3</v>
      </c>
      <c r="Y342" s="30">
        <v>2.1747469255664065E-3</v>
      </c>
      <c r="Z342" s="30">
        <v>2.6918858637132725E-3</v>
      </c>
      <c r="AA342" s="31">
        <v>1.8248175182481823E-3</v>
      </c>
    </row>
    <row r="343" spans="1:27" x14ac:dyDescent="0.25">
      <c r="A343" s="7">
        <f>NFLX[[#This Row],[Date]]</f>
        <v>45056</v>
      </c>
      <c r="B343" s="30">
        <f>NFLX[[#This Row],[Stopa zwrotu]]</f>
        <v>-6.9745862490000476E-4</v>
      </c>
      <c r="C343" s="30">
        <f>META[[#This Row],[Stopa zwrotu]]</f>
        <v>-1.5579063392946457E-3</v>
      </c>
      <c r="D343" s="30">
        <f>GOOG[[#This Row],[Stopa zwrotu]]</f>
        <v>7.008633223646088E-3</v>
      </c>
      <c r="E343" s="30">
        <f>EBAY[[#This Row],[Stopa zwrotu]]</f>
        <v>-6.1510984182777673E-3</v>
      </c>
      <c r="F343" s="30">
        <f>AMZN[[#This Row],[Stopa zwrotu]]</f>
        <v>2.7481921738991222E-2</v>
      </c>
      <c r="H343" s="9">
        <v>45057</v>
      </c>
      <c r="I343" s="30">
        <v>7.0710628790910945E-3</v>
      </c>
      <c r="J343" s="30">
        <v>6.8481362393890688E-3</v>
      </c>
      <c r="K343" s="30">
        <v>5.9457935302601461E-2</v>
      </c>
      <c r="L343" s="30">
        <v>5.0839741342187938E-3</v>
      </c>
      <c r="M343" s="31">
        <v>2.2582090997258053E-2</v>
      </c>
      <c r="O343" s="9">
        <v>45119</v>
      </c>
      <c r="P343" s="30">
        <v>1.5566979537623427E-2</v>
      </c>
      <c r="Q343" s="30">
        <v>2.8091853951871082E-2</v>
      </c>
      <c r="R343" s="30">
        <v>2.7367676295127819E-2</v>
      </c>
      <c r="S343" s="30">
        <v>8.0505441264260291E-3</v>
      </c>
      <c r="T343" s="31">
        <v>1.1621547100456153E-2</v>
      </c>
      <c r="V343" s="9">
        <v>45153</v>
      </c>
      <c r="W343" s="30">
        <v>5.3966521930288724E-3</v>
      </c>
      <c r="X343" s="30">
        <v>5.9681441743502095E-3</v>
      </c>
      <c r="Y343" s="30">
        <v>1.7671425809748786E-3</v>
      </c>
      <c r="Z343" s="30">
        <v>-1.7166400026697226E-2</v>
      </c>
      <c r="AA343" s="31">
        <v>-3.7749836660616598E-3</v>
      </c>
    </row>
    <row r="344" spans="1:27" x14ac:dyDescent="0.25">
      <c r="A344" s="7">
        <f>NFLX[[#This Row],[Date]]</f>
        <v>45057</v>
      </c>
      <c r="B344" s="30">
        <f>NFLX[[#This Row],[Stopa zwrotu]]</f>
        <v>7.0710628790910945E-3</v>
      </c>
      <c r="C344" s="30">
        <f>META[[#This Row],[Stopa zwrotu]]</f>
        <v>6.8481362393890688E-3</v>
      </c>
      <c r="D344" s="30">
        <f>GOOG[[#This Row],[Stopa zwrotu]]</f>
        <v>5.9457935302601461E-2</v>
      </c>
      <c r="E344" s="30">
        <f>EBAY[[#This Row],[Stopa zwrotu]]</f>
        <v>5.0839741342187938E-3</v>
      </c>
      <c r="F344" s="30">
        <f>AMZN[[#This Row],[Stopa zwrotu]]</f>
        <v>2.2582090997258053E-2</v>
      </c>
      <c r="H344" s="9">
        <v>45058</v>
      </c>
      <c r="I344" s="30">
        <v>1.6634489713530431E-2</v>
      </c>
      <c r="J344" s="30">
        <v>-3.6590873397449597E-3</v>
      </c>
      <c r="K344" s="30">
        <v>1.4095562516314164E-2</v>
      </c>
      <c r="L344" s="30">
        <v>-1.8253837293735753E-2</v>
      </c>
      <c r="M344" s="31">
        <v>-1.058917568267137E-2</v>
      </c>
      <c r="O344" s="9">
        <v>45120</v>
      </c>
      <c r="P344" s="30">
        <v>7.8355065676756208E-3</v>
      </c>
      <c r="Q344" s="30">
        <v>3.3955357535047748E-2</v>
      </c>
      <c r="R344" s="30">
        <v>1.7310907563025113E-2</v>
      </c>
      <c r="S344" s="30">
        <v>-5.3960714268909138E-3</v>
      </c>
      <c r="T344" s="31">
        <v>3.0117247067961594E-2</v>
      </c>
      <c r="V344" s="9">
        <v>45154</v>
      </c>
      <c r="W344" s="30">
        <v>-1.3751683631566758E-2</v>
      </c>
      <c r="X344" s="30">
        <v>-1.9164750255523666E-2</v>
      </c>
      <c r="Y344" s="30">
        <v>-1.0468367496283326E-2</v>
      </c>
      <c r="Z344" s="30">
        <v>-3.4931998950443743E-3</v>
      </c>
      <c r="AA344" s="31">
        <v>-1.6177228482903927E-2</v>
      </c>
    </row>
    <row r="345" spans="1:27" x14ac:dyDescent="0.25">
      <c r="A345" s="7">
        <f>NFLX[[#This Row],[Date]]</f>
        <v>45058</v>
      </c>
      <c r="B345" s="30">
        <f>NFLX[[#This Row],[Stopa zwrotu]]</f>
        <v>1.6634489713530431E-2</v>
      </c>
      <c r="C345" s="30">
        <f>META[[#This Row],[Stopa zwrotu]]</f>
        <v>-3.6590873397449597E-3</v>
      </c>
      <c r="D345" s="30">
        <f>GOOG[[#This Row],[Stopa zwrotu]]</f>
        <v>1.4095562516314164E-2</v>
      </c>
      <c r="E345" s="30">
        <f>EBAY[[#This Row],[Stopa zwrotu]]</f>
        <v>-1.8253837293735753E-2</v>
      </c>
      <c r="F345" s="30">
        <f>AMZN[[#This Row],[Stopa zwrotu]]</f>
        <v>-1.058917568267137E-2</v>
      </c>
      <c r="H345" s="9">
        <v>45061</v>
      </c>
      <c r="I345" s="30">
        <v>-1.7982531824770609E-3</v>
      </c>
      <c r="J345" s="30">
        <v>5.5879672359641459E-3</v>
      </c>
      <c r="K345" s="30">
        <v>-2.0020019504707331E-4</v>
      </c>
      <c r="L345" s="30">
        <v>-5.9735664420605217E-4</v>
      </c>
      <c r="M345" s="31">
        <v>-2.1344066349552696E-4</v>
      </c>
      <c r="O345" s="9">
        <v>45121</v>
      </c>
      <c r="P345" s="30">
        <v>-3.3545968164517825E-3</v>
      </c>
      <c r="Q345" s="30">
        <v>-9.442856408567124E-3</v>
      </c>
      <c r="R345" s="30">
        <v>3.1719841924993331E-2</v>
      </c>
      <c r="S345" s="30">
        <v>-5.6424042689928733E-3</v>
      </c>
      <c r="T345" s="31">
        <v>1.0172488348975994E-2</v>
      </c>
      <c r="V345" s="9">
        <v>45155</v>
      </c>
      <c r="W345" s="30">
        <v>-3.2919959060806692E-2</v>
      </c>
      <c r="X345" s="30">
        <v>-3.1704455048608193E-2</v>
      </c>
      <c r="Y345" s="30">
        <v>1.0820480493979767E-2</v>
      </c>
      <c r="Z345" s="30">
        <v>-9.3482119806442832E-4</v>
      </c>
      <c r="AA345" s="31">
        <v>-1.096212173032074E-2</v>
      </c>
    </row>
    <row r="346" spans="1:27" x14ac:dyDescent="0.25">
      <c r="A346" s="7">
        <f>NFLX[[#This Row],[Date]]</f>
        <v>45061</v>
      </c>
      <c r="B346" s="30">
        <f>NFLX[[#This Row],[Stopa zwrotu]]</f>
        <v>-1.7982531824770609E-3</v>
      </c>
      <c r="C346" s="30">
        <f>META[[#This Row],[Stopa zwrotu]]</f>
        <v>5.5879672359641459E-3</v>
      </c>
      <c r="D346" s="30">
        <f>GOOG[[#This Row],[Stopa zwrotu]]</f>
        <v>-2.0020019504707331E-4</v>
      </c>
      <c r="E346" s="30">
        <f>EBAY[[#This Row],[Stopa zwrotu]]</f>
        <v>-5.9735664420605217E-4</v>
      </c>
      <c r="F346" s="30">
        <f>AMZN[[#This Row],[Stopa zwrotu]]</f>
        <v>-2.1344066349552696E-4</v>
      </c>
      <c r="H346" s="9">
        <v>45062</v>
      </c>
      <c r="I346" s="30">
        <v>-1.0818396920290851E-2</v>
      </c>
      <c r="J346" s="30">
        <v>8.0738536686864038E-4</v>
      </c>
      <c r="K346" s="30">
        <v>3.0047990297528138E-3</v>
      </c>
      <c r="L346" s="30">
        <v>-3.4560165292635392E-2</v>
      </c>
      <c r="M346" s="31">
        <v>1.6475999999999935E-2</v>
      </c>
      <c r="O346" s="9">
        <v>45124</v>
      </c>
      <c r="P346" s="30">
        <v>4.1012605961296229E-3</v>
      </c>
      <c r="Q346" s="30">
        <v>-2.8739308187216706E-3</v>
      </c>
      <c r="R346" s="30">
        <v>-1.0675260037225816E-3</v>
      </c>
      <c r="S346" s="30">
        <v>1.0184708278772419E-3</v>
      </c>
      <c r="T346" s="31">
        <v>-2.1134591791754178E-3</v>
      </c>
      <c r="V346" s="9">
        <v>45156</v>
      </c>
      <c r="W346" s="30">
        <v>-8.5412448603919833E-3</v>
      </c>
      <c r="X346" s="30">
        <v>-3.7094250060954681E-2</v>
      </c>
      <c r="Y346" s="30">
        <v>-2.1948447195297094E-2</v>
      </c>
      <c r="Z346" s="30">
        <v>-1.2163742690058599E-2</v>
      </c>
      <c r="AA346" s="31">
        <v>-1.7823747605959395E-2</v>
      </c>
    </row>
    <row r="347" spans="1:27" x14ac:dyDescent="0.25">
      <c r="A347" s="7">
        <f>NFLX[[#This Row],[Date]]</f>
        <v>45062</v>
      </c>
      <c r="B347" s="30">
        <f>NFLX[[#This Row],[Stopa zwrotu]]</f>
        <v>-1.0818396920290851E-2</v>
      </c>
      <c r="C347" s="30">
        <f>META[[#This Row],[Stopa zwrotu]]</f>
        <v>8.0738536686864038E-4</v>
      </c>
      <c r="D347" s="30">
        <f>GOOG[[#This Row],[Stopa zwrotu]]</f>
        <v>3.0047990297528138E-3</v>
      </c>
      <c r="E347" s="30">
        <f>EBAY[[#This Row],[Stopa zwrotu]]</f>
        <v>-3.4560165292635392E-2</v>
      </c>
      <c r="F347" s="30">
        <f>AMZN[[#This Row],[Stopa zwrotu]]</f>
        <v>1.6475999999999935E-2</v>
      </c>
      <c r="H347" s="9">
        <v>45063</v>
      </c>
      <c r="I347" s="30">
        <v>-6.8994877298124146E-3</v>
      </c>
      <c r="J347" s="30">
        <v>1.1124299233622681E-2</v>
      </c>
      <c r="K347" s="30">
        <v>2.2511315201381166E-2</v>
      </c>
      <c r="L347" s="30">
        <v>-1.3947233844723295E-3</v>
      </c>
      <c r="M347" s="31">
        <v>2.8545681354011254E-2</v>
      </c>
      <c r="O347" s="9">
        <v>45125</v>
      </c>
      <c r="P347" s="30">
        <v>8.2451846143150043E-3</v>
      </c>
      <c r="Q347" s="30">
        <v>9.5500774045838011E-3</v>
      </c>
      <c r="R347" s="30">
        <v>-9.6385301204818807E-3</v>
      </c>
      <c r="S347" s="30">
        <v>2.0887707155955226E-2</v>
      </c>
      <c r="T347" s="31">
        <v>-1.3962922470231454E-2</v>
      </c>
      <c r="V347" s="9">
        <v>45159</v>
      </c>
      <c r="W347" s="30">
        <v>1.1302323415330513E-3</v>
      </c>
      <c r="X347" s="30">
        <v>9.0750065163579894E-3</v>
      </c>
      <c r="Y347" s="30">
        <v>4.1995800524937305E-4</v>
      </c>
      <c r="Z347" s="30">
        <v>4.1834241060857797E-3</v>
      </c>
      <c r="AA347" s="31">
        <v>3.9649588800845237E-3</v>
      </c>
    </row>
    <row r="348" spans="1:27" x14ac:dyDescent="0.25">
      <c r="A348" s="7">
        <f>NFLX[[#This Row],[Date]]</f>
        <v>45063</v>
      </c>
      <c r="B348" s="30">
        <f>NFLX[[#This Row],[Stopa zwrotu]]</f>
        <v>-6.8994877298124146E-3</v>
      </c>
      <c r="C348" s="30">
        <f>META[[#This Row],[Stopa zwrotu]]</f>
        <v>1.1124299233622681E-2</v>
      </c>
      <c r="D348" s="30">
        <f>GOOG[[#This Row],[Stopa zwrotu]]</f>
        <v>2.2511315201381166E-2</v>
      </c>
      <c r="E348" s="30">
        <f>EBAY[[#This Row],[Stopa zwrotu]]</f>
        <v>-1.3947233844723295E-3</v>
      </c>
      <c r="F348" s="30">
        <f>AMZN[[#This Row],[Stopa zwrotu]]</f>
        <v>2.8545681354011254E-2</v>
      </c>
      <c r="H348" s="9">
        <v>45064</v>
      </c>
      <c r="I348" s="30">
        <v>5.0816092027426985E-2</v>
      </c>
      <c r="J348" s="30">
        <v>1.280760482408505E-2</v>
      </c>
      <c r="K348" s="30">
        <v>1.6993127548912801E-2</v>
      </c>
      <c r="L348" s="30">
        <v>1.1173184617625287E-2</v>
      </c>
      <c r="M348" s="31">
        <v>1.8560628448952565E-2</v>
      </c>
      <c r="O348" s="9">
        <v>45126</v>
      </c>
      <c r="P348" s="30">
        <v>4.7283749381175078E-2</v>
      </c>
      <c r="Q348" s="30">
        <v>9.4271960442622316E-3</v>
      </c>
      <c r="R348" s="30">
        <v>-6.7315651241306451E-3</v>
      </c>
      <c r="S348" s="30">
        <v>2.2165410151978371E-2</v>
      </c>
      <c r="T348" s="31">
        <v>8.9835778157483226E-3</v>
      </c>
      <c r="V348" s="9">
        <v>45160</v>
      </c>
      <c r="W348" s="30">
        <v>1.9774703379223935E-2</v>
      </c>
      <c r="X348" s="30">
        <v>1.7385112278478942E-2</v>
      </c>
      <c r="Y348" s="30">
        <v>1.3880142690149588E-2</v>
      </c>
      <c r="Z348" s="30">
        <v>6.5482463306008043E-3</v>
      </c>
      <c r="AA348" s="31">
        <v>7.6858484379402903E-3</v>
      </c>
    </row>
    <row r="349" spans="1:27" x14ac:dyDescent="0.25">
      <c r="A349" s="7">
        <f>NFLX[[#This Row],[Date]]</f>
        <v>45064</v>
      </c>
      <c r="B349" s="30">
        <f>NFLX[[#This Row],[Stopa zwrotu]]</f>
        <v>5.0816092027426985E-2</v>
      </c>
      <c r="C349" s="30">
        <f>META[[#This Row],[Stopa zwrotu]]</f>
        <v>1.280760482408505E-2</v>
      </c>
      <c r="D349" s="30">
        <f>GOOG[[#This Row],[Stopa zwrotu]]</f>
        <v>1.6993127548912801E-2</v>
      </c>
      <c r="E349" s="30">
        <f>EBAY[[#This Row],[Stopa zwrotu]]</f>
        <v>1.1173184617625287E-2</v>
      </c>
      <c r="F349" s="30">
        <f>AMZN[[#This Row],[Stopa zwrotu]]</f>
        <v>1.8560628448952565E-2</v>
      </c>
      <c r="H349" s="9">
        <v>45065</v>
      </c>
      <c r="I349" s="30">
        <v>5.0350790344873886E-2</v>
      </c>
      <c r="J349" s="30">
        <v>9.2043699224315656E-3</v>
      </c>
      <c r="K349" s="30">
        <v>1.0124314925085365E-2</v>
      </c>
      <c r="L349" s="30">
        <v>-6.6758058627026662E-3</v>
      </c>
      <c r="M349" s="31">
        <v>-5.5011090081179548E-3</v>
      </c>
      <c r="O349" s="9">
        <v>45127</v>
      </c>
      <c r="P349" s="30">
        <v>-8.085106382978724E-2</v>
      </c>
      <c r="Q349" s="30">
        <v>-2.6729319509282812E-2</v>
      </c>
      <c r="R349" s="30">
        <v>-3.0905552127822755E-2</v>
      </c>
      <c r="S349" s="30">
        <v>1.2510634122406827E-3</v>
      </c>
      <c r="T349" s="31">
        <v>-2.4145454041692105E-2</v>
      </c>
      <c r="V349" s="9">
        <v>45161</v>
      </c>
      <c r="W349" s="30">
        <v>2.5306816769368856E-2</v>
      </c>
      <c r="X349" s="30">
        <v>3.2084149956408403E-3</v>
      </c>
      <c r="Y349" s="30">
        <v>1.2293907024380601E-2</v>
      </c>
      <c r="Z349" s="30">
        <v>4.8791588085697057E-3</v>
      </c>
      <c r="AA349" s="31">
        <v>-3.8136171035255684E-3</v>
      </c>
    </row>
    <row r="350" spans="1:27" x14ac:dyDescent="0.25">
      <c r="A350" s="7">
        <f>NFLX[[#This Row],[Date]]</f>
        <v>45065</v>
      </c>
      <c r="B350" s="30">
        <f>NFLX[[#This Row],[Stopa zwrotu]]</f>
        <v>5.0350790344873886E-2</v>
      </c>
      <c r="C350" s="30">
        <f>META[[#This Row],[Stopa zwrotu]]</f>
        <v>9.2043699224315656E-3</v>
      </c>
      <c r="D350" s="30">
        <f>GOOG[[#This Row],[Stopa zwrotu]]</f>
        <v>1.0124314925085365E-2</v>
      </c>
      <c r="E350" s="30">
        <f>EBAY[[#This Row],[Stopa zwrotu]]</f>
        <v>-6.6758058627026662E-3</v>
      </c>
      <c r="F350" s="30">
        <f>AMZN[[#This Row],[Stopa zwrotu]]</f>
        <v>-5.5011090081179548E-3</v>
      </c>
      <c r="H350" s="9">
        <v>45068</v>
      </c>
      <c r="I350" s="30">
        <v>-1.2002583832234255E-3</v>
      </c>
      <c r="J350" s="30">
        <v>2.3417155853627434E-3</v>
      </c>
      <c r="K350" s="30">
        <v>1.9828226696315308E-3</v>
      </c>
      <c r="L350" s="30">
        <v>4.6349785414455296E-3</v>
      </c>
      <c r="M350" s="31">
        <v>-4.1774619348808884E-3</v>
      </c>
      <c r="O350" s="9">
        <v>45128</v>
      </c>
      <c r="P350" s="30">
        <v>-2.0393513888888881E-2</v>
      </c>
      <c r="Q350" s="30">
        <v>-3.6463466890134799E-2</v>
      </c>
      <c r="R350" s="30">
        <v>3.2438977670961044E-3</v>
      </c>
      <c r="S350" s="30">
        <v>6.0391711786755842E-3</v>
      </c>
      <c r="T350" s="31">
        <v>-7.0362946410532645E-3</v>
      </c>
      <c r="V350" s="9">
        <v>45162</v>
      </c>
      <c r="W350" s="30">
        <v>-2.7626770363747499E-2</v>
      </c>
      <c r="X350" s="30">
        <v>-3.5804844212246056E-3</v>
      </c>
      <c r="Y350" s="30">
        <v>-1.6090108654129853E-3</v>
      </c>
      <c r="Z350" s="30">
        <v>-3.2369710982659283E-3</v>
      </c>
      <c r="AA350" s="31">
        <v>-1.0433861203769212E-2</v>
      </c>
    </row>
    <row r="351" spans="1:27" x14ac:dyDescent="0.25">
      <c r="A351" s="7">
        <f>NFLX[[#This Row],[Date]]</f>
        <v>45068</v>
      </c>
      <c r="B351" s="30">
        <f>NFLX[[#This Row],[Stopa zwrotu]]</f>
        <v>-1.2002583832234255E-3</v>
      </c>
      <c r="C351" s="30">
        <f>META[[#This Row],[Stopa zwrotu]]</f>
        <v>2.3417155853627434E-3</v>
      </c>
      <c r="D351" s="30">
        <f>GOOG[[#This Row],[Stopa zwrotu]]</f>
        <v>1.9828226696315308E-3</v>
      </c>
      <c r="E351" s="30">
        <f>EBAY[[#This Row],[Stopa zwrotu]]</f>
        <v>4.6349785414455296E-3</v>
      </c>
      <c r="F351" s="30">
        <f>AMZN[[#This Row],[Stopa zwrotu]]</f>
        <v>-4.1774619348808884E-3</v>
      </c>
      <c r="H351" s="9">
        <v>45069</v>
      </c>
      <c r="I351" s="30">
        <v>-2.259310896551725E-2</v>
      </c>
      <c r="J351" s="30">
        <v>6.2418367787580031E-3</v>
      </c>
      <c r="K351" s="30">
        <v>-3.240129685867843E-3</v>
      </c>
      <c r="L351" s="30">
        <v>-1.3714239999999989E-2</v>
      </c>
      <c r="M351" s="31">
        <v>-4.1137943107221187E-3</v>
      </c>
      <c r="O351" s="9">
        <v>45131</v>
      </c>
      <c r="P351" s="30">
        <v>-3.1506730476428637E-3</v>
      </c>
      <c r="Q351" s="30">
        <v>-3.3196244053268855E-3</v>
      </c>
      <c r="R351" s="30">
        <v>6.4667758461409708E-3</v>
      </c>
      <c r="S351" s="30">
        <v>-1.1729938348237952E-3</v>
      </c>
      <c r="T351" s="31">
        <v>-1.8167471601004959E-4</v>
      </c>
      <c r="V351" s="9">
        <v>45163</v>
      </c>
      <c r="W351" s="30">
        <v>3.4221753342484895E-3</v>
      </c>
      <c r="X351" s="30">
        <v>-3.7015125051539033E-2</v>
      </c>
      <c r="Y351" s="30">
        <v>-1.7344665755686828E-2</v>
      </c>
      <c r="Z351" s="30">
        <v>6.263047871420957E-3</v>
      </c>
      <c r="AA351" s="31">
        <v>-9.4819083746960908E-3</v>
      </c>
    </row>
    <row r="352" spans="1:27" x14ac:dyDescent="0.25">
      <c r="A352" s="7">
        <f>NFLX[[#This Row],[Date]]</f>
        <v>45069</v>
      </c>
      <c r="B352" s="30">
        <f>NFLX[[#This Row],[Stopa zwrotu]]</f>
        <v>-2.259310896551725E-2</v>
      </c>
      <c r="C352" s="30">
        <f>META[[#This Row],[Stopa zwrotu]]</f>
        <v>6.2418367787580031E-3</v>
      </c>
      <c r="D352" s="30">
        <f>GOOG[[#This Row],[Stopa zwrotu]]</f>
        <v>-3.240129685867843E-3</v>
      </c>
      <c r="E352" s="30">
        <f>EBAY[[#This Row],[Stopa zwrotu]]</f>
        <v>-1.3714239999999989E-2</v>
      </c>
      <c r="F352" s="30">
        <f>AMZN[[#This Row],[Stopa zwrotu]]</f>
        <v>-4.1137943107221187E-3</v>
      </c>
      <c r="H352" s="9">
        <v>45070</v>
      </c>
      <c r="I352" s="30">
        <v>6.5479580398404291E-3</v>
      </c>
      <c r="J352" s="30">
        <v>-6.892345596408167E-3</v>
      </c>
      <c r="K352" s="30">
        <v>-1.8691612709672234E-2</v>
      </c>
      <c r="L352" s="30">
        <v>-2.5492698702540562E-3</v>
      </c>
      <c r="M352" s="31">
        <v>1.0898207162051365E-2</v>
      </c>
      <c r="O352" s="9">
        <v>45132</v>
      </c>
      <c r="P352" s="30">
        <v>1.6555745525629106E-2</v>
      </c>
      <c r="Q352" s="30">
        <v>1.2348238460557992E-2</v>
      </c>
      <c r="R352" s="30">
        <v>1.2358049407432681E-3</v>
      </c>
      <c r="S352" s="30">
        <v>-1.2463024770732467E-3</v>
      </c>
      <c r="T352" s="31">
        <v>1.4023606668160937E-3</v>
      </c>
      <c r="V352" s="9">
        <v>45166</v>
      </c>
      <c r="W352" s="30">
        <v>4.6700616907288479E-3</v>
      </c>
      <c r="X352" s="30">
        <v>1.1798221250582275E-2</v>
      </c>
      <c r="Y352" s="30">
        <v>7.3154565074054672E-3</v>
      </c>
      <c r="Z352" s="30">
        <v>1.3062701404732795E-3</v>
      </c>
      <c r="AA352" s="31">
        <v>3.2419563499981319E-3</v>
      </c>
    </row>
    <row r="353" spans="1:27" x14ac:dyDescent="0.25">
      <c r="A353" s="7">
        <f>NFLX[[#This Row],[Date]]</f>
        <v>45070</v>
      </c>
      <c r="B353" s="30">
        <f>NFLX[[#This Row],[Stopa zwrotu]]</f>
        <v>6.5479580398404291E-3</v>
      </c>
      <c r="C353" s="30">
        <f>META[[#This Row],[Stopa zwrotu]]</f>
        <v>-6.892345596408167E-3</v>
      </c>
      <c r="D353" s="30">
        <f>GOOG[[#This Row],[Stopa zwrotu]]</f>
        <v>-1.8691612709672234E-2</v>
      </c>
      <c r="E353" s="30">
        <f>EBAY[[#This Row],[Stopa zwrotu]]</f>
        <v>-2.5492698702540562E-3</v>
      </c>
      <c r="F353" s="30">
        <f>AMZN[[#This Row],[Stopa zwrotu]]</f>
        <v>1.0898207162051365E-2</v>
      </c>
      <c r="H353" s="9">
        <v>45071</v>
      </c>
      <c r="I353" s="30">
        <v>2.2152034010711752E-3</v>
      </c>
      <c r="J353" s="30">
        <v>1.7228010008916161E-2</v>
      </c>
      <c r="K353" s="30">
        <v>1.7805399585921311E-2</v>
      </c>
      <c r="L353" s="30">
        <v>-2.5557852566033823E-3</v>
      </c>
      <c r="M353" s="31">
        <v>-6.172830973035115E-3</v>
      </c>
      <c r="O353" s="9">
        <v>45133</v>
      </c>
      <c r="P353" s="30">
        <v>-2.4734256861353887E-2</v>
      </c>
      <c r="Q353" s="30">
        <v>1.3708285498603701E-4</v>
      </c>
      <c r="R353" s="30">
        <v>5.9080128849503089E-2</v>
      </c>
      <c r="S353" s="30">
        <v>6.2393924193249184E-4</v>
      </c>
      <c r="T353" s="31">
        <v>-1.8828273701301468E-2</v>
      </c>
      <c r="V353" s="9">
        <v>45167</v>
      </c>
      <c r="W353" s="30">
        <v>2.9762891880349418E-3</v>
      </c>
      <c r="X353" s="30">
        <v>8.3275195938778968E-3</v>
      </c>
      <c r="Y353" s="30">
        <v>1.6278103953621503E-2</v>
      </c>
      <c r="Z353" s="30">
        <v>8.4959588632826932E-3</v>
      </c>
      <c r="AA353" s="31">
        <v>1.0618080669636099E-2</v>
      </c>
    </row>
    <row r="354" spans="1:27" x14ac:dyDescent="0.25">
      <c r="A354" s="7">
        <f>NFLX[[#This Row],[Date]]</f>
        <v>45071</v>
      </c>
      <c r="B354" s="30">
        <f>NFLX[[#This Row],[Stopa zwrotu]]</f>
        <v>2.2152034010711752E-3</v>
      </c>
      <c r="C354" s="30">
        <f>META[[#This Row],[Stopa zwrotu]]</f>
        <v>1.7228010008916161E-2</v>
      </c>
      <c r="D354" s="30">
        <f>GOOG[[#This Row],[Stopa zwrotu]]</f>
        <v>1.7805399585921311E-2</v>
      </c>
      <c r="E354" s="30">
        <f>EBAY[[#This Row],[Stopa zwrotu]]</f>
        <v>-2.5557852566033823E-3</v>
      </c>
      <c r="F354" s="30">
        <f>AMZN[[#This Row],[Stopa zwrotu]]</f>
        <v>-6.172830973035115E-3</v>
      </c>
      <c r="H354" s="9">
        <v>45072</v>
      </c>
      <c r="I354" s="30">
        <v>-3.9729532436674209E-3</v>
      </c>
      <c r="J354" s="30">
        <v>1.4207204031040588E-2</v>
      </c>
      <c r="K354" s="30">
        <v>3.1733034471390642E-3</v>
      </c>
      <c r="L354" s="30">
        <v>1.3743303051479305E-2</v>
      </c>
      <c r="M354" s="31">
        <v>1.4959312657848223E-2</v>
      </c>
      <c r="O354" s="9">
        <v>45134</v>
      </c>
      <c r="P354" s="30">
        <v>-8.9270459724926088E-3</v>
      </c>
      <c r="Q354" s="30">
        <v>6.1459412020405946E-2</v>
      </c>
      <c r="R354" s="30">
        <v>3.6515109505044219E-3</v>
      </c>
      <c r="S354" s="30">
        <v>-9.9979253793821332E-2</v>
      </c>
      <c r="T354" s="31">
        <v>1.3321703169283161E-2</v>
      </c>
      <c r="V354" s="9">
        <v>45168</v>
      </c>
      <c r="W354" s="30">
        <v>3.3413765983112187E-2</v>
      </c>
      <c r="X354" s="30">
        <v>1.8217780996337307E-2</v>
      </c>
      <c r="Y354" s="30">
        <v>1.5348173119211106E-2</v>
      </c>
      <c r="Z354" s="30">
        <v>7.7413482578028159E-3</v>
      </c>
      <c r="AA354" s="31">
        <v>5.0281275797372516E-3</v>
      </c>
    </row>
    <row r="355" spans="1:27" x14ac:dyDescent="0.25">
      <c r="A355" s="7">
        <f>NFLX[[#This Row],[Date]]</f>
        <v>45072</v>
      </c>
      <c r="B355" s="30">
        <f>NFLX[[#This Row],[Stopa zwrotu]]</f>
        <v>-3.9729532436674209E-3</v>
      </c>
      <c r="C355" s="30">
        <f>META[[#This Row],[Stopa zwrotu]]</f>
        <v>1.4207204031040588E-2</v>
      </c>
      <c r="D355" s="30">
        <f>GOOG[[#This Row],[Stopa zwrotu]]</f>
        <v>3.1733034471390642E-3</v>
      </c>
      <c r="E355" s="30">
        <f>EBAY[[#This Row],[Stopa zwrotu]]</f>
        <v>1.3743303051479305E-2</v>
      </c>
      <c r="F355" s="30">
        <f>AMZN[[#This Row],[Stopa zwrotu]]</f>
        <v>1.4959312657848223E-2</v>
      </c>
      <c r="H355" s="9">
        <v>45076</v>
      </c>
      <c r="I355" s="30">
        <v>2.091995014044945E-2</v>
      </c>
      <c r="J355" s="30">
        <v>8.4879919298170292E-3</v>
      </c>
      <c r="K355" s="30">
        <v>-8.1109983931301755E-4</v>
      </c>
      <c r="L355" s="30">
        <v>-1.0340073529411797E-3</v>
      </c>
      <c r="M355" s="31">
        <v>8.2744442753260872E-3</v>
      </c>
      <c r="O355" s="9">
        <v>45135</v>
      </c>
      <c r="P355" s="30">
        <v>4.5644483276143788E-3</v>
      </c>
      <c r="Q355" s="30">
        <v>1.4233165688525284E-2</v>
      </c>
      <c r="R355" s="30">
        <v>1.3469616769525627E-2</v>
      </c>
      <c r="S355" s="30">
        <v>1.5473487655276896E-2</v>
      </c>
      <c r="T355" s="31">
        <v>1.2051028937702268E-2</v>
      </c>
      <c r="V355" s="9">
        <v>45169</v>
      </c>
      <c r="W355" s="30">
        <v>6.7234853733140199E-3</v>
      </c>
      <c r="X355" s="30">
        <v>7.599805927132941E-3</v>
      </c>
      <c r="Y355" s="30">
        <v>1.332393519005004E-2</v>
      </c>
      <c r="Z355" s="30">
        <v>6.5522144849621267E-3</v>
      </c>
      <c r="AA355" s="31">
        <v>8.0645311837594935E-3</v>
      </c>
    </row>
    <row r="356" spans="1:27" x14ac:dyDescent="0.25">
      <c r="A356" s="7">
        <f>NFLX[[#This Row],[Date]]</f>
        <v>45076</v>
      </c>
      <c r="B356" s="30">
        <f>NFLX[[#This Row],[Stopa zwrotu]]</f>
        <v>2.091995014044945E-2</v>
      </c>
      <c r="C356" s="30">
        <f>META[[#This Row],[Stopa zwrotu]]</f>
        <v>8.4879919298170292E-3</v>
      </c>
      <c r="D356" s="30">
        <f>GOOG[[#This Row],[Stopa zwrotu]]</f>
        <v>-8.1109983931301755E-4</v>
      </c>
      <c r="E356" s="30">
        <f>EBAY[[#This Row],[Stopa zwrotu]]</f>
        <v>-1.0340073529411797E-3</v>
      </c>
      <c r="F356" s="30">
        <f>AMZN[[#This Row],[Stopa zwrotu]]</f>
        <v>8.2744442753260872E-3</v>
      </c>
      <c r="H356" s="9">
        <v>45077</v>
      </c>
      <c r="I356" s="30">
        <v>8.0872882324953821E-3</v>
      </c>
      <c r="J356" s="30">
        <v>-1.0869137365294268E-2</v>
      </c>
      <c r="K356" s="30">
        <v>1.7088371853595241E-3</v>
      </c>
      <c r="L356" s="30">
        <v>-3.068763267189667E-2</v>
      </c>
      <c r="M356" s="31">
        <v>-5.7567411500354382E-3</v>
      </c>
      <c r="O356" s="9">
        <v>45138</v>
      </c>
      <c r="P356" s="30">
        <v>1.0102456896853443E-2</v>
      </c>
      <c r="Q356" s="30">
        <v>3.5428225934765281E-3</v>
      </c>
      <c r="R356" s="30">
        <v>3.0807796580219668E-3</v>
      </c>
      <c r="S356" s="30">
        <v>2.8807292196028436E-3</v>
      </c>
      <c r="T356" s="31">
        <v>7.8610349566581306E-3</v>
      </c>
      <c r="V356" s="9">
        <v>45170</v>
      </c>
      <c r="W356" s="30">
        <v>1.0899014169030163E-2</v>
      </c>
      <c r="X356" s="30">
        <v>-4.0249035510395714E-3</v>
      </c>
      <c r="Y356" s="30">
        <v>-6.4318444304714006E-3</v>
      </c>
      <c r="Z356" s="30">
        <v>7.1829406775070215E-3</v>
      </c>
      <c r="AA356" s="31">
        <v>1.3925962962963112E-2</v>
      </c>
    </row>
    <row r="357" spans="1:27" x14ac:dyDescent="0.25">
      <c r="A357" s="7">
        <f>NFLX[[#This Row],[Date]]</f>
        <v>45077</v>
      </c>
      <c r="B357" s="30">
        <f>NFLX[[#This Row],[Stopa zwrotu]]</f>
        <v>8.0872882324953821E-3</v>
      </c>
      <c r="C357" s="30">
        <f>META[[#This Row],[Stopa zwrotu]]</f>
        <v>-1.0869137365294268E-2</v>
      </c>
      <c r="D357" s="30">
        <f>GOOG[[#This Row],[Stopa zwrotu]]</f>
        <v>1.7088371853595241E-3</v>
      </c>
      <c r="E357" s="30">
        <f>EBAY[[#This Row],[Stopa zwrotu]]</f>
        <v>-3.068763267189667E-2</v>
      </c>
      <c r="F357" s="30">
        <f>AMZN[[#This Row],[Stopa zwrotu]]</f>
        <v>-5.7567411500354382E-3</v>
      </c>
      <c r="H357" s="9">
        <v>45078</v>
      </c>
      <c r="I357" s="30">
        <v>1.0722231254303161E-2</v>
      </c>
      <c r="J357" s="30">
        <v>2.87870096906786E-2</v>
      </c>
      <c r="K357" s="30">
        <v>1.6247360133994082E-3</v>
      </c>
      <c r="L357" s="30">
        <v>1.2378029629994014E-2</v>
      </c>
      <c r="M357" s="31">
        <v>6.3774608773594643E-3</v>
      </c>
      <c r="O357" s="9">
        <v>45139</v>
      </c>
      <c r="P357" s="30">
        <v>1.1963420463432017E-2</v>
      </c>
      <c r="Q357" s="30">
        <v>-9.2257062152548697E-3</v>
      </c>
      <c r="R357" s="30">
        <v>-1.0444296887750948E-2</v>
      </c>
      <c r="S357" s="30">
        <v>-1.8038309719878631E-2</v>
      </c>
      <c r="T357" s="31">
        <v>-5.7411238200211212E-3</v>
      </c>
      <c r="V357" s="9">
        <v>45174</v>
      </c>
      <c r="W357" s="30">
        <v>1.18712123118353E-3</v>
      </c>
      <c r="X357" s="30">
        <v>8.8294987305004291E-4</v>
      </c>
      <c r="Y357" s="30">
        <v>-6.9884506842948779E-4</v>
      </c>
      <c r="Z357" s="30">
        <v>-4.6244596528740856E-3</v>
      </c>
      <c r="AA357" s="31">
        <v>-1.93599861426072E-3</v>
      </c>
    </row>
    <row r="358" spans="1:27" x14ac:dyDescent="0.25">
      <c r="A358" s="7">
        <f>NFLX[[#This Row],[Date]]</f>
        <v>45078</v>
      </c>
      <c r="B358" s="30">
        <f>NFLX[[#This Row],[Stopa zwrotu]]</f>
        <v>1.0722231254303161E-2</v>
      </c>
      <c r="C358" s="30">
        <f>META[[#This Row],[Stopa zwrotu]]</f>
        <v>2.87870096906786E-2</v>
      </c>
      <c r="D358" s="30">
        <f>GOOG[[#This Row],[Stopa zwrotu]]</f>
        <v>1.6247360133994082E-3</v>
      </c>
      <c r="E358" s="30">
        <f>EBAY[[#This Row],[Stopa zwrotu]]</f>
        <v>1.2378029629994014E-2</v>
      </c>
      <c r="F358" s="30">
        <f>AMZN[[#This Row],[Stopa zwrotu]]</f>
        <v>6.3774608773594643E-3</v>
      </c>
      <c r="H358" s="9">
        <v>45079</v>
      </c>
      <c r="I358" s="30">
        <v>7.1741301853660566E-3</v>
      </c>
      <c r="J358" s="30">
        <v>1.9669711929573674E-2</v>
      </c>
      <c r="K358" s="30">
        <v>8.5157743264612229E-3</v>
      </c>
      <c r="L358" s="30">
        <v>1.7399506640007445E-2</v>
      </c>
      <c r="M358" s="31">
        <v>3.4103201867756061E-2</v>
      </c>
      <c r="O358" s="9">
        <v>45140</v>
      </c>
      <c r="P358" s="30">
        <v>-1.1219276929336219E-2</v>
      </c>
      <c r="Q358" s="30">
        <v>-1.2743945684307589E-2</v>
      </c>
      <c r="R358" s="30">
        <v>-2.2179747609942679E-2</v>
      </c>
      <c r="S358" s="30">
        <v>-1.6991917726565275E-2</v>
      </c>
      <c r="T358" s="31">
        <v>-3.6468585187227842E-2</v>
      </c>
      <c r="V358" s="9">
        <v>45175</v>
      </c>
      <c r="W358" s="30">
        <v>5.6849086757990719E-3</v>
      </c>
      <c r="X358" s="30">
        <v>5.0757671457546394E-4</v>
      </c>
      <c r="Y358" s="30">
        <v>-6.4177929539362966E-3</v>
      </c>
      <c r="Z358" s="30">
        <v>-1.3851066897114683E-2</v>
      </c>
      <c r="AA358" s="31">
        <v>-8.9088936654229123E-3</v>
      </c>
    </row>
    <row r="359" spans="1:27" x14ac:dyDescent="0.25">
      <c r="A359" s="7">
        <f>NFLX[[#This Row],[Date]]</f>
        <v>45079</v>
      </c>
      <c r="B359" s="30">
        <f>NFLX[[#This Row],[Stopa zwrotu]]</f>
        <v>7.1741301853660566E-3</v>
      </c>
      <c r="C359" s="30">
        <f>META[[#This Row],[Stopa zwrotu]]</f>
        <v>1.9669711929573674E-2</v>
      </c>
      <c r="D359" s="30">
        <f>GOOG[[#This Row],[Stopa zwrotu]]</f>
        <v>8.5157743264612229E-3</v>
      </c>
      <c r="E359" s="30">
        <f>EBAY[[#This Row],[Stopa zwrotu]]</f>
        <v>1.7399506640007445E-2</v>
      </c>
      <c r="F359" s="30">
        <f>AMZN[[#This Row],[Stopa zwrotu]]</f>
        <v>3.4103201867756061E-2</v>
      </c>
      <c r="H359" s="9">
        <v>45082</v>
      </c>
      <c r="I359" s="30">
        <v>3.5783447540710758E-3</v>
      </c>
      <c r="J359" s="30">
        <v>-1.9179662495936538E-3</v>
      </c>
      <c r="K359" s="30">
        <v>8.0415495194996467E-5</v>
      </c>
      <c r="L359" s="30">
        <v>7.8576457900007366E-3</v>
      </c>
      <c r="M359" s="31">
        <v>-2.6608558403152793E-3</v>
      </c>
      <c r="O359" s="9">
        <v>45141</v>
      </c>
      <c r="P359" s="30">
        <v>1.4769411172024238E-3</v>
      </c>
      <c r="Q359" s="30">
        <v>-2.3177241715960362E-3</v>
      </c>
      <c r="R359" s="30">
        <v>-5.865936736267896E-4</v>
      </c>
      <c r="S359" s="30">
        <v>1.1913080777550045E-2</v>
      </c>
      <c r="T359" s="31">
        <v>-3.2328970193975515E-3</v>
      </c>
      <c r="V359" s="9">
        <v>45176</v>
      </c>
      <c r="W359" s="30">
        <v>-8.6040048265341174E-3</v>
      </c>
      <c r="X359" s="30">
        <v>-1.1634996122099728E-2</v>
      </c>
      <c r="Y359" s="30">
        <v>-5.4198157930088753E-3</v>
      </c>
      <c r="Z359" s="30">
        <v>-1.4275823163711676E-2</v>
      </c>
      <c r="AA359" s="31">
        <v>-1.0771837079178281E-2</v>
      </c>
    </row>
    <row r="360" spans="1:27" x14ac:dyDescent="0.25">
      <c r="A360" s="7">
        <f>NFLX[[#This Row],[Date]]</f>
        <v>45082</v>
      </c>
      <c r="B360" s="30">
        <f>NFLX[[#This Row],[Stopa zwrotu]]</f>
        <v>3.5783447540710758E-3</v>
      </c>
      <c r="C360" s="30">
        <f>META[[#This Row],[Stopa zwrotu]]</f>
        <v>-1.9179662495936538E-3</v>
      </c>
      <c r="D360" s="30">
        <f>GOOG[[#This Row],[Stopa zwrotu]]</f>
        <v>8.0415495194996467E-5</v>
      </c>
      <c r="E360" s="30">
        <f>EBAY[[#This Row],[Stopa zwrotu]]</f>
        <v>7.8576457900007366E-3</v>
      </c>
      <c r="F360" s="30">
        <f>AMZN[[#This Row],[Stopa zwrotu]]</f>
        <v>-2.6608558403152793E-3</v>
      </c>
      <c r="H360" s="9">
        <v>45083</v>
      </c>
      <c r="I360" s="30">
        <v>-8.0469850013291655E-3</v>
      </c>
      <c r="J360" s="30">
        <v>4.8228224129887032E-4</v>
      </c>
      <c r="K360" s="30">
        <v>1.2783438160076432E-2</v>
      </c>
      <c r="L360" s="30">
        <v>1.2418130223117663E-2</v>
      </c>
      <c r="M360" s="31">
        <v>1.6012362968482075E-2</v>
      </c>
      <c r="O360" s="9">
        <v>45142</v>
      </c>
      <c r="P360" s="30">
        <v>-2.1536388859587641E-3</v>
      </c>
      <c r="Q360" s="30">
        <v>8.712257803329404E-4</v>
      </c>
      <c r="R360" s="30">
        <v>4.226178763824251E-3</v>
      </c>
      <c r="S360" s="30">
        <v>-8.5410664819944859E-3</v>
      </c>
      <c r="T360" s="31">
        <v>0.10212801670348814</v>
      </c>
      <c r="V360" s="9">
        <v>45177</v>
      </c>
      <c r="W360" s="30">
        <v>4.9232744239082749E-3</v>
      </c>
      <c r="X360" s="30">
        <v>1.5604674506862315E-2</v>
      </c>
      <c r="Y360" s="30">
        <v>1.4257897134926312E-2</v>
      </c>
      <c r="Z360" s="30">
        <v>7.0074747253578984E-4</v>
      </c>
      <c r="AA360" s="31">
        <v>2.6960017213577325E-2</v>
      </c>
    </row>
    <row r="361" spans="1:27" x14ac:dyDescent="0.25">
      <c r="A361" s="7">
        <f>NFLX[[#This Row],[Date]]</f>
        <v>45083</v>
      </c>
      <c r="B361" s="30">
        <f>NFLX[[#This Row],[Stopa zwrotu]]</f>
        <v>-8.0469850013291655E-3</v>
      </c>
      <c r="C361" s="30">
        <f>META[[#This Row],[Stopa zwrotu]]</f>
        <v>4.8228224129887032E-4</v>
      </c>
      <c r="D361" s="30">
        <f>GOOG[[#This Row],[Stopa zwrotu]]</f>
        <v>1.2783438160076432E-2</v>
      </c>
      <c r="E361" s="30">
        <f>EBAY[[#This Row],[Stopa zwrotu]]</f>
        <v>1.2418130223117663E-2</v>
      </c>
      <c r="F361" s="30">
        <f>AMZN[[#This Row],[Stopa zwrotu]]</f>
        <v>1.6012362968482075E-2</v>
      </c>
      <c r="H361" s="9">
        <v>45084</v>
      </c>
      <c r="I361" s="30">
        <v>5.7945180272631625E-3</v>
      </c>
      <c r="J361" s="30">
        <v>-2.5547902958597657E-2</v>
      </c>
      <c r="K361" s="30">
        <v>-2.6514280967577353E-2</v>
      </c>
      <c r="L361" s="30">
        <v>2.2297056199804821E-4</v>
      </c>
      <c r="M361" s="31">
        <v>-3.4960023999999978E-2</v>
      </c>
      <c r="O361" s="9">
        <v>45145</v>
      </c>
      <c r="P361" s="30">
        <v>2.0644310477132923E-3</v>
      </c>
      <c r="Q361" s="30">
        <v>2.7936706419814011E-4</v>
      </c>
      <c r="R361" s="30">
        <v>2.8964942592345131E-3</v>
      </c>
      <c r="S361" s="30">
        <v>-6.9848659607718577E-4</v>
      </c>
      <c r="T361" s="31">
        <v>-8.8527605849653135E-4</v>
      </c>
      <c r="V361" s="9">
        <v>45180</v>
      </c>
      <c r="W361" s="30">
        <v>2.9622831997864938E-3</v>
      </c>
      <c r="X361" s="30">
        <v>5.0542489556379966E-3</v>
      </c>
      <c r="Y361" s="30">
        <v>1.668281016226884E-3</v>
      </c>
      <c r="Z361" s="30">
        <v>4.5907251789604571E-3</v>
      </c>
      <c r="AA361" s="31">
        <v>4.6069445460084806E-3</v>
      </c>
    </row>
    <row r="362" spans="1:27" x14ac:dyDescent="0.25">
      <c r="A362" s="7">
        <f>NFLX[[#This Row],[Date]]</f>
        <v>45084</v>
      </c>
      <c r="B362" s="30">
        <f>NFLX[[#This Row],[Stopa zwrotu]]</f>
        <v>5.7945180272631625E-3</v>
      </c>
      <c r="C362" s="30">
        <f>META[[#This Row],[Stopa zwrotu]]</f>
        <v>-2.5547902958597657E-2</v>
      </c>
      <c r="D362" s="30">
        <f>GOOG[[#This Row],[Stopa zwrotu]]</f>
        <v>-2.6514280967577353E-2</v>
      </c>
      <c r="E362" s="30">
        <f>EBAY[[#This Row],[Stopa zwrotu]]</f>
        <v>2.2297056199804821E-4</v>
      </c>
      <c r="F362" s="30">
        <f>AMZN[[#This Row],[Stopa zwrotu]]</f>
        <v>-3.4960023999999978E-2</v>
      </c>
      <c r="H362" s="9">
        <v>45085</v>
      </c>
      <c r="I362" s="30">
        <v>-7.2389723226493619E-3</v>
      </c>
      <c r="J362" s="30">
        <v>-1.4916222142293267E-2</v>
      </c>
      <c r="K362" s="30">
        <v>-5.0558184389419836E-3</v>
      </c>
      <c r="L362" s="30">
        <v>1.114827251497319E-2</v>
      </c>
      <c r="M362" s="31">
        <v>1.3512435053778526E-2</v>
      </c>
      <c r="O362" s="9">
        <v>45146</v>
      </c>
      <c r="P362" s="30">
        <v>1.4431936635360021E-2</v>
      </c>
      <c r="Q362" s="30">
        <v>-1.1273787610204256E-3</v>
      </c>
      <c r="R362" s="30">
        <v>5.4084218331065248E-3</v>
      </c>
      <c r="S362" s="30">
        <v>-7.932827626392136E-3</v>
      </c>
      <c r="T362" s="31">
        <v>-3.8143145839723003E-3</v>
      </c>
      <c r="V362" s="9">
        <v>45181</v>
      </c>
      <c r="W362" s="30">
        <v>-1.9491823828345578E-2</v>
      </c>
      <c r="X362" s="30">
        <v>-3.4850902930333438E-3</v>
      </c>
      <c r="Y362" s="30">
        <v>-4.5405345029542188E-3</v>
      </c>
      <c r="Z362" s="30">
        <v>-2.5328114206769614E-3</v>
      </c>
      <c r="AA362" s="31">
        <v>1.4209477886681254E-2</v>
      </c>
    </row>
    <row r="363" spans="1:27" x14ac:dyDescent="0.25">
      <c r="A363" s="7">
        <f>NFLX[[#This Row],[Date]]</f>
        <v>45085</v>
      </c>
      <c r="B363" s="30">
        <f>NFLX[[#This Row],[Stopa zwrotu]]</f>
        <v>-7.2389723226493619E-3</v>
      </c>
      <c r="C363" s="30">
        <f>META[[#This Row],[Stopa zwrotu]]</f>
        <v>-1.4916222142293267E-2</v>
      </c>
      <c r="D363" s="30">
        <f>GOOG[[#This Row],[Stopa zwrotu]]</f>
        <v>-5.0558184389419836E-3</v>
      </c>
      <c r="E363" s="30">
        <f>EBAY[[#This Row],[Stopa zwrotu]]</f>
        <v>1.114827251497319E-2</v>
      </c>
      <c r="F363" s="30">
        <f>AMZN[[#This Row],[Stopa zwrotu]]</f>
        <v>1.3512435053778526E-2</v>
      </c>
      <c r="H363" s="9">
        <v>45086</v>
      </c>
      <c r="I363" s="30">
        <v>4.647528431624659E-2</v>
      </c>
      <c r="J363" s="30">
        <v>1.0893104703084466E-2</v>
      </c>
      <c r="K363" s="30">
        <v>3.3603474574159797E-3</v>
      </c>
      <c r="L363" s="30">
        <v>6.3947301607378826E-3</v>
      </c>
      <c r="M363" s="31">
        <v>7.6067396105556906E-3</v>
      </c>
      <c r="O363" s="9">
        <v>45147</v>
      </c>
      <c r="P363" s="30">
        <v>-1.7260422653269325E-2</v>
      </c>
      <c r="Q363" s="30">
        <v>-2.3410981107235163E-2</v>
      </c>
      <c r="R363" s="30">
        <v>-4.8028892337320661E-3</v>
      </c>
      <c r="S363" s="30">
        <v>1.9285042333019753E-2</v>
      </c>
      <c r="T363" s="31">
        <v>-9.5361365342598869E-3</v>
      </c>
      <c r="V363" s="9">
        <v>45182</v>
      </c>
      <c r="W363" s="30">
        <v>-5.3971236685377844E-2</v>
      </c>
      <c r="X363" s="30">
        <v>3.6305364555977437E-3</v>
      </c>
      <c r="Y363" s="30">
        <v>-7.3567281063569023E-3</v>
      </c>
      <c r="Z363" s="30">
        <v>2.5392428439519055E-3</v>
      </c>
      <c r="AA363" s="31">
        <v>1.8490434403735101E-3</v>
      </c>
    </row>
    <row r="364" spans="1:27" x14ac:dyDescent="0.25">
      <c r="A364" s="7">
        <f>NFLX[[#This Row],[Date]]</f>
        <v>45086</v>
      </c>
      <c r="B364" s="30">
        <f>NFLX[[#This Row],[Stopa zwrotu]]</f>
        <v>4.647528431624659E-2</v>
      </c>
      <c r="C364" s="30">
        <f>META[[#This Row],[Stopa zwrotu]]</f>
        <v>1.0893104703084466E-2</v>
      </c>
      <c r="D364" s="30">
        <f>GOOG[[#This Row],[Stopa zwrotu]]</f>
        <v>3.3603474574159797E-3</v>
      </c>
      <c r="E364" s="30">
        <f>EBAY[[#This Row],[Stopa zwrotu]]</f>
        <v>6.3947301607378826E-3</v>
      </c>
      <c r="F364" s="30">
        <f>AMZN[[#This Row],[Stopa zwrotu]]</f>
        <v>7.6067396105556906E-3</v>
      </c>
      <c r="H364" s="9">
        <v>45089</v>
      </c>
      <c r="I364" s="30">
        <v>1.4546540620763437E-3</v>
      </c>
      <c r="J364" s="30">
        <v>4.6235827710496098E-3</v>
      </c>
      <c r="K364" s="30">
        <v>-1.906006674933606E-4</v>
      </c>
      <c r="L364" s="30">
        <v>-4.5281844404364184E-3</v>
      </c>
      <c r="M364" s="31">
        <v>9.1997996179375241E-4</v>
      </c>
      <c r="O364" s="9">
        <v>45148</v>
      </c>
      <c r="P364" s="30">
        <v>2.5725718802831476E-3</v>
      </c>
      <c r="Q364" s="30">
        <v>3.3679675740208026E-3</v>
      </c>
      <c r="R364" s="30">
        <v>4.0924982011310007E-3</v>
      </c>
      <c r="S364" s="30">
        <v>-6.6913013382556841E-3</v>
      </c>
      <c r="T364" s="31">
        <v>2.8446315312340431E-3</v>
      </c>
      <c r="V364" s="9">
        <v>45183</v>
      </c>
      <c r="W364" s="30">
        <v>-2.6029369957732751E-2</v>
      </c>
      <c r="X364" s="30">
        <v>1.2312464867292983E-2</v>
      </c>
      <c r="Y364" s="30">
        <v>1.5786000967183078E-2</v>
      </c>
      <c r="Z364" s="30">
        <v>6.6774349527976007E-3</v>
      </c>
      <c r="AA364" s="31">
        <v>1.4765401248150845E-2</v>
      </c>
    </row>
    <row r="365" spans="1:27" x14ac:dyDescent="0.25">
      <c r="A365" s="7">
        <f>NFLX[[#This Row],[Date]]</f>
        <v>45089</v>
      </c>
      <c r="B365" s="30">
        <f>NFLX[[#This Row],[Stopa zwrotu]]</f>
        <v>1.4546540620763437E-3</v>
      </c>
      <c r="C365" s="30">
        <f>META[[#This Row],[Stopa zwrotu]]</f>
        <v>4.6235827710496098E-3</v>
      </c>
      <c r="D365" s="30">
        <f>GOOG[[#This Row],[Stopa zwrotu]]</f>
        <v>-1.906006674933606E-4</v>
      </c>
      <c r="E365" s="30">
        <f>EBAY[[#This Row],[Stopa zwrotu]]</f>
        <v>-4.5281844404364184E-3</v>
      </c>
      <c r="F365" s="30">
        <f>AMZN[[#This Row],[Stopa zwrotu]]</f>
        <v>9.1997996179375241E-4</v>
      </c>
      <c r="H365" s="9">
        <v>45090</v>
      </c>
      <c r="I365" s="30">
        <v>2.8398556788079121E-2</v>
      </c>
      <c r="J365" s="30">
        <v>1.4171066913744479E-2</v>
      </c>
      <c r="K365" s="30">
        <v>1.221906844657239E-2</v>
      </c>
      <c r="L365" s="30">
        <v>-2.221679253665565E-4</v>
      </c>
      <c r="M365" s="31">
        <v>1.3357087455331484E-2</v>
      </c>
      <c r="O365" s="9">
        <v>45149</v>
      </c>
      <c r="P365" s="30">
        <v>-1.716861826882532E-2</v>
      </c>
      <c r="Q365" s="30">
        <v>-1.155102529948715E-2</v>
      </c>
      <c r="R365" s="30">
        <v>-9.8819853152769532E-3</v>
      </c>
      <c r="S365" s="30">
        <v>6.7363764630983258E-3</v>
      </c>
      <c r="T365" s="31">
        <v>-3.5639317927146363E-3</v>
      </c>
      <c r="V365" s="9">
        <v>45184</v>
      </c>
      <c r="W365" s="30">
        <v>-1.2425002500000115E-2</v>
      </c>
      <c r="X365" s="30">
        <v>-2.0588135660715712E-2</v>
      </c>
      <c r="Y365" s="30">
        <v>8.7549249781826433E-4</v>
      </c>
      <c r="Z365" s="30">
        <v>1.2580031734217068E-2</v>
      </c>
      <c r="AA365" s="31">
        <v>-2.0007002868282608E-2</v>
      </c>
    </row>
    <row r="366" spans="1:27" x14ac:dyDescent="0.25">
      <c r="A366" s="7">
        <f>NFLX[[#This Row],[Date]]</f>
        <v>45090</v>
      </c>
      <c r="B366" s="30">
        <f>NFLX[[#This Row],[Stopa zwrotu]]</f>
        <v>2.8398556788079121E-2</v>
      </c>
      <c r="C366" s="30">
        <f>META[[#This Row],[Stopa zwrotu]]</f>
        <v>1.4171066913744479E-2</v>
      </c>
      <c r="D366" s="30">
        <f>GOOG[[#This Row],[Stopa zwrotu]]</f>
        <v>1.221906844657239E-2</v>
      </c>
      <c r="E366" s="30">
        <f>EBAY[[#This Row],[Stopa zwrotu]]</f>
        <v>-2.221679253665565E-4</v>
      </c>
      <c r="F366" s="30">
        <f>AMZN[[#This Row],[Stopa zwrotu]]</f>
        <v>1.3357087455331484E-2</v>
      </c>
      <c r="H366" s="9">
        <v>45091</v>
      </c>
      <c r="I366" s="30">
        <v>1.1904776077097612E-2</v>
      </c>
      <c r="J366" s="30">
        <v>-2.8614553177220836E-3</v>
      </c>
      <c r="K366" s="30">
        <v>-1.3605692489759846E-2</v>
      </c>
      <c r="L366" s="30">
        <v>-8.220373615657528E-3</v>
      </c>
      <c r="M366" s="31">
        <v>-8.4677823933536622E-3</v>
      </c>
      <c r="O366" s="9">
        <v>45152</v>
      </c>
      <c r="P366" s="30">
        <v>-2.017411592401134E-3</v>
      </c>
      <c r="Q366" s="30">
        <v>-2.3416179533147044E-3</v>
      </c>
      <c r="R366" s="30">
        <v>2.1747469255664065E-3</v>
      </c>
      <c r="S366" s="30">
        <v>2.6918858637132725E-3</v>
      </c>
      <c r="T366" s="31">
        <v>1.8248175182481823E-3</v>
      </c>
      <c r="V366" s="9">
        <v>45187</v>
      </c>
      <c r="W366" s="30">
        <v>-2.0504712774146818E-3</v>
      </c>
      <c r="X366" s="30">
        <v>-1.0599854951185799E-3</v>
      </c>
      <c r="Y366" s="30">
        <v>1.0934830708149157E-3</v>
      </c>
      <c r="Z366" s="30">
        <v>-3.4635870792862158E-3</v>
      </c>
      <c r="AA366" s="31">
        <v>-2.0700859562687115E-3</v>
      </c>
    </row>
    <row r="367" spans="1:27" x14ac:dyDescent="0.25">
      <c r="A367" s="7">
        <f>NFLX[[#This Row],[Date]]</f>
        <v>45091</v>
      </c>
      <c r="B367" s="30">
        <f>NFLX[[#This Row],[Stopa zwrotu]]</f>
        <v>1.1904776077097612E-2</v>
      </c>
      <c r="C367" s="30">
        <f>META[[#This Row],[Stopa zwrotu]]</f>
        <v>-2.8614553177220836E-3</v>
      </c>
      <c r="D367" s="30">
        <f>GOOG[[#This Row],[Stopa zwrotu]]</f>
        <v>-1.3605692489759846E-2</v>
      </c>
      <c r="E367" s="30">
        <f>EBAY[[#This Row],[Stopa zwrotu]]</f>
        <v>-8.220373615657528E-3</v>
      </c>
      <c r="F367" s="30">
        <f>AMZN[[#This Row],[Stopa zwrotu]]</f>
        <v>-8.4677823933536622E-3</v>
      </c>
      <c r="H367" s="9">
        <v>45092</v>
      </c>
      <c r="I367" s="30">
        <v>1.384083044982698E-2</v>
      </c>
      <c r="J367" s="30">
        <v>1.1553391171460481E-2</v>
      </c>
      <c r="K367" s="30">
        <v>8.0222246882049042E-3</v>
      </c>
      <c r="L367" s="30">
        <v>-5.8243280874625825E-3</v>
      </c>
      <c r="M367" s="31">
        <v>1.6113196516760464E-3</v>
      </c>
      <c r="O367" s="9">
        <v>45153</v>
      </c>
      <c r="P367" s="30">
        <v>5.3966521930288724E-3</v>
      </c>
      <c r="Q367" s="30">
        <v>5.9681441743502095E-3</v>
      </c>
      <c r="R367" s="30">
        <v>1.7671425809748786E-3</v>
      </c>
      <c r="S367" s="30">
        <v>-1.7166400026697226E-2</v>
      </c>
      <c r="T367" s="31">
        <v>-3.7749836660616598E-3</v>
      </c>
      <c r="V367" s="9">
        <v>45188</v>
      </c>
      <c r="W367" s="30">
        <v>-5.9857513094383474E-3</v>
      </c>
      <c r="X367" s="30">
        <v>6.7495301578051059E-3</v>
      </c>
      <c r="Y367" s="30">
        <v>-9.4459780045785813E-4</v>
      </c>
      <c r="Z367" s="30">
        <v>-8.9021454256529298E-3</v>
      </c>
      <c r="AA367" s="31">
        <v>-2.6289347606023861E-2</v>
      </c>
    </row>
    <row r="368" spans="1:27" x14ac:dyDescent="0.25">
      <c r="A368" s="7">
        <f>NFLX[[#This Row],[Date]]</f>
        <v>45092</v>
      </c>
      <c r="B368" s="30">
        <f>NFLX[[#This Row],[Stopa zwrotu]]</f>
        <v>1.384083044982698E-2</v>
      </c>
      <c r="C368" s="30">
        <f>META[[#This Row],[Stopa zwrotu]]</f>
        <v>1.1553391171460481E-2</v>
      </c>
      <c r="D368" s="30">
        <f>GOOG[[#This Row],[Stopa zwrotu]]</f>
        <v>8.0222246882049042E-3</v>
      </c>
      <c r="E368" s="30">
        <f>EBAY[[#This Row],[Stopa zwrotu]]</f>
        <v>-5.8243280874625825E-3</v>
      </c>
      <c r="F368" s="30">
        <f>AMZN[[#This Row],[Stopa zwrotu]]</f>
        <v>1.6113196516760464E-3</v>
      </c>
      <c r="H368" s="9">
        <v>45093</v>
      </c>
      <c r="I368" s="30">
        <v>-1.9567704209328851E-2</v>
      </c>
      <c r="J368" s="30">
        <v>3.2090456056385275E-2</v>
      </c>
      <c r="K368" s="30">
        <v>5.2785610303602848E-3</v>
      </c>
      <c r="L368" s="30">
        <v>1.2167575210284554E-2</v>
      </c>
      <c r="M368" s="31">
        <v>7.882907014157059E-3</v>
      </c>
      <c r="O368" s="9">
        <v>45154</v>
      </c>
      <c r="P368" s="30">
        <v>-1.3751683631566758E-2</v>
      </c>
      <c r="Q368" s="30">
        <v>-1.9164750255523666E-2</v>
      </c>
      <c r="R368" s="30">
        <v>-1.0468367496283326E-2</v>
      </c>
      <c r="S368" s="30">
        <v>-3.4931998950443743E-3</v>
      </c>
      <c r="T368" s="31">
        <v>-1.6177228482903927E-2</v>
      </c>
      <c r="V368" s="9">
        <v>45189</v>
      </c>
      <c r="W368" s="30">
        <v>-1.0582972453555328E-2</v>
      </c>
      <c r="X368" s="30">
        <v>-1.2674860829691159E-3</v>
      </c>
      <c r="Y368" s="30">
        <v>-2.1672698181818162E-2</v>
      </c>
      <c r="Z368" s="30">
        <v>5.7577156037640354E-3</v>
      </c>
      <c r="AA368" s="31">
        <v>-2.6556580503933613E-3</v>
      </c>
    </row>
    <row r="369" spans="1:27" x14ac:dyDescent="0.25">
      <c r="A369" s="7">
        <f>NFLX[[#This Row],[Date]]</f>
        <v>45093</v>
      </c>
      <c r="B369" s="30">
        <f>NFLX[[#This Row],[Stopa zwrotu]]</f>
        <v>-1.9567704209328851E-2</v>
      </c>
      <c r="C369" s="30">
        <f>META[[#This Row],[Stopa zwrotu]]</f>
        <v>3.2090456056385275E-2</v>
      </c>
      <c r="D369" s="30">
        <f>GOOG[[#This Row],[Stopa zwrotu]]</f>
        <v>5.2785610303602848E-3</v>
      </c>
      <c r="E369" s="30">
        <f>EBAY[[#This Row],[Stopa zwrotu]]</f>
        <v>1.2167575210284554E-2</v>
      </c>
      <c r="F369" s="30">
        <f>AMZN[[#This Row],[Stopa zwrotu]]</f>
        <v>7.882907014157059E-3</v>
      </c>
      <c r="H369" s="9">
        <v>45097</v>
      </c>
      <c r="I369" s="30">
        <v>-5.2215944101405287E-4</v>
      </c>
      <c r="J369" s="30">
        <v>-3.4894548336583675E-3</v>
      </c>
      <c r="K369" s="30">
        <v>-1.9387652319350357E-3</v>
      </c>
      <c r="L369" s="30">
        <v>-1.6696294153886737E-3</v>
      </c>
      <c r="M369" s="31">
        <v>-1.596175141352546E-3</v>
      </c>
      <c r="O369" s="9">
        <v>45155</v>
      </c>
      <c r="P369" s="30">
        <v>-3.2919959060806692E-2</v>
      </c>
      <c r="Q369" s="30">
        <v>-3.1704455048608193E-2</v>
      </c>
      <c r="R369" s="30">
        <v>1.0820480493979767E-2</v>
      </c>
      <c r="S369" s="30">
        <v>-9.3482119806442832E-4</v>
      </c>
      <c r="T369" s="31">
        <v>-1.096212173032074E-2</v>
      </c>
      <c r="V369" s="9">
        <v>45190</v>
      </c>
      <c r="W369" s="30">
        <v>-6.9925982465632863E-3</v>
      </c>
      <c r="X369" s="30">
        <v>-2.0572434772758386E-2</v>
      </c>
      <c r="Y369" s="30">
        <v>-2.5498125914417802E-2</v>
      </c>
      <c r="Z369" s="30">
        <v>-1.877719344067752E-2</v>
      </c>
      <c r="AA369" s="31">
        <v>-4.3565082327627458E-2</v>
      </c>
    </row>
    <row r="370" spans="1:27" x14ac:dyDescent="0.25">
      <c r="A370" s="7">
        <f>NFLX[[#This Row],[Date]]</f>
        <v>45097</v>
      </c>
      <c r="B370" s="30">
        <f>NFLX[[#This Row],[Stopa zwrotu]]</f>
        <v>-5.2215944101405287E-4</v>
      </c>
      <c r="C370" s="30">
        <f>META[[#This Row],[Stopa zwrotu]]</f>
        <v>-3.4894548336583675E-3</v>
      </c>
      <c r="D370" s="30">
        <f>GOOG[[#This Row],[Stopa zwrotu]]</f>
        <v>-1.9387652319350357E-3</v>
      </c>
      <c r="E370" s="30">
        <f>EBAY[[#This Row],[Stopa zwrotu]]</f>
        <v>-1.6696294153886737E-3</v>
      </c>
      <c r="F370" s="30">
        <f>AMZN[[#This Row],[Stopa zwrotu]]</f>
        <v>-1.596175141352546E-3</v>
      </c>
      <c r="H370" s="9">
        <v>45098</v>
      </c>
      <c r="I370" s="30">
        <v>-1.7348816279069812E-2</v>
      </c>
      <c r="J370" s="30">
        <v>7.7473897337361208E-3</v>
      </c>
      <c r="K370" s="30">
        <v>-1.6038434974543048E-2</v>
      </c>
      <c r="L370" s="30">
        <v>-1.2102129361320713E-2</v>
      </c>
      <c r="M370" s="31">
        <v>-5.220899598393558E-3</v>
      </c>
      <c r="O370" s="9">
        <v>45156</v>
      </c>
      <c r="P370" s="30">
        <v>-8.5412448603919833E-3</v>
      </c>
      <c r="Q370" s="30">
        <v>-3.7094250060954681E-2</v>
      </c>
      <c r="R370" s="30">
        <v>-2.1948447195297094E-2</v>
      </c>
      <c r="S370" s="30">
        <v>-1.2163742690058599E-2</v>
      </c>
      <c r="T370" s="31">
        <v>-1.7823747605959395E-2</v>
      </c>
      <c r="V370" s="9">
        <v>45191</v>
      </c>
      <c r="W370" s="30">
        <v>-1.3197088906259036E-2</v>
      </c>
      <c r="X370" s="30">
        <v>1.7049136248305397E-2</v>
      </c>
      <c r="Y370" s="30">
        <v>-4.4244489869388337E-3</v>
      </c>
      <c r="Z370" s="30">
        <v>3.500630268407523E-3</v>
      </c>
      <c r="AA370" s="31">
        <v>-6.1093033192994861E-3</v>
      </c>
    </row>
    <row r="371" spans="1:27" x14ac:dyDescent="0.25">
      <c r="A371" s="7">
        <f>NFLX[[#This Row],[Date]]</f>
        <v>45098</v>
      </c>
      <c r="B371" s="30">
        <f>NFLX[[#This Row],[Stopa zwrotu]]</f>
        <v>-1.7348816279069812E-2</v>
      </c>
      <c r="C371" s="30">
        <f>META[[#This Row],[Stopa zwrotu]]</f>
        <v>7.7473897337361208E-3</v>
      </c>
      <c r="D371" s="30">
        <f>GOOG[[#This Row],[Stopa zwrotu]]</f>
        <v>-1.6038434974543048E-2</v>
      </c>
      <c r="E371" s="30">
        <f>EBAY[[#This Row],[Stopa zwrotu]]</f>
        <v>-1.2102129361320713E-2</v>
      </c>
      <c r="F371" s="30">
        <f>AMZN[[#This Row],[Stopa zwrotu]]</f>
        <v>-5.220899598393558E-3</v>
      </c>
      <c r="H371" s="9">
        <v>45099</v>
      </c>
      <c r="I371" s="30">
        <v>-9.1352674723873539E-3</v>
      </c>
      <c r="J371" s="30">
        <v>-2.0476218950794545E-3</v>
      </c>
      <c r="K371" s="30">
        <v>-1.0425310190093406E-2</v>
      </c>
      <c r="L371" s="30">
        <v>-1.0662454144171885E-2</v>
      </c>
      <c r="M371" s="31">
        <v>1.0415833837962518E-2</v>
      </c>
      <c r="O371" s="9">
        <v>45159</v>
      </c>
      <c r="P371" s="30">
        <v>1.1302323415330513E-3</v>
      </c>
      <c r="Q371" s="30">
        <v>9.0750065163579894E-3</v>
      </c>
      <c r="R371" s="30">
        <v>4.1995800524937305E-4</v>
      </c>
      <c r="S371" s="30">
        <v>4.1834241060857797E-3</v>
      </c>
      <c r="T371" s="31">
        <v>3.9649588800845237E-3</v>
      </c>
      <c r="V371" s="9">
        <v>45194</v>
      </c>
      <c r="W371" s="30">
        <v>2.1584497102673517E-3</v>
      </c>
      <c r="X371" s="30">
        <v>-5.1072039522778168E-3</v>
      </c>
      <c r="Y371" s="30">
        <v>-1.2259495272118153E-3</v>
      </c>
      <c r="Z371" s="30">
        <v>-3.3333333333333361E-3</v>
      </c>
      <c r="AA371" s="31">
        <v>6.4840749097183625E-4</v>
      </c>
    </row>
    <row r="372" spans="1:27" x14ac:dyDescent="0.25">
      <c r="A372" s="7">
        <f>NFLX[[#This Row],[Date]]</f>
        <v>45099</v>
      </c>
      <c r="B372" s="30">
        <f>NFLX[[#This Row],[Stopa zwrotu]]</f>
        <v>-9.1352674723873539E-3</v>
      </c>
      <c r="C372" s="30">
        <f>META[[#This Row],[Stopa zwrotu]]</f>
        <v>-2.0476218950794545E-3</v>
      </c>
      <c r="D372" s="30">
        <f>GOOG[[#This Row],[Stopa zwrotu]]</f>
        <v>-1.0425310190093406E-2</v>
      </c>
      <c r="E372" s="30">
        <f>EBAY[[#This Row],[Stopa zwrotu]]</f>
        <v>-1.0662454144171885E-2</v>
      </c>
      <c r="F372" s="30">
        <f>AMZN[[#This Row],[Stopa zwrotu]]</f>
        <v>1.0415833837962518E-2</v>
      </c>
      <c r="H372" s="9">
        <v>45100</v>
      </c>
      <c r="I372" s="30">
        <v>-2.2689930636357047E-3</v>
      </c>
      <c r="J372" s="30">
        <v>4.1758269283185268E-3</v>
      </c>
      <c r="K372" s="30">
        <v>1.8896346469838621E-2</v>
      </c>
      <c r="L372" s="30">
        <v>-1.1465259998503563E-2</v>
      </c>
      <c r="M372" s="31">
        <v>2.5091897275786312E-2</v>
      </c>
      <c r="O372" s="9">
        <v>45160</v>
      </c>
      <c r="P372" s="30">
        <v>1.9774703379223935E-2</v>
      </c>
      <c r="Q372" s="30">
        <v>1.7385112278478942E-2</v>
      </c>
      <c r="R372" s="30">
        <v>1.3880142690149588E-2</v>
      </c>
      <c r="S372" s="30">
        <v>6.5482463306008043E-3</v>
      </c>
      <c r="T372" s="31">
        <v>7.6858484379402903E-3</v>
      </c>
      <c r="V372" s="9">
        <v>45195</v>
      </c>
      <c r="W372" s="30">
        <v>-9.0596702243096461E-3</v>
      </c>
      <c r="X372" s="30">
        <v>7.86516140830118E-3</v>
      </c>
      <c r="Y372" s="30">
        <v>-1.4150557672464537E-2</v>
      </c>
      <c r="Z372" s="30">
        <v>1.9262367864693486E-2</v>
      </c>
      <c r="AA372" s="31">
        <v>-2.7102623993084607E-2</v>
      </c>
    </row>
    <row r="373" spans="1:27" x14ac:dyDescent="0.25">
      <c r="A373" s="7">
        <f>NFLX[[#This Row],[Date]]</f>
        <v>45100</v>
      </c>
      <c r="B373" s="30">
        <f>NFLX[[#This Row],[Stopa zwrotu]]</f>
        <v>-2.2689930636357047E-3</v>
      </c>
      <c r="C373" s="30">
        <f>META[[#This Row],[Stopa zwrotu]]</f>
        <v>4.1758269283185268E-3</v>
      </c>
      <c r="D373" s="30">
        <f>GOOG[[#This Row],[Stopa zwrotu]]</f>
        <v>1.8896346469838621E-2</v>
      </c>
      <c r="E373" s="30">
        <f>EBAY[[#This Row],[Stopa zwrotu]]</f>
        <v>-1.1465259998503563E-2</v>
      </c>
      <c r="F373" s="30">
        <f>AMZN[[#This Row],[Stopa zwrotu]]</f>
        <v>2.5091897275786312E-2</v>
      </c>
      <c r="H373" s="9">
        <v>45103</v>
      </c>
      <c r="I373" s="30">
        <v>-2.2582504851440901E-3</v>
      </c>
      <c r="J373" s="30">
        <v>-1.6131994287205871E-3</v>
      </c>
      <c r="K373" s="30">
        <v>-7.8505470114567464E-3</v>
      </c>
      <c r="L373" s="30">
        <v>1.1598004834191638E-3</v>
      </c>
      <c r="M373" s="31">
        <v>-3.0662119561340648E-3</v>
      </c>
      <c r="O373" s="9">
        <v>45161</v>
      </c>
      <c r="P373" s="30">
        <v>2.5306816769368856E-2</v>
      </c>
      <c r="Q373" s="30">
        <v>3.2084149956408403E-3</v>
      </c>
      <c r="R373" s="30">
        <v>1.2293907024380601E-2</v>
      </c>
      <c r="S373" s="30">
        <v>4.8791588085697057E-3</v>
      </c>
      <c r="T373" s="31">
        <v>-3.8136171035255684E-3</v>
      </c>
      <c r="V373" s="9">
        <v>45196</v>
      </c>
      <c r="W373" s="30">
        <v>-2.9414486011282159E-3</v>
      </c>
      <c r="X373" s="30">
        <v>-3.1147598691003808E-2</v>
      </c>
      <c r="Y373" s="30">
        <v>9.2831186631856522E-3</v>
      </c>
      <c r="Z373" s="30">
        <v>-2.2585826747772098E-2</v>
      </c>
      <c r="AA373" s="31">
        <v>-9.1794540962599758E-3</v>
      </c>
    </row>
    <row r="374" spans="1:27" x14ac:dyDescent="0.25">
      <c r="A374" s="7">
        <f>NFLX[[#This Row],[Date]]</f>
        <v>45103</v>
      </c>
      <c r="B374" s="30">
        <f>NFLX[[#This Row],[Stopa zwrotu]]</f>
        <v>-2.2582504851440901E-3</v>
      </c>
      <c r="C374" s="30">
        <f>META[[#This Row],[Stopa zwrotu]]</f>
        <v>-1.6131994287205871E-3</v>
      </c>
      <c r="D374" s="30">
        <f>GOOG[[#This Row],[Stopa zwrotu]]</f>
        <v>-7.8505470114567464E-3</v>
      </c>
      <c r="E374" s="30">
        <f>EBAY[[#This Row],[Stopa zwrotu]]</f>
        <v>1.1598004834191638E-3</v>
      </c>
      <c r="F374" s="30">
        <f>AMZN[[#This Row],[Stopa zwrotu]]</f>
        <v>-3.0662119561340648E-3</v>
      </c>
      <c r="H374" s="9">
        <v>45104</v>
      </c>
      <c r="I374" s="30">
        <v>-8.1947313790512455E-3</v>
      </c>
      <c r="J374" s="30">
        <v>1.0986988235151429E-2</v>
      </c>
      <c r="K374" s="30">
        <v>-1.748041041231041E-2</v>
      </c>
      <c r="L374" s="30">
        <v>5.0855758245758054E-3</v>
      </c>
      <c r="M374" s="31">
        <v>3.540558670976468E-3</v>
      </c>
      <c r="O374" s="9">
        <v>45162</v>
      </c>
      <c r="P374" s="30">
        <v>-2.7626770363747499E-2</v>
      </c>
      <c r="Q374" s="30">
        <v>-3.5804844212246056E-3</v>
      </c>
      <c r="R374" s="30">
        <v>-1.6090108654129853E-3</v>
      </c>
      <c r="S374" s="30">
        <v>-3.2369710982659283E-3</v>
      </c>
      <c r="T374" s="31">
        <v>-1.0433861203769212E-2</v>
      </c>
      <c r="V374" s="9">
        <v>45197</v>
      </c>
      <c r="W374" s="30">
        <v>-1.3687691694352133E-2</v>
      </c>
      <c r="X374" s="30">
        <v>3.4554910174712683E-2</v>
      </c>
      <c r="Y374" s="30">
        <v>1.0125188973365562E-2</v>
      </c>
      <c r="Z374" s="30">
        <v>7.3096203725537823E-3</v>
      </c>
      <c r="AA374" s="31">
        <v>-8.781084559278618E-3</v>
      </c>
    </row>
    <row r="375" spans="1:27" x14ac:dyDescent="0.25">
      <c r="A375" s="7">
        <f>NFLX[[#This Row],[Date]]</f>
        <v>45104</v>
      </c>
      <c r="B375" s="30">
        <f>NFLX[[#This Row],[Stopa zwrotu]]</f>
        <v>-8.1947313790512455E-3</v>
      </c>
      <c r="C375" s="30">
        <f>META[[#This Row],[Stopa zwrotu]]</f>
        <v>1.0986988235151429E-2</v>
      </c>
      <c r="D375" s="30">
        <f>GOOG[[#This Row],[Stopa zwrotu]]</f>
        <v>-1.748041041231041E-2</v>
      </c>
      <c r="E375" s="30">
        <f>EBAY[[#This Row],[Stopa zwrotu]]</f>
        <v>5.0855758245758054E-3</v>
      </c>
      <c r="F375" s="30">
        <f>AMZN[[#This Row],[Stopa zwrotu]]</f>
        <v>3.540558670976468E-3</v>
      </c>
      <c r="H375" s="9">
        <v>45105</v>
      </c>
      <c r="I375" s="30">
        <v>2.7679258809234497E-2</v>
      </c>
      <c r="J375" s="30">
        <v>1.2150379735978323E-2</v>
      </c>
      <c r="K375" s="30">
        <v>5.9019243554212508E-3</v>
      </c>
      <c r="L375" s="30">
        <v>1.7479346826126951E-2</v>
      </c>
      <c r="M375" s="31">
        <v>6.9776478170682221E-3</v>
      </c>
      <c r="O375" s="9">
        <v>45163</v>
      </c>
      <c r="P375" s="30">
        <v>3.4221753342484895E-3</v>
      </c>
      <c r="Q375" s="30">
        <v>-3.7015125051539033E-2</v>
      </c>
      <c r="R375" s="30">
        <v>-1.7344665755686828E-2</v>
      </c>
      <c r="S375" s="30">
        <v>6.263047871420957E-3</v>
      </c>
      <c r="T375" s="31">
        <v>-9.4819083746960908E-3</v>
      </c>
      <c r="V375" s="9">
        <v>45198</v>
      </c>
      <c r="W375" s="30">
        <v>1.1452438510604512E-2</v>
      </c>
      <c r="X375" s="30">
        <v>8.9651934358532248E-3</v>
      </c>
      <c r="Y375" s="30">
        <v>4.8206059404605206E-3</v>
      </c>
      <c r="Z375" s="30">
        <v>2.7855781183151018E-2</v>
      </c>
      <c r="AA375" s="31">
        <v>2.6657989055120179E-2</v>
      </c>
    </row>
    <row r="376" spans="1:27" x14ac:dyDescent="0.25">
      <c r="A376" s="7">
        <f>NFLX[[#This Row],[Date]]</f>
        <v>45105</v>
      </c>
      <c r="B376" s="30">
        <f>NFLX[[#This Row],[Stopa zwrotu]]</f>
        <v>2.7679258809234497E-2</v>
      </c>
      <c r="C376" s="30">
        <f>META[[#This Row],[Stopa zwrotu]]</f>
        <v>1.2150379735978323E-2</v>
      </c>
      <c r="D376" s="30">
        <f>GOOG[[#This Row],[Stopa zwrotu]]</f>
        <v>5.9019243554212508E-3</v>
      </c>
      <c r="E376" s="30">
        <f>EBAY[[#This Row],[Stopa zwrotu]]</f>
        <v>1.7479346826126951E-2</v>
      </c>
      <c r="F376" s="30">
        <f>AMZN[[#This Row],[Stopa zwrotu]]</f>
        <v>6.9776478170682221E-3</v>
      </c>
      <c r="H376" s="9">
        <v>45106</v>
      </c>
      <c r="I376" s="30">
        <v>7.7088105284301989E-3</v>
      </c>
      <c r="J376" s="30">
        <v>-1.1863676771553089E-2</v>
      </c>
      <c r="K376" s="30">
        <v>1.369048492670899E-2</v>
      </c>
      <c r="L376" s="30">
        <v>2.0343579550472501E-3</v>
      </c>
      <c r="M376" s="31">
        <v>-9.1871689631396469E-3</v>
      </c>
      <c r="O376" s="9">
        <v>45166</v>
      </c>
      <c r="P376" s="30">
        <v>4.6700616907288479E-3</v>
      </c>
      <c r="Q376" s="30">
        <v>1.1798221250582275E-2</v>
      </c>
      <c r="R376" s="30">
        <v>7.3154565074054672E-3</v>
      </c>
      <c r="S376" s="30">
        <v>1.3062701404732795E-3</v>
      </c>
      <c r="T376" s="31">
        <v>3.2419563499981319E-3</v>
      </c>
      <c r="V376" s="9">
        <v>45201</v>
      </c>
      <c r="W376" s="30">
        <v>1.2876710419803168E-3</v>
      </c>
      <c r="X376" s="30">
        <v>2.5276368628002199E-3</v>
      </c>
      <c r="Y376" s="30">
        <v>1.8910421369888002E-3</v>
      </c>
      <c r="Z376" s="30">
        <v>-4.5547635314658512E-3</v>
      </c>
      <c r="AA376" s="31">
        <v>5.8053884314968052E-4</v>
      </c>
    </row>
    <row r="377" spans="1:27" x14ac:dyDescent="0.25">
      <c r="A377" s="7">
        <f>NFLX[[#This Row],[Date]]</f>
        <v>45106</v>
      </c>
      <c r="B377" s="30">
        <f>NFLX[[#This Row],[Stopa zwrotu]]</f>
        <v>7.7088105284301989E-3</v>
      </c>
      <c r="C377" s="30">
        <f>META[[#This Row],[Stopa zwrotu]]</f>
        <v>-1.1863676771553089E-2</v>
      </c>
      <c r="D377" s="30">
        <f>GOOG[[#This Row],[Stopa zwrotu]]</f>
        <v>1.369048492670899E-2</v>
      </c>
      <c r="E377" s="30">
        <f>EBAY[[#This Row],[Stopa zwrotu]]</f>
        <v>2.0343579550472501E-3</v>
      </c>
      <c r="F377" s="30">
        <f>AMZN[[#This Row],[Stopa zwrotu]]</f>
        <v>-9.1871689631396469E-3</v>
      </c>
      <c r="H377" s="9">
        <v>45107</v>
      </c>
      <c r="I377" s="30">
        <v>1.1615656622536497E-2</v>
      </c>
      <c r="J377" s="30">
        <v>1.328872055799124E-2</v>
      </c>
      <c r="K377" s="30">
        <v>1.4008875211885652E-2</v>
      </c>
      <c r="L377" s="30">
        <v>-9.0234600034544421E-4</v>
      </c>
      <c r="M377" s="31">
        <v>1.327985992016556E-2</v>
      </c>
      <c r="O377" s="9">
        <v>45167</v>
      </c>
      <c r="P377" s="30">
        <v>2.9762891880349418E-3</v>
      </c>
      <c r="Q377" s="30">
        <v>8.3275195938778968E-3</v>
      </c>
      <c r="R377" s="30">
        <v>1.6278103953621503E-2</v>
      </c>
      <c r="S377" s="30">
        <v>8.4959588632826932E-3</v>
      </c>
      <c r="T377" s="31">
        <v>1.0618080669636099E-2</v>
      </c>
      <c r="V377" s="9">
        <v>45202</v>
      </c>
      <c r="W377" s="30">
        <v>-1.0482967425147538E-2</v>
      </c>
      <c r="X377" s="30">
        <v>-6.5974537248042475E-3</v>
      </c>
      <c r="Y377" s="30">
        <v>5.6790216078594913E-3</v>
      </c>
      <c r="Z377" s="30">
        <v>-2.2165850330966297E-2</v>
      </c>
      <c r="AA377" s="31">
        <v>-1.8097052172458938E-2</v>
      </c>
    </row>
    <row r="378" spans="1:27" x14ac:dyDescent="0.25">
      <c r="A378" s="7">
        <f>NFLX[[#This Row],[Date]]</f>
        <v>45107</v>
      </c>
      <c r="B378" s="30">
        <f>NFLX[[#This Row],[Stopa zwrotu]]</f>
        <v>1.1615656622536497E-2</v>
      </c>
      <c r="C378" s="30">
        <f>META[[#This Row],[Stopa zwrotu]]</f>
        <v>1.328872055799124E-2</v>
      </c>
      <c r="D378" s="30">
        <f>GOOG[[#This Row],[Stopa zwrotu]]</f>
        <v>1.4008875211885652E-2</v>
      </c>
      <c r="E378" s="30">
        <f>EBAY[[#This Row],[Stopa zwrotu]]</f>
        <v>-9.0234600034544421E-4</v>
      </c>
      <c r="F378" s="30">
        <f>AMZN[[#This Row],[Stopa zwrotu]]</f>
        <v>1.327985992016556E-2</v>
      </c>
      <c r="H378" s="9">
        <v>45110</v>
      </c>
      <c r="I378" s="30">
        <v>4.0206370738641678E-4</v>
      </c>
      <c r="J378" s="30">
        <v>5.0394133130149399E-4</v>
      </c>
      <c r="K378" s="30">
        <v>-3.2401142432192756E-3</v>
      </c>
      <c r="L378" s="30">
        <v>2.3330849175942823E-3</v>
      </c>
      <c r="M378" s="31">
        <v>2.8952049271212164E-3</v>
      </c>
      <c r="O378" s="9">
        <v>45168</v>
      </c>
      <c r="P378" s="30">
        <v>3.3413765983112187E-2</v>
      </c>
      <c r="Q378" s="30">
        <v>1.8217780996337307E-2</v>
      </c>
      <c r="R378" s="30">
        <v>1.5348173119211106E-2</v>
      </c>
      <c r="S378" s="30">
        <v>7.7413482578028159E-3</v>
      </c>
      <c r="T378" s="31">
        <v>5.0281275797372516E-3</v>
      </c>
      <c r="V378" s="9">
        <v>45203</v>
      </c>
      <c r="W378" s="30">
        <v>1.9578409233014238E-3</v>
      </c>
      <c r="X378" s="30">
        <v>-3.8046153481871015E-3</v>
      </c>
      <c r="Y378" s="30">
        <v>4.6304332397630876E-3</v>
      </c>
      <c r="Z378" s="30">
        <v>4.486493718370399E-3</v>
      </c>
      <c r="AA378" s="31">
        <v>1.1509054325955725E-2</v>
      </c>
    </row>
    <row r="379" spans="1:27" x14ac:dyDescent="0.25">
      <c r="A379" s="7">
        <f>NFLX[[#This Row],[Date]]</f>
        <v>45110</v>
      </c>
      <c r="B379" s="30">
        <f>NFLX[[#This Row],[Stopa zwrotu]]</f>
        <v>4.0206370738641678E-4</v>
      </c>
      <c r="C379" s="30">
        <f>META[[#This Row],[Stopa zwrotu]]</f>
        <v>5.0394133130149399E-4</v>
      </c>
      <c r="D379" s="30">
        <f>GOOG[[#This Row],[Stopa zwrotu]]</f>
        <v>-3.2401142432192756E-3</v>
      </c>
      <c r="E379" s="30">
        <f>EBAY[[#This Row],[Stopa zwrotu]]</f>
        <v>2.3330849175942823E-3</v>
      </c>
      <c r="F379" s="30">
        <f>AMZN[[#This Row],[Stopa zwrotu]]</f>
        <v>2.8952049271212164E-3</v>
      </c>
      <c r="H379" s="9">
        <v>45112</v>
      </c>
      <c r="I379" s="30">
        <v>9.2674112560517941E-3</v>
      </c>
      <c r="J379" s="30">
        <v>2.6504808990595041E-3</v>
      </c>
      <c r="K379" s="30">
        <v>1.4827951801045236E-3</v>
      </c>
      <c r="L379" s="30">
        <v>3.3635651732544236E-4</v>
      </c>
      <c r="M379" s="31">
        <v>-1.6529867642738338E-3</v>
      </c>
      <c r="O379" s="9">
        <v>45169</v>
      </c>
      <c r="P379" s="30">
        <v>6.7234853733140199E-3</v>
      </c>
      <c r="Q379" s="30">
        <v>7.599805927132941E-3</v>
      </c>
      <c r="R379" s="30">
        <v>1.332393519005004E-2</v>
      </c>
      <c r="S379" s="30">
        <v>6.5522144849621267E-3</v>
      </c>
      <c r="T379" s="31">
        <v>8.0645311837594935E-3</v>
      </c>
      <c r="V379" s="9">
        <v>45204</v>
      </c>
      <c r="W379" s="30">
        <v>-1.6970922481455153E-2</v>
      </c>
      <c r="X379" s="30">
        <v>3.3500837520938909E-3</v>
      </c>
      <c r="Y379" s="30">
        <v>7.6819984544256315E-3</v>
      </c>
      <c r="Z379" s="30">
        <v>-9.8731074312855549E-3</v>
      </c>
      <c r="AA379" s="31">
        <v>-1.0741549968173225E-2</v>
      </c>
    </row>
    <row r="380" spans="1:27" x14ac:dyDescent="0.25">
      <c r="A380" s="7">
        <f>NFLX[[#This Row],[Date]]</f>
        <v>45112</v>
      </c>
      <c r="B380" s="30">
        <f>NFLX[[#This Row],[Stopa zwrotu]]</f>
        <v>9.2674112560517941E-3</v>
      </c>
      <c r="C380" s="30">
        <f>META[[#This Row],[Stopa zwrotu]]</f>
        <v>2.6504808990595041E-3</v>
      </c>
      <c r="D380" s="30">
        <f>GOOG[[#This Row],[Stopa zwrotu]]</f>
        <v>1.4827951801045236E-3</v>
      </c>
      <c r="E380" s="30">
        <f>EBAY[[#This Row],[Stopa zwrotu]]</f>
        <v>3.3635651732544236E-4</v>
      </c>
      <c r="F380" s="30">
        <f>AMZN[[#This Row],[Stopa zwrotu]]</f>
        <v>-1.6529867642738338E-3</v>
      </c>
      <c r="H380" s="9">
        <v>45113</v>
      </c>
      <c r="I380" s="30">
        <v>-2.0244743417550892E-2</v>
      </c>
      <c r="J380" s="30">
        <v>1.7285980092504927E-2</v>
      </c>
      <c r="K380" s="30">
        <v>-6.7466101407064327E-3</v>
      </c>
      <c r="L380" s="30">
        <v>-2.4199013573851347E-2</v>
      </c>
      <c r="M380" s="31">
        <v>-1.7509997049598769E-2</v>
      </c>
      <c r="O380" s="9">
        <v>45170</v>
      </c>
      <c r="P380" s="30">
        <v>1.0899014169030163E-2</v>
      </c>
      <c r="Q380" s="30">
        <v>-4.0249035510395714E-3</v>
      </c>
      <c r="R380" s="30">
        <v>-6.4318444304714006E-3</v>
      </c>
      <c r="S380" s="30">
        <v>7.1829406775070215E-3</v>
      </c>
      <c r="T380" s="31">
        <v>1.3925962962963112E-2</v>
      </c>
      <c r="V380" s="9">
        <v>45205</v>
      </c>
      <c r="W380" s="30">
        <v>1.4431952250080204E-3</v>
      </c>
      <c r="X380" s="30">
        <v>4.7078597662770783E-3</v>
      </c>
      <c r="Y380" s="30">
        <v>3.6071547565035278E-3</v>
      </c>
      <c r="Z380" s="30">
        <v>2.374216580584454E-3</v>
      </c>
      <c r="AA380" s="31">
        <v>-1.6086624047507714E-3</v>
      </c>
    </row>
    <row r="381" spans="1:27" x14ac:dyDescent="0.25">
      <c r="A381" s="7">
        <f>NFLX[[#This Row],[Date]]</f>
        <v>45113</v>
      </c>
      <c r="B381" s="30">
        <f>NFLX[[#This Row],[Stopa zwrotu]]</f>
        <v>-2.0244743417550892E-2</v>
      </c>
      <c r="C381" s="30">
        <f>META[[#This Row],[Stopa zwrotu]]</f>
        <v>1.7285980092504927E-2</v>
      </c>
      <c r="D381" s="30">
        <f>GOOG[[#This Row],[Stopa zwrotu]]</f>
        <v>-6.7466101407064327E-3</v>
      </c>
      <c r="E381" s="30">
        <f>EBAY[[#This Row],[Stopa zwrotu]]</f>
        <v>-2.4199013573851347E-2</v>
      </c>
      <c r="F381" s="30">
        <f>AMZN[[#This Row],[Stopa zwrotu]]</f>
        <v>-1.7509997049598769E-2</v>
      </c>
      <c r="H381" s="9">
        <v>45114</v>
      </c>
      <c r="I381" s="30">
        <v>1.1887061172253244E-2</v>
      </c>
      <c r="J381" s="30">
        <v>-9.0968178853922943E-3</v>
      </c>
      <c r="K381" s="30">
        <v>7.0439916142557291E-3</v>
      </c>
      <c r="L381" s="30">
        <v>2.9850976575223065E-3</v>
      </c>
      <c r="M381" s="31">
        <v>5.9668837410642439E-3</v>
      </c>
      <c r="O381" s="9">
        <v>45174</v>
      </c>
      <c r="P381" s="30">
        <v>1.18712123118353E-3</v>
      </c>
      <c r="Q381" s="30">
        <v>8.8294987305004291E-4</v>
      </c>
      <c r="R381" s="30">
        <v>-6.9884506842948779E-4</v>
      </c>
      <c r="S381" s="30">
        <v>-4.6244596528740856E-3</v>
      </c>
      <c r="T381" s="31">
        <v>-1.93599861426072E-3</v>
      </c>
      <c r="V381" s="9">
        <v>45208</v>
      </c>
      <c r="W381" s="30">
        <v>9.0545914555306695E-3</v>
      </c>
      <c r="X381" s="30">
        <v>1.208556584468575E-2</v>
      </c>
      <c r="Y381" s="30">
        <v>4.3475988684215467E-3</v>
      </c>
      <c r="Z381" s="30">
        <v>3.3159481292606894E-3</v>
      </c>
      <c r="AA381" s="31">
        <v>1.6917882199470509E-3</v>
      </c>
    </row>
    <row r="382" spans="1:27" x14ac:dyDescent="0.25">
      <c r="A382" s="7">
        <f>NFLX[[#This Row],[Date]]</f>
        <v>45114</v>
      </c>
      <c r="B382" s="30">
        <f>NFLX[[#This Row],[Stopa zwrotu]]</f>
        <v>1.1887061172253244E-2</v>
      </c>
      <c r="C382" s="30">
        <f>META[[#This Row],[Stopa zwrotu]]</f>
        <v>-9.0968178853922943E-3</v>
      </c>
      <c r="D382" s="30">
        <f>GOOG[[#This Row],[Stopa zwrotu]]</f>
        <v>7.0439916142557291E-3</v>
      </c>
      <c r="E382" s="30">
        <f>EBAY[[#This Row],[Stopa zwrotu]]</f>
        <v>2.9850976575223065E-3</v>
      </c>
      <c r="F382" s="30">
        <f>AMZN[[#This Row],[Stopa zwrotu]]</f>
        <v>5.9668837410642439E-3</v>
      </c>
      <c r="H382" s="9">
        <v>45117</v>
      </c>
      <c r="I382" s="30">
        <v>7.4951894349169679E-4</v>
      </c>
      <c r="J382" s="30">
        <v>-1.8591837891057672E-3</v>
      </c>
      <c r="K382" s="30">
        <v>-9.576143211795932E-3</v>
      </c>
      <c r="L382" s="30">
        <v>3.35774572649572E-3</v>
      </c>
      <c r="M382" s="31">
        <v>-5.7493871166242423E-3</v>
      </c>
      <c r="O382" s="9">
        <v>45175</v>
      </c>
      <c r="P382" s="30">
        <v>5.6849086757990719E-3</v>
      </c>
      <c r="Q382" s="30">
        <v>5.0757671457546394E-4</v>
      </c>
      <c r="R382" s="30">
        <v>-6.4177929539362966E-3</v>
      </c>
      <c r="S382" s="30">
        <v>-1.3851066897114683E-2</v>
      </c>
      <c r="T382" s="31">
        <v>-8.9088936654229123E-3</v>
      </c>
      <c r="V382" s="9">
        <v>45209</v>
      </c>
      <c r="W382" s="30">
        <v>-1.4586006602445911E-2</v>
      </c>
      <c r="X382" s="30">
        <v>2.0332232883312207E-2</v>
      </c>
      <c r="Y382" s="30">
        <v>1.2655420906849013E-2</v>
      </c>
      <c r="Z382" s="30">
        <v>1.4774883085714841E-2</v>
      </c>
      <c r="AA382" s="31">
        <v>2.6370639205343993E-2</v>
      </c>
    </row>
    <row r="383" spans="1:27" x14ac:dyDescent="0.25">
      <c r="A383" s="7">
        <f>NFLX[[#This Row],[Date]]</f>
        <v>45117</v>
      </c>
      <c r="B383" s="30">
        <f>NFLX[[#This Row],[Stopa zwrotu]]</f>
        <v>7.4951894349169679E-4</v>
      </c>
      <c r="C383" s="30">
        <f>META[[#This Row],[Stopa zwrotu]]</f>
        <v>-1.8591837891057672E-3</v>
      </c>
      <c r="D383" s="30">
        <f>GOOG[[#This Row],[Stopa zwrotu]]</f>
        <v>-9.576143211795932E-3</v>
      </c>
      <c r="E383" s="30">
        <f>EBAY[[#This Row],[Stopa zwrotu]]</f>
        <v>3.35774572649572E-3</v>
      </c>
      <c r="F383" s="30">
        <f>AMZN[[#This Row],[Stopa zwrotu]]</f>
        <v>-5.7493871166242423E-3</v>
      </c>
      <c r="H383" s="9">
        <v>45118</v>
      </c>
      <c r="I383" s="30">
        <v>-1.3231990081443268E-2</v>
      </c>
      <c r="J383" s="30">
        <v>1.689603275649687E-2</v>
      </c>
      <c r="K383" s="30">
        <v>-6.9444187838171301E-3</v>
      </c>
      <c r="L383" s="30">
        <v>4.1704443374987354E-2</v>
      </c>
      <c r="M383" s="31">
        <v>1.1356416952928994E-2</v>
      </c>
      <c r="O383" s="9">
        <v>45176</v>
      </c>
      <c r="P383" s="30">
        <v>-8.6040048265341174E-3</v>
      </c>
      <c r="Q383" s="30">
        <v>-1.1634996122099728E-2</v>
      </c>
      <c r="R383" s="30">
        <v>-5.4198157930088753E-3</v>
      </c>
      <c r="S383" s="30">
        <v>-1.4275823163711676E-2</v>
      </c>
      <c r="T383" s="31">
        <v>-1.0771837079178281E-2</v>
      </c>
      <c r="V383" s="9">
        <v>45210</v>
      </c>
      <c r="W383" s="30">
        <v>-1.8562804566823465E-2</v>
      </c>
      <c r="X383" s="30">
        <v>1.5055343034255264E-2</v>
      </c>
      <c r="Y383" s="30">
        <v>1.0185675585492548E-2</v>
      </c>
      <c r="Z383" s="30">
        <v>-1.1324266235267055E-2</v>
      </c>
      <c r="AA383" s="31">
        <v>1.2182725212431356E-2</v>
      </c>
    </row>
    <row r="384" spans="1:27" x14ac:dyDescent="0.25">
      <c r="A384" s="7">
        <f>NFLX[[#This Row],[Date]]</f>
        <v>45118</v>
      </c>
      <c r="B384" s="30">
        <f>NFLX[[#This Row],[Stopa zwrotu]]</f>
        <v>-1.3231990081443268E-2</v>
      </c>
      <c r="C384" s="30">
        <f>META[[#This Row],[Stopa zwrotu]]</f>
        <v>1.689603275649687E-2</v>
      </c>
      <c r="D384" s="30">
        <f>GOOG[[#This Row],[Stopa zwrotu]]</f>
        <v>-6.9444187838171301E-3</v>
      </c>
      <c r="E384" s="30">
        <f>EBAY[[#This Row],[Stopa zwrotu]]</f>
        <v>4.1704443374987354E-2</v>
      </c>
      <c r="F384" s="30">
        <f>AMZN[[#This Row],[Stopa zwrotu]]</f>
        <v>1.1356416952928994E-2</v>
      </c>
      <c r="H384" s="9">
        <v>45119</v>
      </c>
      <c r="I384" s="30">
        <v>1.5566979537623427E-2</v>
      </c>
      <c r="J384" s="30">
        <v>2.8091853951871082E-2</v>
      </c>
      <c r="K384" s="30">
        <v>2.7367676295127819E-2</v>
      </c>
      <c r="L384" s="30">
        <v>8.0505441264260291E-3</v>
      </c>
      <c r="M384" s="31">
        <v>1.1621547100456153E-2</v>
      </c>
      <c r="O384" s="9">
        <v>45177</v>
      </c>
      <c r="P384" s="30">
        <v>4.9232744239082749E-3</v>
      </c>
      <c r="Q384" s="30">
        <v>1.5604674506862315E-2</v>
      </c>
      <c r="R384" s="30">
        <v>1.4257897134926312E-2</v>
      </c>
      <c r="S384" s="30">
        <v>7.0074747253578984E-4</v>
      </c>
      <c r="T384" s="31">
        <v>2.6960017213577325E-2</v>
      </c>
      <c r="V384" s="9">
        <v>45211</v>
      </c>
      <c r="W384" s="30">
        <v>-1.7216861194688349E-2</v>
      </c>
      <c r="X384" s="30">
        <v>-8.0510912010745006E-4</v>
      </c>
      <c r="Y384" s="30">
        <v>-2.7888945305749591E-3</v>
      </c>
      <c r="Z384" s="30">
        <v>-1.823279612512374E-2</v>
      </c>
      <c r="AA384" s="31">
        <v>1.2498996894537484E-2</v>
      </c>
    </row>
    <row r="385" spans="1:27" x14ac:dyDescent="0.25">
      <c r="A385" s="7">
        <f>NFLX[[#This Row],[Date]]</f>
        <v>45119</v>
      </c>
      <c r="B385" s="30">
        <f>NFLX[[#This Row],[Stopa zwrotu]]</f>
        <v>1.5566979537623427E-2</v>
      </c>
      <c r="C385" s="30">
        <f>META[[#This Row],[Stopa zwrotu]]</f>
        <v>2.8091853951871082E-2</v>
      </c>
      <c r="D385" s="30">
        <f>GOOG[[#This Row],[Stopa zwrotu]]</f>
        <v>2.7367676295127819E-2</v>
      </c>
      <c r="E385" s="30">
        <f>EBAY[[#This Row],[Stopa zwrotu]]</f>
        <v>8.0505441264260291E-3</v>
      </c>
      <c r="F385" s="30">
        <f>AMZN[[#This Row],[Stopa zwrotu]]</f>
        <v>1.1621547100456153E-2</v>
      </c>
      <c r="H385" s="9">
        <v>45120</v>
      </c>
      <c r="I385" s="30">
        <v>7.8355065676756208E-3</v>
      </c>
      <c r="J385" s="30">
        <v>3.3955357535047748E-2</v>
      </c>
      <c r="K385" s="30">
        <v>1.7310907563025113E-2</v>
      </c>
      <c r="L385" s="30">
        <v>-5.3960714268909138E-3</v>
      </c>
      <c r="M385" s="31">
        <v>3.0117247067961594E-2</v>
      </c>
      <c r="O385" s="9">
        <v>45180</v>
      </c>
      <c r="P385" s="30">
        <v>2.9622831997864938E-3</v>
      </c>
      <c r="Q385" s="30">
        <v>5.0542489556379966E-3</v>
      </c>
      <c r="R385" s="30">
        <v>1.668281016226884E-3</v>
      </c>
      <c r="S385" s="30">
        <v>4.5907251789604571E-3</v>
      </c>
      <c r="T385" s="31">
        <v>4.6069445460084806E-3</v>
      </c>
      <c r="V385" s="9">
        <v>45212</v>
      </c>
      <c r="W385" s="30">
        <v>-1.9495892588638708E-2</v>
      </c>
      <c r="X385" s="30">
        <v>-3.1981179881736654E-2</v>
      </c>
      <c r="Y385" s="30">
        <v>-1.0613094527352374E-2</v>
      </c>
      <c r="Z385" s="30">
        <v>-1.7380952380952275E-2</v>
      </c>
      <c r="AA385" s="31">
        <v>-1.7374068959051137E-2</v>
      </c>
    </row>
    <row r="386" spans="1:27" x14ac:dyDescent="0.25">
      <c r="A386" s="7">
        <f>NFLX[[#This Row],[Date]]</f>
        <v>45120</v>
      </c>
      <c r="B386" s="30">
        <f>NFLX[[#This Row],[Stopa zwrotu]]</f>
        <v>7.8355065676756208E-3</v>
      </c>
      <c r="C386" s="30">
        <f>META[[#This Row],[Stopa zwrotu]]</f>
        <v>3.3955357535047748E-2</v>
      </c>
      <c r="D386" s="30">
        <f>GOOG[[#This Row],[Stopa zwrotu]]</f>
        <v>1.7310907563025113E-2</v>
      </c>
      <c r="E386" s="30">
        <f>EBAY[[#This Row],[Stopa zwrotu]]</f>
        <v>-5.3960714268909138E-3</v>
      </c>
      <c r="F386" s="30">
        <f>AMZN[[#This Row],[Stopa zwrotu]]</f>
        <v>3.0117247067961594E-2</v>
      </c>
      <c r="H386" s="9">
        <v>45121</v>
      </c>
      <c r="I386" s="30">
        <v>-3.3545968164517825E-3</v>
      </c>
      <c r="J386" s="30">
        <v>-9.442856408567124E-3</v>
      </c>
      <c r="K386" s="30">
        <v>3.1719841924993331E-2</v>
      </c>
      <c r="L386" s="30">
        <v>-5.6424042689928733E-3</v>
      </c>
      <c r="M386" s="31">
        <v>1.0172488348975994E-2</v>
      </c>
      <c r="O386" s="9">
        <v>45181</v>
      </c>
      <c r="P386" s="30">
        <v>-1.9491823828345578E-2</v>
      </c>
      <c r="Q386" s="30">
        <v>-3.4850902930333438E-3</v>
      </c>
      <c r="R386" s="30">
        <v>-4.5405345029542188E-3</v>
      </c>
      <c r="S386" s="30">
        <v>-2.5328114206769614E-3</v>
      </c>
      <c r="T386" s="31">
        <v>1.4209477886681254E-2</v>
      </c>
      <c r="V386" s="9">
        <v>45215</v>
      </c>
      <c r="W386" s="30">
        <v>2.57539278768563E-3</v>
      </c>
      <c r="X386" s="30">
        <v>3.3613919928513112E-3</v>
      </c>
      <c r="Y386" s="30">
        <v>3.261593076309429E-3</v>
      </c>
      <c r="Z386" s="30">
        <v>4.9269122041838047E-3</v>
      </c>
      <c r="AA386" s="31">
        <v>3.8257620122318001E-3</v>
      </c>
    </row>
    <row r="387" spans="1:27" x14ac:dyDescent="0.25">
      <c r="A387" s="7">
        <f>NFLX[[#This Row],[Date]]</f>
        <v>45121</v>
      </c>
      <c r="B387" s="30">
        <f>NFLX[[#This Row],[Stopa zwrotu]]</f>
        <v>-3.3545968164517825E-3</v>
      </c>
      <c r="C387" s="30">
        <f>META[[#This Row],[Stopa zwrotu]]</f>
        <v>-9.442856408567124E-3</v>
      </c>
      <c r="D387" s="30">
        <f>GOOG[[#This Row],[Stopa zwrotu]]</f>
        <v>3.1719841924993331E-2</v>
      </c>
      <c r="E387" s="30">
        <f>EBAY[[#This Row],[Stopa zwrotu]]</f>
        <v>-5.6424042689928733E-3</v>
      </c>
      <c r="F387" s="30">
        <f>AMZN[[#This Row],[Stopa zwrotu]]</f>
        <v>1.0172488348975994E-2</v>
      </c>
      <c r="H387" s="9">
        <v>45124</v>
      </c>
      <c r="I387" s="30">
        <v>4.1012605961296229E-3</v>
      </c>
      <c r="J387" s="30">
        <v>-2.8739308187216706E-3</v>
      </c>
      <c r="K387" s="30">
        <v>-1.0675260037225816E-3</v>
      </c>
      <c r="L387" s="30">
        <v>1.0184708278772419E-3</v>
      </c>
      <c r="M387" s="31">
        <v>-2.1134591791754178E-3</v>
      </c>
      <c r="O387" s="9">
        <v>45182</v>
      </c>
      <c r="P387" s="30">
        <v>-5.3971236685377844E-2</v>
      </c>
      <c r="Q387" s="30">
        <v>3.6305364555977437E-3</v>
      </c>
      <c r="R387" s="30">
        <v>-7.3567281063569023E-3</v>
      </c>
      <c r="S387" s="30">
        <v>2.5392428439519055E-3</v>
      </c>
      <c r="T387" s="31">
        <v>1.8490434403735101E-3</v>
      </c>
      <c r="V387" s="9">
        <v>45216</v>
      </c>
      <c r="W387" s="30">
        <v>-2.480407101176807E-3</v>
      </c>
      <c r="X387" s="30">
        <v>5.6414777575310993E-3</v>
      </c>
      <c r="Y387" s="30">
        <v>-5.6775765163433745E-3</v>
      </c>
      <c r="Z387" s="30">
        <v>1.1938633907864205E-3</v>
      </c>
      <c r="AA387" s="31">
        <v>-1.3187043565968781E-2</v>
      </c>
    </row>
    <row r="388" spans="1:27" x14ac:dyDescent="0.25">
      <c r="A388" s="7">
        <f>NFLX[[#This Row],[Date]]</f>
        <v>45124</v>
      </c>
      <c r="B388" s="30">
        <f>NFLX[[#This Row],[Stopa zwrotu]]</f>
        <v>4.1012605961296229E-3</v>
      </c>
      <c r="C388" s="30">
        <f>META[[#This Row],[Stopa zwrotu]]</f>
        <v>-2.8739308187216706E-3</v>
      </c>
      <c r="D388" s="30">
        <f>GOOG[[#This Row],[Stopa zwrotu]]</f>
        <v>-1.0675260037225816E-3</v>
      </c>
      <c r="E388" s="30">
        <f>EBAY[[#This Row],[Stopa zwrotu]]</f>
        <v>1.0184708278772419E-3</v>
      </c>
      <c r="F388" s="30">
        <f>AMZN[[#This Row],[Stopa zwrotu]]</f>
        <v>-2.1134591791754178E-3</v>
      </c>
      <c r="H388" s="9">
        <v>45125</v>
      </c>
      <c r="I388" s="30">
        <v>8.2451846143150043E-3</v>
      </c>
      <c r="J388" s="30">
        <v>9.5500774045838011E-3</v>
      </c>
      <c r="K388" s="30">
        <v>-9.6385301204818807E-3</v>
      </c>
      <c r="L388" s="30">
        <v>2.0887707155955226E-2</v>
      </c>
      <c r="M388" s="31">
        <v>-1.3962922470231454E-2</v>
      </c>
      <c r="O388" s="9">
        <v>45183</v>
      </c>
      <c r="P388" s="30">
        <v>-2.6029369957732751E-2</v>
      </c>
      <c r="Q388" s="30">
        <v>1.2312464867292983E-2</v>
      </c>
      <c r="R388" s="30">
        <v>1.5786000967183078E-2</v>
      </c>
      <c r="S388" s="30">
        <v>6.6774349527976007E-3</v>
      </c>
      <c r="T388" s="31">
        <v>1.4765401248150845E-2</v>
      </c>
      <c r="V388" s="9">
        <v>45217</v>
      </c>
      <c r="W388" s="30">
        <v>-2.5883759393437566E-2</v>
      </c>
      <c r="X388" s="30">
        <v>-5.4837379949727039E-3</v>
      </c>
      <c r="Y388" s="30">
        <v>1.2704559414042915E-3</v>
      </c>
      <c r="Z388" s="30">
        <v>-5.2468638206534246E-3</v>
      </c>
      <c r="AA388" s="31">
        <v>-9.3233232440115277E-3</v>
      </c>
    </row>
    <row r="389" spans="1:27" x14ac:dyDescent="0.25">
      <c r="A389" s="7">
        <f>NFLX[[#This Row],[Date]]</f>
        <v>45125</v>
      </c>
      <c r="B389" s="30">
        <f>NFLX[[#This Row],[Stopa zwrotu]]</f>
        <v>8.2451846143150043E-3</v>
      </c>
      <c r="C389" s="30">
        <f>META[[#This Row],[Stopa zwrotu]]</f>
        <v>9.5500774045838011E-3</v>
      </c>
      <c r="D389" s="30">
        <f>GOOG[[#This Row],[Stopa zwrotu]]</f>
        <v>-9.6385301204818807E-3</v>
      </c>
      <c r="E389" s="30">
        <f>EBAY[[#This Row],[Stopa zwrotu]]</f>
        <v>2.0887707155955226E-2</v>
      </c>
      <c r="F389" s="30">
        <f>AMZN[[#This Row],[Stopa zwrotu]]</f>
        <v>-1.3962922470231454E-2</v>
      </c>
      <c r="H389" s="9">
        <v>45126</v>
      </c>
      <c r="I389" s="30">
        <v>4.7283749381175078E-2</v>
      </c>
      <c r="J389" s="30">
        <v>9.4271960442622316E-3</v>
      </c>
      <c r="K389" s="30">
        <v>-6.7315651241306451E-3</v>
      </c>
      <c r="L389" s="30">
        <v>2.2165410151978371E-2</v>
      </c>
      <c r="M389" s="31">
        <v>8.9835778157483226E-3</v>
      </c>
      <c r="O389" s="9">
        <v>45184</v>
      </c>
      <c r="P389" s="30">
        <v>-1.2425002500000115E-2</v>
      </c>
      <c r="Q389" s="30">
        <v>-2.0588135660715712E-2</v>
      </c>
      <c r="R389" s="30">
        <v>8.7549249781826433E-4</v>
      </c>
      <c r="S389" s="30">
        <v>1.2580031734217068E-2</v>
      </c>
      <c r="T389" s="31">
        <v>-2.0007002868282608E-2</v>
      </c>
      <c r="V389" s="9">
        <v>45218</v>
      </c>
      <c r="W389" s="30">
        <v>0.13787601161304175</v>
      </c>
      <c r="X389" s="30">
        <v>-1.2073767347406283E-2</v>
      </c>
      <c r="Y389" s="30">
        <v>-7.5697342191016759E-4</v>
      </c>
      <c r="Z389" s="30">
        <v>-1.7981299879676338E-2</v>
      </c>
      <c r="AA389" s="31">
        <v>-3.1370872380664938E-4</v>
      </c>
    </row>
    <row r="390" spans="1:27" x14ac:dyDescent="0.25">
      <c r="A390" s="7">
        <f>NFLX[[#This Row],[Date]]</f>
        <v>45126</v>
      </c>
      <c r="B390" s="30">
        <f>NFLX[[#This Row],[Stopa zwrotu]]</f>
        <v>4.7283749381175078E-2</v>
      </c>
      <c r="C390" s="30">
        <f>META[[#This Row],[Stopa zwrotu]]</f>
        <v>9.4271960442622316E-3</v>
      </c>
      <c r="D390" s="30">
        <f>GOOG[[#This Row],[Stopa zwrotu]]</f>
        <v>-6.7315651241306451E-3</v>
      </c>
      <c r="E390" s="30">
        <f>EBAY[[#This Row],[Stopa zwrotu]]</f>
        <v>2.2165410151978371E-2</v>
      </c>
      <c r="F390" s="30">
        <f>AMZN[[#This Row],[Stopa zwrotu]]</f>
        <v>8.9835778157483226E-3</v>
      </c>
      <c r="H390" s="9">
        <v>45127</v>
      </c>
      <c r="I390" s="30">
        <v>-8.085106382978724E-2</v>
      </c>
      <c r="J390" s="30">
        <v>-2.6729319509282812E-2</v>
      </c>
      <c r="K390" s="30">
        <v>-3.0905552127822755E-2</v>
      </c>
      <c r="L390" s="30">
        <v>1.2510634122406827E-3</v>
      </c>
      <c r="M390" s="31">
        <v>-2.4145454041692105E-2</v>
      </c>
      <c r="O390" s="9">
        <v>45187</v>
      </c>
      <c r="P390" s="30">
        <v>-2.0504712774146818E-3</v>
      </c>
      <c r="Q390" s="30">
        <v>-1.0599854951185799E-3</v>
      </c>
      <c r="R390" s="30">
        <v>1.0934830708149157E-3</v>
      </c>
      <c r="S390" s="30">
        <v>-3.4635870792862158E-3</v>
      </c>
      <c r="T390" s="31">
        <v>-2.0700859562687115E-3</v>
      </c>
      <c r="V390" s="9">
        <v>45219</v>
      </c>
      <c r="W390" s="30">
        <v>1.4658644402726573E-2</v>
      </c>
      <c r="X390" s="30">
        <v>-1.6936644747393648E-2</v>
      </c>
      <c r="Y390" s="30">
        <v>-1.6991420620862119E-2</v>
      </c>
      <c r="Z390" s="30">
        <v>-6.5917970359326006E-3</v>
      </c>
      <c r="AA390" s="31">
        <v>-1.9612457679356265E-2</v>
      </c>
    </row>
    <row r="391" spans="1:27" x14ac:dyDescent="0.25">
      <c r="A391" s="7">
        <f>NFLX[[#This Row],[Date]]</f>
        <v>45127</v>
      </c>
      <c r="B391" s="30">
        <f>NFLX[[#This Row],[Stopa zwrotu]]</f>
        <v>-8.085106382978724E-2</v>
      </c>
      <c r="C391" s="30">
        <f>META[[#This Row],[Stopa zwrotu]]</f>
        <v>-2.6729319509282812E-2</v>
      </c>
      <c r="D391" s="30">
        <f>GOOG[[#This Row],[Stopa zwrotu]]</f>
        <v>-3.0905552127822755E-2</v>
      </c>
      <c r="E391" s="30">
        <f>EBAY[[#This Row],[Stopa zwrotu]]</f>
        <v>1.2510634122406827E-3</v>
      </c>
      <c r="F391" s="30">
        <f>AMZN[[#This Row],[Stopa zwrotu]]</f>
        <v>-2.4145454041692105E-2</v>
      </c>
      <c r="H391" s="9">
        <v>45128</v>
      </c>
      <c r="I391" s="30">
        <v>-2.0393513888888881E-2</v>
      </c>
      <c r="J391" s="30">
        <v>-3.6463466890134799E-2</v>
      </c>
      <c r="K391" s="30">
        <v>3.2438977670961044E-3</v>
      </c>
      <c r="L391" s="30">
        <v>6.0391711786755842E-3</v>
      </c>
      <c r="M391" s="31">
        <v>-7.0362946410532645E-3</v>
      </c>
      <c r="O391" s="9">
        <v>45188</v>
      </c>
      <c r="P391" s="30">
        <v>-5.9857513094383474E-3</v>
      </c>
      <c r="Q391" s="30">
        <v>6.7495301578051059E-3</v>
      </c>
      <c r="R391" s="30">
        <v>-9.4459780045785813E-4</v>
      </c>
      <c r="S391" s="30">
        <v>-8.9021454256529298E-3</v>
      </c>
      <c r="T391" s="31">
        <v>-2.6289347606023861E-2</v>
      </c>
      <c r="V391" s="9">
        <v>45222</v>
      </c>
      <c r="W391" s="30">
        <v>4.2710734838051029E-4</v>
      </c>
      <c r="X391" s="30">
        <v>8.5925647689522044E-4</v>
      </c>
      <c r="Y391" s="30">
        <v>-2.7768457353851694E-3</v>
      </c>
      <c r="Z391" s="30">
        <v>-4.5875154727823926E-3</v>
      </c>
      <c r="AA391" s="31">
        <v>-2.6406283963567776E-3</v>
      </c>
    </row>
    <row r="392" spans="1:27" x14ac:dyDescent="0.25">
      <c r="A392" s="7">
        <f>NFLX[[#This Row],[Date]]</f>
        <v>45128</v>
      </c>
      <c r="B392" s="30">
        <f>NFLX[[#This Row],[Stopa zwrotu]]</f>
        <v>-2.0393513888888881E-2</v>
      </c>
      <c r="C392" s="30">
        <f>META[[#This Row],[Stopa zwrotu]]</f>
        <v>-3.6463466890134799E-2</v>
      </c>
      <c r="D392" s="30">
        <f>GOOG[[#This Row],[Stopa zwrotu]]</f>
        <v>3.2438977670961044E-3</v>
      </c>
      <c r="E392" s="30">
        <f>EBAY[[#This Row],[Stopa zwrotu]]</f>
        <v>6.0391711786755842E-3</v>
      </c>
      <c r="F392" s="30">
        <f>AMZN[[#This Row],[Stopa zwrotu]]</f>
        <v>-7.0362946410532645E-3</v>
      </c>
      <c r="H392" s="9">
        <v>45131</v>
      </c>
      <c r="I392" s="30">
        <v>-3.1506730476428637E-3</v>
      </c>
      <c r="J392" s="30">
        <v>-3.3196244053268855E-3</v>
      </c>
      <c r="K392" s="30">
        <v>6.4667758461409708E-3</v>
      </c>
      <c r="L392" s="30">
        <v>-1.1729938348237952E-3</v>
      </c>
      <c r="M392" s="31">
        <v>-1.8167471601004959E-4</v>
      </c>
      <c r="O392" s="9">
        <v>45189</v>
      </c>
      <c r="P392" s="30">
        <v>-1.0582972453555328E-2</v>
      </c>
      <c r="Q392" s="30">
        <v>-1.2674860829691159E-3</v>
      </c>
      <c r="R392" s="30">
        <v>-2.1672698181818162E-2</v>
      </c>
      <c r="S392" s="30">
        <v>5.7577156037640354E-3</v>
      </c>
      <c r="T392" s="31">
        <v>-2.6556580503933613E-3</v>
      </c>
      <c r="V392" s="9">
        <v>45223</v>
      </c>
      <c r="W392" s="30">
        <v>2.476670248026136E-2</v>
      </c>
      <c r="X392" s="30">
        <v>1.0967893283606811E-2</v>
      </c>
      <c r="Y392" s="30">
        <v>2.6941003427273902E-2</v>
      </c>
      <c r="Z392" s="30">
        <v>9.2200097378516421E-3</v>
      </c>
      <c r="AA392" s="31">
        <v>1.9035271357430217E-2</v>
      </c>
    </row>
    <row r="393" spans="1:27" x14ac:dyDescent="0.25">
      <c r="A393" s="7">
        <f>NFLX[[#This Row],[Date]]</f>
        <v>45131</v>
      </c>
      <c r="B393" s="30">
        <f>NFLX[[#This Row],[Stopa zwrotu]]</f>
        <v>-3.1506730476428637E-3</v>
      </c>
      <c r="C393" s="30">
        <f>META[[#This Row],[Stopa zwrotu]]</f>
        <v>-3.3196244053268855E-3</v>
      </c>
      <c r="D393" s="30">
        <f>GOOG[[#This Row],[Stopa zwrotu]]</f>
        <v>6.4667758461409708E-3</v>
      </c>
      <c r="E393" s="30">
        <f>EBAY[[#This Row],[Stopa zwrotu]]</f>
        <v>-1.1729938348237952E-3</v>
      </c>
      <c r="F393" s="30">
        <f>AMZN[[#This Row],[Stopa zwrotu]]</f>
        <v>-1.8167471601004959E-4</v>
      </c>
      <c r="H393" s="9">
        <v>45132</v>
      </c>
      <c r="I393" s="30">
        <v>1.6555745525629106E-2</v>
      </c>
      <c r="J393" s="30">
        <v>1.2348238460557992E-2</v>
      </c>
      <c r="K393" s="30">
        <v>1.2358049407432681E-3</v>
      </c>
      <c r="L393" s="30">
        <v>-1.2463024770732467E-3</v>
      </c>
      <c r="M393" s="31">
        <v>1.4023606668160937E-3</v>
      </c>
      <c r="O393" s="9">
        <v>45190</v>
      </c>
      <c r="P393" s="30">
        <v>-6.9925982465632863E-3</v>
      </c>
      <c r="Q393" s="30">
        <v>-2.0572434772758386E-2</v>
      </c>
      <c r="R393" s="30">
        <v>-2.5498125914417802E-2</v>
      </c>
      <c r="S393" s="30">
        <v>-1.877719344067752E-2</v>
      </c>
      <c r="T393" s="31">
        <v>-4.3565082327627458E-2</v>
      </c>
      <c r="V393" s="9">
        <v>45224</v>
      </c>
      <c r="W393" s="30">
        <v>4.2115868087519992E-3</v>
      </c>
      <c r="X393" s="30">
        <v>-3.7955151821215671E-2</v>
      </c>
      <c r="Y393" s="30">
        <v>-9.1243272072072057E-2</v>
      </c>
      <c r="Z393" s="30">
        <v>-3.1851876543209756E-2</v>
      </c>
      <c r="AA393" s="31">
        <v>-4.3929042074688618E-2</v>
      </c>
    </row>
    <row r="394" spans="1:27" x14ac:dyDescent="0.25">
      <c r="A394" s="7">
        <f>NFLX[[#This Row],[Date]]</f>
        <v>45132</v>
      </c>
      <c r="B394" s="30">
        <f>NFLX[[#This Row],[Stopa zwrotu]]</f>
        <v>1.6555745525629106E-2</v>
      </c>
      <c r="C394" s="30">
        <f>META[[#This Row],[Stopa zwrotu]]</f>
        <v>1.2348238460557992E-2</v>
      </c>
      <c r="D394" s="30">
        <f>GOOG[[#This Row],[Stopa zwrotu]]</f>
        <v>1.2358049407432681E-3</v>
      </c>
      <c r="E394" s="30">
        <f>EBAY[[#This Row],[Stopa zwrotu]]</f>
        <v>-1.2463024770732467E-3</v>
      </c>
      <c r="F394" s="30">
        <f>AMZN[[#This Row],[Stopa zwrotu]]</f>
        <v>1.4023606668160937E-3</v>
      </c>
      <c r="H394" s="9">
        <v>45133</v>
      </c>
      <c r="I394" s="30">
        <v>-2.4734256861353887E-2</v>
      </c>
      <c r="J394" s="30">
        <v>1.3708285498603701E-4</v>
      </c>
      <c r="K394" s="30">
        <v>5.9080128849503089E-2</v>
      </c>
      <c r="L394" s="30">
        <v>6.2393924193249184E-4</v>
      </c>
      <c r="M394" s="31">
        <v>-1.8828273701301468E-2</v>
      </c>
      <c r="O394" s="9">
        <v>45191</v>
      </c>
      <c r="P394" s="30">
        <v>-1.3197088906259036E-2</v>
      </c>
      <c r="Q394" s="30">
        <v>1.7049136248305397E-2</v>
      </c>
      <c r="R394" s="30">
        <v>-4.4244489869388337E-3</v>
      </c>
      <c r="S394" s="30">
        <v>3.500630268407523E-3</v>
      </c>
      <c r="T394" s="31">
        <v>-6.1093033192994861E-3</v>
      </c>
      <c r="V394" s="9">
        <v>45225</v>
      </c>
      <c r="W394" s="30">
        <v>-2.0896774800545304E-2</v>
      </c>
      <c r="X394" s="30">
        <v>-6.5051540155956933E-2</v>
      </c>
      <c r="Y394" s="30">
        <v>-2.9899247518415439E-2</v>
      </c>
      <c r="Z394" s="30">
        <v>-2.4993599209222284E-2</v>
      </c>
      <c r="AA394" s="31">
        <v>-2.0200372380160925E-2</v>
      </c>
    </row>
    <row r="395" spans="1:27" x14ac:dyDescent="0.25">
      <c r="A395" s="7">
        <f>NFLX[[#This Row],[Date]]</f>
        <v>45133</v>
      </c>
      <c r="B395" s="30">
        <f>NFLX[[#This Row],[Stopa zwrotu]]</f>
        <v>-2.4734256861353887E-2</v>
      </c>
      <c r="C395" s="30">
        <f>META[[#This Row],[Stopa zwrotu]]</f>
        <v>1.3708285498603701E-4</v>
      </c>
      <c r="D395" s="30">
        <f>GOOG[[#This Row],[Stopa zwrotu]]</f>
        <v>5.9080128849503089E-2</v>
      </c>
      <c r="E395" s="30">
        <f>EBAY[[#This Row],[Stopa zwrotu]]</f>
        <v>6.2393924193249184E-4</v>
      </c>
      <c r="F395" s="30">
        <f>AMZN[[#This Row],[Stopa zwrotu]]</f>
        <v>-1.8828273701301468E-2</v>
      </c>
      <c r="H395" s="9">
        <v>45134</v>
      </c>
      <c r="I395" s="30">
        <v>-8.9270459724926088E-3</v>
      </c>
      <c r="J395" s="30">
        <v>6.1459412020405946E-2</v>
      </c>
      <c r="K395" s="30">
        <v>3.6515109505044219E-3</v>
      </c>
      <c r="L395" s="30">
        <v>-9.9979253793821332E-2</v>
      </c>
      <c r="M395" s="31">
        <v>1.3321703169283161E-2</v>
      </c>
      <c r="O395" s="9">
        <v>45194</v>
      </c>
      <c r="P395" s="30">
        <v>2.1584497102673517E-3</v>
      </c>
      <c r="Q395" s="30">
        <v>-5.1072039522778168E-3</v>
      </c>
      <c r="R395" s="30">
        <v>-1.2259495272118153E-3</v>
      </c>
      <c r="S395" s="30">
        <v>-3.3333333333333361E-3</v>
      </c>
      <c r="T395" s="31">
        <v>6.4840749097183625E-4</v>
      </c>
      <c r="V395" s="9">
        <v>45226</v>
      </c>
      <c r="W395" s="30">
        <v>-1.4743273066968432E-2</v>
      </c>
      <c r="X395" s="30">
        <v>4.8568386869757951E-2</v>
      </c>
      <c r="Y395" s="30">
        <v>-7.03074722040542E-3</v>
      </c>
      <c r="Z395" s="30">
        <v>-7.8472403871304719E-3</v>
      </c>
      <c r="AA395" s="31">
        <v>6.0583009050832359E-2</v>
      </c>
    </row>
    <row r="396" spans="1:27" x14ac:dyDescent="0.25">
      <c r="A396" s="7">
        <f>NFLX[[#This Row],[Date]]</f>
        <v>45134</v>
      </c>
      <c r="B396" s="30">
        <f>NFLX[[#This Row],[Stopa zwrotu]]</f>
        <v>-8.9270459724926088E-3</v>
      </c>
      <c r="C396" s="30">
        <f>META[[#This Row],[Stopa zwrotu]]</f>
        <v>6.1459412020405946E-2</v>
      </c>
      <c r="D396" s="30">
        <f>GOOG[[#This Row],[Stopa zwrotu]]</f>
        <v>3.6515109505044219E-3</v>
      </c>
      <c r="E396" s="30">
        <f>EBAY[[#This Row],[Stopa zwrotu]]</f>
        <v>-9.9979253793821332E-2</v>
      </c>
      <c r="F396" s="30">
        <f>AMZN[[#This Row],[Stopa zwrotu]]</f>
        <v>1.3321703169283161E-2</v>
      </c>
      <c r="H396" s="9">
        <v>45135</v>
      </c>
      <c r="I396" s="30">
        <v>4.5644483276143788E-3</v>
      </c>
      <c r="J396" s="30">
        <v>1.4233165688525284E-2</v>
      </c>
      <c r="K396" s="30">
        <v>1.3469616769525627E-2</v>
      </c>
      <c r="L396" s="30">
        <v>1.5473487655276896E-2</v>
      </c>
      <c r="M396" s="31">
        <v>1.2051028937702268E-2</v>
      </c>
      <c r="O396" s="9">
        <v>45195</v>
      </c>
      <c r="P396" s="30">
        <v>-9.0596702243096461E-3</v>
      </c>
      <c r="Q396" s="30">
        <v>7.86516140830118E-3</v>
      </c>
      <c r="R396" s="30">
        <v>-1.4150557672464537E-2</v>
      </c>
      <c r="S396" s="30">
        <v>1.9262367864693486E-2</v>
      </c>
      <c r="T396" s="31">
        <v>-2.7102623993084607E-2</v>
      </c>
      <c r="V396" s="9">
        <v>45229</v>
      </c>
      <c r="W396" s="30">
        <v>3.1933075913752607E-3</v>
      </c>
      <c r="X396" s="30">
        <v>6.9176445588820341E-3</v>
      </c>
      <c r="Y396" s="30">
        <v>6.6414128654817732E-3</v>
      </c>
      <c r="Z396" s="30">
        <v>7.0303190087006584E-4</v>
      </c>
      <c r="AA396" s="31">
        <v>8.0730854914429582E-3</v>
      </c>
    </row>
    <row r="397" spans="1:27" x14ac:dyDescent="0.25">
      <c r="A397" s="7">
        <f>NFLX[[#This Row],[Date]]</f>
        <v>45135</v>
      </c>
      <c r="B397" s="30">
        <f>NFLX[[#This Row],[Stopa zwrotu]]</f>
        <v>4.5644483276143788E-3</v>
      </c>
      <c r="C397" s="30">
        <f>META[[#This Row],[Stopa zwrotu]]</f>
        <v>1.4233165688525284E-2</v>
      </c>
      <c r="D397" s="30">
        <f>GOOG[[#This Row],[Stopa zwrotu]]</f>
        <v>1.3469616769525627E-2</v>
      </c>
      <c r="E397" s="30">
        <f>EBAY[[#This Row],[Stopa zwrotu]]</f>
        <v>1.5473487655276896E-2</v>
      </c>
      <c r="F397" s="30">
        <f>AMZN[[#This Row],[Stopa zwrotu]]</f>
        <v>1.2051028937702268E-2</v>
      </c>
      <c r="H397" s="9">
        <v>45138</v>
      </c>
      <c r="I397" s="30">
        <v>1.0102456896853443E-2</v>
      </c>
      <c r="J397" s="30">
        <v>3.5428225934765281E-3</v>
      </c>
      <c r="K397" s="30">
        <v>3.0807796580219668E-3</v>
      </c>
      <c r="L397" s="30">
        <v>2.8807292196028436E-3</v>
      </c>
      <c r="M397" s="31">
        <v>7.8610349566581306E-3</v>
      </c>
      <c r="O397" s="9">
        <v>45196</v>
      </c>
      <c r="P397" s="30">
        <v>-2.9414486011282159E-3</v>
      </c>
      <c r="Q397" s="30">
        <v>-3.1147598691003808E-2</v>
      </c>
      <c r="R397" s="30">
        <v>9.2831186631856522E-3</v>
      </c>
      <c r="S397" s="30">
        <v>-2.2585826747772098E-2</v>
      </c>
      <c r="T397" s="31">
        <v>-9.1794540962599758E-3</v>
      </c>
      <c r="V397" s="9">
        <v>45230</v>
      </c>
      <c r="W397" s="30">
        <v>1.3069279556653157E-2</v>
      </c>
      <c r="X397" s="30">
        <v>-7.3232004276154727E-3</v>
      </c>
      <c r="Y397" s="30">
        <v>3.6330320543997985E-4</v>
      </c>
      <c r="Z397" s="30">
        <v>1.2628361622118334E-2</v>
      </c>
      <c r="AA397" s="31">
        <v>2.450224835877779E-2</v>
      </c>
    </row>
    <row r="398" spans="1:27" x14ac:dyDescent="0.25">
      <c r="A398" s="7">
        <f>NFLX[[#This Row],[Date]]</f>
        <v>45138</v>
      </c>
      <c r="B398" s="30">
        <f>NFLX[[#This Row],[Stopa zwrotu]]</f>
        <v>1.0102456896853443E-2</v>
      </c>
      <c r="C398" s="30">
        <f>META[[#This Row],[Stopa zwrotu]]</f>
        <v>3.5428225934765281E-3</v>
      </c>
      <c r="D398" s="30">
        <f>GOOG[[#This Row],[Stopa zwrotu]]</f>
        <v>3.0807796580219668E-3</v>
      </c>
      <c r="E398" s="30">
        <f>EBAY[[#This Row],[Stopa zwrotu]]</f>
        <v>2.8807292196028436E-3</v>
      </c>
      <c r="F398" s="30">
        <f>AMZN[[#This Row],[Stopa zwrotu]]</f>
        <v>7.8610349566581306E-3</v>
      </c>
      <c r="H398" s="9">
        <v>45139</v>
      </c>
      <c r="I398" s="30">
        <v>1.1963420463432017E-2</v>
      </c>
      <c r="J398" s="30">
        <v>-9.2257062152548697E-3</v>
      </c>
      <c r="K398" s="30">
        <v>-1.0444296887750948E-2</v>
      </c>
      <c r="L398" s="30">
        <v>-1.8038309719878631E-2</v>
      </c>
      <c r="M398" s="31">
        <v>-5.7411238200211212E-3</v>
      </c>
      <c r="O398" s="9">
        <v>45197</v>
      </c>
      <c r="P398" s="30">
        <v>-1.3687691694352133E-2</v>
      </c>
      <c r="Q398" s="30">
        <v>3.4554910174712683E-2</v>
      </c>
      <c r="R398" s="30">
        <v>1.0125188973365562E-2</v>
      </c>
      <c r="S398" s="30">
        <v>7.3096203725537823E-3</v>
      </c>
      <c r="T398" s="31">
        <v>-8.781084559278618E-3</v>
      </c>
      <c r="V398" s="9">
        <v>45231</v>
      </c>
      <c r="W398" s="30">
        <v>2.3601779111759313E-2</v>
      </c>
      <c r="X398" s="30">
        <v>1.6809341952907619E-2</v>
      </c>
      <c r="Y398" s="30">
        <v>8.0693966172427078E-3</v>
      </c>
      <c r="Z398" s="30">
        <v>-7.0148346575817921E-3</v>
      </c>
      <c r="AA398" s="31">
        <v>1.5184875056608371E-2</v>
      </c>
    </row>
    <row r="399" spans="1:27" x14ac:dyDescent="0.25">
      <c r="A399" s="7">
        <f>NFLX[[#This Row],[Date]]</f>
        <v>45139</v>
      </c>
      <c r="B399" s="30">
        <f>NFLX[[#This Row],[Stopa zwrotu]]</f>
        <v>1.1963420463432017E-2</v>
      </c>
      <c r="C399" s="30">
        <f>META[[#This Row],[Stopa zwrotu]]</f>
        <v>-9.2257062152548697E-3</v>
      </c>
      <c r="D399" s="30">
        <f>GOOG[[#This Row],[Stopa zwrotu]]</f>
        <v>-1.0444296887750948E-2</v>
      </c>
      <c r="E399" s="30">
        <f>EBAY[[#This Row],[Stopa zwrotu]]</f>
        <v>-1.8038309719878631E-2</v>
      </c>
      <c r="F399" s="30">
        <f>AMZN[[#This Row],[Stopa zwrotu]]</f>
        <v>-5.7411238200211212E-3</v>
      </c>
      <c r="H399" s="9">
        <v>45140</v>
      </c>
      <c r="I399" s="30">
        <v>-1.1219276929336219E-2</v>
      </c>
      <c r="J399" s="30">
        <v>-1.2743945684307589E-2</v>
      </c>
      <c r="K399" s="30">
        <v>-2.2179747609942679E-2</v>
      </c>
      <c r="L399" s="30">
        <v>-1.6991917726565275E-2</v>
      </c>
      <c r="M399" s="31">
        <v>-3.6468585187227842E-2</v>
      </c>
      <c r="O399" s="9">
        <v>45198</v>
      </c>
      <c r="P399" s="30">
        <v>1.1452438510604512E-2</v>
      </c>
      <c r="Q399" s="30">
        <v>8.9651934358532248E-3</v>
      </c>
      <c r="R399" s="30">
        <v>4.8206059404605206E-3</v>
      </c>
      <c r="S399" s="30">
        <v>2.7855781183151018E-2</v>
      </c>
      <c r="T399" s="31">
        <v>2.6657989055120179E-2</v>
      </c>
      <c r="V399" s="9">
        <v>45232</v>
      </c>
      <c r="W399" s="30">
        <v>7.0501063531573926E-3</v>
      </c>
      <c r="X399" s="30">
        <v>2.14675529938535E-2</v>
      </c>
      <c r="Y399" s="30">
        <v>2.5495280556447231E-2</v>
      </c>
      <c r="Z399" s="30">
        <v>5.2331238819158798E-4</v>
      </c>
      <c r="AA399" s="31">
        <v>2.0641641279698808E-2</v>
      </c>
    </row>
    <row r="400" spans="1:27" x14ac:dyDescent="0.25">
      <c r="A400" s="7">
        <f>NFLX[[#This Row],[Date]]</f>
        <v>45140</v>
      </c>
      <c r="B400" s="30">
        <f>NFLX[[#This Row],[Stopa zwrotu]]</f>
        <v>-1.1219276929336219E-2</v>
      </c>
      <c r="C400" s="30">
        <f>META[[#This Row],[Stopa zwrotu]]</f>
        <v>-1.2743945684307589E-2</v>
      </c>
      <c r="D400" s="30">
        <f>GOOG[[#This Row],[Stopa zwrotu]]</f>
        <v>-2.2179747609942679E-2</v>
      </c>
      <c r="E400" s="30">
        <f>EBAY[[#This Row],[Stopa zwrotu]]</f>
        <v>-1.6991917726565275E-2</v>
      </c>
      <c r="F400" s="30">
        <f>AMZN[[#This Row],[Stopa zwrotu]]</f>
        <v>-3.6468585187227842E-2</v>
      </c>
      <c r="H400" s="9">
        <v>45141</v>
      </c>
      <c r="I400" s="30">
        <v>1.4769411172024238E-3</v>
      </c>
      <c r="J400" s="30">
        <v>-2.3177241715960362E-3</v>
      </c>
      <c r="K400" s="30">
        <v>-5.865936736267896E-4</v>
      </c>
      <c r="L400" s="30">
        <v>1.1913080777550045E-2</v>
      </c>
      <c r="M400" s="31">
        <v>-3.2328970193975515E-3</v>
      </c>
      <c r="O400" s="9">
        <v>45201</v>
      </c>
      <c r="P400" s="30">
        <v>1.2876710419803168E-3</v>
      </c>
      <c r="Q400" s="30">
        <v>2.5276368628002199E-3</v>
      </c>
      <c r="R400" s="30">
        <v>1.8910421369888002E-3</v>
      </c>
      <c r="S400" s="30">
        <v>-4.5547635314658512E-3</v>
      </c>
      <c r="T400" s="31">
        <v>5.8053884314968052E-4</v>
      </c>
      <c r="V400" s="9">
        <v>45233</v>
      </c>
      <c r="W400" s="30">
        <v>2.0210963506914759E-2</v>
      </c>
      <c r="X400" s="30">
        <v>8.7244254967648871E-3</v>
      </c>
      <c r="Y400" s="30">
        <v>7.0251658182407528E-3</v>
      </c>
      <c r="Z400" s="30">
        <v>3.3211190731632367E-2</v>
      </c>
      <c r="AA400" s="31">
        <v>7.1810360725357292E-3</v>
      </c>
    </row>
    <row r="401" spans="1:27" x14ac:dyDescent="0.25">
      <c r="A401" s="7">
        <f>NFLX[[#This Row],[Date]]</f>
        <v>45141</v>
      </c>
      <c r="B401" s="30">
        <f>NFLX[[#This Row],[Stopa zwrotu]]</f>
        <v>1.4769411172024238E-3</v>
      </c>
      <c r="C401" s="30">
        <f>META[[#This Row],[Stopa zwrotu]]</f>
        <v>-2.3177241715960362E-3</v>
      </c>
      <c r="D401" s="30">
        <f>GOOG[[#This Row],[Stopa zwrotu]]</f>
        <v>-5.865936736267896E-4</v>
      </c>
      <c r="E401" s="30">
        <f>EBAY[[#This Row],[Stopa zwrotu]]</f>
        <v>1.1913080777550045E-2</v>
      </c>
      <c r="F401" s="30">
        <f>AMZN[[#This Row],[Stopa zwrotu]]</f>
        <v>-3.2328970193975515E-3</v>
      </c>
      <c r="H401" s="9">
        <v>45142</v>
      </c>
      <c r="I401" s="30">
        <v>-2.1536388859587641E-3</v>
      </c>
      <c r="J401" s="30">
        <v>8.712257803329404E-4</v>
      </c>
      <c r="K401" s="30">
        <v>4.226178763824251E-3</v>
      </c>
      <c r="L401" s="30">
        <v>-8.5410664819944859E-3</v>
      </c>
      <c r="M401" s="31">
        <v>0.10212801670348814</v>
      </c>
      <c r="O401" s="9">
        <v>45202</v>
      </c>
      <c r="P401" s="30">
        <v>-1.0482967425147538E-2</v>
      </c>
      <c r="Q401" s="30">
        <v>-6.5974537248042475E-3</v>
      </c>
      <c r="R401" s="30">
        <v>5.6790216078594913E-3</v>
      </c>
      <c r="S401" s="30">
        <v>-2.2165850330966297E-2</v>
      </c>
      <c r="T401" s="31">
        <v>-1.8097052172458938E-2</v>
      </c>
      <c r="V401" s="9">
        <v>45236</v>
      </c>
      <c r="W401" s="30">
        <v>3.1960034228593801E-3</v>
      </c>
      <c r="X401" s="30">
        <v>3.6761013453704785E-3</v>
      </c>
      <c r="Y401" s="30">
        <v>2.3770716369688749E-3</v>
      </c>
      <c r="Z401" s="30">
        <v>4.3870836608663755E-3</v>
      </c>
      <c r="AA401" s="31">
        <v>2.2068728503986299E-3</v>
      </c>
    </row>
    <row r="402" spans="1:27" x14ac:dyDescent="0.25">
      <c r="A402" s="7">
        <f>NFLX[[#This Row],[Date]]</f>
        <v>45142</v>
      </c>
      <c r="B402" s="30">
        <f>NFLX[[#This Row],[Stopa zwrotu]]</f>
        <v>-2.1536388859587641E-3</v>
      </c>
      <c r="C402" s="30">
        <f>META[[#This Row],[Stopa zwrotu]]</f>
        <v>8.712257803329404E-4</v>
      </c>
      <c r="D402" s="30">
        <f>GOOG[[#This Row],[Stopa zwrotu]]</f>
        <v>4.226178763824251E-3</v>
      </c>
      <c r="E402" s="30">
        <f>EBAY[[#This Row],[Stopa zwrotu]]</f>
        <v>-8.5410664819944859E-3</v>
      </c>
      <c r="F402" s="30">
        <f>AMZN[[#This Row],[Stopa zwrotu]]</f>
        <v>0.10212801670348814</v>
      </c>
      <c r="H402" s="9">
        <v>45145</v>
      </c>
      <c r="I402" s="30">
        <v>2.0644310477132923E-3</v>
      </c>
      <c r="J402" s="30">
        <v>2.7936706419814011E-4</v>
      </c>
      <c r="K402" s="30">
        <v>2.8964942592345131E-3</v>
      </c>
      <c r="L402" s="30">
        <v>-6.9848659607718577E-4</v>
      </c>
      <c r="M402" s="31">
        <v>-8.8527605849653135E-4</v>
      </c>
      <c r="O402" s="9">
        <v>45203</v>
      </c>
      <c r="P402" s="30">
        <v>1.9578409233014238E-3</v>
      </c>
      <c r="Q402" s="30">
        <v>-3.8046153481871015E-3</v>
      </c>
      <c r="R402" s="30">
        <v>4.6304332397630876E-3</v>
      </c>
      <c r="S402" s="30">
        <v>4.486493718370399E-3</v>
      </c>
      <c r="T402" s="31">
        <v>1.1509054325955725E-2</v>
      </c>
      <c r="V402" s="9">
        <v>45237</v>
      </c>
      <c r="W402" s="30">
        <v>3.2355276844879821E-3</v>
      </c>
      <c r="X402" s="30">
        <v>2.1306502605571431E-3</v>
      </c>
      <c r="Y402" s="30">
        <v>9.3127535225834279E-3</v>
      </c>
      <c r="Z402" s="30">
        <v>2.9978267049171059E-3</v>
      </c>
      <c r="AA402" s="31">
        <v>1.5466890608073935E-2</v>
      </c>
    </row>
    <row r="403" spans="1:27" x14ac:dyDescent="0.25">
      <c r="A403" s="7">
        <f>NFLX[[#This Row],[Date]]</f>
        <v>45145</v>
      </c>
      <c r="B403" s="30">
        <f>NFLX[[#This Row],[Stopa zwrotu]]</f>
        <v>2.0644310477132923E-3</v>
      </c>
      <c r="C403" s="30">
        <f>META[[#This Row],[Stopa zwrotu]]</f>
        <v>2.7936706419814011E-4</v>
      </c>
      <c r="D403" s="30">
        <f>GOOG[[#This Row],[Stopa zwrotu]]</f>
        <v>2.8964942592345131E-3</v>
      </c>
      <c r="E403" s="30">
        <f>EBAY[[#This Row],[Stopa zwrotu]]</f>
        <v>-6.9848659607718577E-4</v>
      </c>
      <c r="F403" s="30">
        <f>AMZN[[#This Row],[Stopa zwrotu]]</f>
        <v>-8.8527605849653135E-4</v>
      </c>
      <c r="H403" s="9">
        <v>45146</v>
      </c>
      <c r="I403" s="30">
        <v>1.4431936635360021E-2</v>
      </c>
      <c r="J403" s="30">
        <v>-1.1273787610204256E-3</v>
      </c>
      <c r="K403" s="30">
        <v>5.4084218331065248E-3</v>
      </c>
      <c r="L403" s="30">
        <v>-7.932827626392136E-3</v>
      </c>
      <c r="M403" s="31">
        <v>-3.8143145839723003E-3</v>
      </c>
      <c r="O403" s="9">
        <v>45204</v>
      </c>
      <c r="P403" s="30">
        <v>-1.6970922481455153E-2</v>
      </c>
      <c r="Q403" s="30">
        <v>3.3500837520938909E-3</v>
      </c>
      <c r="R403" s="30">
        <v>7.6819984544256315E-3</v>
      </c>
      <c r="S403" s="30">
        <v>-9.8731074312855549E-3</v>
      </c>
      <c r="T403" s="31">
        <v>-1.0741549968173225E-2</v>
      </c>
      <c r="V403" s="9">
        <v>45238</v>
      </c>
      <c r="W403" s="30">
        <v>6.218081206496473E-3</v>
      </c>
      <c r="X403" s="30">
        <v>-7.615829011422548E-4</v>
      </c>
      <c r="Y403" s="30">
        <v>7.7779854184687469E-3</v>
      </c>
      <c r="Z403" s="30">
        <v>-7.4221764671394075E-2</v>
      </c>
      <c r="AA403" s="31">
        <v>5.1245622775799582E-3</v>
      </c>
    </row>
    <row r="404" spans="1:27" x14ac:dyDescent="0.25">
      <c r="A404" s="7">
        <f>NFLX[[#This Row],[Date]]</f>
        <v>45146</v>
      </c>
      <c r="B404" s="30">
        <f>NFLX[[#This Row],[Stopa zwrotu]]</f>
        <v>1.4431936635360021E-2</v>
      </c>
      <c r="C404" s="30">
        <f>META[[#This Row],[Stopa zwrotu]]</f>
        <v>-1.1273787610204256E-3</v>
      </c>
      <c r="D404" s="30">
        <f>GOOG[[#This Row],[Stopa zwrotu]]</f>
        <v>5.4084218331065248E-3</v>
      </c>
      <c r="E404" s="30">
        <f>EBAY[[#This Row],[Stopa zwrotu]]</f>
        <v>-7.932827626392136E-3</v>
      </c>
      <c r="F404" s="30">
        <f>AMZN[[#This Row],[Stopa zwrotu]]</f>
        <v>-3.8143145839723003E-3</v>
      </c>
      <c r="H404" s="9">
        <v>45147</v>
      </c>
      <c r="I404" s="30">
        <v>-1.7260422653269325E-2</v>
      </c>
      <c r="J404" s="30">
        <v>-2.3410981107235163E-2</v>
      </c>
      <c r="K404" s="30">
        <v>-4.8028892337320661E-3</v>
      </c>
      <c r="L404" s="30">
        <v>1.9285042333019753E-2</v>
      </c>
      <c r="M404" s="31">
        <v>-9.5361365342598869E-3</v>
      </c>
      <c r="O404" s="9">
        <v>45205</v>
      </c>
      <c r="P404" s="30">
        <v>1.4431952250080204E-3</v>
      </c>
      <c r="Q404" s="30">
        <v>4.7078597662770783E-3</v>
      </c>
      <c r="R404" s="30">
        <v>3.6071547565035278E-3</v>
      </c>
      <c r="S404" s="30">
        <v>2.374216580584454E-3</v>
      </c>
      <c r="T404" s="31">
        <v>-1.6086624047507714E-3</v>
      </c>
      <c r="V404" s="9">
        <v>45239</v>
      </c>
      <c r="W404" s="30">
        <v>1.544947912780481E-3</v>
      </c>
      <c r="X404" s="30">
        <v>1.244913280536819E-2</v>
      </c>
      <c r="Y404" s="30">
        <v>-4.9183488220837512E-3</v>
      </c>
      <c r="Z404" s="30">
        <v>7.0756016720797232E-2</v>
      </c>
      <c r="AA404" s="31">
        <v>-9.7720223072366164E-3</v>
      </c>
    </row>
    <row r="405" spans="1:27" x14ac:dyDescent="0.25">
      <c r="A405" s="7">
        <f>NFLX[[#This Row],[Date]]</f>
        <v>45147</v>
      </c>
      <c r="B405" s="30">
        <f>NFLX[[#This Row],[Stopa zwrotu]]</f>
        <v>-1.7260422653269325E-2</v>
      </c>
      <c r="C405" s="30">
        <f>META[[#This Row],[Stopa zwrotu]]</f>
        <v>-2.3410981107235163E-2</v>
      </c>
      <c r="D405" s="30">
        <f>GOOG[[#This Row],[Stopa zwrotu]]</f>
        <v>-4.8028892337320661E-3</v>
      </c>
      <c r="E405" s="30">
        <f>EBAY[[#This Row],[Stopa zwrotu]]</f>
        <v>1.9285042333019753E-2</v>
      </c>
      <c r="F405" s="30">
        <f>AMZN[[#This Row],[Stopa zwrotu]]</f>
        <v>-9.5361365342598869E-3</v>
      </c>
      <c r="H405" s="9">
        <v>45148</v>
      </c>
      <c r="I405" s="30">
        <v>2.5725718802831476E-3</v>
      </c>
      <c r="J405" s="30">
        <v>3.3679675740208026E-3</v>
      </c>
      <c r="K405" s="30">
        <v>4.0924982011310007E-3</v>
      </c>
      <c r="L405" s="30">
        <v>-6.6913013382556841E-3</v>
      </c>
      <c r="M405" s="31">
        <v>2.8446315312340431E-3</v>
      </c>
      <c r="O405" s="9">
        <v>45208</v>
      </c>
      <c r="P405" s="30">
        <v>9.0545914555306695E-3</v>
      </c>
      <c r="Q405" s="30">
        <v>1.208556584468575E-2</v>
      </c>
      <c r="R405" s="30">
        <v>4.3475988684215467E-3</v>
      </c>
      <c r="S405" s="30">
        <v>3.3159481292606894E-3</v>
      </c>
      <c r="T405" s="31">
        <v>1.6917882199470509E-3</v>
      </c>
      <c r="V405" s="9">
        <v>45240</v>
      </c>
      <c r="W405" s="30">
        <v>2.6706664762887744E-3</v>
      </c>
      <c r="X405" s="30">
        <v>2.0702729762964722E-3</v>
      </c>
      <c r="Y405" s="30">
        <v>-4.8665502572637909E-3</v>
      </c>
      <c r="Z405" s="30">
        <v>-1.130655807302916E-2</v>
      </c>
      <c r="AA405" s="31">
        <v>5.0062930493766089E-4</v>
      </c>
    </row>
    <row r="406" spans="1:27" x14ac:dyDescent="0.25">
      <c r="A406" s="7">
        <f>NFLX[[#This Row],[Date]]</f>
        <v>45148</v>
      </c>
      <c r="B406" s="30">
        <f>NFLX[[#This Row],[Stopa zwrotu]]</f>
        <v>2.5725718802831476E-3</v>
      </c>
      <c r="C406" s="30">
        <f>META[[#This Row],[Stopa zwrotu]]</f>
        <v>3.3679675740208026E-3</v>
      </c>
      <c r="D406" s="30">
        <f>GOOG[[#This Row],[Stopa zwrotu]]</f>
        <v>4.0924982011310007E-3</v>
      </c>
      <c r="E406" s="30">
        <f>EBAY[[#This Row],[Stopa zwrotu]]</f>
        <v>-6.6913013382556841E-3</v>
      </c>
      <c r="F406" s="30">
        <f>AMZN[[#This Row],[Stopa zwrotu]]</f>
        <v>2.8446315312340431E-3</v>
      </c>
      <c r="H406" s="9">
        <v>45149</v>
      </c>
      <c r="I406" s="30">
        <v>-1.716861826882532E-2</v>
      </c>
      <c r="J406" s="30">
        <v>-1.155102529948715E-2</v>
      </c>
      <c r="K406" s="30">
        <v>-9.8819853152769532E-3</v>
      </c>
      <c r="L406" s="30">
        <v>6.7363764630983258E-3</v>
      </c>
      <c r="M406" s="31">
        <v>-3.5639317927146363E-3</v>
      </c>
      <c r="O406" s="9">
        <v>45209</v>
      </c>
      <c r="P406" s="30">
        <v>-1.4586006602445911E-2</v>
      </c>
      <c r="Q406" s="30">
        <v>2.0332232883312207E-2</v>
      </c>
      <c r="R406" s="30">
        <v>1.2655420906849013E-2</v>
      </c>
      <c r="S406" s="30">
        <v>1.4774883085714841E-2</v>
      </c>
      <c r="T406" s="31">
        <v>2.6370639205343993E-2</v>
      </c>
      <c r="V406" s="9">
        <v>45243</v>
      </c>
      <c r="W406" s="30">
        <v>5.426584798820115E-3</v>
      </c>
      <c r="X406" s="30">
        <v>6.5110093864618373E-3</v>
      </c>
      <c r="Y406" s="30">
        <v>4.8394311723885712E-3</v>
      </c>
      <c r="Z406" s="30">
        <v>-6.3532404753870635E-3</v>
      </c>
      <c r="AA406" s="31">
        <v>1.8106734764537318E-3</v>
      </c>
    </row>
    <row r="407" spans="1:27" x14ac:dyDescent="0.25">
      <c r="A407" s="7">
        <f>NFLX[[#This Row],[Date]]</f>
        <v>45149</v>
      </c>
      <c r="B407" s="30">
        <f>NFLX[[#This Row],[Stopa zwrotu]]</f>
        <v>-1.716861826882532E-2</v>
      </c>
      <c r="C407" s="30">
        <f>META[[#This Row],[Stopa zwrotu]]</f>
        <v>-1.155102529948715E-2</v>
      </c>
      <c r="D407" s="30">
        <f>GOOG[[#This Row],[Stopa zwrotu]]</f>
        <v>-9.8819853152769532E-3</v>
      </c>
      <c r="E407" s="30">
        <f>EBAY[[#This Row],[Stopa zwrotu]]</f>
        <v>6.7363764630983258E-3</v>
      </c>
      <c r="F407" s="30">
        <f>AMZN[[#This Row],[Stopa zwrotu]]</f>
        <v>-3.5639317927146363E-3</v>
      </c>
      <c r="H407" s="9">
        <v>45152</v>
      </c>
      <c r="I407" s="30">
        <v>-2.017411592401134E-3</v>
      </c>
      <c r="J407" s="30">
        <v>-2.3416179533147044E-3</v>
      </c>
      <c r="K407" s="30">
        <v>2.1747469255664065E-3</v>
      </c>
      <c r="L407" s="30">
        <v>2.6918858637132725E-3</v>
      </c>
      <c r="M407" s="31">
        <v>1.8248175182481823E-3</v>
      </c>
      <c r="O407" s="9">
        <v>45210</v>
      </c>
      <c r="P407" s="30">
        <v>-1.8562804566823465E-2</v>
      </c>
      <c r="Q407" s="30">
        <v>1.5055343034255264E-2</v>
      </c>
      <c r="R407" s="30">
        <v>1.0185675585492548E-2</v>
      </c>
      <c r="S407" s="30">
        <v>-1.1324266235267055E-2</v>
      </c>
      <c r="T407" s="31">
        <v>1.2182725212431356E-2</v>
      </c>
      <c r="V407" s="9">
        <v>45244</v>
      </c>
      <c r="W407" s="30">
        <v>6.8685245340913692E-3</v>
      </c>
      <c r="X407" s="30">
        <v>2.342638845220546E-2</v>
      </c>
      <c r="Y407" s="30">
        <v>1.7549159673144299E-2</v>
      </c>
      <c r="Z407" s="30">
        <v>2.4093291403797457E-2</v>
      </c>
      <c r="AA407" s="31">
        <v>2.850639835794988E-2</v>
      </c>
    </row>
    <row r="408" spans="1:27" x14ac:dyDescent="0.25">
      <c r="A408" s="7">
        <f>NFLX[[#This Row],[Date]]</f>
        <v>45152</v>
      </c>
      <c r="B408" s="30">
        <f>NFLX[[#This Row],[Stopa zwrotu]]</f>
        <v>-2.017411592401134E-3</v>
      </c>
      <c r="C408" s="30">
        <f>META[[#This Row],[Stopa zwrotu]]</f>
        <v>-2.3416179533147044E-3</v>
      </c>
      <c r="D408" s="30">
        <f>GOOG[[#This Row],[Stopa zwrotu]]</f>
        <v>2.1747469255664065E-3</v>
      </c>
      <c r="E408" s="30">
        <f>EBAY[[#This Row],[Stopa zwrotu]]</f>
        <v>2.6918858637132725E-3</v>
      </c>
      <c r="F408" s="30">
        <f>AMZN[[#This Row],[Stopa zwrotu]]</f>
        <v>1.8248175182481823E-3</v>
      </c>
      <c r="H408" s="9">
        <v>45153</v>
      </c>
      <c r="I408" s="30">
        <v>5.3966521930288724E-3</v>
      </c>
      <c r="J408" s="30">
        <v>5.9681441743502095E-3</v>
      </c>
      <c r="K408" s="30">
        <v>1.7671425809748786E-3</v>
      </c>
      <c r="L408" s="30">
        <v>-1.7166400026697226E-2</v>
      </c>
      <c r="M408" s="31">
        <v>-3.7749836660616598E-3</v>
      </c>
      <c r="O408" s="9">
        <v>45211</v>
      </c>
      <c r="P408" s="30">
        <v>-1.7216861194688349E-2</v>
      </c>
      <c r="Q408" s="30">
        <v>-8.0510912010745006E-4</v>
      </c>
      <c r="R408" s="30">
        <v>-2.7888945305749591E-3</v>
      </c>
      <c r="S408" s="30">
        <v>-1.823279612512374E-2</v>
      </c>
      <c r="T408" s="31">
        <v>1.2498996894537484E-2</v>
      </c>
      <c r="V408" s="9">
        <v>45245</v>
      </c>
      <c r="W408" s="30">
        <v>1.5281385806434011E-2</v>
      </c>
      <c r="X408" s="30">
        <v>-9.9300936882105173E-3</v>
      </c>
      <c r="Y408" s="30">
        <v>1.7024129517804187E-3</v>
      </c>
      <c r="Z408" s="30">
        <v>2.3273514375752979E-2</v>
      </c>
      <c r="AA408" s="31">
        <v>-1.4445653173345008E-2</v>
      </c>
    </row>
    <row r="409" spans="1:27" x14ac:dyDescent="0.25">
      <c r="A409" s="7">
        <f>NFLX[[#This Row],[Date]]</f>
        <v>45153</v>
      </c>
      <c r="B409" s="30">
        <f>NFLX[[#This Row],[Stopa zwrotu]]</f>
        <v>5.3966521930288724E-3</v>
      </c>
      <c r="C409" s="30">
        <f>META[[#This Row],[Stopa zwrotu]]</f>
        <v>5.9681441743502095E-3</v>
      </c>
      <c r="D409" s="30">
        <f>GOOG[[#This Row],[Stopa zwrotu]]</f>
        <v>1.7671425809748786E-3</v>
      </c>
      <c r="E409" s="30">
        <f>EBAY[[#This Row],[Stopa zwrotu]]</f>
        <v>-1.7166400026697226E-2</v>
      </c>
      <c r="F409" s="30">
        <f>AMZN[[#This Row],[Stopa zwrotu]]</f>
        <v>-3.7749836660616598E-3</v>
      </c>
      <c r="H409" s="9">
        <v>45154</v>
      </c>
      <c r="I409" s="30">
        <v>-1.3751683631566758E-2</v>
      </c>
      <c r="J409" s="30">
        <v>-1.9164750255523666E-2</v>
      </c>
      <c r="K409" s="30">
        <v>-1.0468367496283326E-2</v>
      </c>
      <c r="L409" s="30">
        <v>-3.4931998950443743E-3</v>
      </c>
      <c r="M409" s="31">
        <v>-1.6177228482903927E-2</v>
      </c>
      <c r="O409" s="9">
        <v>45212</v>
      </c>
      <c r="P409" s="30">
        <v>-1.9495892588638708E-2</v>
      </c>
      <c r="Q409" s="30">
        <v>-3.1981179881736654E-2</v>
      </c>
      <c r="R409" s="30">
        <v>-1.0613094527352374E-2</v>
      </c>
      <c r="S409" s="30">
        <v>-1.7380952380952275E-2</v>
      </c>
      <c r="T409" s="31">
        <v>-1.7374068959051137E-2</v>
      </c>
      <c r="V409" s="9">
        <v>45246</v>
      </c>
      <c r="W409" s="30">
        <v>1.5913320386871765E-2</v>
      </c>
      <c r="X409" s="30">
        <v>-1.1029586453322415E-2</v>
      </c>
      <c r="Y409" s="30">
        <v>5.5420083419492894E-3</v>
      </c>
      <c r="Z409" s="30">
        <v>-1.8541408688716676E-2</v>
      </c>
      <c r="AA409" s="31">
        <v>-2.1530206088230863E-2</v>
      </c>
    </row>
    <row r="410" spans="1:27" x14ac:dyDescent="0.25">
      <c r="A410" s="7">
        <f>NFLX[[#This Row],[Date]]</f>
        <v>45154</v>
      </c>
      <c r="B410" s="30">
        <f>NFLX[[#This Row],[Stopa zwrotu]]</f>
        <v>-1.3751683631566758E-2</v>
      </c>
      <c r="C410" s="30">
        <f>META[[#This Row],[Stopa zwrotu]]</f>
        <v>-1.9164750255523666E-2</v>
      </c>
      <c r="D410" s="30">
        <f>GOOG[[#This Row],[Stopa zwrotu]]</f>
        <v>-1.0468367496283326E-2</v>
      </c>
      <c r="E410" s="30">
        <f>EBAY[[#This Row],[Stopa zwrotu]]</f>
        <v>-3.4931998950443743E-3</v>
      </c>
      <c r="F410" s="30">
        <f>AMZN[[#This Row],[Stopa zwrotu]]</f>
        <v>-1.6177228482903927E-2</v>
      </c>
      <c r="H410" s="9">
        <v>45155</v>
      </c>
      <c r="I410" s="30">
        <v>-3.2919959060806692E-2</v>
      </c>
      <c r="J410" s="30">
        <v>-3.1704455048608193E-2</v>
      </c>
      <c r="K410" s="30">
        <v>1.0820480493979767E-2</v>
      </c>
      <c r="L410" s="30">
        <v>-9.3482119806442832E-4</v>
      </c>
      <c r="M410" s="31">
        <v>-1.096212173032074E-2</v>
      </c>
      <c r="O410" s="9">
        <v>45215</v>
      </c>
      <c r="P410" s="30">
        <v>2.57539278768563E-3</v>
      </c>
      <c r="Q410" s="30">
        <v>3.3613919928513112E-3</v>
      </c>
      <c r="R410" s="30">
        <v>3.261593076309429E-3</v>
      </c>
      <c r="S410" s="30">
        <v>4.9269122041838047E-3</v>
      </c>
      <c r="T410" s="31">
        <v>3.8257620122318001E-3</v>
      </c>
      <c r="V410" s="9">
        <v>45247</v>
      </c>
      <c r="W410" s="30">
        <v>6.7660525195176735E-3</v>
      </c>
      <c r="X410" s="30">
        <v>9.0998252175404915E-3</v>
      </c>
      <c r="Y410" s="30">
        <v>-4.4092151027452786E-3</v>
      </c>
      <c r="Z410" s="30">
        <v>3.0226447601349182E-3</v>
      </c>
      <c r="AA410" s="31">
        <v>2.1645562739519564E-2</v>
      </c>
    </row>
    <row r="411" spans="1:27" x14ac:dyDescent="0.25">
      <c r="A411" s="7">
        <f>NFLX[[#This Row],[Date]]</f>
        <v>45155</v>
      </c>
      <c r="B411" s="30">
        <f>NFLX[[#This Row],[Stopa zwrotu]]</f>
        <v>-3.2919959060806692E-2</v>
      </c>
      <c r="C411" s="30">
        <f>META[[#This Row],[Stopa zwrotu]]</f>
        <v>-3.1704455048608193E-2</v>
      </c>
      <c r="D411" s="30">
        <f>GOOG[[#This Row],[Stopa zwrotu]]</f>
        <v>1.0820480493979767E-2</v>
      </c>
      <c r="E411" s="30">
        <f>EBAY[[#This Row],[Stopa zwrotu]]</f>
        <v>-9.3482119806442832E-4</v>
      </c>
      <c r="F411" s="30">
        <f>AMZN[[#This Row],[Stopa zwrotu]]</f>
        <v>-1.096212173032074E-2</v>
      </c>
      <c r="H411" s="9">
        <v>45156</v>
      </c>
      <c r="I411" s="30">
        <v>-8.5412448603919833E-3</v>
      </c>
      <c r="J411" s="30">
        <v>-3.7094250060954681E-2</v>
      </c>
      <c r="K411" s="30">
        <v>-2.1948447195297094E-2</v>
      </c>
      <c r="L411" s="30">
        <v>-1.2163742690058599E-2</v>
      </c>
      <c r="M411" s="31">
        <v>-1.7823747605959395E-2</v>
      </c>
      <c r="O411" s="9">
        <v>45216</v>
      </c>
      <c r="P411" s="30">
        <v>-2.480407101176807E-3</v>
      </c>
      <c r="Q411" s="30">
        <v>5.6414777575310993E-3</v>
      </c>
      <c r="R411" s="30">
        <v>-5.6775765163433745E-3</v>
      </c>
      <c r="S411" s="30">
        <v>1.1938633907864205E-3</v>
      </c>
      <c r="T411" s="31">
        <v>-1.3187043565968781E-2</v>
      </c>
      <c r="V411" s="9">
        <v>45250</v>
      </c>
      <c r="W411" s="30">
        <v>1.9016221100579915E-3</v>
      </c>
      <c r="X411" s="30">
        <v>4.8985333857864966E-3</v>
      </c>
      <c r="Y411" s="30">
        <v>2.4626021787987895E-5</v>
      </c>
      <c r="Z411" s="30">
        <v>-5.1900133936045494E-3</v>
      </c>
      <c r="AA411" s="31">
        <v>5.1213767072374834E-3</v>
      </c>
    </row>
    <row r="412" spans="1:27" x14ac:dyDescent="0.25">
      <c r="A412" s="7">
        <f>NFLX[[#This Row],[Date]]</f>
        <v>45156</v>
      </c>
      <c r="B412" s="30">
        <f>NFLX[[#This Row],[Stopa zwrotu]]</f>
        <v>-8.5412448603919833E-3</v>
      </c>
      <c r="C412" s="30">
        <f>META[[#This Row],[Stopa zwrotu]]</f>
        <v>-3.7094250060954681E-2</v>
      </c>
      <c r="D412" s="30">
        <f>GOOG[[#This Row],[Stopa zwrotu]]</f>
        <v>-2.1948447195297094E-2</v>
      </c>
      <c r="E412" s="30">
        <f>EBAY[[#This Row],[Stopa zwrotu]]</f>
        <v>-1.2163742690058599E-2</v>
      </c>
      <c r="F412" s="30">
        <f>AMZN[[#This Row],[Stopa zwrotu]]</f>
        <v>-1.7823747605959395E-2</v>
      </c>
      <c r="H412" s="9">
        <v>45159</v>
      </c>
      <c r="I412" s="30">
        <v>1.1302323415330513E-3</v>
      </c>
      <c r="J412" s="30">
        <v>9.0750065163579894E-3</v>
      </c>
      <c r="K412" s="30">
        <v>4.1995800524937305E-4</v>
      </c>
      <c r="L412" s="30">
        <v>4.1834241060857797E-3</v>
      </c>
      <c r="M412" s="31">
        <v>3.9649588800845237E-3</v>
      </c>
      <c r="O412" s="9">
        <v>45217</v>
      </c>
      <c r="P412" s="30">
        <v>-2.5883759393437566E-2</v>
      </c>
      <c r="Q412" s="30">
        <v>-5.4837379949727039E-3</v>
      </c>
      <c r="R412" s="30">
        <v>1.2704559414042915E-3</v>
      </c>
      <c r="S412" s="30">
        <v>-5.2468638206534246E-3</v>
      </c>
      <c r="T412" s="31">
        <v>-9.3233232440115277E-3</v>
      </c>
      <c r="V412" s="9">
        <v>45251</v>
      </c>
      <c r="W412" s="30">
        <v>1.2483878545129556E-2</v>
      </c>
      <c r="X412" s="30">
        <v>5.1168257271800854E-3</v>
      </c>
      <c r="Y412" s="30">
        <v>1.6348047223114337E-2</v>
      </c>
      <c r="Z412" s="30">
        <v>-5.6122702649932243E-3</v>
      </c>
      <c r="AA412" s="31">
        <v>-2.2317391620739091E-2</v>
      </c>
    </row>
    <row r="413" spans="1:27" x14ac:dyDescent="0.25">
      <c r="A413" s="7">
        <f>NFLX[[#This Row],[Date]]</f>
        <v>45159</v>
      </c>
      <c r="B413" s="30">
        <f>NFLX[[#This Row],[Stopa zwrotu]]</f>
        <v>1.1302323415330513E-3</v>
      </c>
      <c r="C413" s="30">
        <f>META[[#This Row],[Stopa zwrotu]]</f>
        <v>9.0750065163579894E-3</v>
      </c>
      <c r="D413" s="30">
        <f>GOOG[[#This Row],[Stopa zwrotu]]</f>
        <v>4.1995800524937305E-4</v>
      </c>
      <c r="E413" s="30">
        <f>EBAY[[#This Row],[Stopa zwrotu]]</f>
        <v>4.1834241060857797E-3</v>
      </c>
      <c r="F413" s="30">
        <f>AMZN[[#This Row],[Stopa zwrotu]]</f>
        <v>3.9649588800845237E-3</v>
      </c>
      <c r="H413" s="9">
        <v>45160</v>
      </c>
      <c r="I413" s="30">
        <v>1.9774703379223935E-2</v>
      </c>
      <c r="J413" s="30">
        <v>1.7385112278478942E-2</v>
      </c>
      <c r="K413" s="30">
        <v>1.3880142690149588E-2</v>
      </c>
      <c r="L413" s="30">
        <v>6.5482463306008043E-3</v>
      </c>
      <c r="M413" s="31">
        <v>7.6858484379402903E-3</v>
      </c>
      <c r="O413" s="9">
        <v>45218</v>
      </c>
      <c r="P413" s="30">
        <v>0.13787601161304175</v>
      </c>
      <c r="Q413" s="30">
        <v>-1.2073767347406283E-2</v>
      </c>
      <c r="R413" s="30">
        <v>-7.5697342191016759E-4</v>
      </c>
      <c r="S413" s="30">
        <v>-1.7981299879676338E-2</v>
      </c>
      <c r="T413" s="31">
        <v>-3.1370872380664938E-4</v>
      </c>
      <c r="V413" s="9">
        <v>45252</v>
      </c>
      <c r="W413" s="30">
        <v>1.135376393154619E-2</v>
      </c>
      <c r="X413" s="30">
        <v>7.9785443521027677E-3</v>
      </c>
      <c r="Y413" s="30">
        <v>9.4041464085667936E-3</v>
      </c>
      <c r="Z413" s="30">
        <v>3.8994356080041204E-2</v>
      </c>
      <c r="AA413" s="31">
        <v>2.1696162544169617E-2</v>
      </c>
    </row>
    <row r="414" spans="1:27" x14ac:dyDescent="0.25">
      <c r="A414" s="7">
        <f>NFLX[[#This Row],[Date]]</f>
        <v>45160</v>
      </c>
      <c r="B414" s="30">
        <f>NFLX[[#This Row],[Stopa zwrotu]]</f>
        <v>1.9774703379223935E-2</v>
      </c>
      <c r="C414" s="30">
        <f>META[[#This Row],[Stopa zwrotu]]</f>
        <v>1.7385112278478942E-2</v>
      </c>
      <c r="D414" s="30">
        <f>GOOG[[#This Row],[Stopa zwrotu]]</f>
        <v>1.3880142690149588E-2</v>
      </c>
      <c r="E414" s="30">
        <f>EBAY[[#This Row],[Stopa zwrotu]]</f>
        <v>6.5482463306008043E-3</v>
      </c>
      <c r="F414" s="30">
        <f>AMZN[[#This Row],[Stopa zwrotu]]</f>
        <v>7.6858484379402903E-3</v>
      </c>
      <c r="H414" s="9">
        <v>45161</v>
      </c>
      <c r="I414" s="30">
        <v>2.5306816769368856E-2</v>
      </c>
      <c r="J414" s="30">
        <v>3.2084149956408403E-3</v>
      </c>
      <c r="K414" s="30">
        <v>1.2293907024380601E-2</v>
      </c>
      <c r="L414" s="30">
        <v>4.8791588085697057E-3</v>
      </c>
      <c r="M414" s="31">
        <v>-3.8136171035255684E-3</v>
      </c>
      <c r="O414" s="9">
        <v>45219</v>
      </c>
      <c r="P414" s="30">
        <v>1.4658644402726573E-2</v>
      </c>
      <c r="Q414" s="30">
        <v>-1.6936644747393648E-2</v>
      </c>
      <c r="R414" s="30">
        <v>-1.6991420620862119E-2</v>
      </c>
      <c r="S414" s="30">
        <v>-6.5917970359326006E-3</v>
      </c>
      <c r="T414" s="31">
        <v>-1.9612457679356265E-2</v>
      </c>
      <c r="V414" s="9">
        <v>45254</v>
      </c>
      <c r="W414" s="30">
        <v>-1.4268780486271226E-3</v>
      </c>
      <c r="X414" s="30">
        <v>-2.6729252606416121E-3</v>
      </c>
      <c r="Y414" s="30">
        <v>-5.5035935251798729E-3</v>
      </c>
      <c r="Z414" s="30">
        <v>9.62961728395062E-3</v>
      </c>
      <c r="AA414" s="31">
        <v>2.5938990236059611E-3</v>
      </c>
    </row>
    <row r="415" spans="1:27" x14ac:dyDescent="0.25">
      <c r="A415" s="7">
        <f>NFLX[[#This Row],[Date]]</f>
        <v>45161</v>
      </c>
      <c r="B415" s="30">
        <f>NFLX[[#This Row],[Stopa zwrotu]]</f>
        <v>2.5306816769368856E-2</v>
      </c>
      <c r="C415" s="30">
        <f>META[[#This Row],[Stopa zwrotu]]</f>
        <v>3.2084149956408403E-3</v>
      </c>
      <c r="D415" s="30">
        <f>GOOG[[#This Row],[Stopa zwrotu]]</f>
        <v>1.2293907024380601E-2</v>
      </c>
      <c r="E415" s="30">
        <f>EBAY[[#This Row],[Stopa zwrotu]]</f>
        <v>4.8791588085697057E-3</v>
      </c>
      <c r="F415" s="30">
        <f>AMZN[[#This Row],[Stopa zwrotu]]</f>
        <v>-3.8136171035255684E-3</v>
      </c>
      <c r="H415" s="9">
        <v>45162</v>
      </c>
      <c r="I415" s="30">
        <v>-2.7626770363747499E-2</v>
      </c>
      <c r="J415" s="30">
        <v>-3.5804844212246056E-3</v>
      </c>
      <c r="K415" s="30">
        <v>-1.6090108654129853E-3</v>
      </c>
      <c r="L415" s="30">
        <v>-3.2369710982659283E-3</v>
      </c>
      <c r="M415" s="31">
        <v>-1.0433861203769212E-2</v>
      </c>
      <c r="O415" s="9">
        <v>45222</v>
      </c>
      <c r="P415" s="30">
        <v>4.2710734838051029E-4</v>
      </c>
      <c r="Q415" s="30">
        <v>8.5925647689522044E-4</v>
      </c>
      <c r="R415" s="30">
        <v>-2.7768457353851694E-3</v>
      </c>
      <c r="S415" s="30">
        <v>-4.5875154727823926E-3</v>
      </c>
      <c r="T415" s="31">
        <v>-2.6406283963567776E-3</v>
      </c>
      <c r="V415" s="9">
        <v>45257</v>
      </c>
      <c r="W415" s="30">
        <v>1.0521464380771246E-4</v>
      </c>
      <c r="X415" s="30">
        <v>-2.5437510110201491E-3</v>
      </c>
      <c r="Y415" s="30">
        <v>1.697146031639877E-4</v>
      </c>
      <c r="Z415" s="30">
        <v>-4.2797077910135721E-3</v>
      </c>
      <c r="AA415" s="31">
        <v>3.5783051767492116E-3</v>
      </c>
    </row>
    <row r="416" spans="1:27" x14ac:dyDescent="0.25">
      <c r="A416" s="7">
        <f>NFLX[[#This Row],[Date]]</f>
        <v>45162</v>
      </c>
      <c r="B416" s="30">
        <f>NFLX[[#This Row],[Stopa zwrotu]]</f>
        <v>-2.7626770363747499E-2</v>
      </c>
      <c r="C416" s="30">
        <f>META[[#This Row],[Stopa zwrotu]]</f>
        <v>-3.5804844212246056E-3</v>
      </c>
      <c r="D416" s="30">
        <f>GOOG[[#This Row],[Stopa zwrotu]]</f>
        <v>-1.6090108654129853E-3</v>
      </c>
      <c r="E416" s="30">
        <f>EBAY[[#This Row],[Stopa zwrotu]]</f>
        <v>-3.2369710982659283E-3</v>
      </c>
      <c r="F416" s="30">
        <f>AMZN[[#This Row],[Stopa zwrotu]]</f>
        <v>-1.0433861203769212E-2</v>
      </c>
      <c r="H416" s="9">
        <v>45163</v>
      </c>
      <c r="I416" s="30">
        <v>3.4221753342484895E-3</v>
      </c>
      <c r="J416" s="30">
        <v>-3.7015125051539033E-2</v>
      </c>
      <c r="K416" s="30">
        <v>-1.7344665755686828E-2</v>
      </c>
      <c r="L416" s="30">
        <v>6.263047871420957E-3</v>
      </c>
      <c r="M416" s="31">
        <v>-9.4819083746960908E-3</v>
      </c>
      <c r="O416" s="9">
        <v>45223</v>
      </c>
      <c r="P416" s="30">
        <v>2.476670248026136E-2</v>
      </c>
      <c r="Q416" s="30">
        <v>1.0967893283606811E-2</v>
      </c>
      <c r="R416" s="30">
        <v>2.6941003427273902E-2</v>
      </c>
      <c r="S416" s="30">
        <v>9.2200097378516421E-3</v>
      </c>
      <c r="T416" s="31">
        <v>1.9035271357430217E-2</v>
      </c>
      <c r="V416" s="9">
        <v>45258</v>
      </c>
      <c r="W416" s="30">
        <v>1.262240438469675E-3</v>
      </c>
      <c r="X416" s="30">
        <v>-2.3938299559367326E-3</v>
      </c>
      <c r="Y416" s="30">
        <v>-3.6353062777892964E-3</v>
      </c>
      <c r="Z416" s="30">
        <v>4.4171779141104484E-3</v>
      </c>
      <c r="AA416" s="31">
        <v>-9.1912170073796817E-3</v>
      </c>
    </row>
    <row r="417" spans="1:27" x14ac:dyDescent="0.25">
      <c r="A417" s="7">
        <f>NFLX[[#This Row],[Date]]</f>
        <v>45163</v>
      </c>
      <c r="B417" s="30">
        <f>NFLX[[#This Row],[Stopa zwrotu]]</f>
        <v>3.4221753342484895E-3</v>
      </c>
      <c r="C417" s="30">
        <f>META[[#This Row],[Stopa zwrotu]]</f>
        <v>-3.7015125051539033E-2</v>
      </c>
      <c r="D417" s="30">
        <f>GOOG[[#This Row],[Stopa zwrotu]]</f>
        <v>-1.7344665755686828E-2</v>
      </c>
      <c r="E417" s="30">
        <f>EBAY[[#This Row],[Stopa zwrotu]]</f>
        <v>6.263047871420957E-3</v>
      </c>
      <c r="F417" s="30">
        <f>AMZN[[#This Row],[Stopa zwrotu]]</f>
        <v>-9.4819083746960908E-3</v>
      </c>
      <c r="H417" s="9">
        <v>45166</v>
      </c>
      <c r="I417" s="30">
        <v>4.6700616907288479E-3</v>
      </c>
      <c r="J417" s="30">
        <v>1.1798221250582275E-2</v>
      </c>
      <c r="K417" s="30">
        <v>7.3154565074054672E-3</v>
      </c>
      <c r="L417" s="30">
        <v>1.3062701404732795E-3</v>
      </c>
      <c r="M417" s="31">
        <v>3.2419563499981319E-3</v>
      </c>
      <c r="O417" s="9">
        <v>45224</v>
      </c>
      <c r="P417" s="30">
        <v>4.2115868087519992E-3</v>
      </c>
      <c r="Q417" s="30">
        <v>-3.7955151821215671E-2</v>
      </c>
      <c r="R417" s="30">
        <v>-9.1243272072072057E-2</v>
      </c>
      <c r="S417" s="30">
        <v>-3.1851876543209756E-2</v>
      </c>
      <c r="T417" s="31">
        <v>-4.3929042074688618E-2</v>
      </c>
      <c r="V417" s="9">
        <v>45259</v>
      </c>
      <c r="W417" s="30">
        <v>-3.067595258302136E-3</v>
      </c>
      <c r="X417" s="30">
        <v>-7.8584134587597054E-3</v>
      </c>
      <c r="Y417" s="30">
        <v>-5.4363327353644797E-3</v>
      </c>
      <c r="Z417" s="30">
        <v>-8.5511360860004437E-3</v>
      </c>
      <c r="AA417" s="31">
        <v>3.0234453585065157E-3</v>
      </c>
    </row>
    <row r="418" spans="1:27" x14ac:dyDescent="0.25">
      <c r="A418" s="7">
        <f>NFLX[[#This Row],[Date]]</f>
        <v>45166</v>
      </c>
      <c r="B418" s="30">
        <f>NFLX[[#This Row],[Stopa zwrotu]]</f>
        <v>4.6700616907288479E-3</v>
      </c>
      <c r="C418" s="30">
        <f>META[[#This Row],[Stopa zwrotu]]</f>
        <v>1.1798221250582275E-2</v>
      </c>
      <c r="D418" s="30">
        <f>GOOG[[#This Row],[Stopa zwrotu]]</f>
        <v>7.3154565074054672E-3</v>
      </c>
      <c r="E418" s="30">
        <f>EBAY[[#This Row],[Stopa zwrotu]]</f>
        <v>1.3062701404732795E-3</v>
      </c>
      <c r="F418" s="30">
        <f>AMZN[[#This Row],[Stopa zwrotu]]</f>
        <v>3.2419563499981319E-3</v>
      </c>
      <c r="H418" s="9">
        <v>45167</v>
      </c>
      <c r="I418" s="30">
        <v>2.9762891880349418E-3</v>
      </c>
      <c r="J418" s="30">
        <v>8.3275195938778968E-3</v>
      </c>
      <c r="K418" s="30">
        <v>1.6278103953621503E-2</v>
      </c>
      <c r="L418" s="30">
        <v>8.4959588632826932E-3</v>
      </c>
      <c r="M418" s="31">
        <v>1.0618080669636099E-2</v>
      </c>
      <c r="O418" s="9">
        <v>45225</v>
      </c>
      <c r="P418" s="30">
        <v>-2.0896774800545304E-2</v>
      </c>
      <c r="Q418" s="30">
        <v>-6.5051540155956933E-2</v>
      </c>
      <c r="R418" s="30">
        <v>-2.9899247518415439E-2</v>
      </c>
      <c r="S418" s="30">
        <v>-2.4993599209222284E-2</v>
      </c>
      <c r="T418" s="31">
        <v>-2.0200372380160925E-2</v>
      </c>
      <c r="V418" s="9">
        <v>45260</v>
      </c>
      <c r="W418" s="30">
        <v>-8.5775824269759271E-3</v>
      </c>
      <c r="X418" s="30">
        <v>-2.533407408348165E-2</v>
      </c>
      <c r="Y418" s="30">
        <v>-2.5716314255347705E-2</v>
      </c>
      <c r="Z418" s="30">
        <v>-9.8571212490329296E-3</v>
      </c>
      <c r="AA418" s="31">
        <v>-1.1235178384358502E-2</v>
      </c>
    </row>
    <row r="419" spans="1:27" x14ac:dyDescent="0.25">
      <c r="A419" s="7">
        <f>NFLX[[#This Row],[Date]]</f>
        <v>45167</v>
      </c>
      <c r="B419" s="30">
        <f>NFLX[[#This Row],[Stopa zwrotu]]</f>
        <v>2.9762891880349418E-3</v>
      </c>
      <c r="C419" s="30">
        <f>META[[#This Row],[Stopa zwrotu]]</f>
        <v>8.3275195938778968E-3</v>
      </c>
      <c r="D419" s="30">
        <f>GOOG[[#This Row],[Stopa zwrotu]]</f>
        <v>1.6278103953621503E-2</v>
      </c>
      <c r="E419" s="30">
        <f>EBAY[[#This Row],[Stopa zwrotu]]</f>
        <v>8.4959588632826932E-3</v>
      </c>
      <c r="F419" s="30">
        <f>AMZN[[#This Row],[Stopa zwrotu]]</f>
        <v>1.0618080669636099E-2</v>
      </c>
      <c r="H419" s="9">
        <v>45168</v>
      </c>
      <c r="I419" s="30">
        <v>3.3413765983112187E-2</v>
      </c>
      <c r="J419" s="30">
        <v>1.8217780996337307E-2</v>
      </c>
      <c r="K419" s="30">
        <v>1.5348173119211106E-2</v>
      </c>
      <c r="L419" s="30">
        <v>7.7413482578028159E-3</v>
      </c>
      <c r="M419" s="31">
        <v>5.0281275797372516E-3</v>
      </c>
      <c r="O419" s="9">
        <v>45226</v>
      </c>
      <c r="P419" s="30">
        <v>-1.4743273066968432E-2</v>
      </c>
      <c r="Q419" s="30">
        <v>4.8568386869757951E-2</v>
      </c>
      <c r="R419" s="30">
        <v>-7.03074722040542E-3</v>
      </c>
      <c r="S419" s="30">
        <v>-7.8472403871304719E-3</v>
      </c>
      <c r="T419" s="31">
        <v>6.0583009050832359E-2</v>
      </c>
      <c r="V419" s="9">
        <v>45261</v>
      </c>
      <c r="W419" s="30">
        <v>-1.2371937500881725E-2</v>
      </c>
      <c r="X419" s="30">
        <v>-5.0867991021115166E-3</v>
      </c>
      <c r="Y419" s="30">
        <v>-4.804578911304036E-3</v>
      </c>
      <c r="Z419" s="30">
        <v>1.04529118964658E-2</v>
      </c>
      <c r="AA419" s="31">
        <v>8.4528579165403794E-3</v>
      </c>
    </row>
    <row r="420" spans="1:27" x14ac:dyDescent="0.25">
      <c r="A420" s="7">
        <f>NFLX[[#This Row],[Date]]</f>
        <v>45168</v>
      </c>
      <c r="B420" s="30">
        <f>NFLX[[#This Row],[Stopa zwrotu]]</f>
        <v>3.3413765983112187E-2</v>
      </c>
      <c r="C420" s="30">
        <f>META[[#This Row],[Stopa zwrotu]]</f>
        <v>1.8217780996337307E-2</v>
      </c>
      <c r="D420" s="30">
        <f>GOOG[[#This Row],[Stopa zwrotu]]</f>
        <v>1.5348173119211106E-2</v>
      </c>
      <c r="E420" s="30">
        <f>EBAY[[#This Row],[Stopa zwrotu]]</f>
        <v>7.7413482578028159E-3</v>
      </c>
      <c r="F420" s="30">
        <f>AMZN[[#This Row],[Stopa zwrotu]]</f>
        <v>5.0281275797372516E-3</v>
      </c>
      <c r="H420" s="9">
        <v>45169</v>
      </c>
      <c r="I420" s="30">
        <v>6.7234853733140199E-3</v>
      </c>
      <c r="J420" s="30">
        <v>7.599805927132941E-3</v>
      </c>
      <c r="K420" s="30">
        <v>1.332393519005004E-2</v>
      </c>
      <c r="L420" s="30">
        <v>6.5522144849621267E-3</v>
      </c>
      <c r="M420" s="31">
        <v>8.0645311837594935E-3</v>
      </c>
      <c r="O420" s="9">
        <v>45229</v>
      </c>
      <c r="P420" s="30">
        <v>3.1933075913752607E-3</v>
      </c>
      <c r="Q420" s="30">
        <v>6.9176445588820341E-3</v>
      </c>
      <c r="R420" s="30">
        <v>6.6414128654817732E-3</v>
      </c>
      <c r="S420" s="30">
        <v>7.0303190087006584E-4</v>
      </c>
      <c r="T420" s="31">
        <v>8.0730854914429582E-3</v>
      </c>
      <c r="V420" s="9">
        <v>45264</v>
      </c>
      <c r="W420" s="30">
        <v>-9.6140004498120133E-3</v>
      </c>
      <c r="X420" s="30">
        <v>-7.3783158526110242E-3</v>
      </c>
      <c r="Y420" s="30">
        <v>-6.9414995504456884E-3</v>
      </c>
      <c r="Z420" s="30">
        <v>6.4860512226298335E-3</v>
      </c>
      <c r="AA420" s="31">
        <v>-6.2750599874601036E-3</v>
      </c>
    </row>
    <row r="421" spans="1:27" x14ac:dyDescent="0.25">
      <c r="A421" s="7">
        <f>NFLX[[#This Row],[Date]]</f>
        <v>45169</v>
      </c>
      <c r="B421" s="30">
        <f>NFLX[[#This Row],[Stopa zwrotu]]</f>
        <v>6.7234853733140199E-3</v>
      </c>
      <c r="C421" s="30">
        <f>META[[#This Row],[Stopa zwrotu]]</f>
        <v>7.599805927132941E-3</v>
      </c>
      <c r="D421" s="30">
        <f>GOOG[[#This Row],[Stopa zwrotu]]</f>
        <v>1.332393519005004E-2</v>
      </c>
      <c r="E421" s="30">
        <f>EBAY[[#This Row],[Stopa zwrotu]]</f>
        <v>6.5522144849621267E-3</v>
      </c>
      <c r="F421" s="30">
        <f>AMZN[[#This Row],[Stopa zwrotu]]</f>
        <v>8.0645311837594935E-3</v>
      </c>
      <c r="H421" s="9">
        <v>45170</v>
      </c>
      <c r="I421" s="30">
        <v>1.0899014169030163E-2</v>
      </c>
      <c r="J421" s="30">
        <v>-4.0249035510395714E-3</v>
      </c>
      <c r="K421" s="30">
        <v>-6.4318444304714006E-3</v>
      </c>
      <c r="L421" s="30">
        <v>7.1829406775070215E-3</v>
      </c>
      <c r="M421" s="31">
        <v>1.3925962962963112E-2</v>
      </c>
      <c r="O421" s="9">
        <v>45230</v>
      </c>
      <c r="P421" s="30">
        <v>1.3069279556653157E-2</v>
      </c>
      <c r="Q421" s="30">
        <v>-7.3232004276154727E-3</v>
      </c>
      <c r="R421" s="30">
        <v>3.6330320543997985E-4</v>
      </c>
      <c r="S421" s="30">
        <v>1.2628361622118334E-2</v>
      </c>
      <c r="T421" s="31">
        <v>2.450224835877779E-2</v>
      </c>
      <c r="V421" s="9">
        <v>45265</v>
      </c>
      <c r="W421" s="30">
        <v>-3.5904808442247527E-3</v>
      </c>
      <c r="X421" s="30">
        <v>5.5155613656117097E-3</v>
      </c>
      <c r="Y421" s="30">
        <v>2.5502474134582176E-3</v>
      </c>
      <c r="Z421" s="30">
        <v>-9.6640978416067114E-3</v>
      </c>
      <c r="AA421" s="31">
        <v>2.2407884915733867E-3</v>
      </c>
    </row>
    <row r="422" spans="1:27" x14ac:dyDescent="0.25">
      <c r="A422" s="7">
        <f>NFLX[[#This Row],[Date]]</f>
        <v>45170</v>
      </c>
      <c r="B422" s="30">
        <f>NFLX[[#This Row],[Stopa zwrotu]]</f>
        <v>1.0899014169030163E-2</v>
      </c>
      <c r="C422" s="30">
        <f>META[[#This Row],[Stopa zwrotu]]</f>
        <v>-4.0249035510395714E-3</v>
      </c>
      <c r="D422" s="30">
        <f>GOOG[[#This Row],[Stopa zwrotu]]</f>
        <v>-6.4318444304714006E-3</v>
      </c>
      <c r="E422" s="30">
        <f>EBAY[[#This Row],[Stopa zwrotu]]</f>
        <v>7.1829406775070215E-3</v>
      </c>
      <c r="F422" s="30">
        <f>AMZN[[#This Row],[Stopa zwrotu]]</f>
        <v>1.3925962962963112E-2</v>
      </c>
      <c r="H422" s="9">
        <v>45174</v>
      </c>
      <c r="I422" s="30">
        <v>1.18712123118353E-3</v>
      </c>
      <c r="J422" s="30">
        <v>8.8294987305004291E-4</v>
      </c>
      <c r="K422" s="30">
        <v>-6.9884506842948779E-4</v>
      </c>
      <c r="L422" s="30">
        <v>-4.6244596528740856E-3</v>
      </c>
      <c r="M422" s="31">
        <v>-1.93599861426072E-3</v>
      </c>
      <c r="O422" s="9">
        <v>45231</v>
      </c>
      <c r="P422" s="30">
        <v>2.3601779111759313E-2</v>
      </c>
      <c r="Q422" s="30">
        <v>1.6809341952907619E-2</v>
      </c>
      <c r="R422" s="30">
        <v>8.0693966172427078E-3</v>
      </c>
      <c r="S422" s="30">
        <v>-7.0148346575817921E-3</v>
      </c>
      <c r="T422" s="31">
        <v>1.5184875056608371E-2</v>
      </c>
      <c r="V422" s="9">
        <v>45266</v>
      </c>
      <c r="W422" s="30">
        <v>-8.5634950650061992E-3</v>
      </c>
      <c r="X422" s="30">
        <v>5.2315987238846784E-3</v>
      </c>
      <c r="Y422" s="30">
        <v>1.2179157085613568E-2</v>
      </c>
      <c r="Z422" s="30">
        <v>1.0978213662931946E-2</v>
      </c>
      <c r="AA422" s="31">
        <v>8.0346116106122523E-3</v>
      </c>
    </row>
    <row r="423" spans="1:27" x14ac:dyDescent="0.25">
      <c r="A423" s="7">
        <f>NFLX[[#This Row],[Date]]</f>
        <v>45174</v>
      </c>
      <c r="B423" s="30">
        <f>NFLX[[#This Row],[Stopa zwrotu]]</f>
        <v>1.18712123118353E-3</v>
      </c>
      <c r="C423" s="30">
        <f>META[[#This Row],[Stopa zwrotu]]</f>
        <v>8.8294987305004291E-4</v>
      </c>
      <c r="D423" s="30">
        <f>GOOG[[#This Row],[Stopa zwrotu]]</f>
        <v>-6.9884506842948779E-4</v>
      </c>
      <c r="E423" s="30">
        <f>EBAY[[#This Row],[Stopa zwrotu]]</f>
        <v>-4.6244596528740856E-3</v>
      </c>
      <c r="F423" s="30">
        <f>AMZN[[#This Row],[Stopa zwrotu]]</f>
        <v>-1.93599861426072E-3</v>
      </c>
      <c r="H423" s="9">
        <v>45175</v>
      </c>
      <c r="I423" s="30">
        <v>5.6849086757990719E-3</v>
      </c>
      <c r="J423" s="30">
        <v>5.0757671457546394E-4</v>
      </c>
      <c r="K423" s="30">
        <v>-6.4177929539362966E-3</v>
      </c>
      <c r="L423" s="30">
        <v>-1.3851066897114683E-2</v>
      </c>
      <c r="M423" s="31">
        <v>-8.9088936654229123E-3</v>
      </c>
      <c r="O423" s="9">
        <v>45232</v>
      </c>
      <c r="P423" s="30">
        <v>7.0501063531573926E-3</v>
      </c>
      <c r="Q423" s="30">
        <v>2.14675529938535E-2</v>
      </c>
      <c r="R423" s="30">
        <v>2.5495280556447231E-2</v>
      </c>
      <c r="S423" s="30">
        <v>5.2331238819158798E-4</v>
      </c>
      <c r="T423" s="31">
        <v>2.0641641279698808E-2</v>
      </c>
      <c r="V423" s="9">
        <v>45267</v>
      </c>
      <c r="W423" s="30">
        <v>5.810683454293919E-3</v>
      </c>
      <c r="X423" s="30">
        <v>2.3024854254278804E-3</v>
      </c>
      <c r="Y423" s="30">
        <v>3.7468571128909778E-2</v>
      </c>
      <c r="Z423" s="30">
        <v>-2.4131033400844881E-3</v>
      </c>
      <c r="AA423" s="31">
        <v>7.3468048748739356E-3</v>
      </c>
    </row>
    <row r="424" spans="1:27" x14ac:dyDescent="0.25">
      <c r="A424" s="7">
        <f>NFLX[[#This Row],[Date]]</f>
        <v>45175</v>
      </c>
      <c r="B424" s="30">
        <f>NFLX[[#This Row],[Stopa zwrotu]]</f>
        <v>5.6849086757990719E-3</v>
      </c>
      <c r="C424" s="30">
        <f>META[[#This Row],[Stopa zwrotu]]</f>
        <v>5.0757671457546394E-4</v>
      </c>
      <c r="D424" s="30">
        <f>GOOG[[#This Row],[Stopa zwrotu]]</f>
        <v>-6.4177929539362966E-3</v>
      </c>
      <c r="E424" s="30">
        <f>EBAY[[#This Row],[Stopa zwrotu]]</f>
        <v>-1.3851066897114683E-2</v>
      </c>
      <c r="F424" s="30">
        <f>AMZN[[#This Row],[Stopa zwrotu]]</f>
        <v>-8.9088936654229123E-3</v>
      </c>
      <c r="H424" s="9">
        <v>45176</v>
      </c>
      <c r="I424" s="30">
        <v>-8.6040048265341174E-3</v>
      </c>
      <c r="J424" s="30">
        <v>-1.1634996122099728E-2</v>
      </c>
      <c r="K424" s="30">
        <v>-5.4198157930088753E-3</v>
      </c>
      <c r="L424" s="30">
        <v>-1.4275823163711676E-2</v>
      </c>
      <c r="M424" s="31">
        <v>-1.0771837079178281E-2</v>
      </c>
      <c r="O424" s="9">
        <v>45233</v>
      </c>
      <c r="P424" s="30">
        <v>2.0210963506914759E-2</v>
      </c>
      <c r="Q424" s="30">
        <v>8.7244254967648871E-3</v>
      </c>
      <c r="R424" s="30">
        <v>7.0251658182407528E-3</v>
      </c>
      <c r="S424" s="30">
        <v>3.3211190731632367E-2</v>
      </c>
      <c r="T424" s="31">
        <v>7.1810360725357292E-3</v>
      </c>
      <c r="V424" s="9">
        <v>45268</v>
      </c>
      <c r="W424" s="30">
        <v>5.442547648782492E-3</v>
      </c>
      <c r="X424" s="30">
        <v>1.6458479973072482E-2</v>
      </c>
      <c r="Y424" s="30">
        <v>-4.8446672493479559E-3</v>
      </c>
      <c r="Z424" s="30">
        <v>-4.3541364296082463E-3</v>
      </c>
      <c r="AA424" s="31">
        <v>4.1281135029058724E-4</v>
      </c>
    </row>
    <row r="425" spans="1:27" x14ac:dyDescent="0.25">
      <c r="A425" s="7">
        <f>NFLX[[#This Row],[Date]]</f>
        <v>45176</v>
      </c>
      <c r="B425" s="30">
        <f>NFLX[[#This Row],[Stopa zwrotu]]</f>
        <v>-8.6040048265341174E-3</v>
      </c>
      <c r="C425" s="30">
        <f>META[[#This Row],[Stopa zwrotu]]</f>
        <v>-1.1634996122099728E-2</v>
      </c>
      <c r="D425" s="30">
        <f>GOOG[[#This Row],[Stopa zwrotu]]</f>
        <v>-5.4198157930088753E-3</v>
      </c>
      <c r="E425" s="30">
        <f>EBAY[[#This Row],[Stopa zwrotu]]</f>
        <v>-1.4275823163711676E-2</v>
      </c>
      <c r="F425" s="30">
        <f>AMZN[[#This Row],[Stopa zwrotu]]</f>
        <v>-1.0771837079178281E-2</v>
      </c>
      <c r="H425" s="9">
        <v>45177</v>
      </c>
      <c r="I425" s="30">
        <v>4.9232744239082749E-3</v>
      </c>
      <c r="J425" s="30">
        <v>1.5604674506862315E-2</v>
      </c>
      <c r="K425" s="30">
        <v>1.4257897134926312E-2</v>
      </c>
      <c r="L425" s="30">
        <v>7.0074747253578984E-4</v>
      </c>
      <c r="M425" s="31">
        <v>2.6960017213577325E-2</v>
      </c>
      <c r="O425" s="9">
        <v>45236</v>
      </c>
      <c r="P425" s="30">
        <v>3.1960034228593801E-3</v>
      </c>
      <c r="Q425" s="30">
        <v>3.6761013453704785E-3</v>
      </c>
      <c r="R425" s="30">
        <v>2.3770716369688749E-3</v>
      </c>
      <c r="S425" s="30">
        <v>4.3870836608663755E-3</v>
      </c>
      <c r="T425" s="31">
        <v>2.2068728503986299E-3</v>
      </c>
      <c r="V425" s="9">
        <v>45271</v>
      </c>
      <c r="W425" s="30">
        <v>4.7697080907125322E-3</v>
      </c>
      <c r="X425" s="30">
        <v>-3.0959752321981413E-3</v>
      </c>
      <c r="Y425" s="30">
        <v>-6.5894811084578802E-3</v>
      </c>
      <c r="Z425" s="30">
        <v>-4.2921849692257501E-3</v>
      </c>
      <c r="AA425" s="31">
        <v>-4.0348351046011937E-3</v>
      </c>
    </row>
    <row r="426" spans="1:27" x14ac:dyDescent="0.25">
      <c r="A426" s="7">
        <f>NFLX[[#This Row],[Date]]</f>
        <v>45177</v>
      </c>
      <c r="B426" s="30">
        <f>NFLX[[#This Row],[Stopa zwrotu]]</f>
        <v>4.9232744239082749E-3</v>
      </c>
      <c r="C426" s="30">
        <f>META[[#This Row],[Stopa zwrotu]]</f>
        <v>1.5604674506862315E-2</v>
      </c>
      <c r="D426" s="30">
        <f>GOOG[[#This Row],[Stopa zwrotu]]</f>
        <v>1.4257897134926312E-2</v>
      </c>
      <c r="E426" s="30">
        <f>EBAY[[#This Row],[Stopa zwrotu]]</f>
        <v>7.0074747253578984E-4</v>
      </c>
      <c r="F426" s="30">
        <f>AMZN[[#This Row],[Stopa zwrotu]]</f>
        <v>2.6960017213577325E-2</v>
      </c>
      <c r="H426" s="9">
        <v>45180</v>
      </c>
      <c r="I426" s="30">
        <v>2.9622831997864938E-3</v>
      </c>
      <c r="J426" s="30">
        <v>5.0542489556379966E-3</v>
      </c>
      <c r="K426" s="30">
        <v>1.668281016226884E-3</v>
      </c>
      <c r="L426" s="30">
        <v>4.5907251789604571E-3</v>
      </c>
      <c r="M426" s="31">
        <v>4.6069445460084806E-3</v>
      </c>
      <c r="O426" s="9">
        <v>45237</v>
      </c>
      <c r="P426" s="30">
        <v>3.2355276844879821E-3</v>
      </c>
      <c r="Q426" s="30">
        <v>2.1306502605571431E-3</v>
      </c>
      <c r="R426" s="30">
        <v>9.3127535225834279E-3</v>
      </c>
      <c r="S426" s="30">
        <v>2.9978267049171059E-3</v>
      </c>
      <c r="T426" s="31">
        <v>1.5466890608073935E-2</v>
      </c>
      <c r="V426" s="9">
        <v>45272</v>
      </c>
      <c r="W426" s="30">
        <v>4.3525317450905376E-3</v>
      </c>
      <c r="X426" s="30">
        <v>1.4249993750000023E-2</v>
      </c>
      <c r="Y426" s="30">
        <v>-4.5147866996353425E-4</v>
      </c>
      <c r="Z426" s="30">
        <v>6.8914347307054147E-3</v>
      </c>
      <c r="AA426" s="31">
        <v>1.1556697379258685E-2</v>
      </c>
    </row>
    <row r="427" spans="1:27" x14ac:dyDescent="0.25">
      <c r="A427" s="7">
        <f>NFLX[[#This Row],[Date]]</f>
        <v>45180</v>
      </c>
      <c r="B427" s="30">
        <f>NFLX[[#This Row],[Stopa zwrotu]]</f>
        <v>2.9622831997864938E-3</v>
      </c>
      <c r="C427" s="30">
        <f>META[[#This Row],[Stopa zwrotu]]</f>
        <v>5.0542489556379966E-3</v>
      </c>
      <c r="D427" s="30">
        <f>GOOG[[#This Row],[Stopa zwrotu]]</f>
        <v>1.668281016226884E-3</v>
      </c>
      <c r="E427" s="30">
        <f>EBAY[[#This Row],[Stopa zwrotu]]</f>
        <v>4.5907251789604571E-3</v>
      </c>
      <c r="F427" s="30">
        <f>AMZN[[#This Row],[Stopa zwrotu]]</f>
        <v>4.6069445460084806E-3</v>
      </c>
      <c r="H427" s="9">
        <v>45181</v>
      </c>
      <c r="I427" s="30">
        <v>-1.9491823828345578E-2</v>
      </c>
      <c r="J427" s="30">
        <v>-3.4850902930333438E-3</v>
      </c>
      <c r="K427" s="30">
        <v>-4.5405345029542188E-3</v>
      </c>
      <c r="L427" s="30">
        <v>-2.5328114206769614E-3</v>
      </c>
      <c r="M427" s="31">
        <v>1.4209477886681254E-2</v>
      </c>
      <c r="O427" s="9">
        <v>45238</v>
      </c>
      <c r="P427" s="30">
        <v>6.218081206496473E-3</v>
      </c>
      <c r="Q427" s="30">
        <v>-7.615829011422548E-4</v>
      </c>
      <c r="R427" s="30">
        <v>7.7779854184687469E-3</v>
      </c>
      <c r="S427" s="30">
        <v>-7.4221764671394075E-2</v>
      </c>
      <c r="T427" s="31">
        <v>5.1245622775799582E-3</v>
      </c>
      <c r="V427" s="9">
        <v>45273</v>
      </c>
      <c r="W427" s="30">
        <v>6.0540046327350883E-3</v>
      </c>
      <c r="X427" s="30">
        <v>2.489529532225343E-2</v>
      </c>
      <c r="Y427" s="30">
        <v>9.0337271846152589E-4</v>
      </c>
      <c r="Z427" s="30">
        <v>-4.1554143241261388E-3</v>
      </c>
      <c r="AA427" s="31">
        <v>1.0461142247877309E-2</v>
      </c>
    </row>
    <row r="428" spans="1:27" x14ac:dyDescent="0.25">
      <c r="A428" s="7">
        <f>NFLX[[#This Row],[Date]]</f>
        <v>45181</v>
      </c>
      <c r="B428" s="30">
        <f>NFLX[[#This Row],[Stopa zwrotu]]</f>
        <v>-1.9491823828345578E-2</v>
      </c>
      <c r="C428" s="30">
        <f>META[[#This Row],[Stopa zwrotu]]</f>
        <v>-3.4850902930333438E-3</v>
      </c>
      <c r="D428" s="30">
        <f>GOOG[[#This Row],[Stopa zwrotu]]</f>
        <v>-4.5405345029542188E-3</v>
      </c>
      <c r="E428" s="30">
        <f>EBAY[[#This Row],[Stopa zwrotu]]</f>
        <v>-2.5328114206769614E-3</v>
      </c>
      <c r="F428" s="30">
        <f>AMZN[[#This Row],[Stopa zwrotu]]</f>
        <v>1.4209477886681254E-2</v>
      </c>
      <c r="H428" s="9">
        <v>45182</v>
      </c>
      <c r="I428" s="30">
        <v>-5.3971236685377844E-2</v>
      </c>
      <c r="J428" s="30">
        <v>3.6305364555977437E-3</v>
      </c>
      <c r="K428" s="30">
        <v>-7.3567281063569023E-3</v>
      </c>
      <c r="L428" s="30">
        <v>2.5392428439519055E-3</v>
      </c>
      <c r="M428" s="31">
        <v>1.8490434403735101E-3</v>
      </c>
      <c r="O428" s="9">
        <v>45239</v>
      </c>
      <c r="P428" s="30">
        <v>1.544947912780481E-3</v>
      </c>
      <c r="Q428" s="30">
        <v>1.244913280536819E-2</v>
      </c>
      <c r="R428" s="30">
        <v>-4.9183488220837512E-3</v>
      </c>
      <c r="S428" s="30">
        <v>7.0756016720797232E-2</v>
      </c>
      <c r="T428" s="31">
        <v>-9.7720223072366164E-3</v>
      </c>
      <c r="V428" s="9">
        <v>45274</v>
      </c>
      <c r="W428" s="30">
        <v>6.0175742105863517E-3</v>
      </c>
      <c r="X428" s="30">
        <v>-1.2025011482758585E-2</v>
      </c>
      <c r="Y428" s="30">
        <v>-1.421586342721004E-2</v>
      </c>
      <c r="Z428" s="30">
        <v>3.0682374536947776E-2</v>
      </c>
      <c r="AA428" s="31">
        <v>-8.8543995233565376E-3</v>
      </c>
    </row>
    <row r="429" spans="1:27" x14ac:dyDescent="0.25">
      <c r="A429" s="7">
        <f>NFLX[[#This Row],[Date]]</f>
        <v>45182</v>
      </c>
      <c r="B429" s="30">
        <f>NFLX[[#This Row],[Stopa zwrotu]]</f>
        <v>-5.3971236685377844E-2</v>
      </c>
      <c r="C429" s="30">
        <f>META[[#This Row],[Stopa zwrotu]]</f>
        <v>3.6305364555977437E-3</v>
      </c>
      <c r="D429" s="30">
        <f>GOOG[[#This Row],[Stopa zwrotu]]</f>
        <v>-7.3567281063569023E-3</v>
      </c>
      <c r="E429" s="30">
        <f>EBAY[[#This Row],[Stopa zwrotu]]</f>
        <v>2.5392428439519055E-3</v>
      </c>
      <c r="F429" s="30">
        <f>AMZN[[#This Row],[Stopa zwrotu]]</f>
        <v>1.8490434403735101E-3</v>
      </c>
      <c r="H429" s="9">
        <v>45183</v>
      </c>
      <c r="I429" s="30">
        <v>-2.6029369957732751E-2</v>
      </c>
      <c r="J429" s="30">
        <v>1.2312464867292983E-2</v>
      </c>
      <c r="K429" s="30">
        <v>1.5786000967183078E-2</v>
      </c>
      <c r="L429" s="30">
        <v>6.6774349527976007E-3</v>
      </c>
      <c r="M429" s="31">
        <v>1.4765401248150845E-2</v>
      </c>
      <c r="O429" s="9">
        <v>45240</v>
      </c>
      <c r="P429" s="30">
        <v>2.6706664762887744E-3</v>
      </c>
      <c r="Q429" s="30">
        <v>2.0702729762964722E-3</v>
      </c>
      <c r="R429" s="30">
        <v>-4.8665502572637909E-3</v>
      </c>
      <c r="S429" s="30">
        <v>-1.130655807302916E-2</v>
      </c>
      <c r="T429" s="31">
        <v>5.0062930493766089E-4</v>
      </c>
      <c r="V429" s="9">
        <v>45275</v>
      </c>
      <c r="W429" s="30">
        <v>5.465138878880671E-3</v>
      </c>
      <c r="X429" s="30">
        <v>7.850492582286428E-3</v>
      </c>
      <c r="Y429" s="30">
        <v>1.1979299740261018E-2</v>
      </c>
      <c r="Z429" s="30">
        <v>-7.859061307022519E-3</v>
      </c>
      <c r="AA429" s="31">
        <v>1.6217708460205982E-2</v>
      </c>
    </row>
    <row r="430" spans="1:27" x14ac:dyDescent="0.25">
      <c r="A430" s="7">
        <f>NFLX[[#This Row],[Date]]</f>
        <v>45183</v>
      </c>
      <c r="B430" s="30">
        <f>NFLX[[#This Row],[Stopa zwrotu]]</f>
        <v>-2.6029369957732751E-2</v>
      </c>
      <c r="C430" s="30">
        <f>META[[#This Row],[Stopa zwrotu]]</f>
        <v>1.2312464867292983E-2</v>
      </c>
      <c r="D430" s="30">
        <f>GOOG[[#This Row],[Stopa zwrotu]]</f>
        <v>1.5786000967183078E-2</v>
      </c>
      <c r="E430" s="30">
        <f>EBAY[[#This Row],[Stopa zwrotu]]</f>
        <v>6.6774349527976007E-3</v>
      </c>
      <c r="F430" s="30">
        <f>AMZN[[#This Row],[Stopa zwrotu]]</f>
        <v>1.4765401248150845E-2</v>
      </c>
      <c r="H430" s="9">
        <v>45184</v>
      </c>
      <c r="I430" s="30">
        <v>-1.2425002500000115E-2</v>
      </c>
      <c r="J430" s="30">
        <v>-2.0588135660715712E-2</v>
      </c>
      <c r="K430" s="30">
        <v>8.7549249781826433E-4</v>
      </c>
      <c r="L430" s="30">
        <v>1.2580031734217068E-2</v>
      </c>
      <c r="M430" s="31">
        <v>-2.0007002868282608E-2</v>
      </c>
      <c r="O430" s="9">
        <v>45243</v>
      </c>
      <c r="P430" s="30">
        <v>5.426584798820115E-3</v>
      </c>
      <c r="Q430" s="30">
        <v>6.5110093864618373E-3</v>
      </c>
      <c r="R430" s="30">
        <v>4.8394311723885712E-3</v>
      </c>
      <c r="S430" s="30">
        <v>-6.3532404753870635E-3</v>
      </c>
      <c r="T430" s="31">
        <v>1.8106734764537318E-3</v>
      </c>
      <c r="V430" s="9">
        <v>45278</v>
      </c>
      <c r="W430" s="30">
        <v>5.5638905772880482E-3</v>
      </c>
      <c r="X430" s="30">
        <v>5.8369945277952544E-3</v>
      </c>
      <c r="Y430" s="30">
        <v>2.8651108523041944E-3</v>
      </c>
      <c r="Z430" s="30">
        <v>-1.1201792286765395E-3</v>
      </c>
      <c r="AA430" s="31">
        <v>4.8913486760205531E-3</v>
      </c>
    </row>
    <row r="431" spans="1:27" x14ac:dyDescent="0.25">
      <c r="A431" s="7">
        <f>NFLX[[#This Row],[Date]]</f>
        <v>45184</v>
      </c>
      <c r="B431" s="30">
        <f>NFLX[[#This Row],[Stopa zwrotu]]</f>
        <v>-1.2425002500000115E-2</v>
      </c>
      <c r="C431" s="30">
        <f>META[[#This Row],[Stopa zwrotu]]</f>
        <v>-2.0588135660715712E-2</v>
      </c>
      <c r="D431" s="30">
        <f>GOOG[[#This Row],[Stopa zwrotu]]</f>
        <v>8.7549249781826433E-4</v>
      </c>
      <c r="E431" s="30">
        <f>EBAY[[#This Row],[Stopa zwrotu]]</f>
        <v>1.2580031734217068E-2</v>
      </c>
      <c r="F431" s="30">
        <f>AMZN[[#This Row],[Stopa zwrotu]]</f>
        <v>-2.0007002868282608E-2</v>
      </c>
      <c r="H431" s="9">
        <v>45187</v>
      </c>
      <c r="I431" s="30">
        <v>-2.0504712774146818E-3</v>
      </c>
      <c r="J431" s="30">
        <v>-1.0599854951185799E-3</v>
      </c>
      <c r="K431" s="30">
        <v>1.0934830708149157E-3</v>
      </c>
      <c r="L431" s="30">
        <v>-3.4635870792862158E-3</v>
      </c>
      <c r="M431" s="31">
        <v>-2.0700859562687115E-3</v>
      </c>
      <c r="O431" s="9">
        <v>45244</v>
      </c>
      <c r="P431" s="30">
        <v>6.8685245340913692E-3</v>
      </c>
      <c r="Q431" s="30">
        <v>2.342638845220546E-2</v>
      </c>
      <c r="R431" s="30">
        <v>1.7549159673144299E-2</v>
      </c>
      <c r="S431" s="30">
        <v>2.4093291403797457E-2</v>
      </c>
      <c r="T431" s="31">
        <v>2.850639835794988E-2</v>
      </c>
      <c r="V431" s="9">
        <v>45279</v>
      </c>
      <c r="W431" s="30">
        <v>1.8859170462734109E-2</v>
      </c>
      <c r="X431" s="30">
        <v>2.4034200535209216E-2</v>
      </c>
      <c r="Y431" s="30">
        <v>2.7509851909700123E-2</v>
      </c>
      <c r="Z431" s="30">
        <v>2.5289017341040498E-2</v>
      </c>
      <c r="AA431" s="31">
        <v>1.7594128272026666E-2</v>
      </c>
    </row>
    <row r="432" spans="1:27" x14ac:dyDescent="0.25">
      <c r="A432" s="7">
        <f>NFLX[[#This Row],[Date]]</f>
        <v>45187</v>
      </c>
      <c r="B432" s="30">
        <f>NFLX[[#This Row],[Stopa zwrotu]]</f>
        <v>-2.0504712774146818E-3</v>
      </c>
      <c r="C432" s="30">
        <f>META[[#This Row],[Stopa zwrotu]]</f>
        <v>-1.0599854951185799E-3</v>
      </c>
      <c r="D432" s="30">
        <f>GOOG[[#This Row],[Stopa zwrotu]]</f>
        <v>1.0934830708149157E-3</v>
      </c>
      <c r="E432" s="30">
        <f>EBAY[[#This Row],[Stopa zwrotu]]</f>
        <v>-3.4635870792862158E-3</v>
      </c>
      <c r="F432" s="30">
        <f>AMZN[[#This Row],[Stopa zwrotu]]</f>
        <v>-2.0700859562687115E-3</v>
      </c>
      <c r="H432" s="9">
        <v>45188</v>
      </c>
      <c r="I432" s="30">
        <v>-5.9857513094383474E-3</v>
      </c>
      <c r="J432" s="30">
        <v>6.7495301578051059E-3</v>
      </c>
      <c r="K432" s="30">
        <v>-9.4459780045785813E-4</v>
      </c>
      <c r="L432" s="30">
        <v>-8.9021454256529298E-3</v>
      </c>
      <c r="M432" s="31">
        <v>-2.6289347606023861E-2</v>
      </c>
      <c r="O432" s="9">
        <v>45245</v>
      </c>
      <c r="P432" s="30">
        <v>1.5281385806434011E-2</v>
      </c>
      <c r="Q432" s="30">
        <v>-9.9300936882105173E-3</v>
      </c>
      <c r="R432" s="30">
        <v>1.7024129517804187E-3</v>
      </c>
      <c r="S432" s="30">
        <v>2.3273514375752979E-2</v>
      </c>
      <c r="T432" s="31">
        <v>-1.4445653173345008E-2</v>
      </c>
      <c r="V432" s="9">
        <v>45280</v>
      </c>
      <c r="W432" s="30">
        <v>8.9452072426774443E-3</v>
      </c>
      <c r="X432" s="30">
        <v>7.7364801769888025E-3</v>
      </c>
      <c r="Y432" s="30">
        <v>1.425978205004963E-2</v>
      </c>
      <c r="Z432" s="30">
        <v>6.1076344843786767E-3</v>
      </c>
      <c r="AA432" s="31">
        <v>-7.4006417263652313E-3</v>
      </c>
    </row>
    <row r="433" spans="1:27" x14ac:dyDescent="0.25">
      <c r="A433" s="7">
        <f>NFLX[[#This Row],[Date]]</f>
        <v>45188</v>
      </c>
      <c r="B433" s="30">
        <f>NFLX[[#This Row],[Stopa zwrotu]]</f>
        <v>-5.9857513094383474E-3</v>
      </c>
      <c r="C433" s="30">
        <f>META[[#This Row],[Stopa zwrotu]]</f>
        <v>6.7495301578051059E-3</v>
      </c>
      <c r="D433" s="30">
        <f>GOOG[[#This Row],[Stopa zwrotu]]</f>
        <v>-9.4459780045785813E-4</v>
      </c>
      <c r="E433" s="30">
        <f>EBAY[[#This Row],[Stopa zwrotu]]</f>
        <v>-8.9021454256529298E-3</v>
      </c>
      <c r="F433" s="30">
        <f>AMZN[[#This Row],[Stopa zwrotu]]</f>
        <v>-2.6289347606023861E-2</v>
      </c>
      <c r="H433" s="9">
        <v>45189</v>
      </c>
      <c r="I433" s="30">
        <v>-1.0582972453555328E-2</v>
      </c>
      <c r="J433" s="30">
        <v>-1.2674860829691159E-3</v>
      </c>
      <c r="K433" s="30">
        <v>-2.1672698181818162E-2</v>
      </c>
      <c r="L433" s="30">
        <v>5.7577156037640354E-3</v>
      </c>
      <c r="M433" s="31">
        <v>-2.6556580503933613E-3</v>
      </c>
      <c r="O433" s="9">
        <v>45246</v>
      </c>
      <c r="P433" s="30">
        <v>1.5913320386871765E-2</v>
      </c>
      <c r="Q433" s="30">
        <v>-1.1029586453322415E-2</v>
      </c>
      <c r="R433" s="30">
        <v>5.5420083419492894E-3</v>
      </c>
      <c r="S433" s="30">
        <v>-1.8541408688716676E-2</v>
      </c>
      <c r="T433" s="31">
        <v>-2.1530206088230863E-2</v>
      </c>
      <c r="V433" s="9">
        <v>45281</v>
      </c>
      <c r="W433" s="30">
        <v>-3.3170743672963354E-3</v>
      </c>
      <c r="X433" s="30">
        <v>4.0828717422989325E-3</v>
      </c>
      <c r="Y433" s="30">
        <v>7.625012334122161E-3</v>
      </c>
      <c r="Z433" s="30">
        <v>5.6035019564089072E-3</v>
      </c>
      <c r="AA433" s="31">
        <v>3.5629981995644044E-3</v>
      </c>
    </row>
    <row r="434" spans="1:27" x14ac:dyDescent="0.25">
      <c r="A434" s="7">
        <f>NFLX[[#This Row],[Date]]</f>
        <v>45189</v>
      </c>
      <c r="B434" s="30">
        <f>NFLX[[#This Row],[Stopa zwrotu]]</f>
        <v>-1.0582972453555328E-2</v>
      </c>
      <c r="C434" s="30">
        <f>META[[#This Row],[Stopa zwrotu]]</f>
        <v>-1.2674860829691159E-3</v>
      </c>
      <c r="D434" s="30">
        <f>GOOG[[#This Row],[Stopa zwrotu]]</f>
        <v>-2.1672698181818162E-2</v>
      </c>
      <c r="E434" s="30">
        <f>EBAY[[#This Row],[Stopa zwrotu]]</f>
        <v>5.7577156037640354E-3</v>
      </c>
      <c r="F434" s="30">
        <f>AMZN[[#This Row],[Stopa zwrotu]]</f>
        <v>-2.6556580503933613E-3</v>
      </c>
      <c r="H434" s="9">
        <v>45190</v>
      </c>
      <c r="I434" s="30">
        <v>-6.9925982465632863E-3</v>
      </c>
      <c r="J434" s="30">
        <v>-2.0572434772758386E-2</v>
      </c>
      <c r="K434" s="30">
        <v>-2.5498125914417802E-2</v>
      </c>
      <c r="L434" s="30">
        <v>-1.877719344067752E-2</v>
      </c>
      <c r="M434" s="31">
        <v>-4.3565082327627458E-2</v>
      </c>
      <c r="O434" s="9">
        <v>45247</v>
      </c>
      <c r="P434" s="30">
        <v>6.7660525195176735E-3</v>
      </c>
      <c r="Q434" s="30">
        <v>9.0998252175404915E-3</v>
      </c>
      <c r="R434" s="30">
        <v>-4.4092151027452786E-3</v>
      </c>
      <c r="S434" s="30">
        <v>3.0226447601349182E-3</v>
      </c>
      <c r="T434" s="31">
        <v>2.1645562739519564E-2</v>
      </c>
      <c r="V434" s="9">
        <v>45282</v>
      </c>
      <c r="W434" s="30">
        <v>-2.7117057949930246E-3</v>
      </c>
      <c r="X434" s="30">
        <v>5.7558777005324302E-3</v>
      </c>
      <c r="Y434" s="30">
        <v>1.1261850470674517E-2</v>
      </c>
      <c r="Z434" s="30">
        <v>8.8228697469237005E-3</v>
      </c>
      <c r="AA434" s="31">
        <v>4.0105258115503695E-3</v>
      </c>
    </row>
    <row r="435" spans="1:27" x14ac:dyDescent="0.25">
      <c r="A435" s="7">
        <f>NFLX[[#This Row],[Date]]</f>
        <v>45190</v>
      </c>
      <c r="B435" s="30">
        <f>NFLX[[#This Row],[Stopa zwrotu]]</f>
        <v>-6.9925982465632863E-3</v>
      </c>
      <c r="C435" s="30">
        <f>META[[#This Row],[Stopa zwrotu]]</f>
        <v>-2.0572434772758386E-2</v>
      </c>
      <c r="D435" s="30">
        <f>GOOG[[#This Row],[Stopa zwrotu]]</f>
        <v>-2.5498125914417802E-2</v>
      </c>
      <c r="E435" s="30">
        <f>EBAY[[#This Row],[Stopa zwrotu]]</f>
        <v>-1.877719344067752E-2</v>
      </c>
      <c r="F435" s="30">
        <f>AMZN[[#This Row],[Stopa zwrotu]]</f>
        <v>-4.3565082327627458E-2</v>
      </c>
      <c r="H435" s="9">
        <v>45191</v>
      </c>
      <c r="I435" s="30">
        <v>-1.3197088906259036E-2</v>
      </c>
      <c r="J435" s="30">
        <v>1.7049136248305397E-2</v>
      </c>
      <c r="K435" s="30">
        <v>-4.4244489869388337E-3</v>
      </c>
      <c r="L435" s="30">
        <v>3.500630268407523E-3</v>
      </c>
      <c r="M435" s="31">
        <v>-6.1093033192994861E-3</v>
      </c>
      <c r="O435" s="9">
        <v>45250</v>
      </c>
      <c r="P435" s="30">
        <v>1.9016221100579915E-3</v>
      </c>
      <c r="Q435" s="30">
        <v>4.8985333857864966E-3</v>
      </c>
      <c r="R435" s="30">
        <v>2.4626021787987895E-5</v>
      </c>
      <c r="S435" s="30">
        <v>-5.1900133936045494E-3</v>
      </c>
      <c r="T435" s="31">
        <v>5.1213767072374834E-3</v>
      </c>
      <c r="V435" s="9">
        <v>45286</v>
      </c>
      <c r="W435" s="30">
        <v>4.7893345195754167E-4</v>
      </c>
      <c r="X435" s="30">
        <v>1.5873320096027044E-3</v>
      </c>
      <c r="Y435" s="30">
        <v>7.831597302602189E-4</v>
      </c>
      <c r="Z435" s="30">
        <v>-1.0932278229406622E-3</v>
      </c>
      <c r="AA435" s="31">
        <v>5.2385565014090307E-4</v>
      </c>
    </row>
    <row r="436" spans="1:27" x14ac:dyDescent="0.25">
      <c r="A436" s="7">
        <f>NFLX[[#This Row],[Date]]</f>
        <v>45191</v>
      </c>
      <c r="B436" s="30">
        <f>NFLX[[#This Row],[Stopa zwrotu]]</f>
        <v>-1.3197088906259036E-2</v>
      </c>
      <c r="C436" s="30">
        <f>META[[#This Row],[Stopa zwrotu]]</f>
        <v>1.7049136248305397E-2</v>
      </c>
      <c r="D436" s="30">
        <f>GOOG[[#This Row],[Stopa zwrotu]]</f>
        <v>-4.4244489869388337E-3</v>
      </c>
      <c r="E436" s="30">
        <f>EBAY[[#This Row],[Stopa zwrotu]]</f>
        <v>3.500630268407523E-3</v>
      </c>
      <c r="F436" s="30">
        <f>AMZN[[#This Row],[Stopa zwrotu]]</f>
        <v>-6.1093033192994861E-3</v>
      </c>
      <c r="H436" s="9">
        <v>45194</v>
      </c>
      <c r="I436" s="30">
        <v>2.1584497102673517E-3</v>
      </c>
      <c r="J436" s="30">
        <v>-5.1072039522778168E-3</v>
      </c>
      <c r="K436" s="30">
        <v>-1.2259495272118153E-3</v>
      </c>
      <c r="L436" s="30">
        <v>-3.3333333333333361E-3</v>
      </c>
      <c r="M436" s="31">
        <v>6.4840749097183625E-4</v>
      </c>
      <c r="O436" s="9">
        <v>45251</v>
      </c>
      <c r="P436" s="30">
        <v>1.2483878545129556E-2</v>
      </c>
      <c r="Q436" s="30">
        <v>5.1168257271800854E-3</v>
      </c>
      <c r="R436" s="30">
        <v>1.6348047223114337E-2</v>
      </c>
      <c r="S436" s="30">
        <v>-5.6122702649932243E-3</v>
      </c>
      <c r="T436" s="31">
        <v>-2.2317391620739091E-2</v>
      </c>
      <c r="V436" s="9">
        <v>45287</v>
      </c>
      <c r="W436" s="30">
        <v>5.9007257093144361E-3</v>
      </c>
      <c r="X436" s="30">
        <v>5.2623735658552384E-3</v>
      </c>
      <c r="Y436" s="30">
        <v>-1.016845614035089E-2</v>
      </c>
      <c r="Z436" s="30">
        <v>-3.6985669763555107E-3</v>
      </c>
      <c r="AA436" s="31">
        <v>5.8809384165248169E-4</v>
      </c>
    </row>
    <row r="437" spans="1:27" x14ac:dyDescent="0.25">
      <c r="A437" s="7">
        <f>NFLX[[#This Row],[Date]]</f>
        <v>45194</v>
      </c>
      <c r="B437" s="30">
        <f>NFLX[[#This Row],[Stopa zwrotu]]</f>
        <v>2.1584497102673517E-3</v>
      </c>
      <c r="C437" s="30">
        <f>META[[#This Row],[Stopa zwrotu]]</f>
        <v>-5.1072039522778168E-3</v>
      </c>
      <c r="D437" s="30">
        <f>GOOG[[#This Row],[Stopa zwrotu]]</f>
        <v>-1.2259495272118153E-3</v>
      </c>
      <c r="E437" s="30">
        <f>EBAY[[#This Row],[Stopa zwrotu]]</f>
        <v>-3.3333333333333361E-3</v>
      </c>
      <c r="F437" s="30">
        <f>AMZN[[#This Row],[Stopa zwrotu]]</f>
        <v>6.4840749097183625E-4</v>
      </c>
      <c r="H437" s="9">
        <v>45195</v>
      </c>
      <c r="I437" s="30">
        <v>-9.0596702243096461E-3</v>
      </c>
      <c r="J437" s="30">
        <v>7.86516140830118E-3</v>
      </c>
      <c r="K437" s="30">
        <v>-1.4150557672464537E-2</v>
      </c>
      <c r="L437" s="30">
        <v>1.9262367864693486E-2</v>
      </c>
      <c r="M437" s="31">
        <v>-2.7102623993084607E-2</v>
      </c>
      <c r="O437" s="9">
        <v>45252</v>
      </c>
      <c r="P437" s="30">
        <v>1.135376393154619E-2</v>
      </c>
      <c r="Q437" s="30">
        <v>7.9785443521027677E-3</v>
      </c>
      <c r="R437" s="30">
        <v>9.4041464085667936E-3</v>
      </c>
      <c r="S437" s="30">
        <v>3.8994356080041204E-2</v>
      </c>
      <c r="T437" s="31">
        <v>2.1696162544169617E-2</v>
      </c>
      <c r="V437" s="9">
        <v>45288</v>
      </c>
      <c r="W437" s="30">
        <v>-3.678957588145737E-4</v>
      </c>
      <c r="X437" s="30">
        <v>7.0361093525996843E-3</v>
      </c>
      <c r="Y437" s="30">
        <v>-1.5809317757737862E-3</v>
      </c>
      <c r="Z437" s="30">
        <v>4.6406034636015114E-4</v>
      </c>
      <c r="AA437" s="31">
        <v>-1.1102273089806936E-3</v>
      </c>
    </row>
    <row r="438" spans="1:27" x14ac:dyDescent="0.25">
      <c r="A438" s="7">
        <f>NFLX[[#This Row],[Date]]</f>
        <v>45195</v>
      </c>
      <c r="B438" s="30">
        <f>NFLX[[#This Row],[Stopa zwrotu]]</f>
        <v>-9.0596702243096461E-3</v>
      </c>
      <c r="C438" s="30">
        <f>META[[#This Row],[Stopa zwrotu]]</f>
        <v>7.86516140830118E-3</v>
      </c>
      <c r="D438" s="30">
        <f>GOOG[[#This Row],[Stopa zwrotu]]</f>
        <v>-1.4150557672464537E-2</v>
      </c>
      <c r="E438" s="30">
        <f>EBAY[[#This Row],[Stopa zwrotu]]</f>
        <v>1.9262367864693486E-2</v>
      </c>
      <c r="F438" s="30">
        <f>AMZN[[#This Row],[Stopa zwrotu]]</f>
        <v>-2.7102623993084607E-2</v>
      </c>
      <c r="H438" s="9">
        <v>45196</v>
      </c>
      <c r="I438" s="30">
        <v>-2.9414486011282159E-3</v>
      </c>
      <c r="J438" s="30">
        <v>-3.1147598691003808E-2</v>
      </c>
      <c r="K438" s="30">
        <v>9.2831186631856522E-3</v>
      </c>
      <c r="L438" s="30">
        <v>-2.2585826747772098E-2</v>
      </c>
      <c r="M438" s="31">
        <v>-9.1794540962599758E-3</v>
      </c>
      <c r="O438" s="9">
        <v>45254</v>
      </c>
      <c r="P438" s="30">
        <v>-1.4268780486271226E-3</v>
      </c>
      <c r="Q438" s="30">
        <v>-2.6729252606416121E-3</v>
      </c>
      <c r="R438" s="30">
        <v>-5.5035935251798729E-3</v>
      </c>
      <c r="S438" s="30">
        <v>9.62961728395062E-3</v>
      </c>
      <c r="T438" s="31">
        <v>2.5938990236059611E-3</v>
      </c>
      <c r="V438" s="9">
        <v>45289</v>
      </c>
      <c r="W438" s="30">
        <v>-1.4578700181873905E-2</v>
      </c>
      <c r="X438" s="30">
        <v>-1.6740703260058276E-2</v>
      </c>
      <c r="Y438" s="30">
        <v>-6.5896624267263171E-3</v>
      </c>
      <c r="Z438" s="30">
        <v>5.5659092199884519E-3</v>
      </c>
      <c r="AA438" s="31">
        <v>-1.2553109105324145E-2</v>
      </c>
    </row>
    <row r="439" spans="1:27" x14ac:dyDescent="0.25">
      <c r="A439" s="7">
        <f>NFLX[[#This Row],[Date]]</f>
        <v>45196</v>
      </c>
      <c r="B439" s="30">
        <f>NFLX[[#This Row],[Stopa zwrotu]]</f>
        <v>-2.9414486011282159E-3</v>
      </c>
      <c r="C439" s="30">
        <f>META[[#This Row],[Stopa zwrotu]]</f>
        <v>-3.1147598691003808E-2</v>
      </c>
      <c r="D439" s="30">
        <f>GOOG[[#This Row],[Stopa zwrotu]]</f>
        <v>9.2831186631856522E-3</v>
      </c>
      <c r="E439" s="30">
        <f>EBAY[[#This Row],[Stopa zwrotu]]</f>
        <v>-2.2585826747772098E-2</v>
      </c>
      <c r="F439" s="30">
        <f>AMZN[[#This Row],[Stopa zwrotu]]</f>
        <v>-9.1794540962599758E-3</v>
      </c>
      <c r="H439" s="9">
        <v>45197</v>
      </c>
      <c r="I439" s="30">
        <v>-1.3687691694352133E-2</v>
      </c>
      <c r="J439" s="30">
        <v>3.4554910174712683E-2</v>
      </c>
      <c r="K439" s="30">
        <v>1.0125188973365562E-2</v>
      </c>
      <c r="L439" s="30">
        <v>7.3096203725537823E-3</v>
      </c>
      <c r="M439" s="31">
        <v>-8.781084559278618E-3</v>
      </c>
      <c r="O439" s="9">
        <v>45257</v>
      </c>
      <c r="P439" s="30">
        <v>1.0521464380771246E-4</v>
      </c>
      <c r="Q439" s="30">
        <v>-2.5437510110201491E-3</v>
      </c>
      <c r="R439" s="30">
        <v>1.697146031639877E-4</v>
      </c>
      <c r="S439" s="30">
        <v>-4.2797077910135721E-3</v>
      </c>
      <c r="T439" s="31">
        <v>3.5783051767492116E-3</v>
      </c>
      <c r="V439" s="9">
        <v>45293</v>
      </c>
      <c r="W439" s="30">
        <v>-1.0416243161321975E-2</v>
      </c>
      <c r="X439" s="30">
        <v>-8.3920731944047422E-3</v>
      </c>
      <c r="Y439" s="30">
        <v>-3.8598804371642592E-3</v>
      </c>
      <c r="Z439" s="30">
        <v>-9.2250920381664603E-4</v>
      </c>
      <c r="AA439" s="31">
        <v>-4.3699927456134213E-3</v>
      </c>
    </row>
    <row r="440" spans="1:27" x14ac:dyDescent="0.25">
      <c r="A440" s="7">
        <f>NFLX[[#This Row],[Date]]</f>
        <v>45197</v>
      </c>
      <c r="B440" s="30">
        <f>NFLX[[#This Row],[Stopa zwrotu]]</f>
        <v>-1.3687691694352133E-2</v>
      </c>
      <c r="C440" s="30">
        <f>META[[#This Row],[Stopa zwrotu]]</f>
        <v>3.4554910174712683E-2</v>
      </c>
      <c r="D440" s="30">
        <f>GOOG[[#This Row],[Stopa zwrotu]]</f>
        <v>1.0125188973365562E-2</v>
      </c>
      <c r="E440" s="30">
        <f>EBAY[[#This Row],[Stopa zwrotu]]</f>
        <v>7.3096203725537823E-3</v>
      </c>
      <c r="F440" s="30">
        <f>AMZN[[#This Row],[Stopa zwrotu]]</f>
        <v>-8.781084559278618E-3</v>
      </c>
      <c r="H440" s="9">
        <v>45198</v>
      </c>
      <c r="I440" s="30">
        <v>1.1452438510604512E-2</v>
      </c>
      <c r="J440" s="30">
        <v>8.9651934358532248E-3</v>
      </c>
      <c r="K440" s="30">
        <v>4.8206059404605206E-3</v>
      </c>
      <c r="L440" s="30">
        <v>2.7855781183151018E-2</v>
      </c>
      <c r="M440" s="31">
        <v>2.6657989055120179E-2</v>
      </c>
      <c r="O440" s="9">
        <v>45258</v>
      </c>
      <c r="P440" s="30">
        <v>1.262240438469675E-3</v>
      </c>
      <c r="Q440" s="30">
        <v>-2.3938299559367326E-3</v>
      </c>
      <c r="R440" s="30">
        <v>-3.6353062777892964E-3</v>
      </c>
      <c r="S440" s="30">
        <v>4.4171779141104484E-3</v>
      </c>
      <c r="T440" s="31">
        <v>-9.1912170073796817E-3</v>
      </c>
      <c r="V440" s="9">
        <v>45294</v>
      </c>
      <c r="W440" s="30">
        <v>8.465777783282169E-3</v>
      </c>
      <c r="X440" s="30">
        <v>9.3232049256433136E-3</v>
      </c>
      <c r="Y440" s="30">
        <v>5.0093507692263728E-3</v>
      </c>
      <c r="Z440" s="30">
        <v>-5.55560172324987E-3</v>
      </c>
      <c r="AA440" s="31">
        <v>-4.0431970081744595E-4</v>
      </c>
    </row>
    <row r="441" spans="1:27" x14ac:dyDescent="0.25">
      <c r="A441" s="7">
        <f>NFLX[[#This Row],[Date]]</f>
        <v>45198</v>
      </c>
      <c r="B441" s="30">
        <f>NFLX[[#This Row],[Stopa zwrotu]]</f>
        <v>1.1452438510604512E-2</v>
      </c>
      <c r="C441" s="30">
        <f>META[[#This Row],[Stopa zwrotu]]</f>
        <v>8.9651934358532248E-3</v>
      </c>
      <c r="D441" s="30">
        <f>GOOG[[#This Row],[Stopa zwrotu]]</f>
        <v>4.8206059404605206E-3</v>
      </c>
      <c r="E441" s="30">
        <f>EBAY[[#This Row],[Stopa zwrotu]]</f>
        <v>2.7855781183151018E-2</v>
      </c>
      <c r="F441" s="30">
        <f>AMZN[[#This Row],[Stopa zwrotu]]</f>
        <v>2.6657989055120179E-2</v>
      </c>
      <c r="H441" s="9">
        <v>45201</v>
      </c>
      <c r="I441" s="30">
        <v>1.2876710419803168E-3</v>
      </c>
      <c r="J441" s="30">
        <v>2.5276368628002199E-3</v>
      </c>
      <c r="K441" s="30">
        <v>1.8910421369888002E-3</v>
      </c>
      <c r="L441" s="30">
        <v>-4.5547635314658512E-3</v>
      </c>
      <c r="M441" s="31">
        <v>5.8053884314968052E-4</v>
      </c>
      <c r="O441" s="9">
        <v>45259</v>
      </c>
      <c r="P441" s="30">
        <v>-3.067595258302136E-3</v>
      </c>
      <c r="Q441" s="30">
        <v>-7.8584134587597054E-3</v>
      </c>
      <c r="R441" s="30">
        <v>-5.4363327353644797E-3</v>
      </c>
      <c r="S441" s="30">
        <v>-8.5511360860004437E-3</v>
      </c>
      <c r="T441" s="31">
        <v>3.0234453585065157E-3</v>
      </c>
      <c r="V441" s="9">
        <v>45295</v>
      </c>
      <c r="W441" s="30">
        <v>1.6317281446829313E-3</v>
      </c>
      <c r="X441" s="30">
        <v>6.4106592600809975E-4</v>
      </c>
      <c r="Y441" s="30">
        <v>-3.0340101223583771E-3</v>
      </c>
      <c r="Z441" s="30">
        <v>-1.2802584096894609E-2</v>
      </c>
      <c r="AA441" s="31">
        <v>-2.8854573871036626E-2</v>
      </c>
    </row>
    <row r="442" spans="1:27" x14ac:dyDescent="0.25">
      <c r="A442" s="7">
        <f>NFLX[[#This Row],[Date]]</f>
        <v>45201</v>
      </c>
      <c r="B442" s="30">
        <f>NFLX[[#This Row],[Stopa zwrotu]]</f>
        <v>1.2876710419803168E-3</v>
      </c>
      <c r="C442" s="30">
        <f>META[[#This Row],[Stopa zwrotu]]</f>
        <v>2.5276368628002199E-3</v>
      </c>
      <c r="D442" s="30">
        <f>GOOG[[#This Row],[Stopa zwrotu]]</f>
        <v>1.8910421369888002E-3</v>
      </c>
      <c r="E442" s="30">
        <f>EBAY[[#This Row],[Stopa zwrotu]]</f>
        <v>-4.5547635314658512E-3</v>
      </c>
      <c r="F442" s="30">
        <f>AMZN[[#This Row],[Stopa zwrotu]]</f>
        <v>5.8053884314968052E-4</v>
      </c>
      <c r="H442" s="9">
        <v>45202</v>
      </c>
      <c r="I442" s="30">
        <v>-1.0482967425147538E-2</v>
      </c>
      <c r="J442" s="30">
        <v>-6.5974537248042475E-3</v>
      </c>
      <c r="K442" s="30">
        <v>5.6790216078594913E-3</v>
      </c>
      <c r="L442" s="30">
        <v>-2.2165850330966297E-2</v>
      </c>
      <c r="M442" s="31">
        <v>-1.8097052172458938E-2</v>
      </c>
      <c r="O442" s="9">
        <v>45260</v>
      </c>
      <c r="P442" s="30">
        <v>-8.5775824269759271E-3</v>
      </c>
      <c r="Q442" s="30">
        <v>-2.533407408348165E-2</v>
      </c>
      <c r="R442" s="30">
        <v>-2.5716314255347705E-2</v>
      </c>
      <c r="S442" s="30">
        <v>-9.8571212490329296E-3</v>
      </c>
      <c r="T442" s="31">
        <v>-1.1235178384358502E-2</v>
      </c>
      <c r="V442" s="9">
        <v>45296</v>
      </c>
      <c r="W442" s="30">
        <v>1.1296141751433231E-2</v>
      </c>
      <c r="X442" s="30">
        <v>8.3285266452277629E-3</v>
      </c>
      <c r="Y442" s="30">
        <v>-8.40510862999444E-3</v>
      </c>
      <c r="Z442" s="30">
        <v>-4.7161046922883365E-4</v>
      </c>
      <c r="AA442" s="31">
        <v>3.3321484901323029E-3</v>
      </c>
    </row>
    <row r="443" spans="1:27" x14ac:dyDescent="0.25">
      <c r="A443" s="7">
        <f>NFLX[[#This Row],[Date]]</f>
        <v>45202</v>
      </c>
      <c r="B443" s="30">
        <f>NFLX[[#This Row],[Stopa zwrotu]]</f>
        <v>-1.0482967425147538E-2</v>
      </c>
      <c r="C443" s="30">
        <f>META[[#This Row],[Stopa zwrotu]]</f>
        <v>-6.5974537248042475E-3</v>
      </c>
      <c r="D443" s="30">
        <f>GOOG[[#This Row],[Stopa zwrotu]]</f>
        <v>5.6790216078594913E-3</v>
      </c>
      <c r="E443" s="30">
        <f>EBAY[[#This Row],[Stopa zwrotu]]</f>
        <v>-2.2165850330966297E-2</v>
      </c>
      <c r="F443" s="30">
        <f>AMZN[[#This Row],[Stopa zwrotu]]</f>
        <v>-1.8097052172458938E-2</v>
      </c>
      <c r="H443" s="9">
        <v>45203</v>
      </c>
      <c r="I443" s="30">
        <v>1.9578409233014238E-3</v>
      </c>
      <c r="J443" s="30">
        <v>-3.8046153481871015E-3</v>
      </c>
      <c r="K443" s="30">
        <v>4.6304332397630876E-3</v>
      </c>
      <c r="L443" s="30">
        <v>4.486493718370399E-3</v>
      </c>
      <c r="M443" s="31">
        <v>1.1509054325955725E-2</v>
      </c>
      <c r="O443" s="9">
        <v>45261</v>
      </c>
      <c r="P443" s="30">
        <v>-1.2371937500881725E-2</v>
      </c>
      <c r="Q443" s="30">
        <v>-5.0867991021115166E-3</v>
      </c>
      <c r="R443" s="30">
        <v>-4.804578911304036E-3</v>
      </c>
      <c r="S443" s="30">
        <v>1.04529118964658E-2</v>
      </c>
      <c r="T443" s="31">
        <v>8.4528579165403794E-3</v>
      </c>
      <c r="V443" s="9">
        <v>45299</v>
      </c>
      <c r="W443" s="30">
        <v>1.3070552826437432E-3</v>
      </c>
      <c r="X443" s="30">
        <v>5.5738249030451064E-3</v>
      </c>
      <c r="Y443" s="30">
        <v>2.5088270730510378E-3</v>
      </c>
      <c r="Z443" s="30">
        <v>1.5727766353560804E-4</v>
      </c>
      <c r="AA443" s="31">
        <v>3.7362370239366616E-3</v>
      </c>
    </row>
    <row r="444" spans="1:27" x14ac:dyDescent="0.25">
      <c r="A444" s="7">
        <f>NFLX[[#This Row],[Date]]</f>
        <v>45203</v>
      </c>
      <c r="B444" s="30">
        <f>NFLX[[#This Row],[Stopa zwrotu]]</f>
        <v>1.9578409233014238E-3</v>
      </c>
      <c r="C444" s="30">
        <f>META[[#This Row],[Stopa zwrotu]]</f>
        <v>-3.8046153481871015E-3</v>
      </c>
      <c r="D444" s="30">
        <f>GOOG[[#This Row],[Stopa zwrotu]]</f>
        <v>4.6304332397630876E-3</v>
      </c>
      <c r="E444" s="30">
        <f>EBAY[[#This Row],[Stopa zwrotu]]</f>
        <v>4.486493718370399E-3</v>
      </c>
      <c r="F444" s="30">
        <f>AMZN[[#This Row],[Stopa zwrotu]]</f>
        <v>1.1509054325955725E-2</v>
      </c>
      <c r="H444" s="9">
        <v>45204</v>
      </c>
      <c r="I444" s="30">
        <v>-1.6970922481455153E-2</v>
      </c>
      <c r="J444" s="30">
        <v>3.3500837520938909E-3</v>
      </c>
      <c r="K444" s="30">
        <v>7.6819984544256315E-3</v>
      </c>
      <c r="L444" s="30">
        <v>-9.8731074312855549E-3</v>
      </c>
      <c r="M444" s="31">
        <v>-1.0741549968173225E-2</v>
      </c>
      <c r="O444" s="9">
        <v>45264</v>
      </c>
      <c r="P444" s="30">
        <v>-9.6140004498120133E-3</v>
      </c>
      <c r="Q444" s="30">
        <v>-7.3783158526110242E-3</v>
      </c>
      <c r="R444" s="30">
        <v>-6.9414995504456884E-3</v>
      </c>
      <c r="S444" s="30">
        <v>6.4860512226298335E-3</v>
      </c>
      <c r="T444" s="31">
        <v>-6.2750599874601036E-3</v>
      </c>
      <c r="V444" s="9">
        <v>45300</v>
      </c>
      <c r="W444" s="30">
        <v>3.1667687511882647E-4</v>
      </c>
      <c r="X444" s="30">
        <v>9.402065368057988E-3</v>
      </c>
      <c r="Y444" s="30">
        <v>1.3852537936882126E-2</v>
      </c>
      <c r="Z444" s="30">
        <v>-1.0610728601744723E-2</v>
      </c>
      <c r="AA444" s="31">
        <v>1.409519729436326E-2</v>
      </c>
    </row>
    <row r="445" spans="1:27" x14ac:dyDescent="0.25">
      <c r="A445" s="7">
        <f>NFLX[[#This Row],[Date]]</f>
        <v>45204</v>
      </c>
      <c r="B445" s="30">
        <f>NFLX[[#This Row],[Stopa zwrotu]]</f>
        <v>-1.6970922481455153E-2</v>
      </c>
      <c r="C445" s="30">
        <f>META[[#This Row],[Stopa zwrotu]]</f>
        <v>3.3500837520938909E-3</v>
      </c>
      <c r="D445" s="30">
        <f>GOOG[[#This Row],[Stopa zwrotu]]</f>
        <v>7.6819984544256315E-3</v>
      </c>
      <c r="E445" s="30">
        <f>EBAY[[#This Row],[Stopa zwrotu]]</f>
        <v>-9.8731074312855549E-3</v>
      </c>
      <c r="F445" s="30">
        <f>AMZN[[#This Row],[Stopa zwrotu]]</f>
        <v>-1.0741549968173225E-2</v>
      </c>
      <c r="H445" s="9">
        <v>45205</v>
      </c>
      <c r="I445" s="30">
        <v>1.4431952250080204E-3</v>
      </c>
      <c r="J445" s="30">
        <v>4.7078597662770783E-3</v>
      </c>
      <c r="K445" s="30">
        <v>3.6071547565035278E-3</v>
      </c>
      <c r="L445" s="30">
        <v>2.374216580584454E-3</v>
      </c>
      <c r="M445" s="31">
        <v>-1.6086624047507714E-3</v>
      </c>
      <c r="O445" s="9">
        <v>45265</v>
      </c>
      <c r="P445" s="30">
        <v>-3.5904808442247527E-3</v>
      </c>
      <c r="Q445" s="30">
        <v>5.5155613656117097E-3</v>
      </c>
      <c r="R445" s="30">
        <v>2.5502474134582176E-3</v>
      </c>
      <c r="S445" s="30">
        <v>-9.6640978416067114E-3</v>
      </c>
      <c r="T445" s="31">
        <v>2.2407884915733867E-3</v>
      </c>
      <c r="V445" s="9">
        <v>45301</v>
      </c>
      <c r="W445" s="30">
        <v>-1.7939553008177178E-3</v>
      </c>
      <c r="X445" s="30">
        <v>1.0468263611616235E-2</v>
      </c>
      <c r="Y445" s="30">
        <v>1.9100179796131656E-2</v>
      </c>
      <c r="Z445" s="30">
        <v>-4.7664443461981065E-4</v>
      </c>
      <c r="AA445" s="31">
        <v>2.4762147133560397E-2</v>
      </c>
    </row>
    <row r="446" spans="1:27" x14ac:dyDescent="0.25">
      <c r="A446" s="7">
        <f>NFLX[[#This Row],[Date]]</f>
        <v>45205</v>
      </c>
      <c r="B446" s="30">
        <f>NFLX[[#This Row],[Stopa zwrotu]]</f>
        <v>1.4431952250080204E-3</v>
      </c>
      <c r="C446" s="30">
        <f>META[[#This Row],[Stopa zwrotu]]</f>
        <v>4.7078597662770783E-3</v>
      </c>
      <c r="D446" s="30">
        <f>GOOG[[#This Row],[Stopa zwrotu]]</f>
        <v>3.6071547565035278E-3</v>
      </c>
      <c r="E446" s="30">
        <f>EBAY[[#This Row],[Stopa zwrotu]]</f>
        <v>2.374216580584454E-3</v>
      </c>
      <c r="F446" s="30">
        <f>AMZN[[#This Row],[Stopa zwrotu]]</f>
        <v>-1.6086624047507714E-3</v>
      </c>
      <c r="H446" s="9">
        <v>45208</v>
      </c>
      <c r="I446" s="30">
        <v>9.0545914555306695E-3</v>
      </c>
      <c r="J446" s="30">
        <v>1.208556584468575E-2</v>
      </c>
      <c r="K446" s="30">
        <v>4.3475988684215467E-3</v>
      </c>
      <c r="L446" s="30">
        <v>3.3159481292606894E-3</v>
      </c>
      <c r="M446" s="31">
        <v>1.6917882199470509E-3</v>
      </c>
      <c r="O446" s="9">
        <v>45266</v>
      </c>
      <c r="P446" s="30">
        <v>-8.5634950650061992E-3</v>
      </c>
      <c r="Q446" s="30">
        <v>5.2315987238846784E-3</v>
      </c>
      <c r="R446" s="30">
        <v>1.2179157085613568E-2</v>
      </c>
      <c r="S446" s="30">
        <v>1.0978213662931946E-2</v>
      </c>
      <c r="T446" s="31">
        <v>8.0346116106122523E-3</v>
      </c>
      <c r="V446" s="9">
        <v>45302</v>
      </c>
      <c r="W446" s="30">
        <v>2.2983390895864764E-2</v>
      </c>
      <c r="X446" s="30">
        <v>1.0721861811808564E-2</v>
      </c>
      <c r="Y446" s="30">
        <v>-1.7198581213040409E-3</v>
      </c>
      <c r="Z446" s="30">
        <v>-1.072954245897817E-2</v>
      </c>
      <c r="AA446" s="31">
        <v>8.1642741584053713E-3</v>
      </c>
    </row>
    <row r="447" spans="1:27" x14ac:dyDescent="0.25">
      <c r="A447" s="7">
        <f>NFLX[[#This Row],[Date]]</f>
        <v>45208</v>
      </c>
      <c r="B447" s="30">
        <f>NFLX[[#This Row],[Stopa zwrotu]]</f>
        <v>9.0545914555306695E-3</v>
      </c>
      <c r="C447" s="30">
        <f>META[[#This Row],[Stopa zwrotu]]</f>
        <v>1.208556584468575E-2</v>
      </c>
      <c r="D447" s="30">
        <f>GOOG[[#This Row],[Stopa zwrotu]]</f>
        <v>4.3475988684215467E-3</v>
      </c>
      <c r="E447" s="30">
        <f>EBAY[[#This Row],[Stopa zwrotu]]</f>
        <v>3.3159481292606894E-3</v>
      </c>
      <c r="F447" s="30">
        <f>AMZN[[#This Row],[Stopa zwrotu]]</f>
        <v>1.6917882199470509E-3</v>
      </c>
      <c r="H447" s="9">
        <v>45209</v>
      </c>
      <c r="I447" s="30">
        <v>-1.4586006602445911E-2</v>
      </c>
      <c r="J447" s="30">
        <v>2.0332232883312207E-2</v>
      </c>
      <c r="K447" s="30">
        <v>1.2655420906849013E-2</v>
      </c>
      <c r="L447" s="30">
        <v>1.4774883085714841E-2</v>
      </c>
      <c r="M447" s="31">
        <v>2.6370639205343993E-2</v>
      </c>
      <c r="O447" s="9">
        <v>45267</v>
      </c>
      <c r="P447" s="30">
        <v>5.810683454293919E-3</v>
      </c>
      <c r="Q447" s="30">
        <v>2.3024854254278804E-3</v>
      </c>
      <c r="R447" s="30">
        <v>3.7468571128909778E-2</v>
      </c>
      <c r="S447" s="30">
        <v>-2.4131033400844881E-3</v>
      </c>
      <c r="T447" s="31">
        <v>7.3468048748739356E-3</v>
      </c>
      <c r="V447" s="9">
        <v>45303</v>
      </c>
      <c r="W447" s="30">
        <v>1.4034099255428201E-2</v>
      </c>
      <c r="X447" s="30">
        <v>1.8212922953435795E-2</v>
      </c>
      <c r="Y447" s="30">
        <v>8.0512254839848474E-3</v>
      </c>
      <c r="Z447" s="30">
        <v>-1.0363966721428364E-2</v>
      </c>
      <c r="AA447" s="31">
        <v>5.8124348815451476E-3</v>
      </c>
    </row>
    <row r="448" spans="1:27" x14ac:dyDescent="0.25">
      <c r="A448" s="7">
        <f>NFLX[[#This Row],[Date]]</f>
        <v>45209</v>
      </c>
      <c r="B448" s="30">
        <f>NFLX[[#This Row],[Stopa zwrotu]]</f>
        <v>-1.4586006602445911E-2</v>
      </c>
      <c r="C448" s="30">
        <f>META[[#This Row],[Stopa zwrotu]]</f>
        <v>2.0332232883312207E-2</v>
      </c>
      <c r="D448" s="30">
        <f>GOOG[[#This Row],[Stopa zwrotu]]</f>
        <v>1.2655420906849013E-2</v>
      </c>
      <c r="E448" s="30">
        <f>EBAY[[#This Row],[Stopa zwrotu]]</f>
        <v>1.4774883085714841E-2</v>
      </c>
      <c r="F448" s="30">
        <f>AMZN[[#This Row],[Stopa zwrotu]]</f>
        <v>2.6370639205343993E-2</v>
      </c>
      <c r="H448" s="9">
        <v>45210</v>
      </c>
      <c r="I448" s="30">
        <v>-1.8562804566823465E-2</v>
      </c>
      <c r="J448" s="30">
        <v>1.5055343034255264E-2</v>
      </c>
      <c r="K448" s="30">
        <v>1.0185675585492548E-2</v>
      </c>
      <c r="L448" s="30">
        <v>-1.1324266235267055E-2</v>
      </c>
      <c r="M448" s="31">
        <v>1.2182725212431356E-2</v>
      </c>
      <c r="O448" s="9">
        <v>45268</v>
      </c>
      <c r="P448" s="30">
        <v>5.442547648782492E-3</v>
      </c>
      <c r="Q448" s="30">
        <v>1.6458479973072482E-2</v>
      </c>
      <c r="R448" s="30">
        <v>-4.8446672493479559E-3</v>
      </c>
      <c r="S448" s="30">
        <v>-4.3541364296082463E-3</v>
      </c>
      <c r="T448" s="31">
        <v>4.1281135029058724E-4</v>
      </c>
      <c r="V448" s="9">
        <v>45307</v>
      </c>
      <c r="W448" s="30">
        <v>-6.415480924221284E-3</v>
      </c>
      <c r="X448" s="30">
        <v>-1.5627523026877366E-3</v>
      </c>
      <c r="Y448" s="30">
        <v>-5.3013566873510998E-4</v>
      </c>
      <c r="Z448" s="30">
        <v>-5.4797916346860376E-3</v>
      </c>
      <c r="AA448" s="31">
        <v>-3.0192861833415741E-3</v>
      </c>
    </row>
    <row r="449" spans="1:27" x14ac:dyDescent="0.25">
      <c r="A449" s="7">
        <f>NFLX[[#This Row],[Date]]</f>
        <v>45210</v>
      </c>
      <c r="B449" s="30">
        <f>NFLX[[#This Row],[Stopa zwrotu]]</f>
        <v>-1.8562804566823465E-2</v>
      </c>
      <c r="C449" s="30">
        <f>META[[#This Row],[Stopa zwrotu]]</f>
        <v>1.5055343034255264E-2</v>
      </c>
      <c r="D449" s="30">
        <f>GOOG[[#This Row],[Stopa zwrotu]]</f>
        <v>1.0185675585492548E-2</v>
      </c>
      <c r="E449" s="30">
        <f>EBAY[[#This Row],[Stopa zwrotu]]</f>
        <v>-1.1324266235267055E-2</v>
      </c>
      <c r="F449" s="30">
        <f>AMZN[[#This Row],[Stopa zwrotu]]</f>
        <v>1.2182725212431356E-2</v>
      </c>
      <c r="H449" s="9">
        <v>45211</v>
      </c>
      <c r="I449" s="30">
        <v>-1.7216861194688349E-2</v>
      </c>
      <c r="J449" s="30">
        <v>-8.0510912010745006E-4</v>
      </c>
      <c r="K449" s="30">
        <v>-2.7888945305749591E-3</v>
      </c>
      <c r="L449" s="30">
        <v>-1.823279612512374E-2</v>
      </c>
      <c r="M449" s="31">
        <v>1.2498996894537484E-2</v>
      </c>
      <c r="O449" s="9">
        <v>45271</v>
      </c>
      <c r="P449" s="30">
        <v>4.7697080907125322E-3</v>
      </c>
      <c r="Q449" s="30">
        <v>-3.0959752321981413E-3</v>
      </c>
      <c r="R449" s="30">
        <v>-6.5894811084578802E-3</v>
      </c>
      <c r="S449" s="30">
        <v>-4.2921849692257501E-3</v>
      </c>
      <c r="T449" s="31">
        <v>-4.0348351046011937E-3</v>
      </c>
      <c r="V449" s="9">
        <v>45308</v>
      </c>
      <c r="W449" s="30">
        <v>-5.7737731967522077E-3</v>
      </c>
      <c r="X449" s="30">
        <v>-2.3473097899942563E-2</v>
      </c>
      <c r="Y449" s="30">
        <v>-1.7797261212392446E-2</v>
      </c>
      <c r="Z449" s="30">
        <v>2.9880229083665277E-3</v>
      </c>
      <c r="AA449" s="31">
        <v>-1.47222483623628E-2</v>
      </c>
    </row>
    <row r="450" spans="1:27" x14ac:dyDescent="0.25">
      <c r="A450" s="7">
        <f>NFLX[[#This Row],[Date]]</f>
        <v>45211</v>
      </c>
      <c r="B450" s="30">
        <f>NFLX[[#This Row],[Stopa zwrotu]]</f>
        <v>-1.7216861194688349E-2</v>
      </c>
      <c r="C450" s="30">
        <f>META[[#This Row],[Stopa zwrotu]]</f>
        <v>-8.0510912010745006E-4</v>
      </c>
      <c r="D450" s="30">
        <f>GOOG[[#This Row],[Stopa zwrotu]]</f>
        <v>-2.7888945305749591E-3</v>
      </c>
      <c r="E450" s="30">
        <f>EBAY[[#This Row],[Stopa zwrotu]]</f>
        <v>-1.823279612512374E-2</v>
      </c>
      <c r="F450" s="30">
        <f>AMZN[[#This Row],[Stopa zwrotu]]</f>
        <v>1.2498996894537484E-2</v>
      </c>
      <c r="H450" s="9">
        <v>45212</v>
      </c>
      <c r="I450" s="30">
        <v>-1.9495892588638708E-2</v>
      </c>
      <c r="J450" s="30">
        <v>-3.1981179881736654E-2</v>
      </c>
      <c r="K450" s="30">
        <v>-1.0613094527352374E-2</v>
      </c>
      <c r="L450" s="30">
        <v>-1.7380952380952275E-2</v>
      </c>
      <c r="M450" s="31">
        <v>-1.7374068959051137E-2</v>
      </c>
      <c r="O450" s="9">
        <v>45272</v>
      </c>
      <c r="P450" s="30">
        <v>4.3525317450905376E-3</v>
      </c>
      <c r="Q450" s="30">
        <v>1.4249993750000023E-2</v>
      </c>
      <c r="R450" s="30">
        <v>-4.5147866996353425E-4</v>
      </c>
      <c r="S450" s="30">
        <v>6.8914347307054147E-3</v>
      </c>
      <c r="T450" s="31">
        <v>1.1556697379258685E-2</v>
      </c>
      <c r="V450" s="9">
        <v>45309</v>
      </c>
      <c r="W450" s="30">
        <v>5.8073032485943532E-3</v>
      </c>
      <c r="X450" s="30">
        <v>3.4410717816460101E-2</v>
      </c>
      <c r="Y450" s="30">
        <v>2.0212163554628404E-2</v>
      </c>
      <c r="Z450" s="30">
        <v>1.4895978522742048E-3</v>
      </c>
      <c r="AA450" s="31">
        <v>1.2740997592128878E-2</v>
      </c>
    </row>
    <row r="451" spans="1:27" x14ac:dyDescent="0.25">
      <c r="A451" s="7">
        <f>NFLX[[#This Row],[Date]]</f>
        <v>45212</v>
      </c>
      <c r="B451" s="30">
        <f>NFLX[[#This Row],[Stopa zwrotu]]</f>
        <v>-1.9495892588638708E-2</v>
      </c>
      <c r="C451" s="30">
        <f>META[[#This Row],[Stopa zwrotu]]</f>
        <v>-3.1981179881736654E-2</v>
      </c>
      <c r="D451" s="30">
        <f>GOOG[[#This Row],[Stopa zwrotu]]</f>
        <v>-1.0613094527352374E-2</v>
      </c>
      <c r="E451" s="30">
        <f>EBAY[[#This Row],[Stopa zwrotu]]</f>
        <v>-1.7380952380952275E-2</v>
      </c>
      <c r="F451" s="30">
        <f>AMZN[[#This Row],[Stopa zwrotu]]</f>
        <v>-1.7374068959051137E-2</v>
      </c>
      <c r="H451" s="9">
        <v>45215</v>
      </c>
      <c r="I451" s="30">
        <v>2.57539278768563E-3</v>
      </c>
      <c r="J451" s="30">
        <v>3.3613919928513112E-3</v>
      </c>
      <c r="K451" s="30">
        <v>3.261593076309429E-3</v>
      </c>
      <c r="L451" s="30">
        <v>4.9269122041838047E-3</v>
      </c>
      <c r="M451" s="31">
        <v>3.8257620122318001E-3</v>
      </c>
      <c r="O451" s="9">
        <v>45273</v>
      </c>
      <c r="P451" s="30">
        <v>6.0540046327350883E-3</v>
      </c>
      <c r="Q451" s="30">
        <v>2.489529532225343E-2</v>
      </c>
      <c r="R451" s="30">
        <v>9.0337271846152589E-4</v>
      </c>
      <c r="S451" s="30">
        <v>-4.1554143241261388E-3</v>
      </c>
      <c r="T451" s="31">
        <v>1.0461142247877309E-2</v>
      </c>
      <c r="V451" s="9">
        <v>45310</v>
      </c>
      <c r="W451" s="30">
        <v>-4.1002281182848099E-3</v>
      </c>
      <c r="X451" s="30">
        <v>1.8924353074289746E-2</v>
      </c>
      <c r="Y451" s="30">
        <v>1.7091014282901273E-2</v>
      </c>
      <c r="Z451" s="30">
        <v>3.9662865642042799E-3</v>
      </c>
      <c r="AA451" s="31">
        <v>6.059794214078762E-3</v>
      </c>
    </row>
    <row r="452" spans="1:27" x14ac:dyDescent="0.25">
      <c r="A452" s="7">
        <f>NFLX[[#This Row],[Date]]</f>
        <v>45215</v>
      </c>
      <c r="B452" s="30">
        <f>NFLX[[#This Row],[Stopa zwrotu]]</f>
        <v>2.57539278768563E-3</v>
      </c>
      <c r="C452" s="30">
        <f>META[[#This Row],[Stopa zwrotu]]</f>
        <v>3.3613919928513112E-3</v>
      </c>
      <c r="D452" s="30">
        <f>GOOG[[#This Row],[Stopa zwrotu]]</f>
        <v>3.261593076309429E-3</v>
      </c>
      <c r="E452" s="30">
        <f>EBAY[[#This Row],[Stopa zwrotu]]</f>
        <v>4.9269122041838047E-3</v>
      </c>
      <c r="F452" s="30">
        <f>AMZN[[#This Row],[Stopa zwrotu]]</f>
        <v>3.8257620122318001E-3</v>
      </c>
      <c r="H452" s="9">
        <v>45216</v>
      </c>
      <c r="I452" s="30">
        <v>-2.480407101176807E-3</v>
      </c>
      <c r="J452" s="30">
        <v>5.6414777575310993E-3</v>
      </c>
      <c r="K452" s="30">
        <v>-5.6775765163433745E-3</v>
      </c>
      <c r="L452" s="30">
        <v>1.1938633907864205E-3</v>
      </c>
      <c r="M452" s="31">
        <v>-1.3187043565968781E-2</v>
      </c>
      <c r="O452" s="9">
        <v>45274</v>
      </c>
      <c r="P452" s="30">
        <v>6.0175742105863517E-3</v>
      </c>
      <c r="Q452" s="30">
        <v>-1.2025011482758585E-2</v>
      </c>
      <c r="R452" s="30">
        <v>-1.421586342721004E-2</v>
      </c>
      <c r="S452" s="30">
        <v>3.0682374536947776E-2</v>
      </c>
      <c r="T452" s="31">
        <v>-8.8543995233565376E-3</v>
      </c>
      <c r="V452" s="9">
        <v>45313</v>
      </c>
      <c r="W452" s="30">
        <v>2.6887339243879538E-3</v>
      </c>
      <c r="X452" s="30">
        <v>2.8132770604017607E-3</v>
      </c>
      <c r="Y452" s="30">
        <v>4.069499230394384E-3</v>
      </c>
      <c r="Z452" s="30">
        <v>3.1275802469135825E-3</v>
      </c>
      <c r="AA452" s="31">
        <v>2.5315109816842116E-3</v>
      </c>
    </row>
    <row r="453" spans="1:27" x14ac:dyDescent="0.25">
      <c r="A453" s="7">
        <f>NFLX[[#This Row],[Date]]</f>
        <v>45216</v>
      </c>
      <c r="B453" s="30">
        <f>NFLX[[#This Row],[Stopa zwrotu]]</f>
        <v>-2.480407101176807E-3</v>
      </c>
      <c r="C453" s="30">
        <f>META[[#This Row],[Stopa zwrotu]]</f>
        <v>5.6414777575310993E-3</v>
      </c>
      <c r="D453" s="30">
        <f>GOOG[[#This Row],[Stopa zwrotu]]</f>
        <v>-5.6775765163433745E-3</v>
      </c>
      <c r="E453" s="30">
        <f>EBAY[[#This Row],[Stopa zwrotu]]</f>
        <v>1.1938633907864205E-3</v>
      </c>
      <c r="F453" s="30">
        <f>AMZN[[#This Row],[Stopa zwrotu]]</f>
        <v>-1.3187043565968781E-2</v>
      </c>
      <c r="H453" s="9">
        <v>45217</v>
      </c>
      <c r="I453" s="30">
        <v>-2.5883759393437566E-2</v>
      </c>
      <c r="J453" s="30">
        <v>-5.4837379949727039E-3</v>
      </c>
      <c r="K453" s="30">
        <v>1.2704559414042915E-3</v>
      </c>
      <c r="L453" s="30">
        <v>-5.2468638206534246E-3</v>
      </c>
      <c r="M453" s="31">
        <v>-9.3233232440115277E-3</v>
      </c>
      <c r="O453" s="9">
        <v>45275</v>
      </c>
      <c r="P453" s="30">
        <v>5.465138878880671E-3</v>
      </c>
      <c r="Q453" s="30">
        <v>7.850492582286428E-3</v>
      </c>
      <c r="R453" s="30">
        <v>1.1979299740261018E-2</v>
      </c>
      <c r="S453" s="30">
        <v>-7.859061307022519E-3</v>
      </c>
      <c r="T453" s="31">
        <v>1.6217708460205982E-2</v>
      </c>
      <c r="V453" s="9">
        <v>45314</v>
      </c>
      <c r="W453" s="30">
        <v>3.125651216407288E-3</v>
      </c>
      <c r="X453" s="30">
        <v>2.41363991590271E-3</v>
      </c>
      <c r="Y453" s="30">
        <v>-2.6426344675074542E-3</v>
      </c>
      <c r="Z453" s="30">
        <v>7.3385272177464156E-3</v>
      </c>
      <c r="AA453" s="31">
        <v>1.9492528375275597E-4</v>
      </c>
    </row>
    <row r="454" spans="1:27" x14ac:dyDescent="0.25">
      <c r="A454" s="7">
        <f>NFLX[[#This Row],[Date]]</f>
        <v>45217</v>
      </c>
      <c r="B454" s="30">
        <f>NFLX[[#This Row],[Stopa zwrotu]]</f>
        <v>-2.5883759393437566E-2</v>
      </c>
      <c r="C454" s="30">
        <f>META[[#This Row],[Stopa zwrotu]]</f>
        <v>-5.4837379949727039E-3</v>
      </c>
      <c r="D454" s="30">
        <f>GOOG[[#This Row],[Stopa zwrotu]]</f>
        <v>1.2704559414042915E-3</v>
      </c>
      <c r="E454" s="30">
        <f>EBAY[[#This Row],[Stopa zwrotu]]</f>
        <v>-5.2468638206534246E-3</v>
      </c>
      <c r="F454" s="30">
        <f>AMZN[[#This Row],[Stopa zwrotu]]</f>
        <v>-9.3233232440115277E-3</v>
      </c>
      <c r="H454" s="9">
        <v>45218</v>
      </c>
      <c r="I454" s="30">
        <v>0.13787601161304175</v>
      </c>
      <c r="J454" s="30">
        <v>-1.2073767347406283E-2</v>
      </c>
      <c r="K454" s="30">
        <v>-7.5697342191016759E-4</v>
      </c>
      <c r="L454" s="30">
        <v>-1.7981299879676338E-2</v>
      </c>
      <c r="M454" s="31">
        <v>-3.1370872380664938E-4</v>
      </c>
      <c r="O454" s="9">
        <v>45278</v>
      </c>
      <c r="P454" s="30">
        <v>5.5638905772880482E-3</v>
      </c>
      <c r="Q454" s="30">
        <v>5.8369945277952544E-3</v>
      </c>
      <c r="R454" s="30">
        <v>2.8651108523041944E-3</v>
      </c>
      <c r="S454" s="30">
        <v>-1.1201792286765395E-3</v>
      </c>
      <c r="T454" s="31">
        <v>4.8913486760205531E-3</v>
      </c>
      <c r="V454" s="9">
        <v>45315</v>
      </c>
      <c r="W454" s="30">
        <v>0.11564190630214277</v>
      </c>
      <c r="X454" s="30">
        <v>1.4996888596523039E-2</v>
      </c>
      <c r="Y454" s="30">
        <v>1.800389947681369E-2</v>
      </c>
      <c r="Z454" s="30">
        <v>3.156896551724131E-3</v>
      </c>
      <c r="AA454" s="31">
        <v>1.6565991788228152E-2</v>
      </c>
    </row>
    <row r="455" spans="1:27" x14ac:dyDescent="0.25">
      <c r="A455" s="7">
        <f>NFLX[[#This Row],[Date]]</f>
        <v>45218</v>
      </c>
      <c r="B455" s="30">
        <f>NFLX[[#This Row],[Stopa zwrotu]]</f>
        <v>0.13787601161304175</v>
      </c>
      <c r="C455" s="30">
        <f>META[[#This Row],[Stopa zwrotu]]</f>
        <v>-1.2073767347406283E-2</v>
      </c>
      <c r="D455" s="30">
        <f>GOOG[[#This Row],[Stopa zwrotu]]</f>
        <v>-7.5697342191016759E-4</v>
      </c>
      <c r="E455" s="30">
        <f>EBAY[[#This Row],[Stopa zwrotu]]</f>
        <v>-1.7981299879676338E-2</v>
      </c>
      <c r="F455" s="30">
        <f>AMZN[[#This Row],[Stopa zwrotu]]</f>
        <v>-3.1370872380664938E-4</v>
      </c>
      <c r="H455" s="9">
        <v>45219</v>
      </c>
      <c r="I455" s="30">
        <v>1.4658644402726573E-2</v>
      </c>
      <c r="J455" s="30">
        <v>-1.6936644747393648E-2</v>
      </c>
      <c r="K455" s="30">
        <v>-1.6991420620862119E-2</v>
      </c>
      <c r="L455" s="30">
        <v>-6.5917970359326006E-3</v>
      </c>
      <c r="M455" s="31">
        <v>-1.9612457679356265E-2</v>
      </c>
      <c r="O455" s="9">
        <v>45279</v>
      </c>
      <c r="P455" s="30">
        <v>1.8859170462734109E-2</v>
      </c>
      <c r="Q455" s="30">
        <v>2.4034200535209216E-2</v>
      </c>
      <c r="R455" s="30">
        <v>2.7509851909700123E-2</v>
      </c>
      <c r="S455" s="30">
        <v>2.5289017341040498E-2</v>
      </c>
      <c r="T455" s="31">
        <v>1.7594128272026666E-2</v>
      </c>
      <c r="V455" s="9">
        <v>45316</v>
      </c>
      <c r="W455" s="30">
        <v>2.120769145836876E-2</v>
      </c>
      <c r="X455" s="30">
        <v>-5.5439364923232093E-3</v>
      </c>
      <c r="Y455" s="30">
        <v>9.20985742685132E-3</v>
      </c>
      <c r="Z455" s="30">
        <v>-1.2104332798248407E-3</v>
      </c>
      <c r="AA455" s="31">
        <v>-1.2333800161906883E-2</v>
      </c>
    </row>
    <row r="456" spans="1:27" x14ac:dyDescent="0.25">
      <c r="A456" s="7">
        <f>NFLX[[#This Row],[Date]]</f>
        <v>45219</v>
      </c>
      <c r="B456" s="30">
        <f>NFLX[[#This Row],[Stopa zwrotu]]</f>
        <v>1.4658644402726573E-2</v>
      </c>
      <c r="C456" s="30">
        <f>META[[#This Row],[Stopa zwrotu]]</f>
        <v>-1.6936644747393648E-2</v>
      </c>
      <c r="D456" s="30">
        <f>GOOG[[#This Row],[Stopa zwrotu]]</f>
        <v>-1.6991420620862119E-2</v>
      </c>
      <c r="E456" s="30">
        <f>EBAY[[#This Row],[Stopa zwrotu]]</f>
        <v>-6.5917970359326006E-3</v>
      </c>
      <c r="F456" s="30">
        <f>AMZN[[#This Row],[Stopa zwrotu]]</f>
        <v>-1.9612457679356265E-2</v>
      </c>
      <c r="H456" s="9">
        <v>45222</v>
      </c>
      <c r="I456" s="30">
        <v>4.2710734838051029E-4</v>
      </c>
      <c r="J456" s="30">
        <v>8.5925647689522044E-4</v>
      </c>
      <c r="K456" s="30">
        <v>-2.7768457353851694E-3</v>
      </c>
      <c r="L456" s="30">
        <v>-4.5875154727823926E-3</v>
      </c>
      <c r="M456" s="31">
        <v>-2.6406283963567776E-3</v>
      </c>
      <c r="O456" s="9">
        <v>45280</v>
      </c>
      <c r="P456" s="30">
        <v>8.9452072426774443E-3</v>
      </c>
      <c r="Q456" s="30">
        <v>7.7364801769888025E-3</v>
      </c>
      <c r="R456" s="30">
        <v>1.425978205004963E-2</v>
      </c>
      <c r="S456" s="30">
        <v>6.1076344843786767E-3</v>
      </c>
      <c r="T456" s="31">
        <v>-7.4006417263652313E-3</v>
      </c>
      <c r="V456" s="9">
        <v>45317</v>
      </c>
      <c r="W456" s="30">
        <v>1.8178118003284505E-2</v>
      </c>
      <c r="X456" s="30">
        <v>1.5376217234079448E-2</v>
      </c>
      <c r="Y456" s="30">
        <v>1.0448366549078436E-2</v>
      </c>
      <c r="Z456" s="30">
        <v>2.1085871114196353E-2</v>
      </c>
      <c r="AA456" s="31">
        <v>2.1740543091416153E-2</v>
      </c>
    </row>
    <row r="457" spans="1:27" x14ac:dyDescent="0.25">
      <c r="A457" s="7">
        <f>NFLX[[#This Row],[Date]]</f>
        <v>45222</v>
      </c>
      <c r="B457" s="30">
        <f>NFLX[[#This Row],[Stopa zwrotu]]</f>
        <v>4.2710734838051029E-4</v>
      </c>
      <c r="C457" s="30">
        <f>META[[#This Row],[Stopa zwrotu]]</f>
        <v>8.5925647689522044E-4</v>
      </c>
      <c r="D457" s="30">
        <f>GOOG[[#This Row],[Stopa zwrotu]]</f>
        <v>-2.7768457353851694E-3</v>
      </c>
      <c r="E457" s="30">
        <f>EBAY[[#This Row],[Stopa zwrotu]]</f>
        <v>-4.5875154727823926E-3</v>
      </c>
      <c r="F457" s="30">
        <f>AMZN[[#This Row],[Stopa zwrotu]]</f>
        <v>-2.6406283963567776E-3</v>
      </c>
      <c r="H457" s="9">
        <v>45223</v>
      </c>
      <c r="I457" s="30">
        <v>2.476670248026136E-2</v>
      </c>
      <c r="J457" s="30">
        <v>1.0967893283606811E-2</v>
      </c>
      <c r="K457" s="30">
        <v>2.6941003427273902E-2</v>
      </c>
      <c r="L457" s="30">
        <v>9.2200097378516421E-3</v>
      </c>
      <c r="M457" s="31">
        <v>1.9035271357430217E-2</v>
      </c>
      <c r="O457" s="9">
        <v>45281</v>
      </c>
      <c r="P457" s="30">
        <v>-3.3170743672963354E-3</v>
      </c>
      <c r="Q457" s="30">
        <v>4.0828717422989325E-3</v>
      </c>
      <c r="R457" s="30">
        <v>7.625012334122161E-3</v>
      </c>
      <c r="S457" s="30">
        <v>5.6035019564089072E-3</v>
      </c>
      <c r="T457" s="31">
        <v>3.5629981995644044E-3</v>
      </c>
      <c r="V457" s="9">
        <v>45320</v>
      </c>
      <c r="W457" s="30">
        <v>2.5368742446229367E-3</v>
      </c>
      <c r="X457" s="30">
        <v>1.2853665104015644E-3</v>
      </c>
      <c r="Y457" s="30">
        <v>2.6176919206818045E-4</v>
      </c>
      <c r="Z457" s="30">
        <v>-7.9121764084462887E-4</v>
      </c>
      <c r="AA457" s="31">
        <v>2.0897768241882422E-3</v>
      </c>
    </row>
    <row r="458" spans="1:27" x14ac:dyDescent="0.25">
      <c r="A458" s="7">
        <f>NFLX[[#This Row],[Date]]</f>
        <v>45223</v>
      </c>
      <c r="B458" s="30">
        <f>NFLX[[#This Row],[Stopa zwrotu]]</f>
        <v>2.476670248026136E-2</v>
      </c>
      <c r="C458" s="30">
        <f>META[[#This Row],[Stopa zwrotu]]</f>
        <v>1.0967893283606811E-2</v>
      </c>
      <c r="D458" s="30">
        <f>GOOG[[#This Row],[Stopa zwrotu]]</f>
        <v>2.6941003427273902E-2</v>
      </c>
      <c r="E458" s="30">
        <f>EBAY[[#This Row],[Stopa zwrotu]]</f>
        <v>9.2200097378516421E-3</v>
      </c>
      <c r="F458" s="30">
        <f>AMZN[[#This Row],[Stopa zwrotu]]</f>
        <v>1.9035271357430217E-2</v>
      </c>
      <c r="H458" s="9">
        <v>45224</v>
      </c>
      <c r="I458" s="30">
        <v>4.2115868087519992E-3</v>
      </c>
      <c r="J458" s="30">
        <v>-3.7955151821215671E-2</v>
      </c>
      <c r="K458" s="30">
        <v>-9.1243272072072057E-2</v>
      </c>
      <c r="L458" s="30">
        <v>-3.1851876543209756E-2</v>
      </c>
      <c r="M458" s="31">
        <v>-4.3929042074688618E-2</v>
      </c>
      <c r="O458" s="9">
        <v>45282</v>
      </c>
      <c r="P458" s="30">
        <v>-2.7117057949930246E-3</v>
      </c>
      <c r="Q458" s="30">
        <v>5.7558777005324302E-3</v>
      </c>
      <c r="R458" s="30">
        <v>1.1261850470674517E-2</v>
      </c>
      <c r="S458" s="30">
        <v>8.8228697469237005E-3</v>
      </c>
      <c r="T458" s="31">
        <v>4.0105258115503695E-3</v>
      </c>
      <c r="V458" s="9">
        <v>45321</v>
      </c>
      <c r="W458" s="30">
        <v>-3.305584032023523E-3</v>
      </c>
      <c r="X458" s="30">
        <v>1.6458918598948102E-2</v>
      </c>
      <c r="Y458" s="30">
        <v>-9.4823438331459453E-4</v>
      </c>
      <c r="Z458" s="30">
        <v>-2.6172020608422608E-3</v>
      </c>
      <c r="AA458" s="31">
        <v>-2.5801700156137253E-3</v>
      </c>
    </row>
    <row r="459" spans="1:27" x14ac:dyDescent="0.25">
      <c r="A459" s="7">
        <f>NFLX[[#This Row],[Date]]</f>
        <v>45224</v>
      </c>
      <c r="B459" s="30">
        <f>NFLX[[#This Row],[Stopa zwrotu]]</f>
        <v>4.2115868087519992E-3</v>
      </c>
      <c r="C459" s="30">
        <f>META[[#This Row],[Stopa zwrotu]]</f>
        <v>-3.7955151821215671E-2</v>
      </c>
      <c r="D459" s="30">
        <f>GOOG[[#This Row],[Stopa zwrotu]]</f>
        <v>-9.1243272072072057E-2</v>
      </c>
      <c r="E459" s="30">
        <f>EBAY[[#This Row],[Stopa zwrotu]]</f>
        <v>-3.1851876543209756E-2</v>
      </c>
      <c r="F459" s="30">
        <f>AMZN[[#This Row],[Stopa zwrotu]]</f>
        <v>-4.3929042074688618E-2</v>
      </c>
      <c r="H459" s="9">
        <v>45225</v>
      </c>
      <c r="I459" s="30">
        <v>-2.0896774800545304E-2</v>
      </c>
      <c r="J459" s="30">
        <v>-6.5051540155956933E-2</v>
      </c>
      <c r="K459" s="30">
        <v>-2.9899247518415439E-2</v>
      </c>
      <c r="L459" s="30">
        <v>-2.4993599209222284E-2</v>
      </c>
      <c r="M459" s="31">
        <v>-2.0200372380160925E-2</v>
      </c>
      <c r="O459" s="9">
        <v>45286</v>
      </c>
      <c r="P459" s="30">
        <v>4.7893345195754167E-4</v>
      </c>
      <c r="Q459" s="30">
        <v>1.5873320096027044E-3</v>
      </c>
      <c r="R459" s="30">
        <v>7.831597302602189E-4</v>
      </c>
      <c r="S459" s="30">
        <v>-1.0932278229406622E-3</v>
      </c>
      <c r="T459" s="31">
        <v>5.2385565014090307E-4</v>
      </c>
      <c r="V459" s="9">
        <v>45322</v>
      </c>
      <c r="W459" s="30">
        <v>2.1753343047192786E-3</v>
      </c>
      <c r="X459" s="30">
        <v>-3.1208551146332586E-2</v>
      </c>
      <c r="Y459" s="30">
        <v>-7.3474007140199804E-2</v>
      </c>
      <c r="Z459" s="30">
        <v>-2.2662143256781508E-2</v>
      </c>
      <c r="AA459" s="31">
        <v>-2.3219173978825891E-2</v>
      </c>
    </row>
    <row r="460" spans="1:27" x14ac:dyDescent="0.25">
      <c r="A460" s="7">
        <f>NFLX[[#This Row],[Date]]</f>
        <v>45225</v>
      </c>
      <c r="B460" s="30">
        <f>NFLX[[#This Row],[Stopa zwrotu]]</f>
        <v>-2.0896774800545304E-2</v>
      </c>
      <c r="C460" s="30">
        <f>META[[#This Row],[Stopa zwrotu]]</f>
        <v>-6.5051540155956933E-2</v>
      </c>
      <c r="D460" s="30">
        <f>GOOG[[#This Row],[Stopa zwrotu]]</f>
        <v>-2.9899247518415439E-2</v>
      </c>
      <c r="E460" s="30">
        <f>EBAY[[#This Row],[Stopa zwrotu]]</f>
        <v>-2.4993599209222284E-2</v>
      </c>
      <c r="F460" s="30">
        <f>AMZN[[#This Row],[Stopa zwrotu]]</f>
        <v>-2.0200372380160925E-2</v>
      </c>
      <c r="H460" s="9">
        <v>45226</v>
      </c>
      <c r="I460" s="30">
        <v>-1.4743273066968432E-2</v>
      </c>
      <c r="J460" s="30">
        <v>4.8568386869757951E-2</v>
      </c>
      <c r="K460" s="30">
        <v>-7.03074722040542E-3</v>
      </c>
      <c r="L460" s="30">
        <v>-7.8472403871304719E-3</v>
      </c>
      <c r="M460" s="31">
        <v>6.0583009050832359E-2</v>
      </c>
      <c r="O460" s="9">
        <v>45287</v>
      </c>
      <c r="P460" s="30">
        <v>5.9007257093144361E-3</v>
      </c>
      <c r="Q460" s="30">
        <v>5.2623735658552384E-3</v>
      </c>
      <c r="R460" s="30">
        <v>-1.016845614035089E-2</v>
      </c>
      <c r="S460" s="30">
        <v>-3.6985669763555107E-3</v>
      </c>
      <c r="T460" s="31">
        <v>5.8809384165248169E-4</v>
      </c>
      <c r="V460" s="9">
        <v>45323</v>
      </c>
      <c r="W460" s="30">
        <v>3.1848962174714224E-3</v>
      </c>
      <c r="X460" s="30">
        <v>1.5370658506267176E-2</v>
      </c>
      <c r="Y460" s="30">
        <v>5.0158388198691117E-3</v>
      </c>
      <c r="Z460" s="30">
        <v>-4.8816449870235923E-3</v>
      </c>
      <c r="AA460" s="31">
        <v>5.2322008298195666E-3</v>
      </c>
    </row>
    <row r="461" spans="1:27" x14ac:dyDescent="0.25">
      <c r="A461" s="7">
        <f>NFLX[[#This Row],[Date]]</f>
        <v>45226</v>
      </c>
      <c r="B461" s="30">
        <f>NFLX[[#This Row],[Stopa zwrotu]]</f>
        <v>-1.4743273066968432E-2</v>
      </c>
      <c r="C461" s="30">
        <f>META[[#This Row],[Stopa zwrotu]]</f>
        <v>4.8568386869757951E-2</v>
      </c>
      <c r="D461" s="30">
        <f>GOOG[[#This Row],[Stopa zwrotu]]</f>
        <v>-7.03074722040542E-3</v>
      </c>
      <c r="E461" s="30">
        <f>EBAY[[#This Row],[Stopa zwrotu]]</f>
        <v>-7.8472403871304719E-3</v>
      </c>
      <c r="F461" s="30">
        <f>AMZN[[#This Row],[Stopa zwrotu]]</f>
        <v>6.0583009050832359E-2</v>
      </c>
      <c r="H461" s="9">
        <v>45229</v>
      </c>
      <c r="I461" s="30">
        <v>3.1933075913752607E-3</v>
      </c>
      <c r="J461" s="30">
        <v>6.9176445588820341E-3</v>
      </c>
      <c r="K461" s="30">
        <v>6.6414128654817732E-3</v>
      </c>
      <c r="L461" s="30">
        <v>7.0303190087006584E-4</v>
      </c>
      <c r="M461" s="31">
        <v>8.0730854914429582E-3</v>
      </c>
      <c r="O461" s="9">
        <v>45288</v>
      </c>
      <c r="P461" s="30">
        <v>-3.678957588145737E-4</v>
      </c>
      <c r="Q461" s="30">
        <v>7.0361093525996843E-3</v>
      </c>
      <c r="R461" s="30">
        <v>-1.5809317757737862E-3</v>
      </c>
      <c r="S461" s="30">
        <v>4.6406034636015114E-4</v>
      </c>
      <c r="T461" s="31">
        <v>-1.1102273089806936E-3</v>
      </c>
      <c r="V461" s="9">
        <v>45324</v>
      </c>
      <c r="W461" s="30">
        <v>-2.5894719258977572E-3</v>
      </c>
      <c r="X461" s="30">
        <v>0.15255062671570419</v>
      </c>
      <c r="Y461" s="30">
        <v>-2.8750155656901422E-2</v>
      </c>
      <c r="Z461" s="30">
        <v>5.8866323276918209E-3</v>
      </c>
      <c r="AA461" s="31">
        <v>7.5247444905778504E-2</v>
      </c>
    </row>
    <row r="462" spans="1:27" x14ac:dyDescent="0.25">
      <c r="A462" s="7">
        <f>NFLX[[#This Row],[Date]]</f>
        <v>45229</v>
      </c>
      <c r="B462" s="30">
        <f>NFLX[[#This Row],[Stopa zwrotu]]</f>
        <v>3.1933075913752607E-3</v>
      </c>
      <c r="C462" s="30">
        <f>META[[#This Row],[Stopa zwrotu]]</f>
        <v>6.9176445588820341E-3</v>
      </c>
      <c r="D462" s="30">
        <f>GOOG[[#This Row],[Stopa zwrotu]]</f>
        <v>6.6414128654817732E-3</v>
      </c>
      <c r="E462" s="30">
        <f>EBAY[[#This Row],[Stopa zwrotu]]</f>
        <v>7.0303190087006584E-4</v>
      </c>
      <c r="F462" s="30">
        <f>AMZN[[#This Row],[Stopa zwrotu]]</f>
        <v>8.0730854914429582E-3</v>
      </c>
      <c r="H462" s="9">
        <v>45230</v>
      </c>
      <c r="I462" s="30">
        <v>1.3069279556653157E-2</v>
      </c>
      <c r="J462" s="30">
        <v>-7.3232004276154727E-3</v>
      </c>
      <c r="K462" s="30">
        <v>3.6330320543997985E-4</v>
      </c>
      <c r="L462" s="30">
        <v>1.2628361622118334E-2</v>
      </c>
      <c r="M462" s="31">
        <v>2.450224835877779E-2</v>
      </c>
      <c r="O462" s="9">
        <v>45289</v>
      </c>
      <c r="P462" s="30">
        <v>-1.4578700181873905E-2</v>
      </c>
      <c r="Q462" s="30">
        <v>-1.6740703260058276E-2</v>
      </c>
      <c r="R462" s="30">
        <v>-6.5896624267263171E-3</v>
      </c>
      <c r="S462" s="30">
        <v>5.5659092199884519E-3</v>
      </c>
      <c r="T462" s="31">
        <v>-1.2553109105324145E-2</v>
      </c>
      <c r="V462" s="9">
        <v>45327</v>
      </c>
      <c r="W462" s="30">
        <v>-3.0644018741908066E-3</v>
      </c>
      <c r="X462" s="30">
        <v>4.5694288300605441E-3</v>
      </c>
      <c r="Y462" s="30">
        <v>1.3847690244110256E-2</v>
      </c>
      <c r="Z462" s="30">
        <v>-5.6895881828622485E-4</v>
      </c>
      <c r="AA462" s="31">
        <v>7.370565062603992E-4</v>
      </c>
    </row>
    <row r="463" spans="1:27" x14ac:dyDescent="0.25">
      <c r="A463" s="7">
        <f>NFLX[[#This Row],[Date]]</f>
        <v>45230</v>
      </c>
      <c r="B463" s="30">
        <f>NFLX[[#This Row],[Stopa zwrotu]]</f>
        <v>1.3069279556653157E-2</v>
      </c>
      <c r="C463" s="30">
        <f>META[[#This Row],[Stopa zwrotu]]</f>
        <v>-7.3232004276154727E-3</v>
      </c>
      <c r="D463" s="30">
        <f>GOOG[[#This Row],[Stopa zwrotu]]</f>
        <v>3.6330320543997985E-4</v>
      </c>
      <c r="E463" s="30">
        <f>EBAY[[#This Row],[Stopa zwrotu]]</f>
        <v>1.2628361622118334E-2</v>
      </c>
      <c r="F463" s="30">
        <f>AMZN[[#This Row],[Stopa zwrotu]]</f>
        <v>2.450224835877779E-2</v>
      </c>
      <c r="H463" s="9">
        <v>45231</v>
      </c>
      <c r="I463" s="30">
        <v>2.3601779111759313E-2</v>
      </c>
      <c r="J463" s="30">
        <v>1.6809341952907619E-2</v>
      </c>
      <c r="K463" s="30">
        <v>8.0693966172427078E-3</v>
      </c>
      <c r="L463" s="30">
        <v>-7.0148346575817921E-3</v>
      </c>
      <c r="M463" s="31">
        <v>1.5184875056608371E-2</v>
      </c>
      <c r="O463" s="9">
        <v>45293</v>
      </c>
      <c r="P463" s="30">
        <v>-1.0416243161321975E-2</v>
      </c>
      <c r="Q463" s="30">
        <v>-8.3920731944047422E-3</v>
      </c>
      <c r="R463" s="30">
        <v>-3.8598804371642592E-3</v>
      </c>
      <c r="S463" s="30">
        <v>-9.2250920381664603E-4</v>
      </c>
      <c r="T463" s="31">
        <v>-4.3699927456134213E-3</v>
      </c>
      <c r="V463" s="9">
        <v>45328</v>
      </c>
      <c r="W463" s="30">
        <v>-5.0789966601795244E-3</v>
      </c>
      <c r="X463" s="30">
        <v>-1.3544708389127913E-2</v>
      </c>
      <c r="Y463" s="30">
        <v>4.2387602185043338E-3</v>
      </c>
      <c r="Z463" s="30">
        <v>9.0376650961814242E-3</v>
      </c>
      <c r="AA463" s="31">
        <v>-2.9816935536386424E-4</v>
      </c>
    </row>
    <row r="464" spans="1:27" x14ac:dyDescent="0.25">
      <c r="A464" s="7">
        <f>NFLX[[#This Row],[Date]]</f>
        <v>45231</v>
      </c>
      <c r="B464" s="30">
        <f>NFLX[[#This Row],[Stopa zwrotu]]</f>
        <v>2.3601779111759313E-2</v>
      </c>
      <c r="C464" s="30">
        <f>META[[#This Row],[Stopa zwrotu]]</f>
        <v>1.6809341952907619E-2</v>
      </c>
      <c r="D464" s="30">
        <f>GOOG[[#This Row],[Stopa zwrotu]]</f>
        <v>8.0693966172427078E-3</v>
      </c>
      <c r="E464" s="30">
        <f>EBAY[[#This Row],[Stopa zwrotu]]</f>
        <v>-7.0148346575817921E-3</v>
      </c>
      <c r="F464" s="30">
        <f>AMZN[[#This Row],[Stopa zwrotu]]</f>
        <v>1.5184875056608371E-2</v>
      </c>
      <c r="H464" s="9">
        <v>45232</v>
      </c>
      <c r="I464" s="30">
        <v>7.0501063531573926E-3</v>
      </c>
      <c r="J464" s="30">
        <v>2.14675529938535E-2</v>
      </c>
      <c r="K464" s="30">
        <v>2.5495280556447231E-2</v>
      </c>
      <c r="L464" s="30">
        <v>5.2331238819158798E-4</v>
      </c>
      <c r="M464" s="31">
        <v>2.0641641279698808E-2</v>
      </c>
      <c r="O464" s="9">
        <v>45294</v>
      </c>
      <c r="P464" s="30">
        <v>8.465777783282169E-3</v>
      </c>
      <c r="Q464" s="30">
        <v>9.3232049256433136E-3</v>
      </c>
      <c r="R464" s="30">
        <v>5.0093507692263728E-3</v>
      </c>
      <c r="S464" s="30">
        <v>-5.55560172324987E-3</v>
      </c>
      <c r="T464" s="31">
        <v>-4.0431970081744595E-4</v>
      </c>
      <c r="V464" s="9">
        <v>45329</v>
      </c>
      <c r="W464" s="30">
        <v>1.1003210951197051E-3</v>
      </c>
      <c r="X464" s="30">
        <v>7.0198520971302969E-3</v>
      </c>
      <c r="Y464" s="30">
        <v>4.774446311252456E-3</v>
      </c>
      <c r="Z464" s="30">
        <v>2.3238900429946918E-2</v>
      </c>
      <c r="AA464" s="31">
        <v>7.6946498429339982E-3</v>
      </c>
    </row>
    <row r="465" spans="1:27" x14ac:dyDescent="0.25">
      <c r="A465" s="7">
        <f>NFLX[[#This Row],[Date]]</f>
        <v>45232</v>
      </c>
      <c r="B465" s="30">
        <f>NFLX[[#This Row],[Stopa zwrotu]]</f>
        <v>7.0501063531573926E-3</v>
      </c>
      <c r="C465" s="30">
        <f>META[[#This Row],[Stopa zwrotu]]</f>
        <v>2.14675529938535E-2</v>
      </c>
      <c r="D465" s="30">
        <f>GOOG[[#This Row],[Stopa zwrotu]]</f>
        <v>2.5495280556447231E-2</v>
      </c>
      <c r="E465" s="30">
        <f>EBAY[[#This Row],[Stopa zwrotu]]</f>
        <v>5.2331238819158798E-4</v>
      </c>
      <c r="F465" s="30">
        <f>AMZN[[#This Row],[Stopa zwrotu]]</f>
        <v>2.0641641279698808E-2</v>
      </c>
      <c r="H465" s="9">
        <v>45233</v>
      </c>
      <c r="I465" s="30">
        <v>2.0210963506914759E-2</v>
      </c>
      <c r="J465" s="30">
        <v>8.7244254967648871E-3</v>
      </c>
      <c r="K465" s="30">
        <v>7.0251658182407528E-3</v>
      </c>
      <c r="L465" s="30">
        <v>3.3211190731632367E-2</v>
      </c>
      <c r="M465" s="31">
        <v>7.1810360725357292E-3</v>
      </c>
      <c r="O465" s="9">
        <v>45295</v>
      </c>
      <c r="P465" s="30">
        <v>1.6317281446829313E-3</v>
      </c>
      <c r="Q465" s="30">
        <v>6.4106592600809975E-4</v>
      </c>
      <c r="R465" s="30">
        <v>-3.0340101223583771E-3</v>
      </c>
      <c r="S465" s="30">
        <v>-1.2802584096894609E-2</v>
      </c>
      <c r="T465" s="31">
        <v>-2.8854573871036626E-2</v>
      </c>
      <c r="V465" s="9">
        <v>45330</v>
      </c>
      <c r="W465" s="30">
        <v>1.3694367858099188E-3</v>
      </c>
      <c r="X465" s="30">
        <v>1.9400250199048008E-2</v>
      </c>
      <c r="Y465" s="30">
        <v>8.332697070939421E-3</v>
      </c>
      <c r="Z465" s="30">
        <v>-1.490421102436712E-2</v>
      </c>
      <c r="AA465" s="31">
        <v>-3.5513791458330335E-4</v>
      </c>
    </row>
    <row r="466" spans="1:27" x14ac:dyDescent="0.25">
      <c r="A466" s="7">
        <f>NFLX[[#This Row],[Date]]</f>
        <v>45233</v>
      </c>
      <c r="B466" s="30">
        <f>NFLX[[#This Row],[Stopa zwrotu]]</f>
        <v>2.0210963506914759E-2</v>
      </c>
      <c r="C466" s="30">
        <f>META[[#This Row],[Stopa zwrotu]]</f>
        <v>8.7244254967648871E-3</v>
      </c>
      <c r="D466" s="30">
        <f>GOOG[[#This Row],[Stopa zwrotu]]</f>
        <v>7.0251658182407528E-3</v>
      </c>
      <c r="E466" s="30">
        <f>EBAY[[#This Row],[Stopa zwrotu]]</f>
        <v>3.3211190731632367E-2</v>
      </c>
      <c r="F466" s="30">
        <f>AMZN[[#This Row],[Stopa zwrotu]]</f>
        <v>7.1810360725357292E-3</v>
      </c>
      <c r="H466" s="9">
        <v>45236</v>
      </c>
      <c r="I466" s="30">
        <v>3.1960034228593801E-3</v>
      </c>
      <c r="J466" s="30">
        <v>3.6761013453704785E-3</v>
      </c>
      <c r="K466" s="30">
        <v>2.3770716369688749E-3</v>
      </c>
      <c r="L466" s="30">
        <v>4.3870836608663755E-3</v>
      </c>
      <c r="M466" s="31">
        <v>2.2068728503986299E-3</v>
      </c>
      <c r="O466" s="9">
        <v>45296</v>
      </c>
      <c r="P466" s="30">
        <v>1.1296141751433231E-2</v>
      </c>
      <c r="Q466" s="30">
        <v>8.3285266452277629E-3</v>
      </c>
      <c r="R466" s="30">
        <v>-8.40510862999444E-3</v>
      </c>
      <c r="S466" s="30">
        <v>-4.7161046922883365E-4</v>
      </c>
      <c r="T466" s="31">
        <v>3.3321484901323029E-3</v>
      </c>
      <c r="V466" s="9">
        <v>45331</v>
      </c>
      <c r="W466" s="30">
        <v>4.2465650168523883E-3</v>
      </c>
      <c r="X466" s="30">
        <v>5.2469776256307554E-3</v>
      </c>
      <c r="Y466" s="30">
        <v>6.8979307047936089E-3</v>
      </c>
      <c r="Z466" s="30">
        <v>3.6023535927556249E-3</v>
      </c>
      <c r="AA466" s="31">
        <v>1.0066301217838136E-2</v>
      </c>
    </row>
    <row r="467" spans="1:27" x14ac:dyDescent="0.25">
      <c r="A467" s="7">
        <f>NFLX[[#This Row],[Date]]</f>
        <v>45236</v>
      </c>
      <c r="B467" s="30">
        <f>NFLX[[#This Row],[Stopa zwrotu]]</f>
        <v>3.1960034228593801E-3</v>
      </c>
      <c r="C467" s="30">
        <f>META[[#This Row],[Stopa zwrotu]]</f>
        <v>3.6761013453704785E-3</v>
      </c>
      <c r="D467" s="30">
        <f>GOOG[[#This Row],[Stopa zwrotu]]</f>
        <v>2.3770716369688749E-3</v>
      </c>
      <c r="E467" s="30">
        <f>EBAY[[#This Row],[Stopa zwrotu]]</f>
        <v>4.3870836608663755E-3</v>
      </c>
      <c r="F467" s="30">
        <f>AMZN[[#This Row],[Stopa zwrotu]]</f>
        <v>2.2068728503986299E-3</v>
      </c>
      <c r="H467" s="9">
        <v>45237</v>
      </c>
      <c r="I467" s="30">
        <v>3.2355276844879821E-3</v>
      </c>
      <c r="J467" s="30">
        <v>2.1306502605571431E-3</v>
      </c>
      <c r="K467" s="30">
        <v>9.3127535225834279E-3</v>
      </c>
      <c r="L467" s="30">
        <v>2.9978267049171059E-3</v>
      </c>
      <c r="M467" s="31">
        <v>1.5466890608073935E-2</v>
      </c>
      <c r="O467" s="9">
        <v>45299</v>
      </c>
      <c r="P467" s="30">
        <v>1.3070552826437432E-3</v>
      </c>
      <c r="Q467" s="30">
        <v>5.5738249030451064E-3</v>
      </c>
      <c r="R467" s="30">
        <v>2.5088270730510378E-3</v>
      </c>
      <c r="S467" s="30">
        <v>1.5727766353560804E-4</v>
      </c>
      <c r="T467" s="31">
        <v>3.7362370239366616E-3</v>
      </c>
      <c r="V467" s="9">
        <v>45334</v>
      </c>
      <c r="W467" s="30">
        <v>-6.5697667520892011E-4</v>
      </c>
      <c r="X467" s="30">
        <v>-6.3463181102252353E-4</v>
      </c>
      <c r="Y467" s="30">
        <v>2.554896230194744E-3</v>
      </c>
      <c r="Z467" s="30">
        <v>3.589383339170841E-3</v>
      </c>
      <c r="AA467" s="31">
        <v>1.8759350231453513E-3</v>
      </c>
    </row>
    <row r="468" spans="1:27" x14ac:dyDescent="0.25">
      <c r="A468" s="7">
        <f>NFLX[[#This Row],[Date]]</f>
        <v>45237</v>
      </c>
      <c r="B468" s="30">
        <f>NFLX[[#This Row],[Stopa zwrotu]]</f>
        <v>3.2355276844879821E-3</v>
      </c>
      <c r="C468" s="30">
        <f>META[[#This Row],[Stopa zwrotu]]</f>
        <v>2.1306502605571431E-3</v>
      </c>
      <c r="D468" s="30">
        <f>GOOG[[#This Row],[Stopa zwrotu]]</f>
        <v>9.3127535225834279E-3</v>
      </c>
      <c r="E468" s="30">
        <f>EBAY[[#This Row],[Stopa zwrotu]]</f>
        <v>2.9978267049171059E-3</v>
      </c>
      <c r="F468" s="30">
        <f>AMZN[[#This Row],[Stopa zwrotu]]</f>
        <v>1.5466890608073935E-2</v>
      </c>
      <c r="H468" s="9">
        <v>45238</v>
      </c>
      <c r="I468" s="30">
        <v>6.218081206496473E-3</v>
      </c>
      <c r="J468" s="30">
        <v>-7.615829011422548E-4</v>
      </c>
      <c r="K468" s="30">
        <v>7.7779854184687469E-3</v>
      </c>
      <c r="L468" s="30">
        <v>-7.4221764671394075E-2</v>
      </c>
      <c r="M468" s="31">
        <v>5.1245622775799582E-3</v>
      </c>
      <c r="O468" s="9">
        <v>45300</v>
      </c>
      <c r="P468" s="30">
        <v>3.1667687511882647E-4</v>
      </c>
      <c r="Q468" s="30">
        <v>9.402065368057988E-3</v>
      </c>
      <c r="R468" s="30">
        <v>1.3852537936882126E-2</v>
      </c>
      <c r="S468" s="30">
        <v>-1.0610728601744723E-2</v>
      </c>
      <c r="T468" s="31">
        <v>1.409519729436326E-2</v>
      </c>
      <c r="V468" s="9">
        <v>45335</v>
      </c>
      <c r="W468" s="30">
        <v>-1.4362657091561926E-2</v>
      </c>
      <c r="X468" s="30">
        <v>-2.4625983368635196E-2</v>
      </c>
      <c r="Y468" s="30">
        <v>-2.3222920344950437E-2</v>
      </c>
      <c r="Z468" s="30">
        <v>-3.5511361954954412E-2</v>
      </c>
      <c r="AA468" s="31">
        <v>-3.3753021081212253E-2</v>
      </c>
    </row>
    <row r="469" spans="1:27" x14ac:dyDescent="0.25">
      <c r="A469" s="7">
        <f>NFLX[[#This Row],[Date]]</f>
        <v>45238</v>
      </c>
      <c r="B469" s="30">
        <f>NFLX[[#This Row],[Stopa zwrotu]]</f>
        <v>6.218081206496473E-3</v>
      </c>
      <c r="C469" s="30">
        <f>META[[#This Row],[Stopa zwrotu]]</f>
        <v>-7.615829011422548E-4</v>
      </c>
      <c r="D469" s="30">
        <f>GOOG[[#This Row],[Stopa zwrotu]]</f>
        <v>7.7779854184687469E-3</v>
      </c>
      <c r="E469" s="30">
        <f>EBAY[[#This Row],[Stopa zwrotu]]</f>
        <v>-7.4221764671394075E-2</v>
      </c>
      <c r="F469" s="30">
        <f>AMZN[[#This Row],[Stopa zwrotu]]</f>
        <v>5.1245622775799582E-3</v>
      </c>
      <c r="H469" s="9">
        <v>45239</v>
      </c>
      <c r="I469" s="30">
        <v>1.544947912780481E-3</v>
      </c>
      <c r="J469" s="30">
        <v>1.244913280536819E-2</v>
      </c>
      <c r="K469" s="30">
        <v>-4.9183488220837512E-3</v>
      </c>
      <c r="L469" s="30">
        <v>7.0756016720797232E-2</v>
      </c>
      <c r="M469" s="31">
        <v>-9.7720223072366164E-3</v>
      </c>
      <c r="O469" s="9">
        <v>45301</v>
      </c>
      <c r="P469" s="30">
        <v>-1.7939553008177178E-3</v>
      </c>
      <c r="Q469" s="30">
        <v>1.0468263611616235E-2</v>
      </c>
      <c r="R469" s="30">
        <v>1.9100179796131656E-2</v>
      </c>
      <c r="S469" s="30">
        <v>-4.7664443461981065E-4</v>
      </c>
      <c r="T469" s="31">
        <v>2.4762147133560397E-2</v>
      </c>
      <c r="V469" s="9">
        <v>45336</v>
      </c>
      <c r="W469" s="30">
        <v>2.7941761384335129E-2</v>
      </c>
      <c r="X469" s="30">
        <v>2.4171043302828377E-2</v>
      </c>
      <c r="Y469" s="30">
        <v>3.0665839496477609E-3</v>
      </c>
      <c r="Z469" s="30">
        <v>2.2091309666603109E-3</v>
      </c>
      <c r="AA469" s="31">
        <v>1.5263945701357473E-2</v>
      </c>
    </row>
    <row r="470" spans="1:27" x14ac:dyDescent="0.25">
      <c r="A470" s="7">
        <f>NFLX[[#This Row],[Date]]</f>
        <v>45239</v>
      </c>
      <c r="B470" s="30">
        <f>NFLX[[#This Row],[Stopa zwrotu]]</f>
        <v>1.544947912780481E-3</v>
      </c>
      <c r="C470" s="30">
        <f>META[[#This Row],[Stopa zwrotu]]</f>
        <v>1.244913280536819E-2</v>
      </c>
      <c r="D470" s="30">
        <f>GOOG[[#This Row],[Stopa zwrotu]]</f>
        <v>-4.9183488220837512E-3</v>
      </c>
      <c r="E470" s="30">
        <f>EBAY[[#This Row],[Stopa zwrotu]]</f>
        <v>7.0756016720797232E-2</v>
      </c>
      <c r="F470" s="30">
        <f>AMZN[[#This Row],[Stopa zwrotu]]</f>
        <v>-9.7720223072366164E-3</v>
      </c>
      <c r="H470" s="9">
        <v>45240</v>
      </c>
      <c r="I470" s="30">
        <v>2.6706664762887744E-3</v>
      </c>
      <c r="J470" s="30">
        <v>2.0702729762964722E-3</v>
      </c>
      <c r="K470" s="30">
        <v>-4.8665502572637909E-3</v>
      </c>
      <c r="L470" s="30">
        <v>-1.130655807302916E-2</v>
      </c>
      <c r="M470" s="31">
        <v>5.0062930493766089E-4</v>
      </c>
      <c r="O470" s="9">
        <v>45302</v>
      </c>
      <c r="P470" s="30">
        <v>2.2983390895864764E-2</v>
      </c>
      <c r="Q470" s="30">
        <v>1.0721861811808564E-2</v>
      </c>
      <c r="R470" s="30">
        <v>-1.7198581213040409E-3</v>
      </c>
      <c r="S470" s="30">
        <v>-1.072954245897817E-2</v>
      </c>
      <c r="T470" s="31">
        <v>8.1642741584053713E-3</v>
      </c>
      <c r="V470" s="9">
        <v>45337</v>
      </c>
      <c r="W470" s="30">
        <v>2.8316226451185367E-2</v>
      </c>
      <c r="X470" s="30">
        <v>1.3151977198841314E-2</v>
      </c>
      <c r="Y470" s="30">
        <v>-2.524810674134681E-2</v>
      </c>
      <c r="Z470" s="30">
        <v>3.9186821494644919E-2</v>
      </c>
      <c r="AA470" s="31">
        <v>-4.1003268605913634E-3</v>
      </c>
    </row>
    <row r="471" spans="1:27" x14ac:dyDescent="0.25">
      <c r="A471" s="7">
        <f>NFLX[[#This Row],[Date]]</f>
        <v>45240</v>
      </c>
      <c r="B471" s="30">
        <f>NFLX[[#This Row],[Stopa zwrotu]]</f>
        <v>2.6706664762887744E-3</v>
      </c>
      <c r="C471" s="30">
        <f>META[[#This Row],[Stopa zwrotu]]</f>
        <v>2.0702729762964722E-3</v>
      </c>
      <c r="D471" s="30">
        <f>GOOG[[#This Row],[Stopa zwrotu]]</f>
        <v>-4.8665502572637909E-3</v>
      </c>
      <c r="E471" s="30">
        <f>EBAY[[#This Row],[Stopa zwrotu]]</f>
        <v>-1.130655807302916E-2</v>
      </c>
      <c r="F471" s="30">
        <f>AMZN[[#This Row],[Stopa zwrotu]]</f>
        <v>5.0062930493766089E-4</v>
      </c>
      <c r="H471" s="9">
        <v>45243</v>
      </c>
      <c r="I471" s="30">
        <v>5.426584798820115E-3</v>
      </c>
      <c r="J471" s="30">
        <v>6.5110093864618373E-3</v>
      </c>
      <c r="K471" s="30">
        <v>4.8394311723885712E-3</v>
      </c>
      <c r="L471" s="30">
        <v>-6.3532404753870635E-3</v>
      </c>
      <c r="M471" s="31">
        <v>1.8106734764537318E-3</v>
      </c>
      <c r="O471" s="9">
        <v>45303</v>
      </c>
      <c r="P471" s="30">
        <v>1.4034099255428201E-2</v>
      </c>
      <c r="Q471" s="30">
        <v>1.8212922953435795E-2</v>
      </c>
      <c r="R471" s="30">
        <v>8.0512254839848474E-3</v>
      </c>
      <c r="S471" s="30">
        <v>-1.0363966721428364E-2</v>
      </c>
      <c r="T471" s="31">
        <v>5.8124348815451476E-3</v>
      </c>
      <c r="V471" s="9">
        <v>45338</v>
      </c>
      <c r="W471" s="30">
        <v>-4.9282895049318487E-3</v>
      </c>
      <c r="X471" s="30">
        <v>-6.3741688061197399E-3</v>
      </c>
      <c r="Y471" s="30">
        <v>-2.5373624704905229E-3</v>
      </c>
      <c r="Z471" s="30">
        <v>-6.834810275748171E-3</v>
      </c>
      <c r="AA471" s="31">
        <v>-2.5061042426424152E-3</v>
      </c>
    </row>
    <row r="472" spans="1:27" x14ac:dyDescent="0.25">
      <c r="A472" s="7">
        <f>NFLX[[#This Row],[Date]]</f>
        <v>45243</v>
      </c>
      <c r="B472" s="30">
        <f>NFLX[[#This Row],[Stopa zwrotu]]</f>
        <v>5.426584798820115E-3</v>
      </c>
      <c r="C472" s="30">
        <f>META[[#This Row],[Stopa zwrotu]]</f>
        <v>6.5110093864618373E-3</v>
      </c>
      <c r="D472" s="30">
        <f>GOOG[[#This Row],[Stopa zwrotu]]</f>
        <v>4.8394311723885712E-3</v>
      </c>
      <c r="E472" s="30">
        <f>EBAY[[#This Row],[Stopa zwrotu]]</f>
        <v>-6.3532404753870635E-3</v>
      </c>
      <c r="F472" s="30">
        <f>AMZN[[#This Row],[Stopa zwrotu]]</f>
        <v>1.8106734764537318E-3</v>
      </c>
      <c r="H472" s="9">
        <v>45244</v>
      </c>
      <c r="I472" s="30">
        <v>6.8685245340913692E-3</v>
      </c>
      <c r="J472" s="30">
        <v>2.342638845220546E-2</v>
      </c>
      <c r="K472" s="30">
        <v>1.7549159673144299E-2</v>
      </c>
      <c r="L472" s="30">
        <v>2.4093291403797457E-2</v>
      </c>
      <c r="M472" s="31">
        <v>2.850639835794988E-2</v>
      </c>
      <c r="O472" s="9">
        <v>45307</v>
      </c>
      <c r="P472" s="30">
        <v>-6.415480924221284E-3</v>
      </c>
      <c r="Q472" s="30">
        <v>-1.5627523026877366E-3</v>
      </c>
      <c r="R472" s="30">
        <v>-5.3013566873510998E-4</v>
      </c>
      <c r="S472" s="30">
        <v>-5.4797916346860376E-3</v>
      </c>
      <c r="T472" s="31">
        <v>-3.0192861833415741E-3</v>
      </c>
      <c r="V472" s="9">
        <v>45342</v>
      </c>
      <c r="W472" s="30">
        <v>-3.3768783564379623E-3</v>
      </c>
      <c r="X472" s="30">
        <v>-1.411944039358709E-3</v>
      </c>
      <c r="Y472" s="30">
        <v>-1.2719067616758784E-3</v>
      </c>
      <c r="Z472" s="30">
        <v>4.9240746303766958E-3</v>
      </c>
      <c r="AA472" s="31">
        <v>-2.1385311615544633E-3</v>
      </c>
    </row>
    <row r="473" spans="1:27" x14ac:dyDescent="0.25">
      <c r="A473" s="7">
        <f>NFLX[[#This Row],[Date]]</f>
        <v>45244</v>
      </c>
      <c r="B473" s="30">
        <f>NFLX[[#This Row],[Stopa zwrotu]]</f>
        <v>6.8685245340913692E-3</v>
      </c>
      <c r="C473" s="30">
        <f>META[[#This Row],[Stopa zwrotu]]</f>
        <v>2.342638845220546E-2</v>
      </c>
      <c r="D473" s="30">
        <f>GOOG[[#This Row],[Stopa zwrotu]]</f>
        <v>1.7549159673144299E-2</v>
      </c>
      <c r="E473" s="30">
        <f>EBAY[[#This Row],[Stopa zwrotu]]</f>
        <v>2.4093291403797457E-2</v>
      </c>
      <c r="F473" s="30">
        <f>AMZN[[#This Row],[Stopa zwrotu]]</f>
        <v>2.850639835794988E-2</v>
      </c>
      <c r="H473" s="9">
        <v>45245</v>
      </c>
      <c r="I473" s="30">
        <v>1.5281385806434011E-2</v>
      </c>
      <c r="J473" s="30">
        <v>-9.9300936882105173E-3</v>
      </c>
      <c r="K473" s="30">
        <v>1.7024129517804187E-3</v>
      </c>
      <c r="L473" s="30">
        <v>2.3273514375752979E-2</v>
      </c>
      <c r="M473" s="31">
        <v>-1.4445653173345008E-2</v>
      </c>
      <c r="O473" s="9">
        <v>45308</v>
      </c>
      <c r="P473" s="30">
        <v>-5.7737731967522077E-3</v>
      </c>
      <c r="Q473" s="30">
        <v>-2.3473097899942563E-2</v>
      </c>
      <c r="R473" s="30">
        <v>-1.7797261212392446E-2</v>
      </c>
      <c r="S473" s="30">
        <v>2.9880229083665277E-3</v>
      </c>
      <c r="T473" s="31">
        <v>-1.47222483623628E-2</v>
      </c>
      <c r="V473" s="9">
        <v>45343</v>
      </c>
      <c r="W473" s="30">
        <v>-4.1076538828540565E-3</v>
      </c>
      <c r="X473" s="30">
        <v>-1.0223741899107242E-2</v>
      </c>
      <c r="Y473" s="30">
        <v>7.8835296615724637E-3</v>
      </c>
      <c r="Z473" s="30">
        <v>2.7926226950751865E-3</v>
      </c>
      <c r="AA473" s="31">
        <v>8.4469286699973001E-3</v>
      </c>
    </row>
    <row r="474" spans="1:27" x14ac:dyDescent="0.25">
      <c r="A474" s="7">
        <f>NFLX[[#This Row],[Date]]</f>
        <v>45245</v>
      </c>
      <c r="B474" s="30">
        <f>NFLX[[#This Row],[Stopa zwrotu]]</f>
        <v>1.5281385806434011E-2</v>
      </c>
      <c r="C474" s="30">
        <f>META[[#This Row],[Stopa zwrotu]]</f>
        <v>-9.9300936882105173E-3</v>
      </c>
      <c r="D474" s="30">
        <f>GOOG[[#This Row],[Stopa zwrotu]]</f>
        <v>1.7024129517804187E-3</v>
      </c>
      <c r="E474" s="30">
        <f>EBAY[[#This Row],[Stopa zwrotu]]</f>
        <v>2.3273514375752979E-2</v>
      </c>
      <c r="F474" s="30">
        <f>AMZN[[#This Row],[Stopa zwrotu]]</f>
        <v>-1.4445653173345008E-2</v>
      </c>
      <c r="H474" s="9">
        <v>45246</v>
      </c>
      <c r="I474" s="30">
        <v>1.5913320386871765E-2</v>
      </c>
      <c r="J474" s="30">
        <v>-1.1029586453322415E-2</v>
      </c>
      <c r="K474" s="30">
        <v>5.5420083419492894E-3</v>
      </c>
      <c r="L474" s="30">
        <v>-1.8541408688716676E-2</v>
      </c>
      <c r="M474" s="31">
        <v>-2.1530206088230863E-2</v>
      </c>
      <c r="O474" s="9">
        <v>45309</v>
      </c>
      <c r="P474" s="30">
        <v>5.8073032485943532E-3</v>
      </c>
      <c r="Q474" s="30">
        <v>3.4410717816460101E-2</v>
      </c>
      <c r="R474" s="30">
        <v>2.0212163554628404E-2</v>
      </c>
      <c r="S474" s="30">
        <v>1.4895978522742048E-3</v>
      </c>
      <c r="T474" s="31">
        <v>1.2740997592128878E-2</v>
      </c>
      <c r="V474" s="9">
        <v>45344</v>
      </c>
      <c r="W474" s="30">
        <v>2.0394147671932705E-2</v>
      </c>
      <c r="X474" s="30">
        <v>3.0901467597580723E-2</v>
      </c>
      <c r="Y474" s="30">
        <v>1.4798047641518153E-2</v>
      </c>
      <c r="Z474" s="30">
        <v>3.4811325133439208E-3</v>
      </c>
      <c r="AA474" s="31">
        <v>2.7701358308611868E-2</v>
      </c>
    </row>
    <row r="475" spans="1:27" x14ac:dyDescent="0.25">
      <c r="A475" s="7">
        <f>NFLX[[#This Row],[Date]]</f>
        <v>45246</v>
      </c>
      <c r="B475" s="30">
        <f>NFLX[[#This Row],[Stopa zwrotu]]</f>
        <v>1.5913320386871765E-2</v>
      </c>
      <c r="C475" s="30">
        <f>META[[#This Row],[Stopa zwrotu]]</f>
        <v>-1.1029586453322415E-2</v>
      </c>
      <c r="D475" s="30">
        <f>GOOG[[#This Row],[Stopa zwrotu]]</f>
        <v>5.5420083419492894E-3</v>
      </c>
      <c r="E475" s="30">
        <f>EBAY[[#This Row],[Stopa zwrotu]]</f>
        <v>-1.8541408688716676E-2</v>
      </c>
      <c r="F475" s="30">
        <f>AMZN[[#This Row],[Stopa zwrotu]]</f>
        <v>-2.1530206088230863E-2</v>
      </c>
      <c r="H475" s="9">
        <v>45247</v>
      </c>
      <c r="I475" s="30">
        <v>6.7660525195176735E-3</v>
      </c>
      <c r="J475" s="30">
        <v>9.0998252175404915E-3</v>
      </c>
      <c r="K475" s="30">
        <v>-4.4092151027452786E-3</v>
      </c>
      <c r="L475" s="30">
        <v>3.0226447601349182E-3</v>
      </c>
      <c r="M475" s="31">
        <v>2.1645562739519564E-2</v>
      </c>
      <c r="O475" s="9">
        <v>45310</v>
      </c>
      <c r="P475" s="30">
        <v>-4.1002281182848099E-3</v>
      </c>
      <c r="Q475" s="30">
        <v>1.8924353074289746E-2</v>
      </c>
      <c r="R475" s="30">
        <v>1.7091014282901273E-2</v>
      </c>
      <c r="S475" s="30">
        <v>3.9662865642042799E-3</v>
      </c>
      <c r="T475" s="31">
        <v>6.059794214078762E-3</v>
      </c>
      <c r="V475" s="9">
        <v>45345</v>
      </c>
      <c r="W475" s="30">
        <v>1.6065089669927701E-3</v>
      </c>
      <c r="X475" s="30">
        <v>1.3212637118063419E-2</v>
      </c>
      <c r="Y475" s="30">
        <v>5.4162768355072721E-3</v>
      </c>
      <c r="Z475" s="30">
        <v>-2.7752773924477614E-3</v>
      </c>
      <c r="AA475" s="31">
        <v>1.1235914042361017E-2</v>
      </c>
    </row>
    <row r="476" spans="1:27" x14ac:dyDescent="0.25">
      <c r="A476" s="7">
        <f>NFLX[[#This Row],[Date]]</f>
        <v>45247</v>
      </c>
      <c r="B476" s="30">
        <f>NFLX[[#This Row],[Stopa zwrotu]]</f>
        <v>6.7660525195176735E-3</v>
      </c>
      <c r="C476" s="30">
        <f>META[[#This Row],[Stopa zwrotu]]</f>
        <v>9.0998252175404915E-3</v>
      </c>
      <c r="D476" s="30">
        <f>GOOG[[#This Row],[Stopa zwrotu]]</f>
        <v>-4.4092151027452786E-3</v>
      </c>
      <c r="E476" s="30">
        <f>EBAY[[#This Row],[Stopa zwrotu]]</f>
        <v>3.0226447601349182E-3</v>
      </c>
      <c r="F476" s="30">
        <f>AMZN[[#This Row],[Stopa zwrotu]]</f>
        <v>2.1645562739519564E-2</v>
      </c>
      <c r="H476" s="9">
        <v>45250</v>
      </c>
      <c r="I476" s="30">
        <v>1.9016221100579915E-3</v>
      </c>
      <c r="J476" s="30">
        <v>4.8985333857864966E-3</v>
      </c>
      <c r="K476" s="30">
        <v>2.4626021787987895E-5</v>
      </c>
      <c r="L476" s="30">
        <v>-5.1900133936045494E-3</v>
      </c>
      <c r="M476" s="31">
        <v>5.1213767072374834E-3</v>
      </c>
      <c r="O476" s="9">
        <v>45313</v>
      </c>
      <c r="P476" s="30">
        <v>2.6887339243879538E-3</v>
      </c>
      <c r="Q476" s="30">
        <v>2.8132770604017607E-3</v>
      </c>
      <c r="R476" s="30">
        <v>4.069499230394384E-3</v>
      </c>
      <c r="S476" s="30">
        <v>3.1275802469135825E-3</v>
      </c>
      <c r="T476" s="31">
        <v>2.5315109816842116E-3</v>
      </c>
      <c r="V476" s="9">
        <v>45348</v>
      </c>
      <c r="W476" s="30">
        <v>1.983381600237403E-3</v>
      </c>
      <c r="X476" s="30">
        <v>-1.2093569525804722E-3</v>
      </c>
      <c r="Y476" s="30">
        <v>-1.3928190925920347E-2</v>
      </c>
      <c r="Z476" s="30">
        <v>4.2516930485086606E-3</v>
      </c>
      <c r="AA476" s="31">
        <v>1.0746459598384532E-3</v>
      </c>
    </row>
    <row r="477" spans="1:27" x14ac:dyDescent="0.25">
      <c r="A477" s="7">
        <f>NFLX[[#This Row],[Date]]</f>
        <v>45250</v>
      </c>
      <c r="B477" s="30">
        <f>NFLX[[#This Row],[Stopa zwrotu]]</f>
        <v>1.9016221100579915E-3</v>
      </c>
      <c r="C477" s="30">
        <f>META[[#This Row],[Stopa zwrotu]]</f>
        <v>4.8985333857864966E-3</v>
      </c>
      <c r="D477" s="30">
        <f>GOOG[[#This Row],[Stopa zwrotu]]</f>
        <v>2.4626021787987895E-5</v>
      </c>
      <c r="E477" s="30">
        <f>EBAY[[#This Row],[Stopa zwrotu]]</f>
        <v>-5.1900133936045494E-3</v>
      </c>
      <c r="F477" s="30">
        <f>AMZN[[#This Row],[Stopa zwrotu]]</f>
        <v>5.1213767072374834E-3</v>
      </c>
      <c r="H477" s="9">
        <v>45251</v>
      </c>
      <c r="I477" s="30">
        <v>1.2483878545129556E-2</v>
      </c>
      <c r="J477" s="30">
        <v>5.1168257271800854E-3</v>
      </c>
      <c r="K477" s="30">
        <v>1.6348047223114337E-2</v>
      </c>
      <c r="L477" s="30">
        <v>-5.6122702649932243E-3</v>
      </c>
      <c r="M477" s="31">
        <v>-2.2317391620739091E-2</v>
      </c>
      <c r="O477" s="9">
        <v>45314</v>
      </c>
      <c r="P477" s="30">
        <v>3.125651216407288E-3</v>
      </c>
      <c r="Q477" s="30">
        <v>2.41363991590271E-3</v>
      </c>
      <c r="R477" s="30">
        <v>-2.6426344675074542E-3</v>
      </c>
      <c r="S477" s="30">
        <v>7.3385272177464156E-3</v>
      </c>
      <c r="T477" s="31">
        <v>1.9492528375275597E-4</v>
      </c>
      <c r="V477" s="9">
        <v>45349</v>
      </c>
      <c r="W477" s="30">
        <v>1.5533109347879659E-2</v>
      </c>
      <c r="X477" s="30">
        <v>-1.4148834613206818E-3</v>
      </c>
      <c r="Y477" s="30">
        <v>-1.7298903802115406E-3</v>
      </c>
      <c r="Z477" s="30">
        <v>8.7016491276230568E-3</v>
      </c>
      <c r="AA477" s="31">
        <v>-8.0339380246166048E-3</v>
      </c>
    </row>
    <row r="478" spans="1:27" x14ac:dyDescent="0.25">
      <c r="A478" s="7">
        <f>NFLX[[#This Row],[Date]]</f>
        <v>45251</v>
      </c>
      <c r="B478" s="30">
        <f>NFLX[[#This Row],[Stopa zwrotu]]</f>
        <v>1.2483878545129556E-2</v>
      </c>
      <c r="C478" s="30">
        <f>META[[#This Row],[Stopa zwrotu]]</f>
        <v>5.1168257271800854E-3</v>
      </c>
      <c r="D478" s="30">
        <f>GOOG[[#This Row],[Stopa zwrotu]]</f>
        <v>1.6348047223114337E-2</v>
      </c>
      <c r="E478" s="30">
        <f>EBAY[[#This Row],[Stopa zwrotu]]</f>
        <v>-5.6122702649932243E-3</v>
      </c>
      <c r="F478" s="30">
        <f>AMZN[[#This Row],[Stopa zwrotu]]</f>
        <v>-2.2317391620739091E-2</v>
      </c>
      <c r="H478" s="9">
        <v>45252</v>
      </c>
      <c r="I478" s="30">
        <v>1.135376393154619E-2</v>
      </c>
      <c r="J478" s="30">
        <v>7.9785443521027677E-3</v>
      </c>
      <c r="K478" s="30">
        <v>9.4041464085667936E-3</v>
      </c>
      <c r="L478" s="30">
        <v>3.8994356080041204E-2</v>
      </c>
      <c r="M478" s="31">
        <v>2.1696162544169617E-2</v>
      </c>
      <c r="O478" s="9">
        <v>45315</v>
      </c>
      <c r="P478" s="30">
        <v>0.11564190630214277</v>
      </c>
      <c r="Q478" s="30">
        <v>1.4996888596523039E-2</v>
      </c>
      <c r="R478" s="30">
        <v>1.800389947681369E-2</v>
      </c>
      <c r="S478" s="30">
        <v>3.156896551724131E-3</v>
      </c>
      <c r="T478" s="31">
        <v>1.6565991788228152E-2</v>
      </c>
      <c r="V478" s="9">
        <v>45350</v>
      </c>
      <c r="W478" s="30">
        <v>-3.9167473087895477E-3</v>
      </c>
      <c r="X478" s="30">
        <v>5.8967888884433606E-3</v>
      </c>
      <c r="Y478" s="30">
        <v>-1.3429610108303347E-2</v>
      </c>
      <c r="Z478" s="30">
        <v>5.6299660755951386E-2</v>
      </c>
      <c r="AA478" s="31">
        <v>-3.4131493496868393E-3</v>
      </c>
    </row>
    <row r="479" spans="1:27" x14ac:dyDescent="0.25">
      <c r="A479" s="7">
        <f>NFLX[[#This Row],[Date]]</f>
        <v>45252</v>
      </c>
      <c r="B479" s="30">
        <f>NFLX[[#This Row],[Stopa zwrotu]]</f>
        <v>1.135376393154619E-2</v>
      </c>
      <c r="C479" s="30">
        <f>META[[#This Row],[Stopa zwrotu]]</f>
        <v>7.9785443521027677E-3</v>
      </c>
      <c r="D479" s="30">
        <f>GOOG[[#This Row],[Stopa zwrotu]]</f>
        <v>9.4041464085667936E-3</v>
      </c>
      <c r="E479" s="30">
        <f>EBAY[[#This Row],[Stopa zwrotu]]</f>
        <v>3.8994356080041204E-2</v>
      </c>
      <c r="F479" s="30">
        <f>AMZN[[#This Row],[Stopa zwrotu]]</f>
        <v>2.1696162544169617E-2</v>
      </c>
      <c r="H479" s="9">
        <v>45254</v>
      </c>
      <c r="I479" s="30">
        <v>-1.4268780486271226E-3</v>
      </c>
      <c r="J479" s="30">
        <v>-2.6729252606416121E-3</v>
      </c>
      <c r="K479" s="30">
        <v>-5.5035935251798729E-3</v>
      </c>
      <c r="L479" s="30">
        <v>9.62961728395062E-3</v>
      </c>
      <c r="M479" s="31">
        <v>2.5938990236059611E-3</v>
      </c>
      <c r="O479" s="9">
        <v>45316</v>
      </c>
      <c r="P479" s="30">
        <v>2.120769145836876E-2</v>
      </c>
      <c r="Q479" s="30">
        <v>-5.5439364923232093E-3</v>
      </c>
      <c r="R479" s="30">
        <v>9.20985742685132E-3</v>
      </c>
      <c r="S479" s="30">
        <v>-1.2104332798248407E-3</v>
      </c>
      <c r="T479" s="31">
        <v>-1.2333800161906883E-2</v>
      </c>
      <c r="V479" s="9">
        <v>45351</v>
      </c>
      <c r="W479" s="30">
        <v>8.7286027570956382E-3</v>
      </c>
      <c r="X479" s="30">
        <v>-2.9003625064738525E-4</v>
      </c>
      <c r="Y479" s="30">
        <v>6.8062646868141119E-3</v>
      </c>
      <c r="Z479" s="30">
        <v>9.6712015833053666E-3</v>
      </c>
      <c r="AA479" s="31">
        <v>3.3668194493106096E-3</v>
      </c>
    </row>
    <row r="480" spans="1:27" x14ac:dyDescent="0.25">
      <c r="A480" s="7">
        <f>NFLX[[#This Row],[Date]]</f>
        <v>45254</v>
      </c>
      <c r="B480" s="30">
        <f>NFLX[[#This Row],[Stopa zwrotu]]</f>
        <v>-1.4268780486271226E-3</v>
      </c>
      <c r="C480" s="30">
        <f>META[[#This Row],[Stopa zwrotu]]</f>
        <v>-2.6729252606416121E-3</v>
      </c>
      <c r="D480" s="30">
        <f>GOOG[[#This Row],[Stopa zwrotu]]</f>
        <v>-5.5035935251798729E-3</v>
      </c>
      <c r="E480" s="30">
        <f>EBAY[[#This Row],[Stopa zwrotu]]</f>
        <v>9.62961728395062E-3</v>
      </c>
      <c r="F480" s="30">
        <f>AMZN[[#This Row],[Stopa zwrotu]]</f>
        <v>2.5938990236059611E-3</v>
      </c>
      <c r="H480" s="9">
        <v>45257</v>
      </c>
      <c r="I480" s="30">
        <v>1.0521464380771246E-4</v>
      </c>
      <c r="J480" s="30">
        <v>-2.5437510110201491E-3</v>
      </c>
      <c r="K480" s="30">
        <v>1.697146031639877E-4</v>
      </c>
      <c r="L480" s="30">
        <v>-4.2797077910135721E-3</v>
      </c>
      <c r="M480" s="31">
        <v>3.5783051767492116E-3</v>
      </c>
      <c r="O480" s="9">
        <v>45317</v>
      </c>
      <c r="P480" s="30">
        <v>1.8178118003284505E-2</v>
      </c>
      <c r="Q480" s="30">
        <v>1.5376217234079448E-2</v>
      </c>
      <c r="R480" s="30">
        <v>1.0448366549078436E-2</v>
      </c>
      <c r="S480" s="30">
        <v>2.1085871114196353E-2</v>
      </c>
      <c r="T480" s="31">
        <v>2.1740543091416153E-2</v>
      </c>
      <c r="V480" s="9">
        <v>45352</v>
      </c>
      <c r="W480" s="30">
        <v>7.2922024277326525E-3</v>
      </c>
      <c r="X480" s="30">
        <v>1.914593830875666E-2</v>
      </c>
      <c r="Y480" s="30">
        <v>2.943948385493611E-3</v>
      </c>
      <c r="Z480" s="30">
        <v>1.702873563218521E-3</v>
      </c>
      <c r="AA480" s="31">
        <v>1.862887410024161E-2</v>
      </c>
    </row>
    <row r="481" spans="1:27" x14ac:dyDescent="0.25">
      <c r="A481" s="7">
        <f>NFLX[[#This Row],[Date]]</f>
        <v>45257</v>
      </c>
      <c r="B481" s="30">
        <f>NFLX[[#This Row],[Stopa zwrotu]]</f>
        <v>1.0521464380771246E-4</v>
      </c>
      <c r="C481" s="30">
        <f>META[[#This Row],[Stopa zwrotu]]</f>
        <v>-2.5437510110201491E-3</v>
      </c>
      <c r="D481" s="30">
        <f>GOOG[[#This Row],[Stopa zwrotu]]</f>
        <v>1.697146031639877E-4</v>
      </c>
      <c r="E481" s="30">
        <f>EBAY[[#This Row],[Stopa zwrotu]]</f>
        <v>-4.2797077910135721E-3</v>
      </c>
      <c r="F481" s="30">
        <f>AMZN[[#This Row],[Stopa zwrotu]]</f>
        <v>3.5783051767492116E-3</v>
      </c>
      <c r="H481" s="9">
        <v>45258</v>
      </c>
      <c r="I481" s="30">
        <v>1.262240438469675E-3</v>
      </c>
      <c r="J481" s="30">
        <v>-2.3938299559367326E-3</v>
      </c>
      <c r="K481" s="30">
        <v>-3.6353062777892964E-3</v>
      </c>
      <c r="L481" s="30">
        <v>4.4171779141104484E-3</v>
      </c>
      <c r="M481" s="31">
        <v>-9.1912170073796817E-3</v>
      </c>
      <c r="O481" s="9">
        <v>45320</v>
      </c>
      <c r="P481" s="30">
        <v>2.5368742446229367E-3</v>
      </c>
      <c r="Q481" s="30">
        <v>1.2853665104015644E-3</v>
      </c>
      <c r="R481" s="30">
        <v>2.6176919206818045E-4</v>
      </c>
      <c r="S481" s="30">
        <v>-7.9121764084462887E-4</v>
      </c>
      <c r="T481" s="31">
        <v>2.0897768241882422E-3</v>
      </c>
      <c r="V481" s="9">
        <v>45355</v>
      </c>
      <c r="W481" s="30">
        <v>8.6627839866555423E-3</v>
      </c>
      <c r="X481" s="30">
        <v>3.0971549213860694E-3</v>
      </c>
      <c r="Y481" s="30">
        <v>-1.2357322649195349E-2</v>
      </c>
      <c r="Z481" s="30">
        <v>6.9414929818353661E-3</v>
      </c>
      <c r="AA481" s="31">
        <v>2.6883208260829092E-3</v>
      </c>
    </row>
    <row r="482" spans="1:27" x14ac:dyDescent="0.25">
      <c r="A482" s="7">
        <f>NFLX[[#This Row],[Date]]</f>
        <v>45258</v>
      </c>
      <c r="B482" s="30">
        <f>NFLX[[#This Row],[Stopa zwrotu]]</f>
        <v>1.262240438469675E-3</v>
      </c>
      <c r="C482" s="30">
        <f>META[[#This Row],[Stopa zwrotu]]</f>
        <v>-2.3938299559367326E-3</v>
      </c>
      <c r="D482" s="30">
        <f>GOOG[[#This Row],[Stopa zwrotu]]</f>
        <v>-3.6353062777892964E-3</v>
      </c>
      <c r="E482" s="30">
        <f>EBAY[[#This Row],[Stopa zwrotu]]</f>
        <v>4.4171779141104484E-3</v>
      </c>
      <c r="F482" s="30">
        <f>AMZN[[#This Row],[Stopa zwrotu]]</f>
        <v>-9.1912170073796817E-3</v>
      </c>
      <c r="H482" s="9">
        <v>45259</v>
      </c>
      <c r="I482" s="30">
        <v>-3.067595258302136E-3</v>
      </c>
      <c r="J482" s="30">
        <v>-7.8584134587597054E-3</v>
      </c>
      <c r="K482" s="30">
        <v>-5.4363327353644797E-3</v>
      </c>
      <c r="L482" s="30">
        <v>-8.5511360860004437E-3</v>
      </c>
      <c r="M482" s="31">
        <v>3.0234453585065157E-3</v>
      </c>
      <c r="O482" s="9">
        <v>45321</v>
      </c>
      <c r="P482" s="30">
        <v>-3.305584032023523E-3</v>
      </c>
      <c r="Q482" s="30">
        <v>1.6458918598948102E-2</v>
      </c>
      <c r="R482" s="30">
        <v>-9.4823438331459453E-4</v>
      </c>
      <c r="S482" s="30">
        <v>-2.6172020608422608E-3</v>
      </c>
      <c r="T482" s="31">
        <v>-2.5801700156137253E-3</v>
      </c>
      <c r="V482" s="9">
        <v>45356</v>
      </c>
      <c r="W482" s="30">
        <v>-3.7523600770792087E-2</v>
      </c>
      <c r="X482" s="30">
        <v>-1.7183026019541248E-2</v>
      </c>
      <c r="Y482" s="30">
        <v>-9.8599878830348819E-3</v>
      </c>
      <c r="Z482" s="30">
        <v>1.7277226950932034E-2</v>
      </c>
      <c r="AA482" s="31">
        <v>-2.3606974375824707E-2</v>
      </c>
    </row>
    <row r="483" spans="1:27" x14ac:dyDescent="0.25">
      <c r="A483" s="7">
        <f>NFLX[[#This Row],[Date]]</f>
        <v>45259</v>
      </c>
      <c r="B483" s="30">
        <f>NFLX[[#This Row],[Stopa zwrotu]]</f>
        <v>-3.067595258302136E-3</v>
      </c>
      <c r="C483" s="30">
        <f>META[[#This Row],[Stopa zwrotu]]</f>
        <v>-7.8584134587597054E-3</v>
      </c>
      <c r="D483" s="30">
        <f>GOOG[[#This Row],[Stopa zwrotu]]</f>
        <v>-5.4363327353644797E-3</v>
      </c>
      <c r="E483" s="30">
        <f>EBAY[[#This Row],[Stopa zwrotu]]</f>
        <v>-8.5511360860004437E-3</v>
      </c>
      <c r="F483" s="30">
        <f>AMZN[[#This Row],[Stopa zwrotu]]</f>
        <v>3.0234453585065157E-3</v>
      </c>
      <c r="H483" s="9">
        <v>45260</v>
      </c>
      <c r="I483" s="30">
        <v>-8.5775824269759271E-3</v>
      </c>
      <c r="J483" s="30">
        <v>-2.533407408348165E-2</v>
      </c>
      <c r="K483" s="30">
        <v>-2.5716314255347705E-2</v>
      </c>
      <c r="L483" s="30">
        <v>-9.8571212490329296E-3</v>
      </c>
      <c r="M483" s="31">
        <v>-1.1235178384358502E-2</v>
      </c>
      <c r="O483" s="9">
        <v>45322</v>
      </c>
      <c r="P483" s="30">
        <v>2.1753343047192786E-3</v>
      </c>
      <c r="Q483" s="30">
        <v>-3.1208551146332586E-2</v>
      </c>
      <c r="R483" s="30">
        <v>-7.3474007140199804E-2</v>
      </c>
      <c r="S483" s="30">
        <v>-2.2662143256781508E-2</v>
      </c>
      <c r="T483" s="31">
        <v>-2.3219173978825891E-2</v>
      </c>
      <c r="V483" s="9">
        <v>45357</v>
      </c>
      <c r="W483" s="30">
        <v>2.6351317567567811E-3</v>
      </c>
      <c r="X483" s="30">
        <v>1.3117698258284793E-2</v>
      </c>
      <c r="Y483" s="30">
        <v>3.0406232677926415E-3</v>
      </c>
      <c r="Z483" s="30">
        <v>2.9670575602017024E-2</v>
      </c>
      <c r="AA483" s="31">
        <v>-2.3085977673065194E-4</v>
      </c>
    </row>
    <row r="484" spans="1:27" x14ac:dyDescent="0.25">
      <c r="A484" s="7">
        <f>NFLX[[#This Row],[Date]]</f>
        <v>45260</v>
      </c>
      <c r="B484" s="30">
        <f>NFLX[[#This Row],[Stopa zwrotu]]</f>
        <v>-8.5775824269759271E-3</v>
      </c>
      <c r="C484" s="30">
        <f>META[[#This Row],[Stopa zwrotu]]</f>
        <v>-2.533407408348165E-2</v>
      </c>
      <c r="D484" s="30">
        <f>GOOG[[#This Row],[Stopa zwrotu]]</f>
        <v>-2.5716314255347705E-2</v>
      </c>
      <c r="E484" s="30">
        <f>EBAY[[#This Row],[Stopa zwrotu]]</f>
        <v>-9.8571212490329296E-3</v>
      </c>
      <c r="F484" s="30">
        <f>AMZN[[#This Row],[Stopa zwrotu]]</f>
        <v>-1.1235178384358502E-2</v>
      </c>
      <c r="H484" s="9">
        <v>45261</v>
      </c>
      <c r="I484" s="30">
        <v>-1.2371937500881725E-2</v>
      </c>
      <c r="J484" s="30">
        <v>-5.0867991021115166E-3</v>
      </c>
      <c r="K484" s="30">
        <v>-4.804578911304036E-3</v>
      </c>
      <c r="L484" s="30">
        <v>1.04529118964658E-2</v>
      </c>
      <c r="M484" s="31">
        <v>8.4528579165403794E-3</v>
      </c>
      <c r="O484" s="9">
        <v>45323</v>
      </c>
      <c r="P484" s="30">
        <v>3.1848962174714224E-3</v>
      </c>
      <c r="Q484" s="30">
        <v>1.5370658506267176E-2</v>
      </c>
      <c r="R484" s="30">
        <v>5.0158388198691117E-3</v>
      </c>
      <c r="S484" s="30">
        <v>-4.8816449870235923E-3</v>
      </c>
      <c r="T484" s="31">
        <v>5.2322008298195666E-3</v>
      </c>
      <c r="V484" s="9">
        <v>45358</v>
      </c>
      <c r="W484" s="30">
        <v>3.9423579888886451E-3</v>
      </c>
      <c r="X484" s="30">
        <v>1.434379791398932E-2</v>
      </c>
      <c r="Y484" s="30">
        <v>5.3808792432181729E-3</v>
      </c>
      <c r="Z484" s="30">
        <v>3.9745627980924958E-4</v>
      </c>
      <c r="AA484" s="31">
        <v>2.6550041167898719E-3</v>
      </c>
    </row>
    <row r="485" spans="1:27" x14ac:dyDescent="0.25">
      <c r="A485" s="7">
        <f>NFLX[[#This Row],[Date]]</f>
        <v>45261</v>
      </c>
      <c r="B485" s="30">
        <f>NFLX[[#This Row],[Stopa zwrotu]]</f>
        <v>-1.2371937500881725E-2</v>
      </c>
      <c r="C485" s="30">
        <f>META[[#This Row],[Stopa zwrotu]]</f>
        <v>-5.0867991021115166E-3</v>
      </c>
      <c r="D485" s="30">
        <f>GOOG[[#This Row],[Stopa zwrotu]]</f>
        <v>-4.804578911304036E-3</v>
      </c>
      <c r="E485" s="30">
        <f>EBAY[[#This Row],[Stopa zwrotu]]</f>
        <v>1.04529118964658E-2</v>
      </c>
      <c r="F485" s="30">
        <f>AMZN[[#This Row],[Stopa zwrotu]]</f>
        <v>8.4528579165403794E-3</v>
      </c>
      <c r="H485" s="9">
        <v>45264</v>
      </c>
      <c r="I485" s="30">
        <v>-9.6140004498120133E-3</v>
      </c>
      <c r="J485" s="30">
        <v>-7.3783158526110242E-3</v>
      </c>
      <c r="K485" s="30">
        <v>-6.9414995504456884E-3</v>
      </c>
      <c r="L485" s="30">
        <v>6.4860512226298335E-3</v>
      </c>
      <c r="M485" s="31">
        <v>-6.2750599874601036E-3</v>
      </c>
      <c r="O485" s="9">
        <v>45324</v>
      </c>
      <c r="P485" s="30">
        <v>-2.5894719258977572E-3</v>
      </c>
      <c r="Q485" s="30">
        <v>0.15255062671570419</v>
      </c>
      <c r="R485" s="30">
        <v>-2.8750155656901422E-2</v>
      </c>
      <c r="S485" s="30">
        <v>5.8866323276918209E-3</v>
      </c>
      <c r="T485" s="31">
        <v>7.5247444905778504E-2</v>
      </c>
      <c r="V485" s="9">
        <v>45359</v>
      </c>
      <c r="W485" s="30">
        <v>8.2899862410474867E-3</v>
      </c>
      <c r="X485" s="30">
        <v>-4.0488232074591401E-3</v>
      </c>
      <c r="Y485" s="30">
        <v>1.6131455868190869E-2</v>
      </c>
      <c r="Z485" s="30">
        <v>-3.1783869686135002E-3</v>
      </c>
      <c r="AA485" s="31">
        <v>3.5114033875696116E-3</v>
      </c>
    </row>
    <row r="486" spans="1:27" x14ac:dyDescent="0.25">
      <c r="A486" s="7">
        <f>NFLX[[#This Row],[Date]]</f>
        <v>45264</v>
      </c>
      <c r="B486" s="30">
        <f>NFLX[[#This Row],[Stopa zwrotu]]</f>
        <v>-9.6140004498120133E-3</v>
      </c>
      <c r="C486" s="30">
        <f>META[[#This Row],[Stopa zwrotu]]</f>
        <v>-7.3783158526110242E-3</v>
      </c>
      <c r="D486" s="30">
        <f>GOOG[[#This Row],[Stopa zwrotu]]</f>
        <v>-6.9414995504456884E-3</v>
      </c>
      <c r="E486" s="30">
        <f>EBAY[[#This Row],[Stopa zwrotu]]</f>
        <v>6.4860512226298335E-3</v>
      </c>
      <c r="F486" s="30">
        <f>AMZN[[#This Row],[Stopa zwrotu]]</f>
        <v>-6.2750599874601036E-3</v>
      </c>
      <c r="H486" s="9">
        <v>45265</v>
      </c>
      <c r="I486" s="30">
        <v>-3.5904808442247527E-3</v>
      </c>
      <c r="J486" s="30">
        <v>5.5155613656117097E-3</v>
      </c>
      <c r="K486" s="30">
        <v>2.5502474134582176E-3</v>
      </c>
      <c r="L486" s="30">
        <v>-9.6640978416067114E-3</v>
      </c>
      <c r="M486" s="31">
        <v>2.2407884915733867E-3</v>
      </c>
      <c r="O486" s="9">
        <v>45327</v>
      </c>
      <c r="P486" s="30">
        <v>-3.0644018741908066E-3</v>
      </c>
      <c r="Q486" s="30">
        <v>4.5694288300605441E-3</v>
      </c>
      <c r="R486" s="30">
        <v>1.3847690244110256E-2</v>
      </c>
      <c r="S486" s="30">
        <v>-5.6895881828622485E-4</v>
      </c>
      <c r="T486" s="31">
        <v>7.370565062603992E-4</v>
      </c>
      <c r="V486" s="9">
        <v>45362</v>
      </c>
      <c r="W486" s="30">
        <v>-2.6076380782354597E-4</v>
      </c>
      <c r="X486" s="30">
        <v>-1.5586933493164571E-2</v>
      </c>
      <c r="Y486" s="30">
        <v>5.6132639700311833E-3</v>
      </c>
      <c r="Z486" s="30">
        <v>1.3285571941012246E-3</v>
      </c>
      <c r="AA486" s="31">
        <v>-5.4685576534707625E-3</v>
      </c>
    </row>
    <row r="487" spans="1:27" x14ac:dyDescent="0.25">
      <c r="A487" s="7">
        <f>NFLX[[#This Row],[Date]]</f>
        <v>45265</v>
      </c>
      <c r="B487" s="30">
        <f>NFLX[[#This Row],[Stopa zwrotu]]</f>
        <v>-3.5904808442247527E-3</v>
      </c>
      <c r="C487" s="30">
        <f>META[[#This Row],[Stopa zwrotu]]</f>
        <v>5.5155613656117097E-3</v>
      </c>
      <c r="D487" s="30">
        <f>GOOG[[#This Row],[Stopa zwrotu]]</f>
        <v>2.5502474134582176E-3</v>
      </c>
      <c r="E487" s="30">
        <f>EBAY[[#This Row],[Stopa zwrotu]]</f>
        <v>-9.6640978416067114E-3</v>
      </c>
      <c r="F487" s="30">
        <f>AMZN[[#This Row],[Stopa zwrotu]]</f>
        <v>2.2407884915733867E-3</v>
      </c>
      <c r="H487" s="9">
        <v>45266</v>
      </c>
      <c r="I487" s="30">
        <v>-8.5634950650061992E-3</v>
      </c>
      <c r="J487" s="30">
        <v>5.2315987238846784E-3</v>
      </c>
      <c r="K487" s="30">
        <v>1.2179157085613568E-2</v>
      </c>
      <c r="L487" s="30">
        <v>1.0978213662931946E-2</v>
      </c>
      <c r="M487" s="31">
        <v>8.0346116106122523E-3</v>
      </c>
      <c r="O487" s="9">
        <v>45328</v>
      </c>
      <c r="P487" s="30">
        <v>-5.0789966601795244E-3</v>
      </c>
      <c r="Q487" s="30">
        <v>-1.3544708389127913E-2</v>
      </c>
      <c r="R487" s="30">
        <v>4.2387602185043338E-3</v>
      </c>
      <c r="S487" s="30">
        <v>9.0376650961814242E-3</v>
      </c>
      <c r="T487" s="31">
        <v>-2.9816935536386424E-4</v>
      </c>
      <c r="V487" s="9">
        <v>45363</v>
      </c>
      <c r="W487" s="30">
        <v>-6.8290804572935793E-3</v>
      </c>
      <c r="X487" s="30">
        <v>1.8340359243697479E-2</v>
      </c>
      <c r="Y487" s="30">
        <v>8.3169179381452629E-3</v>
      </c>
      <c r="Z487" s="30">
        <v>5.9547239786676975E-3</v>
      </c>
      <c r="AA487" s="31">
        <v>2.97425203840751E-3</v>
      </c>
    </row>
    <row r="488" spans="1:27" x14ac:dyDescent="0.25">
      <c r="A488" s="7">
        <f>NFLX[[#This Row],[Date]]</f>
        <v>45266</v>
      </c>
      <c r="B488" s="30">
        <f>NFLX[[#This Row],[Stopa zwrotu]]</f>
        <v>-8.5634950650061992E-3</v>
      </c>
      <c r="C488" s="30">
        <f>META[[#This Row],[Stopa zwrotu]]</f>
        <v>5.2315987238846784E-3</v>
      </c>
      <c r="D488" s="30">
        <f>GOOG[[#This Row],[Stopa zwrotu]]</f>
        <v>1.2179157085613568E-2</v>
      </c>
      <c r="E488" s="30">
        <f>EBAY[[#This Row],[Stopa zwrotu]]</f>
        <v>1.0978213662931946E-2</v>
      </c>
      <c r="F488" s="30">
        <f>AMZN[[#This Row],[Stopa zwrotu]]</f>
        <v>8.0346116106122523E-3</v>
      </c>
      <c r="H488" s="9">
        <v>45267</v>
      </c>
      <c r="I488" s="30">
        <v>5.810683454293919E-3</v>
      </c>
      <c r="J488" s="30">
        <v>2.3024854254278804E-3</v>
      </c>
      <c r="K488" s="30">
        <v>3.7468571128909778E-2</v>
      </c>
      <c r="L488" s="30">
        <v>-2.4131033400844881E-3</v>
      </c>
      <c r="M488" s="31">
        <v>7.3468048748739356E-3</v>
      </c>
      <c r="O488" s="9">
        <v>45329</v>
      </c>
      <c r="P488" s="30">
        <v>1.1003210951197051E-3</v>
      </c>
      <c r="Q488" s="30">
        <v>7.0198520971302969E-3</v>
      </c>
      <c r="R488" s="30">
        <v>4.774446311252456E-3</v>
      </c>
      <c r="S488" s="30">
        <v>2.3238900429946918E-2</v>
      </c>
      <c r="T488" s="31">
        <v>7.6946498429339982E-3</v>
      </c>
      <c r="V488" s="9">
        <v>45364</v>
      </c>
      <c r="W488" s="30">
        <v>1.8347395698344648E-2</v>
      </c>
      <c r="X488" s="30">
        <v>1.2996901072832356E-2</v>
      </c>
      <c r="Y488" s="30">
        <v>1.302357216435146E-2</v>
      </c>
      <c r="Z488" s="30">
        <v>8.0899763220205756E-3</v>
      </c>
      <c r="AA488" s="31">
        <v>2.075826888610921E-2</v>
      </c>
    </row>
    <row r="489" spans="1:27" x14ac:dyDescent="0.25">
      <c r="A489" s="7">
        <f>NFLX[[#This Row],[Date]]</f>
        <v>45267</v>
      </c>
      <c r="B489" s="30">
        <f>NFLX[[#This Row],[Stopa zwrotu]]</f>
        <v>5.810683454293919E-3</v>
      </c>
      <c r="C489" s="30">
        <f>META[[#This Row],[Stopa zwrotu]]</f>
        <v>2.3024854254278804E-3</v>
      </c>
      <c r="D489" s="30">
        <f>GOOG[[#This Row],[Stopa zwrotu]]</f>
        <v>3.7468571128909778E-2</v>
      </c>
      <c r="E489" s="30">
        <f>EBAY[[#This Row],[Stopa zwrotu]]</f>
        <v>-2.4131033400844881E-3</v>
      </c>
      <c r="F489" s="30">
        <f>AMZN[[#This Row],[Stopa zwrotu]]</f>
        <v>7.3468048748739356E-3</v>
      </c>
      <c r="H489" s="9">
        <v>45268</v>
      </c>
      <c r="I489" s="30">
        <v>5.442547648782492E-3</v>
      </c>
      <c r="J489" s="30">
        <v>1.6458479973072482E-2</v>
      </c>
      <c r="K489" s="30">
        <v>-4.8446672493479559E-3</v>
      </c>
      <c r="L489" s="30">
        <v>-4.3541364296082463E-3</v>
      </c>
      <c r="M489" s="31">
        <v>4.1281135029058724E-4</v>
      </c>
      <c r="O489" s="9">
        <v>45330</v>
      </c>
      <c r="P489" s="30">
        <v>1.3694367858099188E-3</v>
      </c>
      <c r="Q489" s="30">
        <v>1.9400250199048008E-2</v>
      </c>
      <c r="R489" s="30">
        <v>8.332697070939421E-3</v>
      </c>
      <c r="S489" s="30">
        <v>-1.490421102436712E-2</v>
      </c>
      <c r="T489" s="31">
        <v>-3.5513791458330335E-4</v>
      </c>
      <c r="V489" s="9">
        <v>45365</v>
      </c>
      <c r="W489" s="30">
        <v>2.3048697308891697E-4</v>
      </c>
      <c r="X489" s="30">
        <v>-5.8448465589573395E-3</v>
      </c>
      <c r="Y489" s="30">
        <v>1.0535005018748933E-2</v>
      </c>
      <c r="Z489" s="30">
        <v>1.7224525347426134E-2</v>
      </c>
      <c r="AA489" s="31">
        <v>5.2406606908459441E-3</v>
      </c>
    </row>
    <row r="490" spans="1:27" x14ac:dyDescent="0.25">
      <c r="A490" s="7">
        <f>NFLX[[#This Row],[Date]]</f>
        <v>45268</v>
      </c>
      <c r="B490" s="30">
        <f>NFLX[[#This Row],[Stopa zwrotu]]</f>
        <v>5.442547648782492E-3</v>
      </c>
      <c r="C490" s="30">
        <f>META[[#This Row],[Stopa zwrotu]]</f>
        <v>1.6458479973072482E-2</v>
      </c>
      <c r="D490" s="30">
        <f>GOOG[[#This Row],[Stopa zwrotu]]</f>
        <v>-4.8446672493479559E-3</v>
      </c>
      <c r="E490" s="30">
        <f>EBAY[[#This Row],[Stopa zwrotu]]</f>
        <v>-4.3541364296082463E-3</v>
      </c>
      <c r="F490" s="30">
        <f>AMZN[[#This Row],[Stopa zwrotu]]</f>
        <v>4.1281135029058724E-4</v>
      </c>
      <c r="H490" s="9">
        <v>45271</v>
      </c>
      <c r="I490" s="30">
        <v>4.7697080907125322E-3</v>
      </c>
      <c r="J490" s="30">
        <v>-3.0959752321981413E-3</v>
      </c>
      <c r="K490" s="30">
        <v>-6.5894811084578802E-3</v>
      </c>
      <c r="L490" s="30">
        <v>-4.2921849692257501E-3</v>
      </c>
      <c r="M490" s="31">
        <v>-4.0348351046011937E-3</v>
      </c>
      <c r="O490" s="9">
        <v>45331</v>
      </c>
      <c r="P490" s="30">
        <v>4.2465650168523883E-3</v>
      </c>
      <c r="Q490" s="30">
        <v>5.2469776256307554E-3</v>
      </c>
      <c r="R490" s="30">
        <v>6.8979307047936089E-3</v>
      </c>
      <c r="S490" s="30">
        <v>3.6023535927556249E-3</v>
      </c>
      <c r="T490" s="31">
        <v>1.0066301217838136E-2</v>
      </c>
      <c r="V490" s="9">
        <v>45366</v>
      </c>
      <c r="W490" s="30">
        <v>-5.8120838717213852E-3</v>
      </c>
      <c r="X490" s="30">
        <v>-1.4052802244732931E-2</v>
      </c>
      <c r="Y490" s="30">
        <v>-2.5090716153014503E-3</v>
      </c>
      <c r="Z490" s="30">
        <v>-1.5393880789034142E-3</v>
      </c>
      <c r="AA490" s="31">
        <v>-1.4563421462212123E-2</v>
      </c>
    </row>
    <row r="491" spans="1:27" x14ac:dyDescent="0.25">
      <c r="A491" s="7">
        <f>NFLX[[#This Row],[Date]]</f>
        <v>45271</v>
      </c>
      <c r="B491" s="30">
        <f>NFLX[[#This Row],[Stopa zwrotu]]</f>
        <v>4.7697080907125322E-3</v>
      </c>
      <c r="C491" s="30">
        <f>META[[#This Row],[Stopa zwrotu]]</f>
        <v>-3.0959752321981413E-3</v>
      </c>
      <c r="D491" s="30">
        <f>GOOG[[#This Row],[Stopa zwrotu]]</f>
        <v>-6.5894811084578802E-3</v>
      </c>
      <c r="E491" s="30">
        <f>EBAY[[#This Row],[Stopa zwrotu]]</f>
        <v>-4.2921849692257501E-3</v>
      </c>
      <c r="F491" s="30">
        <f>AMZN[[#This Row],[Stopa zwrotu]]</f>
        <v>-4.0348351046011937E-3</v>
      </c>
      <c r="H491" s="9">
        <v>45272</v>
      </c>
      <c r="I491" s="30">
        <v>4.3525317450905376E-3</v>
      </c>
      <c r="J491" s="30">
        <v>1.4249993750000023E-2</v>
      </c>
      <c r="K491" s="30">
        <v>-4.5147866996353425E-4</v>
      </c>
      <c r="L491" s="30">
        <v>6.8914347307054147E-3</v>
      </c>
      <c r="M491" s="31">
        <v>1.1556697379258685E-2</v>
      </c>
      <c r="O491" s="9">
        <v>45334</v>
      </c>
      <c r="P491" s="30">
        <v>-6.5697667520892011E-4</v>
      </c>
      <c r="Q491" s="30">
        <v>-6.3463181102252353E-4</v>
      </c>
      <c r="R491" s="30">
        <v>2.554896230194744E-3</v>
      </c>
      <c r="S491" s="30">
        <v>3.589383339170841E-3</v>
      </c>
      <c r="T491" s="31">
        <v>1.8759350231453513E-3</v>
      </c>
      <c r="V491" s="9">
        <v>45369</v>
      </c>
      <c r="W491" s="30">
        <v>3.6600338528807175E-3</v>
      </c>
      <c r="X491" s="30">
        <v>3.8160607641652224E-3</v>
      </c>
      <c r="Y491" s="30">
        <v>1.6556824090431094E-2</v>
      </c>
      <c r="Z491" s="30">
        <v>-3.661585475587851E-3</v>
      </c>
      <c r="AA491" s="31">
        <v>7.2839757161428465E-4</v>
      </c>
    </row>
    <row r="492" spans="1:27" x14ac:dyDescent="0.25">
      <c r="A492" s="7">
        <f>NFLX[[#This Row],[Date]]</f>
        <v>45272</v>
      </c>
      <c r="B492" s="30">
        <f>NFLX[[#This Row],[Stopa zwrotu]]</f>
        <v>4.3525317450905376E-3</v>
      </c>
      <c r="C492" s="30">
        <f>META[[#This Row],[Stopa zwrotu]]</f>
        <v>1.4249993750000023E-2</v>
      </c>
      <c r="D492" s="30">
        <f>GOOG[[#This Row],[Stopa zwrotu]]</f>
        <v>-4.5147866996353425E-4</v>
      </c>
      <c r="E492" s="30">
        <f>EBAY[[#This Row],[Stopa zwrotu]]</f>
        <v>6.8914347307054147E-3</v>
      </c>
      <c r="F492" s="30">
        <f>AMZN[[#This Row],[Stopa zwrotu]]</f>
        <v>1.1556697379258685E-2</v>
      </c>
      <c r="H492" s="9">
        <v>45273</v>
      </c>
      <c r="I492" s="30">
        <v>6.0540046327350883E-3</v>
      </c>
      <c r="J492" s="30">
        <v>2.489529532225343E-2</v>
      </c>
      <c r="K492" s="30">
        <v>9.0337271846152589E-4</v>
      </c>
      <c r="L492" s="30">
        <v>-4.1554143241261388E-3</v>
      </c>
      <c r="M492" s="31">
        <v>1.0461142247877309E-2</v>
      </c>
      <c r="O492" s="9">
        <v>45335</v>
      </c>
      <c r="P492" s="30">
        <v>-1.4362657091561926E-2</v>
      </c>
      <c r="Q492" s="30">
        <v>-2.4625983368635196E-2</v>
      </c>
      <c r="R492" s="30">
        <v>-2.3222920344950437E-2</v>
      </c>
      <c r="S492" s="30">
        <v>-3.5511361954954412E-2</v>
      </c>
      <c r="T492" s="31">
        <v>-3.3753021081212253E-2</v>
      </c>
      <c r="V492" s="9">
        <v>45370</v>
      </c>
      <c r="W492" s="30">
        <v>-4.0134522923066518E-3</v>
      </c>
      <c r="X492" s="30">
        <v>-1.1359666035454019E-2</v>
      </c>
      <c r="Y492" s="30">
        <v>-7.6279465885509268E-3</v>
      </c>
      <c r="Z492" s="30">
        <v>-1.3639906469212759E-3</v>
      </c>
      <c r="AA492" s="31">
        <v>-4.3607700502683588E-3</v>
      </c>
    </row>
    <row r="493" spans="1:27" x14ac:dyDescent="0.25">
      <c r="A493" s="7">
        <f>NFLX[[#This Row],[Date]]</f>
        <v>45273</v>
      </c>
      <c r="B493" s="30">
        <f>NFLX[[#This Row],[Stopa zwrotu]]</f>
        <v>6.0540046327350883E-3</v>
      </c>
      <c r="C493" s="30">
        <f>META[[#This Row],[Stopa zwrotu]]</f>
        <v>2.489529532225343E-2</v>
      </c>
      <c r="D493" s="30">
        <f>GOOG[[#This Row],[Stopa zwrotu]]</f>
        <v>9.0337271846152589E-4</v>
      </c>
      <c r="E493" s="30">
        <f>EBAY[[#This Row],[Stopa zwrotu]]</f>
        <v>-4.1554143241261388E-3</v>
      </c>
      <c r="F493" s="30">
        <f>AMZN[[#This Row],[Stopa zwrotu]]</f>
        <v>1.0461142247877309E-2</v>
      </c>
      <c r="H493" s="9">
        <v>45274</v>
      </c>
      <c r="I493" s="30">
        <v>6.0175742105863517E-3</v>
      </c>
      <c r="J493" s="30">
        <v>-1.2025011482758585E-2</v>
      </c>
      <c r="K493" s="30">
        <v>-1.421586342721004E-2</v>
      </c>
      <c r="L493" s="30">
        <v>3.0682374536947776E-2</v>
      </c>
      <c r="M493" s="31">
        <v>-8.8543995233565376E-3</v>
      </c>
      <c r="O493" s="9">
        <v>45336</v>
      </c>
      <c r="P493" s="30">
        <v>2.7941761384335129E-2</v>
      </c>
      <c r="Q493" s="30">
        <v>2.4171043302828377E-2</v>
      </c>
      <c r="R493" s="30">
        <v>3.0665839496477609E-3</v>
      </c>
      <c r="S493" s="30">
        <v>2.2091309666603109E-3</v>
      </c>
      <c r="T493" s="31">
        <v>1.5263945701357473E-2</v>
      </c>
      <c r="V493" s="9">
        <v>45371</v>
      </c>
      <c r="W493" s="30">
        <v>1.700662335526304E-2</v>
      </c>
      <c r="X493" s="30">
        <v>2.8860567712891916E-2</v>
      </c>
      <c r="Y493" s="30">
        <v>4.4554657661202146E-3</v>
      </c>
      <c r="Z493" s="30">
        <v>6.8292292682927691E-3</v>
      </c>
      <c r="AA493" s="31">
        <v>6.4545584035371473E-3</v>
      </c>
    </row>
    <row r="494" spans="1:27" x14ac:dyDescent="0.25">
      <c r="A494" s="7">
        <f>NFLX[[#This Row],[Date]]</f>
        <v>45274</v>
      </c>
      <c r="B494" s="30">
        <f>NFLX[[#This Row],[Stopa zwrotu]]</f>
        <v>6.0175742105863517E-3</v>
      </c>
      <c r="C494" s="30">
        <f>META[[#This Row],[Stopa zwrotu]]</f>
        <v>-1.2025011482758585E-2</v>
      </c>
      <c r="D494" s="30">
        <f>GOOG[[#This Row],[Stopa zwrotu]]</f>
        <v>-1.421586342721004E-2</v>
      </c>
      <c r="E494" s="30">
        <f>EBAY[[#This Row],[Stopa zwrotu]]</f>
        <v>3.0682374536947776E-2</v>
      </c>
      <c r="F494" s="30">
        <f>AMZN[[#This Row],[Stopa zwrotu]]</f>
        <v>-8.8543995233565376E-3</v>
      </c>
      <c r="H494" s="9">
        <v>45275</v>
      </c>
      <c r="I494" s="30">
        <v>5.465138878880671E-3</v>
      </c>
      <c r="J494" s="30">
        <v>7.850492582286428E-3</v>
      </c>
      <c r="K494" s="30">
        <v>1.1979299740261018E-2</v>
      </c>
      <c r="L494" s="30">
        <v>-7.859061307022519E-3</v>
      </c>
      <c r="M494" s="31">
        <v>1.6217708460205982E-2</v>
      </c>
      <c r="O494" s="9">
        <v>45337</v>
      </c>
      <c r="P494" s="30">
        <v>2.8316226451185367E-2</v>
      </c>
      <c r="Q494" s="30">
        <v>1.3151977198841314E-2</v>
      </c>
      <c r="R494" s="30">
        <v>-2.524810674134681E-2</v>
      </c>
      <c r="S494" s="30">
        <v>3.9186821494644919E-2</v>
      </c>
      <c r="T494" s="31">
        <v>-4.1003268605913634E-3</v>
      </c>
      <c r="V494" s="9">
        <v>45372</v>
      </c>
      <c r="W494" s="30">
        <v>6.4527441630428672E-3</v>
      </c>
      <c r="X494" s="30">
        <v>2.1891464982553455E-2</v>
      </c>
      <c r="Y494" s="30">
        <v>2.3363831399090262E-3</v>
      </c>
      <c r="Z494" s="30">
        <v>1.5504264166832371E-3</v>
      </c>
      <c r="AA494" s="31">
        <v>2.0098459803587154E-2</v>
      </c>
    </row>
    <row r="495" spans="1:27" x14ac:dyDescent="0.25">
      <c r="A495" s="7">
        <f>NFLX[[#This Row],[Date]]</f>
        <v>45275</v>
      </c>
      <c r="B495" s="30">
        <f>NFLX[[#This Row],[Stopa zwrotu]]</f>
        <v>5.465138878880671E-3</v>
      </c>
      <c r="C495" s="30">
        <f>META[[#This Row],[Stopa zwrotu]]</f>
        <v>7.850492582286428E-3</v>
      </c>
      <c r="D495" s="30">
        <f>GOOG[[#This Row],[Stopa zwrotu]]</f>
        <v>1.1979299740261018E-2</v>
      </c>
      <c r="E495" s="30">
        <f>EBAY[[#This Row],[Stopa zwrotu]]</f>
        <v>-7.859061307022519E-3</v>
      </c>
      <c r="F495" s="30">
        <f>AMZN[[#This Row],[Stopa zwrotu]]</f>
        <v>1.6217708460205982E-2</v>
      </c>
      <c r="H495" s="9">
        <v>45278</v>
      </c>
      <c r="I495" s="30">
        <v>5.5638905772880482E-3</v>
      </c>
      <c r="J495" s="30">
        <v>5.8369945277952544E-3</v>
      </c>
      <c r="K495" s="30">
        <v>2.8651108523041944E-3</v>
      </c>
      <c r="L495" s="30">
        <v>-1.1201792286765395E-3</v>
      </c>
      <c r="M495" s="31">
        <v>4.8913486760205531E-3</v>
      </c>
      <c r="O495" s="9">
        <v>45338</v>
      </c>
      <c r="P495" s="30">
        <v>-4.9282895049318487E-3</v>
      </c>
      <c r="Q495" s="30">
        <v>-6.3741688061197399E-3</v>
      </c>
      <c r="R495" s="30">
        <v>-2.5373624704905229E-3</v>
      </c>
      <c r="S495" s="30">
        <v>-6.834810275748171E-3</v>
      </c>
      <c r="T495" s="31">
        <v>-2.5061042426424152E-3</v>
      </c>
      <c r="V495" s="9">
        <v>45373</v>
      </c>
      <c r="W495" s="30">
        <v>-2.1371570769018744E-3</v>
      </c>
      <c r="X495" s="30">
        <v>-3.3003576352176323E-3</v>
      </c>
      <c r="Y495" s="30">
        <v>1.4053111751000325E-2</v>
      </c>
      <c r="Z495" s="30">
        <v>-5.4179179566563596E-3</v>
      </c>
      <c r="AA495" s="31">
        <v>-7.85851275414573E-3</v>
      </c>
    </row>
    <row r="496" spans="1:27" x14ac:dyDescent="0.25">
      <c r="A496" s="7">
        <f>NFLX[[#This Row],[Date]]</f>
        <v>45278</v>
      </c>
      <c r="B496" s="30">
        <f>NFLX[[#This Row],[Stopa zwrotu]]</f>
        <v>5.5638905772880482E-3</v>
      </c>
      <c r="C496" s="30">
        <f>META[[#This Row],[Stopa zwrotu]]</f>
        <v>5.8369945277952544E-3</v>
      </c>
      <c r="D496" s="30">
        <f>GOOG[[#This Row],[Stopa zwrotu]]</f>
        <v>2.8651108523041944E-3</v>
      </c>
      <c r="E496" s="30">
        <f>EBAY[[#This Row],[Stopa zwrotu]]</f>
        <v>-1.1201792286765395E-3</v>
      </c>
      <c r="F496" s="30">
        <f>AMZN[[#This Row],[Stopa zwrotu]]</f>
        <v>4.8913486760205531E-3</v>
      </c>
      <c r="H496" s="9">
        <v>45279</v>
      </c>
      <c r="I496" s="30">
        <v>1.8859170462734109E-2</v>
      </c>
      <c r="J496" s="30">
        <v>2.4034200535209216E-2</v>
      </c>
      <c r="K496" s="30">
        <v>2.7509851909700123E-2</v>
      </c>
      <c r="L496" s="30">
        <v>2.5289017341040498E-2</v>
      </c>
      <c r="M496" s="31">
        <v>1.7594128272026666E-2</v>
      </c>
      <c r="O496" s="9">
        <v>45342</v>
      </c>
      <c r="P496" s="30">
        <v>-3.3768783564379623E-3</v>
      </c>
      <c r="Q496" s="30">
        <v>-1.411944039358709E-3</v>
      </c>
      <c r="R496" s="30">
        <v>-1.2719067616758784E-3</v>
      </c>
      <c r="S496" s="30">
        <v>4.9240746303766958E-3</v>
      </c>
      <c r="T496" s="31">
        <v>-2.1385311615544633E-3</v>
      </c>
      <c r="V496" s="9">
        <v>45376</v>
      </c>
      <c r="W496" s="30">
        <v>1.1594057971014611E-3</v>
      </c>
      <c r="X496" s="30">
        <v>-2.7098161508227379E-3</v>
      </c>
      <c r="Y496" s="30">
        <v>-2.8649322281724121E-3</v>
      </c>
      <c r="Z496" s="30">
        <v>-1.3618871065413558E-3</v>
      </c>
      <c r="AA496" s="31">
        <v>9.241018387552794E-4</v>
      </c>
    </row>
    <row r="497" spans="1:27" x14ac:dyDescent="0.25">
      <c r="A497" s="7">
        <f>NFLX[[#This Row],[Date]]</f>
        <v>45279</v>
      </c>
      <c r="B497" s="30">
        <f>NFLX[[#This Row],[Stopa zwrotu]]</f>
        <v>1.8859170462734109E-2</v>
      </c>
      <c r="C497" s="30">
        <f>META[[#This Row],[Stopa zwrotu]]</f>
        <v>2.4034200535209216E-2</v>
      </c>
      <c r="D497" s="30">
        <f>GOOG[[#This Row],[Stopa zwrotu]]</f>
        <v>2.7509851909700123E-2</v>
      </c>
      <c r="E497" s="30">
        <f>EBAY[[#This Row],[Stopa zwrotu]]</f>
        <v>2.5289017341040498E-2</v>
      </c>
      <c r="F497" s="30">
        <f>AMZN[[#This Row],[Stopa zwrotu]]</f>
        <v>1.7594128272026666E-2</v>
      </c>
      <c r="H497" s="9">
        <v>45280</v>
      </c>
      <c r="I497" s="30">
        <v>8.9452072426774443E-3</v>
      </c>
      <c r="J497" s="30">
        <v>7.7364801769888025E-3</v>
      </c>
      <c r="K497" s="30">
        <v>1.425978205004963E-2</v>
      </c>
      <c r="L497" s="30">
        <v>6.1076344843786767E-3</v>
      </c>
      <c r="M497" s="31">
        <v>-7.4006417263652313E-3</v>
      </c>
      <c r="O497" s="9">
        <v>45343</v>
      </c>
      <c r="P497" s="30">
        <v>-4.1076538828540565E-3</v>
      </c>
      <c r="Q497" s="30">
        <v>-1.0223741899107242E-2</v>
      </c>
      <c r="R497" s="30">
        <v>7.8835296615724637E-3</v>
      </c>
      <c r="S497" s="30">
        <v>2.7926226950751865E-3</v>
      </c>
      <c r="T497" s="31">
        <v>8.4469286699973001E-3</v>
      </c>
      <c r="V497" s="9">
        <v>45377</v>
      </c>
      <c r="W497" s="30">
        <v>-6.3867709295251096E-3</v>
      </c>
      <c r="X497" s="30">
        <v>-1.0055171718678424E-2</v>
      </c>
      <c r="Y497" s="30">
        <v>1.4986531955916593E-2</v>
      </c>
      <c r="Z497" s="30">
        <v>-6.0558313353356041E-3</v>
      </c>
      <c r="AA497" s="31">
        <v>4.0058225004000469E-3</v>
      </c>
    </row>
    <row r="498" spans="1:27" x14ac:dyDescent="0.25">
      <c r="A498" s="7">
        <f>NFLX[[#This Row],[Date]]</f>
        <v>45280</v>
      </c>
      <c r="B498" s="30">
        <f>NFLX[[#This Row],[Stopa zwrotu]]</f>
        <v>8.9452072426774443E-3</v>
      </c>
      <c r="C498" s="30">
        <f>META[[#This Row],[Stopa zwrotu]]</f>
        <v>7.7364801769888025E-3</v>
      </c>
      <c r="D498" s="30">
        <f>GOOG[[#This Row],[Stopa zwrotu]]</f>
        <v>1.425978205004963E-2</v>
      </c>
      <c r="E498" s="30">
        <f>EBAY[[#This Row],[Stopa zwrotu]]</f>
        <v>6.1076344843786767E-3</v>
      </c>
      <c r="F498" s="30">
        <f>AMZN[[#This Row],[Stopa zwrotu]]</f>
        <v>-7.4006417263652313E-3</v>
      </c>
      <c r="H498" s="9">
        <v>45281</v>
      </c>
      <c r="I498" s="30">
        <v>-3.3170743672963354E-3</v>
      </c>
      <c r="J498" s="30">
        <v>4.0828717422989325E-3</v>
      </c>
      <c r="K498" s="30">
        <v>7.625012334122161E-3</v>
      </c>
      <c r="L498" s="30">
        <v>5.6035019564089072E-3</v>
      </c>
      <c r="M498" s="31">
        <v>3.5629981995644044E-3</v>
      </c>
      <c r="O498" s="9">
        <v>45344</v>
      </c>
      <c r="P498" s="30">
        <v>2.0394147671932705E-2</v>
      </c>
      <c r="Q498" s="30">
        <v>3.0901467597580723E-2</v>
      </c>
      <c r="R498" s="30">
        <v>1.4798047641518153E-2</v>
      </c>
      <c r="S498" s="30">
        <v>3.4811325133439208E-3</v>
      </c>
      <c r="T498" s="31">
        <v>2.7701358308611868E-2</v>
      </c>
      <c r="V498" s="9">
        <v>45378</v>
      </c>
      <c r="W498" s="30">
        <v>-1.3647102773877928E-2</v>
      </c>
      <c r="X498" s="30">
        <v>-1.4418093596177073E-2</v>
      </c>
      <c r="Y498" s="30">
        <v>-5.9590412895387246E-3</v>
      </c>
      <c r="Z498" s="30">
        <v>1.0416646807848817E-2</v>
      </c>
      <c r="AA498" s="31">
        <v>-3.5965103163221324E-3</v>
      </c>
    </row>
    <row r="499" spans="1:27" x14ac:dyDescent="0.25">
      <c r="A499" s="7">
        <f>NFLX[[#This Row],[Date]]</f>
        <v>45281</v>
      </c>
      <c r="B499" s="30">
        <f>NFLX[[#This Row],[Stopa zwrotu]]</f>
        <v>-3.3170743672963354E-3</v>
      </c>
      <c r="C499" s="30">
        <f>META[[#This Row],[Stopa zwrotu]]</f>
        <v>4.0828717422989325E-3</v>
      </c>
      <c r="D499" s="30">
        <f>GOOG[[#This Row],[Stopa zwrotu]]</f>
        <v>7.625012334122161E-3</v>
      </c>
      <c r="E499" s="30">
        <f>EBAY[[#This Row],[Stopa zwrotu]]</f>
        <v>5.6035019564089072E-3</v>
      </c>
      <c r="F499" s="30">
        <f>AMZN[[#This Row],[Stopa zwrotu]]</f>
        <v>3.5629981995644044E-3</v>
      </c>
      <c r="H499" s="9">
        <v>45282</v>
      </c>
      <c r="I499" s="30">
        <v>-2.7117057949930246E-3</v>
      </c>
      <c r="J499" s="30">
        <v>5.7558777005324302E-3</v>
      </c>
      <c r="K499" s="30">
        <v>1.1261850470674517E-2</v>
      </c>
      <c r="L499" s="30">
        <v>8.8228697469237005E-3</v>
      </c>
      <c r="M499" s="31">
        <v>4.0105258115503695E-3</v>
      </c>
      <c r="O499" s="9">
        <v>45345</v>
      </c>
      <c r="P499" s="30">
        <v>1.6065089669927701E-3</v>
      </c>
      <c r="Q499" s="30">
        <v>1.3212637118063419E-2</v>
      </c>
      <c r="R499" s="30">
        <v>5.4162768355072721E-3</v>
      </c>
      <c r="S499" s="30">
        <v>-2.7752773924477614E-3</v>
      </c>
      <c r="T499" s="31">
        <v>1.1235914042361017E-2</v>
      </c>
      <c r="V499" s="9">
        <v>45379</v>
      </c>
      <c r="W499" s="30">
        <v>-1.496562032209392E-2</v>
      </c>
      <c r="X499" s="30">
        <v>-5.9827749259748764E-3</v>
      </c>
      <c r="Y499" s="30">
        <v>7.9930524214661958E-3</v>
      </c>
      <c r="Z499" s="30">
        <v>1.1476366465668297E-2</v>
      </c>
      <c r="AA499" s="31">
        <v>1.0997670870201093E-2</v>
      </c>
    </row>
    <row r="500" spans="1:27" x14ac:dyDescent="0.25">
      <c r="A500" s="7">
        <f>NFLX[[#This Row],[Date]]</f>
        <v>45282</v>
      </c>
      <c r="B500" s="30">
        <f>NFLX[[#This Row],[Stopa zwrotu]]</f>
        <v>-2.7117057949930246E-3</v>
      </c>
      <c r="C500" s="30">
        <f>META[[#This Row],[Stopa zwrotu]]</f>
        <v>5.7558777005324302E-3</v>
      </c>
      <c r="D500" s="30">
        <f>GOOG[[#This Row],[Stopa zwrotu]]</f>
        <v>1.1261850470674517E-2</v>
      </c>
      <c r="E500" s="30">
        <f>EBAY[[#This Row],[Stopa zwrotu]]</f>
        <v>8.8228697469237005E-3</v>
      </c>
      <c r="F500" s="30">
        <f>AMZN[[#This Row],[Stopa zwrotu]]</f>
        <v>4.0105258115503695E-3</v>
      </c>
      <c r="H500" s="9">
        <v>45286</v>
      </c>
      <c r="I500" s="30">
        <v>4.7893345195754167E-4</v>
      </c>
      <c r="J500" s="30">
        <v>1.5873320096027044E-3</v>
      </c>
      <c r="K500" s="30">
        <v>7.831597302602189E-4</v>
      </c>
      <c r="L500" s="30">
        <v>-1.0932278229406622E-3</v>
      </c>
      <c r="M500" s="31">
        <v>5.2385565014090307E-4</v>
      </c>
      <c r="O500" s="9">
        <v>45348</v>
      </c>
      <c r="P500" s="30">
        <v>1.983381600237403E-3</v>
      </c>
      <c r="Q500" s="30">
        <v>-1.2093569525804722E-3</v>
      </c>
      <c r="R500" s="30">
        <v>-1.3928190925920347E-2</v>
      </c>
      <c r="S500" s="30">
        <v>4.2516930485086606E-3</v>
      </c>
      <c r="T500" s="31">
        <v>1.0746459598384532E-3</v>
      </c>
      <c r="V500" s="9">
        <v>45383</v>
      </c>
      <c r="W500" s="30">
        <v>1.6539419793274446E-3</v>
      </c>
      <c r="X500" s="30">
        <v>-1.7365737615571419E-3</v>
      </c>
      <c r="Y500" s="30">
        <v>5.2863278228199029E-4</v>
      </c>
      <c r="Z500" s="30">
        <v>-7.6923076923074429E-4</v>
      </c>
      <c r="AA500" s="31">
        <v>9.622922281125601E-4</v>
      </c>
    </row>
    <row r="501" spans="1:27" x14ac:dyDescent="0.25">
      <c r="A501" s="7">
        <f>NFLX[[#This Row],[Date]]</f>
        <v>45286</v>
      </c>
      <c r="B501" s="30">
        <f>NFLX[[#This Row],[Stopa zwrotu]]</f>
        <v>4.7893345195754167E-4</v>
      </c>
      <c r="C501" s="30">
        <f>META[[#This Row],[Stopa zwrotu]]</f>
        <v>1.5873320096027044E-3</v>
      </c>
      <c r="D501" s="30">
        <f>GOOG[[#This Row],[Stopa zwrotu]]</f>
        <v>7.831597302602189E-4</v>
      </c>
      <c r="E501" s="30">
        <f>EBAY[[#This Row],[Stopa zwrotu]]</f>
        <v>-1.0932278229406622E-3</v>
      </c>
      <c r="F501" s="30">
        <f>AMZN[[#This Row],[Stopa zwrotu]]</f>
        <v>5.2385565014090307E-4</v>
      </c>
      <c r="H501" s="9">
        <v>45287</v>
      </c>
      <c r="I501" s="30">
        <v>5.9007257093144361E-3</v>
      </c>
      <c r="J501" s="30">
        <v>5.2623735658552384E-3</v>
      </c>
      <c r="K501" s="30">
        <v>-1.016845614035089E-2</v>
      </c>
      <c r="L501" s="30">
        <v>-3.6985669763555107E-3</v>
      </c>
      <c r="M501" s="31">
        <v>5.8809384165248169E-4</v>
      </c>
      <c r="O501" s="9">
        <v>45349</v>
      </c>
      <c r="P501" s="30">
        <v>1.5533109347879659E-2</v>
      </c>
      <c r="Q501" s="30">
        <v>-1.4148834613206818E-3</v>
      </c>
      <c r="R501" s="30">
        <v>-1.7298903802115406E-3</v>
      </c>
      <c r="S501" s="30">
        <v>8.7016491276230568E-3</v>
      </c>
      <c r="T501" s="31">
        <v>-8.0339380246166048E-3</v>
      </c>
      <c r="V501" s="9">
        <v>45384</v>
      </c>
      <c r="W501" s="30">
        <v>-9.9075250270863613E-5</v>
      </c>
      <c r="X501" s="30">
        <v>5.957065477929957E-3</v>
      </c>
      <c r="Y501" s="30">
        <v>1.1935463709942473E-2</v>
      </c>
      <c r="Z501" s="30">
        <v>-5.7868441358033262E-4</v>
      </c>
      <c r="AA501" s="31">
        <v>-8.7246014235831115E-3</v>
      </c>
    </row>
    <row r="502" spans="1:27" x14ac:dyDescent="0.25">
      <c r="A502" s="7">
        <f>NFLX[[#This Row],[Date]]</f>
        <v>45287</v>
      </c>
      <c r="B502" s="30">
        <f>NFLX[[#This Row],[Stopa zwrotu]]</f>
        <v>5.9007257093144361E-3</v>
      </c>
      <c r="C502" s="30">
        <f>META[[#This Row],[Stopa zwrotu]]</f>
        <v>5.2623735658552384E-3</v>
      </c>
      <c r="D502" s="30">
        <f>GOOG[[#This Row],[Stopa zwrotu]]</f>
        <v>-1.016845614035089E-2</v>
      </c>
      <c r="E502" s="30">
        <f>EBAY[[#This Row],[Stopa zwrotu]]</f>
        <v>-3.6985669763555107E-3</v>
      </c>
      <c r="F502" s="30">
        <f>AMZN[[#This Row],[Stopa zwrotu]]</f>
        <v>5.8809384165248169E-4</v>
      </c>
      <c r="H502" s="9">
        <v>45288</v>
      </c>
      <c r="I502" s="30">
        <v>-3.678957588145737E-4</v>
      </c>
      <c r="J502" s="30">
        <v>7.0361093525996843E-3</v>
      </c>
      <c r="K502" s="30">
        <v>-1.5809317757737862E-3</v>
      </c>
      <c r="L502" s="30">
        <v>4.6406034636015114E-4</v>
      </c>
      <c r="M502" s="31">
        <v>-1.1102273089806936E-3</v>
      </c>
      <c r="O502" s="9">
        <v>45350</v>
      </c>
      <c r="P502" s="30">
        <v>-3.9167473087895477E-3</v>
      </c>
      <c r="Q502" s="30">
        <v>5.8967888884433606E-3</v>
      </c>
      <c r="R502" s="30">
        <v>-1.3429610108303347E-2</v>
      </c>
      <c r="S502" s="30">
        <v>5.6299660755951386E-2</v>
      </c>
      <c r="T502" s="31">
        <v>-3.4131493496868393E-3</v>
      </c>
      <c r="V502" s="10">
        <v>45385</v>
      </c>
      <c r="W502" s="32">
        <v>9.8924706463565659E-3</v>
      </c>
      <c r="X502" s="32">
        <v>2.9093172752623575E-2</v>
      </c>
      <c r="Y502" s="32">
        <v>4.3789715192701362E-3</v>
      </c>
      <c r="Z502" s="32">
        <v>-5.5973942173828117E-3</v>
      </c>
      <c r="AA502" s="33">
        <v>7.9605222569647527E-3</v>
      </c>
    </row>
    <row r="503" spans="1:27" x14ac:dyDescent="0.25">
      <c r="A503" s="7">
        <f>NFLX[[#This Row],[Date]]</f>
        <v>45288</v>
      </c>
      <c r="B503" s="30">
        <f>NFLX[[#This Row],[Stopa zwrotu]]</f>
        <v>-3.678957588145737E-4</v>
      </c>
      <c r="C503" s="30">
        <f>META[[#This Row],[Stopa zwrotu]]</f>
        <v>7.0361093525996843E-3</v>
      </c>
      <c r="D503" s="30">
        <f>GOOG[[#This Row],[Stopa zwrotu]]</f>
        <v>-1.5809317757737862E-3</v>
      </c>
      <c r="E503" s="30">
        <f>EBAY[[#This Row],[Stopa zwrotu]]</f>
        <v>4.6406034636015114E-4</v>
      </c>
      <c r="F503" s="30">
        <f>AMZN[[#This Row],[Stopa zwrotu]]</f>
        <v>-1.1102273089806936E-3</v>
      </c>
      <c r="H503" s="10">
        <v>45289</v>
      </c>
      <c r="I503" s="32">
        <v>-1.4578700181873905E-2</v>
      </c>
      <c r="J503" s="32">
        <v>-1.6740703260058276E-2</v>
      </c>
      <c r="K503" s="32">
        <v>-6.5896624267263171E-3</v>
      </c>
      <c r="L503" s="32">
        <v>5.5659092199884519E-3</v>
      </c>
      <c r="M503" s="33">
        <v>-1.2553109105324145E-2</v>
      </c>
      <c r="O503" s="10">
        <v>45351</v>
      </c>
      <c r="P503" s="32">
        <v>8.7286027570956382E-3</v>
      </c>
      <c r="Q503" s="32">
        <v>-2.9003625064738525E-4</v>
      </c>
      <c r="R503" s="32">
        <v>6.8062646868141119E-3</v>
      </c>
      <c r="S503" s="32">
        <v>9.6712015833053666E-3</v>
      </c>
      <c r="T503" s="33">
        <v>3.3668194493106096E-3</v>
      </c>
    </row>
    <row r="504" spans="1:27" x14ac:dyDescent="0.25">
      <c r="A504" s="7">
        <f>NFLX[[#This Row],[Date]]</f>
        <v>45289</v>
      </c>
      <c r="B504" s="30">
        <f>NFLX[[#This Row],[Stopa zwrotu]]</f>
        <v>-1.4578700181873905E-2</v>
      </c>
      <c r="C504" s="30">
        <f>META[[#This Row],[Stopa zwrotu]]</f>
        <v>-1.6740703260058276E-2</v>
      </c>
      <c r="D504" s="30">
        <f>GOOG[[#This Row],[Stopa zwrotu]]</f>
        <v>-6.5896624267263171E-3</v>
      </c>
      <c r="E504" s="30">
        <f>EBAY[[#This Row],[Stopa zwrotu]]</f>
        <v>5.5659092199884519E-3</v>
      </c>
      <c r="F504" s="30">
        <f>AMZN[[#This Row],[Stopa zwrotu]]</f>
        <v>-1.2553109105324145E-2</v>
      </c>
    </row>
    <row r="505" spans="1:27" x14ac:dyDescent="0.25">
      <c r="A505" s="7">
        <f>NFLX[[#This Row],[Date]]</f>
        <v>45293</v>
      </c>
      <c r="B505" s="30">
        <f>NFLX[[#This Row],[Stopa zwrotu]]</f>
        <v>-1.0416243161321975E-2</v>
      </c>
      <c r="C505" s="30">
        <f>META[[#This Row],[Stopa zwrotu]]</f>
        <v>-8.3920731944047422E-3</v>
      </c>
      <c r="D505" s="30">
        <f>GOOG[[#This Row],[Stopa zwrotu]]</f>
        <v>-3.8598804371642592E-3</v>
      </c>
      <c r="E505" s="30">
        <f>EBAY[[#This Row],[Stopa zwrotu]]</f>
        <v>-9.2250920381664603E-4</v>
      </c>
      <c r="F505" s="30">
        <f>AMZN[[#This Row],[Stopa zwrotu]]</f>
        <v>-4.3699927456134213E-3</v>
      </c>
    </row>
    <row r="506" spans="1:27" x14ac:dyDescent="0.25">
      <c r="A506" s="7">
        <f>NFLX[[#This Row],[Date]]</f>
        <v>45294</v>
      </c>
      <c r="B506" s="30">
        <f>NFLX[[#This Row],[Stopa zwrotu]]</f>
        <v>8.465777783282169E-3</v>
      </c>
      <c r="C506" s="30">
        <f>META[[#This Row],[Stopa zwrotu]]</f>
        <v>9.3232049256433136E-3</v>
      </c>
      <c r="D506" s="30">
        <f>GOOG[[#This Row],[Stopa zwrotu]]</f>
        <v>5.0093507692263728E-3</v>
      </c>
      <c r="E506" s="30">
        <f>EBAY[[#This Row],[Stopa zwrotu]]</f>
        <v>-5.55560172324987E-3</v>
      </c>
      <c r="F506" s="30">
        <f>AMZN[[#This Row],[Stopa zwrotu]]</f>
        <v>-4.0431970081744595E-4</v>
      </c>
    </row>
    <row r="507" spans="1:27" x14ac:dyDescent="0.25">
      <c r="A507" s="7">
        <f>NFLX[[#This Row],[Date]]</f>
        <v>45295</v>
      </c>
      <c r="B507" s="30">
        <f>NFLX[[#This Row],[Stopa zwrotu]]</f>
        <v>1.6317281446829313E-3</v>
      </c>
      <c r="C507" s="30">
        <f>META[[#This Row],[Stopa zwrotu]]</f>
        <v>6.4106592600809975E-4</v>
      </c>
      <c r="D507" s="30">
        <f>GOOG[[#This Row],[Stopa zwrotu]]</f>
        <v>-3.0340101223583771E-3</v>
      </c>
      <c r="E507" s="30">
        <f>EBAY[[#This Row],[Stopa zwrotu]]</f>
        <v>-1.2802584096894609E-2</v>
      </c>
      <c r="F507" s="30">
        <f>AMZN[[#This Row],[Stopa zwrotu]]</f>
        <v>-2.8854573871036626E-2</v>
      </c>
    </row>
    <row r="508" spans="1:27" x14ac:dyDescent="0.25">
      <c r="A508" s="7">
        <f>NFLX[[#This Row],[Date]]</f>
        <v>45296</v>
      </c>
      <c r="B508" s="30">
        <f>NFLX[[#This Row],[Stopa zwrotu]]</f>
        <v>1.1296141751433231E-2</v>
      </c>
      <c r="C508" s="30">
        <f>META[[#This Row],[Stopa zwrotu]]</f>
        <v>8.3285266452277629E-3</v>
      </c>
      <c r="D508" s="30">
        <f>GOOG[[#This Row],[Stopa zwrotu]]</f>
        <v>-8.40510862999444E-3</v>
      </c>
      <c r="E508" s="30">
        <f>EBAY[[#This Row],[Stopa zwrotu]]</f>
        <v>-4.7161046922883365E-4</v>
      </c>
      <c r="F508" s="30">
        <f>AMZN[[#This Row],[Stopa zwrotu]]</f>
        <v>3.3321484901323029E-3</v>
      </c>
    </row>
    <row r="509" spans="1:27" x14ac:dyDescent="0.25">
      <c r="A509" s="7">
        <f>NFLX[[#This Row],[Date]]</f>
        <v>45299</v>
      </c>
      <c r="B509" s="30">
        <f>NFLX[[#This Row],[Stopa zwrotu]]</f>
        <v>1.3070552826437432E-3</v>
      </c>
      <c r="C509" s="30">
        <f>META[[#This Row],[Stopa zwrotu]]</f>
        <v>5.5738249030451064E-3</v>
      </c>
      <c r="D509" s="30">
        <f>GOOG[[#This Row],[Stopa zwrotu]]</f>
        <v>2.5088270730510378E-3</v>
      </c>
      <c r="E509" s="30">
        <f>EBAY[[#This Row],[Stopa zwrotu]]</f>
        <v>1.5727766353560804E-4</v>
      </c>
      <c r="F509" s="30">
        <f>AMZN[[#This Row],[Stopa zwrotu]]</f>
        <v>3.7362370239366616E-3</v>
      </c>
    </row>
    <row r="510" spans="1:27" x14ac:dyDescent="0.25">
      <c r="A510" s="7">
        <f>NFLX[[#This Row],[Date]]</f>
        <v>45300</v>
      </c>
      <c r="B510" s="30">
        <f>NFLX[[#This Row],[Stopa zwrotu]]</f>
        <v>3.1667687511882647E-4</v>
      </c>
      <c r="C510" s="30">
        <f>META[[#This Row],[Stopa zwrotu]]</f>
        <v>9.402065368057988E-3</v>
      </c>
      <c r="D510" s="30">
        <f>GOOG[[#This Row],[Stopa zwrotu]]</f>
        <v>1.3852537936882126E-2</v>
      </c>
      <c r="E510" s="30">
        <f>EBAY[[#This Row],[Stopa zwrotu]]</f>
        <v>-1.0610728601744723E-2</v>
      </c>
      <c r="F510" s="30">
        <f>AMZN[[#This Row],[Stopa zwrotu]]</f>
        <v>1.409519729436326E-2</v>
      </c>
    </row>
    <row r="511" spans="1:27" x14ac:dyDescent="0.25">
      <c r="A511" s="7">
        <f>NFLX[[#This Row],[Date]]</f>
        <v>45301</v>
      </c>
      <c r="B511" s="30">
        <f>NFLX[[#This Row],[Stopa zwrotu]]</f>
        <v>-1.7939553008177178E-3</v>
      </c>
      <c r="C511" s="30">
        <f>META[[#This Row],[Stopa zwrotu]]</f>
        <v>1.0468263611616235E-2</v>
      </c>
      <c r="D511" s="30">
        <f>GOOG[[#This Row],[Stopa zwrotu]]</f>
        <v>1.9100179796131656E-2</v>
      </c>
      <c r="E511" s="30">
        <f>EBAY[[#This Row],[Stopa zwrotu]]</f>
        <v>-4.7664443461981065E-4</v>
      </c>
      <c r="F511" s="30">
        <f>AMZN[[#This Row],[Stopa zwrotu]]</f>
        <v>2.4762147133560397E-2</v>
      </c>
    </row>
    <row r="512" spans="1:27" x14ac:dyDescent="0.25">
      <c r="A512" s="7">
        <f>NFLX[[#This Row],[Date]]</f>
        <v>45302</v>
      </c>
      <c r="B512" s="30">
        <f>NFLX[[#This Row],[Stopa zwrotu]]</f>
        <v>2.2983390895864764E-2</v>
      </c>
      <c r="C512" s="30">
        <f>META[[#This Row],[Stopa zwrotu]]</f>
        <v>1.0721861811808564E-2</v>
      </c>
      <c r="D512" s="30">
        <f>GOOG[[#This Row],[Stopa zwrotu]]</f>
        <v>-1.7198581213040409E-3</v>
      </c>
      <c r="E512" s="30">
        <f>EBAY[[#This Row],[Stopa zwrotu]]</f>
        <v>-1.072954245897817E-2</v>
      </c>
      <c r="F512" s="30">
        <f>AMZN[[#This Row],[Stopa zwrotu]]</f>
        <v>8.1642741584053713E-3</v>
      </c>
    </row>
    <row r="513" spans="1:6" x14ac:dyDescent="0.25">
      <c r="A513" s="7">
        <f>NFLX[[#This Row],[Date]]</f>
        <v>45303</v>
      </c>
      <c r="B513" s="30">
        <f>NFLX[[#This Row],[Stopa zwrotu]]</f>
        <v>1.4034099255428201E-2</v>
      </c>
      <c r="C513" s="30">
        <f>META[[#This Row],[Stopa zwrotu]]</f>
        <v>1.8212922953435795E-2</v>
      </c>
      <c r="D513" s="30">
        <f>GOOG[[#This Row],[Stopa zwrotu]]</f>
        <v>8.0512254839848474E-3</v>
      </c>
      <c r="E513" s="30">
        <f>EBAY[[#This Row],[Stopa zwrotu]]</f>
        <v>-1.0363966721428364E-2</v>
      </c>
      <c r="F513" s="30">
        <f>AMZN[[#This Row],[Stopa zwrotu]]</f>
        <v>5.8124348815451476E-3</v>
      </c>
    </row>
    <row r="514" spans="1:6" x14ac:dyDescent="0.25">
      <c r="A514" s="7">
        <f>NFLX[[#This Row],[Date]]</f>
        <v>45307</v>
      </c>
      <c r="B514" s="30">
        <f>NFLX[[#This Row],[Stopa zwrotu]]</f>
        <v>-6.415480924221284E-3</v>
      </c>
      <c r="C514" s="30">
        <f>META[[#This Row],[Stopa zwrotu]]</f>
        <v>-1.5627523026877366E-3</v>
      </c>
      <c r="D514" s="30">
        <f>GOOG[[#This Row],[Stopa zwrotu]]</f>
        <v>-5.3013566873510998E-4</v>
      </c>
      <c r="E514" s="30">
        <f>EBAY[[#This Row],[Stopa zwrotu]]</f>
        <v>-5.4797916346860376E-3</v>
      </c>
      <c r="F514" s="30">
        <f>AMZN[[#This Row],[Stopa zwrotu]]</f>
        <v>-3.0192861833415741E-3</v>
      </c>
    </row>
    <row r="515" spans="1:6" x14ac:dyDescent="0.25">
      <c r="A515" s="7">
        <f>NFLX[[#This Row],[Date]]</f>
        <v>45308</v>
      </c>
      <c r="B515" s="30">
        <f>NFLX[[#This Row],[Stopa zwrotu]]</f>
        <v>-5.7737731967522077E-3</v>
      </c>
      <c r="C515" s="30">
        <f>META[[#This Row],[Stopa zwrotu]]</f>
        <v>-2.3473097899942563E-2</v>
      </c>
      <c r="D515" s="30">
        <f>GOOG[[#This Row],[Stopa zwrotu]]</f>
        <v>-1.7797261212392446E-2</v>
      </c>
      <c r="E515" s="30">
        <f>EBAY[[#This Row],[Stopa zwrotu]]</f>
        <v>2.9880229083665277E-3</v>
      </c>
      <c r="F515" s="30">
        <f>AMZN[[#This Row],[Stopa zwrotu]]</f>
        <v>-1.47222483623628E-2</v>
      </c>
    </row>
    <row r="516" spans="1:6" x14ac:dyDescent="0.25">
      <c r="A516" s="7">
        <f>NFLX[[#This Row],[Date]]</f>
        <v>45309</v>
      </c>
      <c r="B516" s="30">
        <f>NFLX[[#This Row],[Stopa zwrotu]]</f>
        <v>5.8073032485943532E-3</v>
      </c>
      <c r="C516" s="30">
        <f>META[[#This Row],[Stopa zwrotu]]</f>
        <v>3.4410717816460101E-2</v>
      </c>
      <c r="D516" s="30">
        <f>GOOG[[#This Row],[Stopa zwrotu]]</f>
        <v>2.0212163554628404E-2</v>
      </c>
      <c r="E516" s="30">
        <f>EBAY[[#This Row],[Stopa zwrotu]]</f>
        <v>1.4895978522742048E-3</v>
      </c>
      <c r="F516" s="30">
        <f>AMZN[[#This Row],[Stopa zwrotu]]</f>
        <v>1.2740997592128878E-2</v>
      </c>
    </row>
    <row r="517" spans="1:6" x14ac:dyDescent="0.25">
      <c r="A517" s="7">
        <f>NFLX[[#This Row],[Date]]</f>
        <v>45310</v>
      </c>
      <c r="B517" s="30">
        <f>NFLX[[#This Row],[Stopa zwrotu]]</f>
        <v>-4.1002281182848099E-3</v>
      </c>
      <c r="C517" s="30">
        <f>META[[#This Row],[Stopa zwrotu]]</f>
        <v>1.8924353074289746E-2</v>
      </c>
      <c r="D517" s="30">
        <f>GOOG[[#This Row],[Stopa zwrotu]]</f>
        <v>1.7091014282901273E-2</v>
      </c>
      <c r="E517" s="30">
        <f>EBAY[[#This Row],[Stopa zwrotu]]</f>
        <v>3.9662865642042799E-3</v>
      </c>
      <c r="F517" s="30">
        <f>AMZN[[#This Row],[Stopa zwrotu]]</f>
        <v>6.059794214078762E-3</v>
      </c>
    </row>
    <row r="518" spans="1:6" x14ac:dyDescent="0.25">
      <c r="A518" s="7">
        <f>NFLX[[#This Row],[Date]]</f>
        <v>45313</v>
      </c>
      <c r="B518" s="30">
        <f>NFLX[[#This Row],[Stopa zwrotu]]</f>
        <v>2.6887339243879538E-3</v>
      </c>
      <c r="C518" s="30">
        <f>META[[#This Row],[Stopa zwrotu]]</f>
        <v>2.8132770604017607E-3</v>
      </c>
      <c r="D518" s="30">
        <f>GOOG[[#This Row],[Stopa zwrotu]]</f>
        <v>4.069499230394384E-3</v>
      </c>
      <c r="E518" s="30">
        <f>EBAY[[#This Row],[Stopa zwrotu]]</f>
        <v>3.1275802469135825E-3</v>
      </c>
      <c r="F518" s="30">
        <f>AMZN[[#This Row],[Stopa zwrotu]]</f>
        <v>2.5315109816842116E-3</v>
      </c>
    </row>
    <row r="519" spans="1:6" x14ac:dyDescent="0.25">
      <c r="A519" s="7">
        <f>NFLX[[#This Row],[Date]]</f>
        <v>45314</v>
      </c>
      <c r="B519" s="30">
        <f>NFLX[[#This Row],[Stopa zwrotu]]</f>
        <v>3.125651216407288E-3</v>
      </c>
      <c r="C519" s="30">
        <f>META[[#This Row],[Stopa zwrotu]]</f>
        <v>2.41363991590271E-3</v>
      </c>
      <c r="D519" s="30">
        <f>GOOG[[#This Row],[Stopa zwrotu]]</f>
        <v>-2.6426344675074542E-3</v>
      </c>
      <c r="E519" s="30">
        <f>EBAY[[#This Row],[Stopa zwrotu]]</f>
        <v>7.3385272177464156E-3</v>
      </c>
      <c r="F519" s="30">
        <f>AMZN[[#This Row],[Stopa zwrotu]]</f>
        <v>1.9492528375275597E-4</v>
      </c>
    </row>
    <row r="520" spans="1:6" x14ac:dyDescent="0.25">
      <c r="A520" s="7">
        <f>NFLX[[#This Row],[Date]]</f>
        <v>45315</v>
      </c>
      <c r="B520" s="30">
        <f>NFLX[[#This Row],[Stopa zwrotu]]</f>
        <v>0.11564190630214277</v>
      </c>
      <c r="C520" s="30">
        <f>META[[#This Row],[Stopa zwrotu]]</f>
        <v>1.4996888596523039E-2</v>
      </c>
      <c r="D520" s="30">
        <f>GOOG[[#This Row],[Stopa zwrotu]]</f>
        <v>1.800389947681369E-2</v>
      </c>
      <c r="E520" s="30">
        <f>EBAY[[#This Row],[Stopa zwrotu]]</f>
        <v>3.156896551724131E-3</v>
      </c>
      <c r="F520" s="30">
        <f>AMZN[[#This Row],[Stopa zwrotu]]</f>
        <v>1.6565991788228152E-2</v>
      </c>
    </row>
    <row r="521" spans="1:6" x14ac:dyDescent="0.25">
      <c r="A521" s="7">
        <f>NFLX[[#This Row],[Date]]</f>
        <v>45316</v>
      </c>
      <c r="B521" s="30">
        <f>NFLX[[#This Row],[Stopa zwrotu]]</f>
        <v>2.120769145836876E-2</v>
      </c>
      <c r="C521" s="30">
        <f>META[[#This Row],[Stopa zwrotu]]</f>
        <v>-5.5439364923232093E-3</v>
      </c>
      <c r="D521" s="30">
        <f>GOOG[[#This Row],[Stopa zwrotu]]</f>
        <v>9.20985742685132E-3</v>
      </c>
      <c r="E521" s="30">
        <f>EBAY[[#This Row],[Stopa zwrotu]]</f>
        <v>-1.2104332798248407E-3</v>
      </c>
      <c r="F521" s="30">
        <f>AMZN[[#This Row],[Stopa zwrotu]]</f>
        <v>-1.2333800161906883E-2</v>
      </c>
    </row>
    <row r="522" spans="1:6" x14ac:dyDescent="0.25">
      <c r="A522" s="7">
        <f>NFLX[[#This Row],[Date]]</f>
        <v>45317</v>
      </c>
      <c r="B522" s="30">
        <f>NFLX[[#This Row],[Stopa zwrotu]]</f>
        <v>1.8178118003284505E-2</v>
      </c>
      <c r="C522" s="30">
        <f>META[[#This Row],[Stopa zwrotu]]</f>
        <v>1.5376217234079448E-2</v>
      </c>
      <c r="D522" s="30">
        <f>GOOG[[#This Row],[Stopa zwrotu]]</f>
        <v>1.0448366549078436E-2</v>
      </c>
      <c r="E522" s="30">
        <f>EBAY[[#This Row],[Stopa zwrotu]]</f>
        <v>2.1085871114196353E-2</v>
      </c>
      <c r="F522" s="30">
        <f>AMZN[[#This Row],[Stopa zwrotu]]</f>
        <v>2.1740543091416153E-2</v>
      </c>
    </row>
    <row r="523" spans="1:6" x14ac:dyDescent="0.25">
      <c r="A523" s="7">
        <f>NFLX[[#This Row],[Date]]</f>
        <v>45320</v>
      </c>
      <c r="B523" s="30">
        <f>NFLX[[#This Row],[Stopa zwrotu]]</f>
        <v>2.5368742446229367E-3</v>
      </c>
      <c r="C523" s="30">
        <f>META[[#This Row],[Stopa zwrotu]]</f>
        <v>1.2853665104015644E-3</v>
      </c>
      <c r="D523" s="30">
        <f>GOOG[[#This Row],[Stopa zwrotu]]</f>
        <v>2.6176919206818045E-4</v>
      </c>
      <c r="E523" s="30">
        <f>EBAY[[#This Row],[Stopa zwrotu]]</f>
        <v>-7.9121764084462887E-4</v>
      </c>
      <c r="F523" s="30">
        <f>AMZN[[#This Row],[Stopa zwrotu]]</f>
        <v>2.0897768241882422E-3</v>
      </c>
    </row>
    <row r="524" spans="1:6" x14ac:dyDescent="0.25">
      <c r="A524" s="7">
        <f>NFLX[[#This Row],[Date]]</f>
        <v>45321</v>
      </c>
      <c r="B524" s="30">
        <f>NFLX[[#This Row],[Stopa zwrotu]]</f>
        <v>-3.305584032023523E-3</v>
      </c>
      <c r="C524" s="30">
        <f>META[[#This Row],[Stopa zwrotu]]</f>
        <v>1.6458918598948102E-2</v>
      </c>
      <c r="D524" s="30">
        <f>GOOG[[#This Row],[Stopa zwrotu]]</f>
        <v>-9.4823438331459453E-4</v>
      </c>
      <c r="E524" s="30">
        <f>EBAY[[#This Row],[Stopa zwrotu]]</f>
        <v>-2.6172020608422608E-3</v>
      </c>
      <c r="F524" s="30">
        <f>AMZN[[#This Row],[Stopa zwrotu]]</f>
        <v>-2.5801700156137253E-3</v>
      </c>
    </row>
    <row r="525" spans="1:6" x14ac:dyDescent="0.25">
      <c r="A525" s="7">
        <f>NFLX[[#This Row],[Date]]</f>
        <v>45322</v>
      </c>
      <c r="B525" s="30">
        <f>NFLX[[#This Row],[Stopa zwrotu]]</f>
        <v>2.1753343047192786E-3</v>
      </c>
      <c r="C525" s="30">
        <f>META[[#This Row],[Stopa zwrotu]]</f>
        <v>-3.1208551146332586E-2</v>
      </c>
      <c r="D525" s="30">
        <f>GOOG[[#This Row],[Stopa zwrotu]]</f>
        <v>-7.3474007140199804E-2</v>
      </c>
      <c r="E525" s="30">
        <f>EBAY[[#This Row],[Stopa zwrotu]]</f>
        <v>-2.2662143256781508E-2</v>
      </c>
      <c r="F525" s="30">
        <f>AMZN[[#This Row],[Stopa zwrotu]]</f>
        <v>-2.3219173978825891E-2</v>
      </c>
    </row>
    <row r="526" spans="1:6" x14ac:dyDescent="0.25">
      <c r="A526" s="7">
        <f>NFLX[[#This Row],[Date]]</f>
        <v>45323</v>
      </c>
      <c r="B526" s="30">
        <f>NFLX[[#This Row],[Stopa zwrotu]]</f>
        <v>3.1848962174714224E-3</v>
      </c>
      <c r="C526" s="30">
        <f>META[[#This Row],[Stopa zwrotu]]</f>
        <v>1.5370658506267176E-2</v>
      </c>
      <c r="D526" s="30">
        <f>GOOG[[#This Row],[Stopa zwrotu]]</f>
        <v>5.0158388198691117E-3</v>
      </c>
      <c r="E526" s="30">
        <f>EBAY[[#This Row],[Stopa zwrotu]]</f>
        <v>-4.8816449870235923E-3</v>
      </c>
      <c r="F526" s="30">
        <f>AMZN[[#This Row],[Stopa zwrotu]]</f>
        <v>5.2322008298195666E-3</v>
      </c>
    </row>
    <row r="527" spans="1:6" x14ac:dyDescent="0.25">
      <c r="A527" s="7">
        <f>NFLX[[#This Row],[Date]]</f>
        <v>45324</v>
      </c>
      <c r="B527" s="30">
        <f>NFLX[[#This Row],[Stopa zwrotu]]</f>
        <v>-2.5894719258977572E-3</v>
      </c>
      <c r="C527" s="30">
        <f>META[[#This Row],[Stopa zwrotu]]</f>
        <v>0.15255062671570419</v>
      </c>
      <c r="D527" s="30">
        <f>GOOG[[#This Row],[Stopa zwrotu]]</f>
        <v>-2.8750155656901422E-2</v>
      </c>
      <c r="E527" s="30">
        <f>EBAY[[#This Row],[Stopa zwrotu]]</f>
        <v>5.8866323276918209E-3</v>
      </c>
      <c r="F527" s="30">
        <f>AMZN[[#This Row],[Stopa zwrotu]]</f>
        <v>7.5247444905778504E-2</v>
      </c>
    </row>
    <row r="528" spans="1:6" x14ac:dyDescent="0.25">
      <c r="A528" s="7">
        <f>NFLX[[#This Row],[Date]]</f>
        <v>45327</v>
      </c>
      <c r="B528" s="30">
        <f>NFLX[[#This Row],[Stopa zwrotu]]</f>
        <v>-3.0644018741908066E-3</v>
      </c>
      <c r="C528" s="30">
        <f>META[[#This Row],[Stopa zwrotu]]</f>
        <v>4.5694288300605441E-3</v>
      </c>
      <c r="D528" s="30">
        <f>GOOG[[#This Row],[Stopa zwrotu]]</f>
        <v>1.3847690244110256E-2</v>
      </c>
      <c r="E528" s="30">
        <f>EBAY[[#This Row],[Stopa zwrotu]]</f>
        <v>-5.6895881828622485E-4</v>
      </c>
      <c r="F528" s="30">
        <f>AMZN[[#This Row],[Stopa zwrotu]]</f>
        <v>7.370565062603992E-4</v>
      </c>
    </row>
    <row r="529" spans="1:6" x14ac:dyDescent="0.25">
      <c r="A529" s="7">
        <f>NFLX[[#This Row],[Date]]</f>
        <v>45328</v>
      </c>
      <c r="B529" s="30">
        <f>NFLX[[#This Row],[Stopa zwrotu]]</f>
        <v>-5.0789966601795244E-3</v>
      </c>
      <c r="C529" s="30">
        <f>META[[#This Row],[Stopa zwrotu]]</f>
        <v>-1.3544708389127913E-2</v>
      </c>
      <c r="D529" s="30">
        <f>GOOG[[#This Row],[Stopa zwrotu]]</f>
        <v>4.2387602185043338E-3</v>
      </c>
      <c r="E529" s="30">
        <f>EBAY[[#This Row],[Stopa zwrotu]]</f>
        <v>9.0376650961814242E-3</v>
      </c>
      <c r="F529" s="30">
        <f>AMZN[[#This Row],[Stopa zwrotu]]</f>
        <v>-2.9816935536386424E-4</v>
      </c>
    </row>
    <row r="530" spans="1:6" x14ac:dyDescent="0.25">
      <c r="A530" s="7">
        <f>NFLX[[#This Row],[Date]]</f>
        <v>45329</v>
      </c>
      <c r="B530" s="30">
        <f>NFLX[[#This Row],[Stopa zwrotu]]</f>
        <v>1.1003210951197051E-3</v>
      </c>
      <c r="C530" s="30">
        <f>META[[#This Row],[Stopa zwrotu]]</f>
        <v>7.0198520971302969E-3</v>
      </c>
      <c r="D530" s="30">
        <f>GOOG[[#This Row],[Stopa zwrotu]]</f>
        <v>4.774446311252456E-3</v>
      </c>
      <c r="E530" s="30">
        <f>EBAY[[#This Row],[Stopa zwrotu]]</f>
        <v>2.3238900429946918E-2</v>
      </c>
      <c r="F530" s="30">
        <f>AMZN[[#This Row],[Stopa zwrotu]]</f>
        <v>7.6946498429339982E-3</v>
      </c>
    </row>
    <row r="531" spans="1:6" x14ac:dyDescent="0.25">
      <c r="A531" s="7">
        <f>NFLX[[#This Row],[Date]]</f>
        <v>45330</v>
      </c>
      <c r="B531" s="30">
        <f>NFLX[[#This Row],[Stopa zwrotu]]</f>
        <v>1.3694367858099188E-3</v>
      </c>
      <c r="C531" s="30">
        <f>META[[#This Row],[Stopa zwrotu]]</f>
        <v>1.9400250199048008E-2</v>
      </c>
      <c r="D531" s="30">
        <f>GOOG[[#This Row],[Stopa zwrotu]]</f>
        <v>8.332697070939421E-3</v>
      </c>
      <c r="E531" s="30">
        <f>EBAY[[#This Row],[Stopa zwrotu]]</f>
        <v>-1.490421102436712E-2</v>
      </c>
      <c r="F531" s="30">
        <f>AMZN[[#This Row],[Stopa zwrotu]]</f>
        <v>-3.5513791458330335E-4</v>
      </c>
    </row>
    <row r="532" spans="1:6" x14ac:dyDescent="0.25">
      <c r="A532" s="7">
        <f>NFLX[[#This Row],[Date]]</f>
        <v>45331</v>
      </c>
      <c r="B532" s="30">
        <f>NFLX[[#This Row],[Stopa zwrotu]]</f>
        <v>4.2465650168523883E-3</v>
      </c>
      <c r="C532" s="30">
        <f>META[[#This Row],[Stopa zwrotu]]</f>
        <v>5.2469776256307554E-3</v>
      </c>
      <c r="D532" s="30">
        <f>GOOG[[#This Row],[Stopa zwrotu]]</f>
        <v>6.8979307047936089E-3</v>
      </c>
      <c r="E532" s="30">
        <f>EBAY[[#This Row],[Stopa zwrotu]]</f>
        <v>3.6023535927556249E-3</v>
      </c>
      <c r="F532" s="30">
        <f>AMZN[[#This Row],[Stopa zwrotu]]</f>
        <v>1.0066301217838136E-2</v>
      </c>
    </row>
    <row r="533" spans="1:6" x14ac:dyDescent="0.25">
      <c r="A533" s="7">
        <f>NFLX[[#This Row],[Date]]</f>
        <v>45334</v>
      </c>
      <c r="B533" s="30">
        <f>NFLX[[#This Row],[Stopa zwrotu]]</f>
        <v>-6.5697667520892011E-4</v>
      </c>
      <c r="C533" s="30">
        <f>META[[#This Row],[Stopa zwrotu]]</f>
        <v>-6.3463181102252353E-4</v>
      </c>
      <c r="D533" s="30">
        <f>GOOG[[#This Row],[Stopa zwrotu]]</f>
        <v>2.554896230194744E-3</v>
      </c>
      <c r="E533" s="30">
        <f>EBAY[[#This Row],[Stopa zwrotu]]</f>
        <v>3.589383339170841E-3</v>
      </c>
      <c r="F533" s="30">
        <f>AMZN[[#This Row],[Stopa zwrotu]]</f>
        <v>1.8759350231453513E-3</v>
      </c>
    </row>
    <row r="534" spans="1:6" x14ac:dyDescent="0.25">
      <c r="A534" s="7">
        <f>NFLX[[#This Row],[Date]]</f>
        <v>45335</v>
      </c>
      <c r="B534" s="30">
        <f>NFLX[[#This Row],[Stopa zwrotu]]</f>
        <v>-1.4362657091561926E-2</v>
      </c>
      <c r="C534" s="30">
        <f>META[[#This Row],[Stopa zwrotu]]</f>
        <v>-2.4625983368635196E-2</v>
      </c>
      <c r="D534" s="30">
        <f>GOOG[[#This Row],[Stopa zwrotu]]</f>
        <v>-2.3222920344950437E-2</v>
      </c>
      <c r="E534" s="30">
        <f>EBAY[[#This Row],[Stopa zwrotu]]</f>
        <v>-3.5511361954954412E-2</v>
      </c>
      <c r="F534" s="30">
        <f>AMZN[[#This Row],[Stopa zwrotu]]</f>
        <v>-3.3753021081212253E-2</v>
      </c>
    </row>
    <row r="535" spans="1:6" x14ac:dyDescent="0.25">
      <c r="A535" s="7">
        <f>NFLX[[#This Row],[Date]]</f>
        <v>45336</v>
      </c>
      <c r="B535" s="30">
        <f>NFLX[[#This Row],[Stopa zwrotu]]</f>
        <v>2.7941761384335129E-2</v>
      </c>
      <c r="C535" s="30">
        <f>META[[#This Row],[Stopa zwrotu]]</f>
        <v>2.4171043302828377E-2</v>
      </c>
      <c r="D535" s="30">
        <f>GOOG[[#This Row],[Stopa zwrotu]]</f>
        <v>3.0665839496477609E-3</v>
      </c>
      <c r="E535" s="30">
        <f>EBAY[[#This Row],[Stopa zwrotu]]</f>
        <v>2.2091309666603109E-3</v>
      </c>
      <c r="F535" s="30">
        <f>AMZN[[#This Row],[Stopa zwrotu]]</f>
        <v>1.5263945701357473E-2</v>
      </c>
    </row>
    <row r="536" spans="1:6" x14ac:dyDescent="0.25">
      <c r="A536" s="7">
        <f>NFLX[[#This Row],[Date]]</f>
        <v>45337</v>
      </c>
      <c r="B536" s="30">
        <f>NFLX[[#This Row],[Stopa zwrotu]]</f>
        <v>2.8316226451185367E-2</v>
      </c>
      <c r="C536" s="30">
        <f>META[[#This Row],[Stopa zwrotu]]</f>
        <v>1.3151977198841314E-2</v>
      </c>
      <c r="D536" s="30">
        <f>GOOG[[#This Row],[Stopa zwrotu]]</f>
        <v>-2.524810674134681E-2</v>
      </c>
      <c r="E536" s="30">
        <f>EBAY[[#This Row],[Stopa zwrotu]]</f>
        <v>3.9186821494644919E-2</v>
      </c>
      <c r="F536" s="30">
        <f>AMZN[[#This Row],[Stopa zwrotu]]</f>
        <v>-4.1003268605913634E-3</v>
      </c>
    </row>
    <row r="537" spans="1:6" x14ac:dyDescent="0.25">
      <c r="A537" s="7">
        <f>NFLX[[#This Row],[Date]]</f>
        <v>45338</v>
      </c>
      <c r="B537" s="30">
        <f>NFLX[[#This Row],[Stopa zwrotu]]</f>
        <v>-4.9282895049318487E-3</v>
      </c>
      <c r="C537" s="30">
        <f>META[[#This Row],[Stopa zwrotu]]</f>
        <v>-6.3741688061197399E-3</v>
      </c>
      <c r="D537" s="30">
        <f>GOOG[[#This Row],[Stopa zwrotu]]</f>
        <v>-2.5373624704905229E-3</v>
      </c>
      <c r="E537" s="30">
        <f>EBAY[[#This Row],[Stopa zwrotu]]</f>
        <v>-6.834810275748171E-3</v>
      </c>
      <c r="F537" s="30">
        <f>AMZN[[#This Row],[Stopa zwrotu]]</f>
        <v>-2.5061042426424152E-3</v>
      </c>
    </row>
    <row r="538" spans="1:6" x14ac:dyDescent="0.25">
      <c r="A538" s="7">
        <f>NFLX[[#This Row],[Date]]</f>
        <v>45342</v>
      </c>
      <c r="B538" s="30">
        <f>NFLX[[#This Row],[Stopa zwrotu]]</f>
        <v>-3.3768783564379623E-3</v>
      </c>
      <c r="C538" s="30">
        <f>META[[#This Row],[Stopa zwrotu]]</f>
        <v>-1.411944039358709E-3</v>
      </c>
      <c r="D538" s="30">
        <f>GOOG[[#This Row],[Stopa zwrotu]]</f>
        <v>-1.2719067616758784E-3</v>
      </c>
      <c r="E538" s="30">
        <f>EBAY[[#This Row],[Stopa zwrotu]]</f>
        <v>4.9240746303766958E-3</v>
      </c>
      <c r="F538" s="30">
        <f>AMZN[[#This Row],[Stopa zwrotu]]</f>
        <v>-2.1385311615544633E-3</v>
      </c>
    </row>
    <row r="539" spans="1:6" x14ac:dyDescent="0.25">
      <c r="A539" s="7">
        <f>NFLX[[#This Row],[Date]]</f>
        <v>45343</v>
      </c>
      <c r="B539" s="30">
        <f>NFLX[[#This Row],[Stopa zwrotu]]</f>
        <v>-4.1076538828540565E-3</v>
      </c>
      <c r="C539" s="30">
        <f>META[[#This Row],[Stopa zwrotu]]</f>
        <v>-1.0223741899107242E-2</v>
      </c>
      <c r="D539" s="30">
        <f>GOOG[[#This Row],[Stopa zwrotu]]</f>
        <v>7.8835296615724637E-3</v>
      </c>
      <c r="E539" s="30">
        <f>EBAY[[#This Row],[Stopa zwrotu]]</f>
        <v>2.7926226950751865E-3</v>
      </c>
      <c r="F539" s="30">
        <f>AMZN[[#This Row],[Stopa zwrotu]]</f>
        <v>8.4469286699973001E-3</v>
      </c>
    </row>
    <row r="540" spans="1:6" x14ac:dyDescent="0.25">
      <c r="A540" s="7">
        <f>NFLX[[#This Row],[Date]]</f>
        <v>45344</v>
      </c>
      <c r="B540" s="30">
        <f>NFLX[[#This Row],[Stopa zwrotu]]</f>
        <v>2.0394147671932705E-2</v>
      </c>
      <c r="C540" s="30">
        <f>META[[#This Row],[Stopa zwrotu]]</f>
        <v>3.0901467597580723E-2</v>
      </c>
      <c r="D540" s="30">
        <f>GOOG[[#This Row],[Stopa zwrotu]]</f>
        <v>1.4798047641518153E-2</v>
      </c>
      <c r="E540" s="30">
        <f>EBAY[[#This Row],[Stopa zwrotu]]</f>
        <v>3.4811325133439208E-3</v>
      </c>
      <c r="F540" s="30">
        <f>AMZN[[#This Row],[Stopa zwrotu]]</f>
        <v>2.7701358308611868E-2</v>
      </c>
    </row>
    <row r="541" spans="1:6" x14ac:dyDescent="0.25">
      <c r="A541" s="7">
        <f>NFLX[[#This Row],[Date]]</f>
        <v>45345</v>
      </c>
      <c r="B541" s="30">
        <f>NFLX[[#This Row],[Stopa zwrotu]]</f>
        <v>1.6065089669927701E-3</v>
      </c>
      <c r="C541" s="30">
        <f>META[[#This Row],[Stopa zwrotu]]</f>
        <v>1.3212637118063419E-2</v>
      </c>
      <c r="D541" s="30">
        <f>GOOG[[#This Row],[Stopa zwrotu]]</f>
        <v>5.4162768355072721E-3</v>
      </c>
      <c r="E541" s="30">
        <f>EBAY[[#This Row],[Stopa zwrotu]]</f>
        <v>-2.7752773924477614E-3</v>
      </c>
      <c r="F541" s="30">
        <f>AMZN[[#This Row],[Stopa zwrotu]]</f>
        <v>1.1235914042361017E-2</v>
      </c>
    </row>
    <row r="542" spans="1:6" x14ac:dyDescent="0.25">
      <c r="A542" s="7">
        <f>NFLX[[#This Row],[Date]]</f>
        <v>45348</v>
      </c>
      <c r="B542" s="30">
        <f>NFLX[[#This Row],[Stopa zwrotu]]</f>
        <v>1.983381600237403E-3</v>
      </c>
      <c r="C542" s="30">
        <f>META[[#This Row],[Stopa zwrotu]]</f>
        <v>-1.2093569525804722E-3</v>
      </c>
      <c r="D542" s="30">
        <f>GOOG[[#This Row],[Stopa zwrotu]]</f>
        <v>-1.3928190925920347E-2</v>
      </c>
      <c r="E542" s="30">
        <f>EBAY[[#This Row],[Stopa zwrotu]]</f>
        <v>4.2516930485086606E-3</v>
      </c>
      <c r="F542" s="30">
        <f>AMZN[[#This Row],[Stopa zwrotu]]</f>
        <v>1.0746459598384532E-3</v>
      </c>
    </row>
    <row r="543" spans="1:6" x14ac:dyDescent="0.25">
      <c r="A543" s="7">
        <f>NFLX[[#This Row],[Date]]</f>
        <v>45349</v>
      </c>
      <c r="B543" s="30">
        <f>NFLX[[#This Row],[Stopa zwrotu]]</f>
        <v>1.5533109347879659E-2</v>
      </c>
      <c r="C543" s="30">
        <f>META[[#This Row],[Stopa zwrotu]]</f>
        <v>-1.4148834613206818E-3</v>
      </c>
      <c r="D543" s="30">
        <f>GOOG[[#This Row],[Stopa zwrotu]]</f>
        <v>-1.7298903802115406E-3</v>
      </c>
      <c r="E543" s="30">
        <f>EBAY[[#This Row],[Stopa zwrotu]]</f>
        <v>8.7016491276230568E-3</v>
      </c>
      <c r="F543" s="30">
        <f>AMZN[[#This Row],[Stopa zwrotu]]</f>
        <v>-8.0339380246166048E-3</v>
      </c>
    </row>
    <row r="544" spans="1:6" x14ac:dyDescent="0.25">
      <c r="A544" s="7">
        <f>NFLX[[#This Row],[Date]]</f>
        <v>45350</v>
      </c>
      <c r="B544" s="30">
        <f>NFLX[[#This Row],[Stopa zwrotu]]</f>
        <v>-3.9167473087895477E-3</v>
      </c>
      <c r="C544" s="30">
        <f>META[[#This Row],[Stopa zwrotu]]</f>
        <v>5.8967888884433606E-3</v>
      </c>
      <c r="D544" s="30">
        <f>GOOG[[#This Row],[Stopa zwrotu]]</f>
        <v>-1.3429610108303347E-2</v>
      </c>
      <c r="E544" s="30">
        <f>EBAY[[#This Row],[Stopa zwrotu]]</f>
        <v>5.6299660755951386E-2</v>
      </c>
      <c r="F544" s="30">
        <f>AMZN[[#This Row],[Stopa zwrotu]]</f>
        <v>-3.4131493496868393E-3</v>
      </c>
    </row>
    <row r="545" spans="1:6" x14ac:dyDescent="0.25">
      <c r="A545" s="7">
        <f>NFLX[[#This Row],[Date]]</f>
        <v>45351</v>
      </c>
      <c r="B545" s="30">
        <f>NFLX[[#This Row],[Stopa zwrotu]]</f>
        <v>8.7286027570956382E-3</v>
      </c>
      <c r="C545" s="30">
        <f>META[[#This Row],[Stopa zwrotu]]</f>
        <v>-2.9003625064738525E-4</v>
      </c>
      <c r="D545" s="30">
        <f>GOOG[[#This Row],[Stopa zwrotu]]</f>
        <v>6.8062646868141119E-3</v>
      </c>
      <c r="E545" s="30">
        <f>EBAY[[#This Row],[Stopa zwrotu]]</f>
        <v>9.6712015833053666E-3</v>
      </c>
      <c r="F545" s="30">
        <f>AMZN[[#This Row],[Stopa zwrotu]]</f>
        <v>3.3668194493106096E-3</v>
      </c>
    </row>
    <row r="546" spans="1:6" x14ac:dyDescent="0.25">
      <c r="A546" s="7">
        <f>NFLX[[#This Row],[Date]]</f>
        <v>45352</v>
      </c>
      <c r="B546" s="30">
        <f>NFLX[[#This Row],[Stopa zwrotu]]</f>
        <v>7.2922024277326525E-3</v>
      </c>
      <c r="C546" s="30">
        <f>META[[#This Row],[Stopa zwrotu]]</f>
        <v>1.914593830875666E-2</v>
      </c>
      <c r="D546" s="30">
        <f>GOOG[[#This Row],[Stopa zwrotu]]</f>
        <v>2.943948385493611E-3</v>
      </c>
      <c r="E546" s="30">
        <f>EBAY[[#This Row],[Stopa zwrotu]]</f>
        <v>1.702873563218521E-3</v>
      </c>
      <c r="F546" s="30">
        <f>AMZN[[#This Row],[Stopa zwrotu]]</f>
        <v>1.862887410024161E-2</v>
      </c>
    </row>
    <row r="547" spans="1:6" x14ac:dyDescent="0.25">
      <c r="A547" s="7">
        <f>NFLX[[#This Row],[Date]]</f>
        <v>45355</v>
      </c>
      <c r="B547" s="30">
        <f>NFLX[[#This Row],[Stopa zwrotu]]</f>
        <v>8.6627839866555423E-3</v>
      </c>
      <c r="C547" s="30">
        <f>META[[#This Row],[Stopa zwrotu]]</f>
        <v>3.0971549213860694E-3</v>
      </c>
      <c r="D547" s="30">
        <f>GOOG[[#This Row],[Stopa zwrotu]]</f>
        <v>-1.2357322649195349E-2</v>
      </c>
      <c r="E547" s="30">
        <f>EBAY[[#This Row],[Stopa zwrotu]]</f>
        <v>6.9414929818353661E-3</v>
      </c>
      <c r="F547" s="30">
        <f>AMZN[[#This Row],[Stopa zwrotu]]</f>
        <v>2.6883208260829092E-3</v>
      </c>
    </row>
    <row r="548" spans="1:6" x14ac:dyDescent="0.25">
      <c r="A548" s="7">
        <f>NFLX[[#This Row],[Date]]</f>
        <v>45356</v>
      </c>
      <c r="B548" s="30">
        <f>NFLX[[#This Row],[Stopa zwrotu]]</f>
        <v>-3.7523600770792087E-2</v>
      </c>
      <c r="C548" s="30">
        <f>META[[#This Row],[Stopa zwrotu]]</f>
        <v>-1.7183026019541248E-2</v>
      </c>
      <c r="D548" s="30">
        <f>GOOG[[#This Row],[Stopa zwrotu]]</f>
        <v>-9.8599878830348819E-3</v>
      </c>
      <c r="E548" s="30">
        <f>EBAY[[#This Row],[Stopa zwrotu]]</f>
        <v>1.7277226950932034E-2</v>
      </c>
      <c r="F548" s="30">
        <f>AMZN[[#This Row],[Stopa zwrotu]]</f>
        <v>-2.3606974375824707E-2</v>
      </c>
    </row>
    <row r="549" spans="1:6" x14ac:dyDescent="0.25">
      <c r="A549" s="7">
        <f>NFLX[[#This Row],[Date]]</f>
        <v>45357</v>
      </c>
      <c r="B549" s="30">
        <f>NFLX[[#This Row],[Stopa zwrotu]]</f>
        <v>2.6351317567567811E-3</v>
      </c>
      <c r="C549" s="30">
        <f>META[[#This Row],[Stopa zwrotu]]</f>
        <v>1.3117698258284793E-2</v>
      </c>
      <c r="D549" s="30">
        <f>GOOG[[#This Row],[Stopa zwrotu]]</f>
        <v>3.0406232677926415E-3</v>
      </c>
      <c r="E549" s="30">
        <f>EBAY[[#This Row],[Stopa zwrotu]]</f>
        <v>2.9670575602017024E-2</v>
      </c>
      <c r="F549" s="30">
        <f>AMZN[[#This Row],[Stopa zwrotu]]</f>
        <v>-2.3085977673065194E-4</v>
      </c>
    </row>
    <row r="550" spans="1:6" x14ac:dyDescent="0.25">
      <c r="A550" s="7">
        <f>NFLX[[#This Row],[Date]]</f>
        <v>45358</v>
      </c>
      <c r="B550" s="30">
        <f>NFLX[[#This Row],[Stopa zwrotu]]</f>
        <v>3.9423579888886451E-3</v>
      </c>
      <c r="C550" s="30">
        <f>META[[#This Row],[Stopa zwrotu]]</f>
        <v>1.434379791398932E-2</v>
      </c>
      <c r="D550" s="30">
        <f>GOOG[[#This Row],[Stopa zwrotu]]</f>
        <v>5.3808792432181729E-3</v>
      </c>
      <c r="E550" s="30">
        <f>EBAY[[#This Row],[Stopa zwrotu]]</f>
        <v>3.9745627980924958E-4</v>
      </c>
      <c r="F550" s="30">
        <f>AMZN[[#This Row],[Stopa zwrotu]]</f>
        <v>2.6550041167898719E-3</v>
      </c>
    </row>
    <row r="551" spans="1:6" x14ac:dyDescent="0.25">
      <c r="A551" s="7">
        <f>NFLX[[#This Row],[Date]]</f>
        <v>45359</v>
      </c>
      <c r="B551" s="30">
        <f>NFLX[[#This Row],[Stopa zwrotu]]</f>
        <v>8.2899862410474867E-3</v>
      </c>
      <c r="C551" s="30">
        <f>META[[#This Row],[Stopa zwrotu]]</f>
        <v>-4.0488232074591401E-3</v>
      </c>
      <c r="D551" s="30">
        <f>GOOG[[#This Row],[Stopa zwrotu]]</f>
        <v>1.6131455868190869E-2</v>
      </c>
      <c r="E551" s="30">
        <f>EBAY[[#This Row],[Stopa zwrotu]]</f>
        <v>-3.1783869686135002E-3</v>
      </c>
      <c r="F551" s="30">
        <f>AMZN[[#This Row],[Stopa zwrotu]]</f>
        <v>3.5114033875696116E-3</v>
      </c>
    </row>
    <row r="552" spans="1:6" x14ac:dyDescent="0.25">
      <c r="A552" s="7">
        <f>NFLX[[#This Row],[Date]]</f>
        <v>45362</v>
      </c>
      <c r="B552" s="30">
        <f>NFLX[[#This Row],[Stopa zwrotu]]</f>
        <v>-2.6076380782354597E-4</v>
      </c>
      <c r="C552" s="30">
        <f>META[[#This Row],[Stopa zwrotu]]</f>
        <v>-1.5586933493164571E-2</v>
      </c>
      <c r="D552" s="30">
        <f>GOOG[[#This Row],[Stopa zwrotu]]</f>
        <v>5.6132639700311833E-3</v>
      </c>
      <c r="E552" s="30">
        <f>EBAY[[#This Row],[Stopa zwrotu]]</f>
        <v>1.3285571941012246E-3</v>
      </c>
      <c r="F552" s="30">
        <f>AMZN[[#This Row],[Stopa zwrotu]]</f>
        <v>-5.4685576534707625E-3</v>
      </c>
    </row>
    <row r="553" spans="1:6" x14ac:dyDescent="0.25">
      <c r="A553" s="7">
        <f>NFLX[[#This Row],[Date]]</f>
        <v>45363</v>
      </c>
      <c r="B553" s="30">
        <f>NFLX[[#This Row],[Stopa zwrotu]]</f>
        <v>-6.8290804572935793E-3</v>
      </c>
      <c r="C553" s="30">
        <f>META[[#This Row],[Stopa zwrotu]]</f>
        <v>1.8340359243697479E-2</v>
      </c>
      <c r="D553" s="30">
        <f>GOOG[[#This Row],[Stopa zwrotu]]</f>
        <v>8.3169179381452629E-3</v>
      </c>
      <c r="E553" s="30">
        <f>EBAY[[#This Row],[Stopa zwrotu]]</f>
        <v>5.9547239786676975E-3</v>
      </c>
      <c r="F553" s="30">
        <f>AMZN[[#This Row],[Stopa zwrotu]]</f>
        <v>2.97425203840751E-3</v>
      </c>
    </row>
    <row r="554" spans="1:6" x14ac:dyDescent="0.25">
      <c r="A554" s="7">
        <f>NFLX[[#This Row],[Date]]</f>
        <v>45364</v>
      </c>
      <c r="B554" s="30">
        <f>NFLX[[#This Row],[Stopa zwrotu]]</f>
        <v>1.8347395698344648E-2</v>
      </c>
      <c r="C554" s="30">
        <f>META[[#This Row],[Stopa zwrotu]]</f>
        <v>1.2996901072832356E-2</v>
      </c>
      <c r="D554" s="30">
        <f>GOOG[[#This Row],[Stopa zwrotu]]</f>
        <v>1.302357216435146E-2</v>
      </c>
      <c r="E554" s="30">
        <f>EBAY[[#This Row],[Stopa zwrotu]]</f>
        <v>8.0899763220205756E-3</v>
      </c>
      <c r="F554" s="30">
        <f>AMZN[[#This Row],[Stopa zwrotu]]</f>
        <v>2.075826888610921E-2</v>
      </c>
    </row>
    <row r="555" spans="1:6" x14ac:dyDescent="0.25">
      <c r="A555" s="7">
        <f>NFLX[[#This Row],[Date]]</f>
        <v>45365</v>
      </c>
      <c r="B555" s="30">
        <f>NFLX[[#This Row],[Stopa zwrotu]]</f>
        <v>2.3048697308891697E-4</v>
      </c>
      <c r="C555" s="30">
        <f>META[[#This Row],[Stopa zwrotu]]</f>
        <v>-5.8448465589573395E-3</v>
      </c>
      <c r="D555" s="30">
        <f>GOOG[[#This Row],[Stopa zwrotu]]</f>
        <v>1.0535005018748933E-2</v>
      </c>
      <c r="E555" s="30">
        <f>EBAY[[#This Row],[Stopa zwrotu]]</f>
        <v>1.7224525347426134E-2</v>
      </c>
      <c r="F555" s="30">
        <f>AMZN[[#This Row],[Stopa zwrotu]]</f>
        <v>5.2406606908459441E-3</v>
      </c>
    </row>
    <row r="556" spans="1:6" x14ac:dyDescent="0.25">
      <c r="A556" s="7">
        <f>NFLX[[#This Row],[Date]]</f>
        <v>45366</v>
      </c>
      <c r="B556" s="30">
        <f>NFLX[[#This Row],[Stopa zwrotu]]</f>
        <v>-5.8120838717213852E-3</v>
      </c>
      <c r="C556" s="30">
        <f>META[[#This Row],[Stopa zwrotu]]</f>
        <v>-1.4052802244732931E-2</v>
      </c>
      <c r="D556" s="30">
        <f>GOOG[[#This Row],[Stopa zwrotu]]</f>
        <v>-2.5090716153014503E-3</v>
      </c>
      <c r="E556" s="30">
        <f>EBAY[[#This Row],[Stopa zwrotu]]</f>
        <v>-1.5393880789034142E-3</v>
      </c>
      <c r="F556" s="30">
        <f>AMZN[[#This Row],[Stopa zwrotu]]</f>
        <v>-1.4563421462212123E-2</v>
      </c>
    </row>
    <row r="557" spans="1:6" x14ac:dyDescent="0.25">
      <c r="A557" s="7">
        <f>NFLX[[#This Row],[Date]]</f>
        <v>45369</v>
      </c>
      <c r="B557" s="30">
        <f>NFLX[[#This Row],[Stopa zwrotu]]</f>
        <v>3.6600338528807175E-3</v>
      </c>
      <c r="C557" s="30">
        <f>META[[#This Row],[Stopa zwrotu]]</f>
        <v>3.8160607641652224E-3</v>
      </c>
      <c r="D557" s="30">
        <f>GOOG[[#This Row],[Stopa zwrotu]]</f>
        <v>1.6556824090431094E-2</v>
      </c>
      <c r="E557" s="30">
        <f>EBAY[[#This Row],[Stopa zwrotu]]</f>
        <v>-3.661585475587851E-3</v>
      </c>
      <c r="F557" s="30">
        <f>AMZN[[#This Row],[Stopa zwrotu]]</f>
        <v>7.2839757161428465E-4</v>
      </c>
    </row>
    <row r="558" spans="1:6" x14ac:dyDescent="0.25">
      <c r="A558" s="7">
        <f>NFLX[[#This Row],[Date]]</f>
        <v>45370</v>
      </c>
      <c r="B558" s="30">
        <f>NFLX[[#This Row],[Stopa zwrotu]]</f>
        <v>-4.0134522923066518E-3</v>
      </c>
      <c r="C558" s="30">
        <f>META[[#This Row],[Stopa zwrotu]]</f>
        <v>-1.1359666035454019E-2</v>
      </c>
      <c r="D558" s="30">
        <f>GOOG[[#This Row],[Stopa zwrotu]]</f>
        <v>-7.6279465885509268E-3</v>
      </c>
      <c r="E558" s="30">
        <f>EBAY[[#This Row],[Stopa zwrotu]]</f>
        <v>-1.3639906469212759E-3</v>
      </c>
      <c r="F558" s="30">
        <f>AMZN[[#This Row],[Stopa zwrotu]]</f>
        <v>-4.3607700502683588E-3</v>
      </c>
    </row>
    <row r="559" spans="1:6" x14ac:dyDescent="0.25">
      <c r="A559" s="7">
        <f>NFLX[[#This Row],[Date]]</f>
        <v>45371</v>
      </c>
      <c r="B559" s="30">
        <f>NFLX[[#This Row],[Stopa zwrotu]]</f>
        <v>1.700662335526304E-2</v>
      </c>
      <c r="C559" s="30">
        <f>META[[#This Row],[Stopa zwrotu]]</f>
        <v>2.8860567712891916E-2</v>
      </c>
      <c r="D559" s="30">
        <f>GOOG[[#This Row],[Stopa zwrotu]]</f>
        <v>4.4554657661202146E-3</v>
      </c>
      <c r="E559" s="30">
        <f>EBAY[[#This Row],[Stopa zwrotu]]</f>
        <v>6.8292292682927691E-3</v>
      </c>
      <c r="F559" s="30">
        <f>AMZN[[#This Row],[Stopa zwrotu]]</f>
        <v>6.4545584035371473E-3</v>
      </c>
    </row>
    <row r="560" spans="1:6" x14ac:dyDescent="0.25">
      <c r="A560" s="7">
        <f>NFLX[[#This Row],[Date]]</f>
        <v>45372</v>
      </c>
      <c r="B560" s="30">
        <f>NFLX[[#This Row],[Stopa zwrotu]]</f>
        <v>6.4527441630428672E-3</v>
      </c>
      <c r="C560" s="30">
        <f>META[[#This Row],[Stopa zwrotu]]</f>
        <v>2.1891464982553455E-2</v>
      </c>
      <c r="D560" s="30">
        <f>GOOG[[#This Row],[Stopa zwrotu]]</f>
        <v>2.3363831399090262E-3</v>
      </c>
      <c r="E560" s="30">
        <f>EBAY[[#This Row],[Stopa zwrotu]]</f>
        <v>1.5504264166832371E-3</v>
      </c>
      <c r="F560" s="30">
        <f>AMZN[[#This Row],[Stopa zwrotu]]</f>
        <v>2.0098459803587154E-2</v>
      </c>
    </row>
    <row r="561" spans="1:6" x14ac:dyDescent="0.25">
      <c r="A561" s="7">
        <f>NFLX[[#This Row],[Date]]</f>
        <v>45373</v>
      </c>
      <c r="B561" s="30">
        <f>NFLX[[#This Row],[Stopa zwrotu]]</f>
        <v>-2.1371570769018744E-3</v>
      </c>
      <c r="C561" s="30">
        <f>META[[#This Row],[Stopa zwrotu]]</f>
        <v>-3.3003576352176323E-3</v>
      </c>
      <c r="D561" s="30">
        <f>GOOG[[#This Row],[Stopa zwrotu]]</f>
        <v>1.4053111751000325E-2</v>
      </c>
      <c r="E561" s="30">
        <f>EBAY[[#This Row],[Stopa zwrotu]]</f>
        <v>-5.4179179566563596E-3</v>
      </c>
      <c r="F561" s="30">
        <f>AMZN[[#This Row],[Stopa zwrotu]]</f>
        <v>-7.85851275414573E-3</v>
      </c>
    </row>
    <row r="562" spans="1:6" x14ac:dyDescent="0.25">
      <c r="A562" s="7">
        <f>NFLX[[#This Row],[Date]]</f>
        <v>45376</v>
      </c>
      <c r="B562" s="30">
        <f>NFLX[[#This Row],[Stopa zwrotu]]</f>
        <v>1.1594057971014611E-3</v>
      </c>
      <c r="C562" s="30">
        <f>META[[#This Row],[Stopa zwrotu]]</f>
        <v>-2.7098161508227379E-3</v>
      </c>
      <c r="D562" s="30">
        <f>GOOG[[#This Row],[Stopa zwrotu]]</f>
        <v>-2.8649322281724121E-3</v>
      </c>
      <c r="E562" s="30">
        <f>EBAY[[#This Row],[Stopa zwrotu]]</f>
        <v>-1.3618871065413558E-3</v>
      </c>
      <c r="F562" s="30">
        <f>AMZN[[#This Row],[Stopa zwrotu]]</f>
        <v>9.241018387552794E-4</v>
      </c>
    </row>
    <row r="563" spans="1:6" x14ac:dyDescent="0.25">
      <c r="A563" s="7">
        <f>NFLX[[#This Row],[Date]]</f>
        <v>45377</v>
      </c>
      <c r="B563" s="30">
        <f>NFLX[[#This Row],[Stopa zwrotu]]</f>
        <v>-6.3867709295251096E-3</v>
      </c>
      <c r="C563" s="30">
        <f>META[[#This Row],[Stopa zwrotu]]</f>
        <v>-1.0055171718678424E-2</v>
      </c>
      <c r="D563" s="30">
        <f>GOOG[[#This Row],[Stopa zwrotu]]</f>
        <v>1.4986531955916593E-2</v>
      </c>
      <c r="E563" s="30">
        <f>EBAY[[#This Row],[Stopa zwrotu]]</f>
        <v>-6.0558313353356041E-3</v>
      </c>
      <c r="F563" s="30">
        <f>AMZN[[#This Row],[Stopa zwrotu]]</f>
        <v>4.0058225004000469E-3</v>
      </c>
    </row>
    <row r="564" spans="1:6" x14ac:dyDescent="0.25">
      <c r="A564" s="7">
        <f>NFLX[[#This Row],[Date]]</f>
        <v>45378</v>
      </c>
      <c r="B564" s="30">
        <f>NFLX[[#This Row],[Stopa zwrotu]]</f>
        <v>-1.3647102773877928E-2</v>
      </c>
      <c r="C564" s="30">
        <f>META[[#This Row],[Stopa zwrotu]]</f>
        <v>-1.4418093596177073E-2</v>
      </c>
      <c r="D564" s="30">
        <f>GOOG[[#This Row],[Stopa zwrotu]]</f>
        <v>-5.9590412895387246E-3</v>
      </c>
      <c r="E564" s="30">
        <f>EBAY[[#This Row],[Stopa zwrotu]]</f>
        <v>1.0416646807848817E-2</v>
      </c>
      <c r="F564" s="30">
        <f>AMZN[[#This Row],[Stopa zwrotu]]</f>
        <v>-3.5965103163221324E-3</v>
      </c>
    </row>
    <row r="565" spans="1:6" x14ac:dyDescent="0.25">
      <c r="A565" s="7">
        <f>NFLX[[#This Row],[Date]]</f>
        <v>45379</v>
      </c>
      <c r="B565" s="30">
        <f>NFLX[[#This Row],[Stopa zwrotu]]</f>
        <v>-1.496562032209392E-2</v>
      </c>
      <c r="C565" s="30">
        <f>META[[#This Row],[Stopa zwrotu]]</f>
        <v>-5.9827749259748764E-3</v>
      </c>
      <c r="D565" s="30">
        <f>GOOG[[#This Row],[Stopa zwrotu]]</f>
        <v>7.9930524214661958E-3</v>
      </c>
      <c r="E565" s="30">
        <f>EBAY[[#This Row],[Stopa zwrotu]]</f>
        <v>1.1476366465668297E-2</v>
      </c>
      <c r="F565" s="30">
        <f>AMZN[[#This Row],[Stopa zwrotu]]</f>
        <v>1.0997670870201093E-2</v>
      </c>
    </row>
    <row r="566" spans="1:6" x14ac:dyDescent="0.25">
      <c r="A566" s="7">
        <f>NFLX[[#This Row],[Date]]</f>
        <v>45383</v>
      </c>
      <c r="B566" s="30">
        <f>NFLX[[#This Row],[Stopa zwrotu]]</f>
        <v>1.6539419793274446E-3</v>
      </c>
      <c r="C566" s="30">
        <f>META[[#This Row],[Stopa zwrotu]]</f>
        <v>-1.7365737615571419E-3</v>
      </c>
      <c r="D566" s="30">
        <f>GOOG[[#This Row],[Stopa zwrotu]]</f>
        <v>5.2863278228199029E-4</v>
      </c>
      <c r="E566" s="30">
        <f>EBAY[[#This Row],[Stopa zwrotu]]</f>
        <v>-7.6923076923074429E-4</v>
      </c>
      <c r="F566" s="30">
        <f>AMZN[[#This Row],[Stopa zwrotu]]</f>
        <v>9.622922281125601E-4</v>
      </c>
    </row>
    <row r="567" spans="1:6" x14ac:dyDescent="0.25">
      <c r="A567" s="7">
        <f>NFLX[[#This Row],[Date]]</f>
        <v>45384</v>
      </c>
      <c r="B567" s="30">
        <f>NFLX[[#This Row],[Stopa zwrotu]]</f>
        <v>-9.9075250270863613E-5</v>
      </c>
      <c r="C567" s="30">
        <f>META[[#This Row],[Stopa zwrotu]]</f>
        <v>5.957065477929957E-3</v>
      </c>
      <c r="D567" s="30">
        <f>GOOG[[#This Row],[Stopa zwrotu]]</f>
        <v>1.1935463709942473E-2</v>
      </c>
      <c r="E567" s="30">
        <f>EBAY[[#This Row],[Stopa zwrotu]]</f>
        <v>-5.7868441358033262E-4</v>
      </c>
      <c r="F567" s="30">
        <f>AMZN[[#This Row],[Stopa zwrotu]]</f>
        <v>-8.7246014235831115E-3</v>
      </c>
    </row>
    <row r="568" spans="1:6" x14ac:dyDescent="0.25">
      <c r="A568" s="7">
        <f>NFLX[[#This Row],[Date]]</f>
        <v>45385</v>
      </c>
      <c r="B568" s="30">
        <f>NFLX[[#This Row],[Stopa zwrotu]]</f>
        <v>9.8924706463565659E-3</v>
      </c>
      <c r="C568" s="30">
        <f>META[[#This Row],[Stopa zwrotu]]</f>
        <v>2.9093172752623575E-2</v>
      </c>
      <c r="D568" s="30">
        <f>GOOG[[#This Row],[Stopa zwrotu]]</f>
        <v>4.3789715192701362E-3</v>
      </c>
      <c r="E568" s="30">
        <f>EBAY[[#This Row],[Stopa zwrotu]]</f>
        <v>-5.5973942173828117E-3</v>
      </c>
      <c r="F568" s="30">
        <f>AMZN[[#This Row],[Stopa zwrotu]]</f>
        <v>7.9605222569647527E-3</v>
      </c>
    </row>
    <row r="569" spans="1:6" x14ac:dyDescent="0.25">
      <c r="A569" s="7">
        <f>NFLX[[#This Row],[Date]]</f>
        <v>45386</v>
      </c>
      <c r="B569" s="30">
        <f>NFLX[[#This Row],[Stopa zwrotu]]</f>
        <v>8.3074685200326126E-3</v>
      </c>
      <c r="C569" s="30">
        <f>META[[#This Row],[Stopa zwrotu]]</f>
        <v>2.3719272180451112E-2</v>
      </c>
      <c r="D569" s="30">
        <f>GOOG[[#This Row],[Stopa zwrotu]]</f>
        <v>-1.4610846167937841E-2</v>
      </c>
      <c r="E569" s="30">
        <f>EBAY[[#This Row],[Stopa zwrotu]]</f>
        <v>-3.6878493788820021E-3</v>
      </c>
      <c r="F569" s="30">
        <f>AMZN[[#This Row],[Stopa zwrotu]]</f>
        <v>1.1123303485149894E-3</v>
      </c>
    </row>
    <row r="570" spans="1:6" x14ac:dyDescent="0.25">
      <c r="A570" s="7">
        <f>NFLX[[#This Row],[Date]]</f>
        <v>45387</v>
      </c>
      <c r="B570" s="30">
        <f>NFLX[[#This Row],[Stopa zwrotu]]</f>
        <v>9.9419456209850487E-3</v>
      </c>
      <c r="C570" s="30">
        <f>META[[#This Row],[Stopa zwrotu]]</f>
        <v>7.5012458332017751E-3</v>
      </c>
      <c r="D570" s="30">
        <f>GOOG[[#This Row],[Stopa zwrotu]]</f>
        <v>-5.2608044093757078E-3</v>
      </c>
      <c r="E570" s="30">
        <f>EBAY[[#This Row],[Stopa zwrotu]]</f>
        <v>1.7532826123793921E-3</v>
      </c>
      <c r="F570" s="30">
        <f>AMZN[[#This Row],[Stopa zwrotu]]</f>
        <v>1.0944449999999994E-2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180DF-5E0A-4EEF-8D35-5679C4826DCE}">
  <sheetPr codeName="Arkusz4">
    <tabColor theme="0" tint="-0.14999847407452621"/>
  </sheetPr>
  <dimension ref="A1:H570"/>
  <sheetViews>
    <sheetView workbookViewId="0">
      <selection activeCell="F11" sqref="F11"/>
    </sheetView>
  </sheetViews>
  <sheetFormatPr defaultRowHeight="15" x14ac:dyDescent="0.25"/>
  <cols>
    <col min="1" max="1" width="10.140625" bestFit="1" customWidth="1"/>
    <col min="2" max="5" width="10.5703125" bestFit="1" customWidth="1"/>
    <col min="6" max="6" width="11" bestFit="1" customWidth="1"/>
    <col min="7" max="7" width="10" bestFit="1" customWidth="1"/>
  </cols>
  <sheetData>
    <row r="1" spans="1:8" x14ac:dyDescent="0.25">
      <c r="A1" s="34" t="s">
        <v>32</v>
      </c>
      <c r="B1" s="34" t="s">
        <v>33</v>
      </c>
      <c r="C1" s="34" t="s">
        <v>34</v>
      </c>
      <c r="D1" s="34" t="s">
        <v>35</v>
      </c>
      <c r="E1" s="34" t="s">
        <v>36</v>
      </c>
      <c r="F1" s="34" t="s">
        <v>37</v>
      </c>
      <c r="G1" s="34" t="s">
        <v>38</v>
      </c>
      <c r="H1" s="34" t="s">
        <v>39</v>
      </c>
    </row>
    <row r="2" spans="1:8" x14ac:dyDescent="0.25">
      <c r="A2" s="46">
        <v>44560</v>
      </c>
      <c r="B2" s="14">
        <v>612.98999000000003</v>
      </c>
      <c r="C2" s="14">
        <v>620.60998500000005</v>
      </c>
      <c r="D2" s="14">
        <v>611.23999000000003</v>
      </c>
      <c r="E2" s="14">
        <v>612.09002699999996</v>
      </c>
      <c r="F2" s="14">
        <v>612.09002699999996</v>
      </c>
      <c r="G2" s="14">
        <v>1625100</v>
      </c>
      <c r="H2" s="14">
        <v>0</v>
      </c>
    </row>
    <row r="3" spans="1:8" x14ac:dyDescent="0.25">
      <c r="A3" s="46">
        <v>44561</v>
      </c>
      <c r="B3" s="14">
        <v>610.01000999999997</v>
      </c>
      <c r="C3" s="14">
        <v>614.080017</v>
      </c>
      <c r="D3" s="14">
        <v>602.04998799999998</v>
      </c>
      <c r="E3" s="14">
        <v>602.44000200000005</v>
      </c>
      <c r="F3" s="14">
        <v>602.44000200000005</v>
      </c>
      <c r="G3" s="14">
        <v>1995900</v>
      </c>
      <c r="H3" s="14">
        <f>(D3/D2-1)/(A3-A2)</f>
        <v>-1.5035014315735507E-2</v>
      </c>
    </row>
    <row r="4" spans="1:8" x14ac:dyDescent="0.25">
      <c r="A4" s="46">
        <v>44564</v>
      </c>
      <c r="B4" s="14">
        <v>605.60998500000005</v>
      </c>
      <c r="C4" s="14">
        <v>609.98999000000003</v>
      </c>
      <c r="D4" s="14">
        <v>590.55999799999995</v>
      </c>
      <c r="E4" s="14">
        <v>597.36999500000002</v>
      </c>
      <c r="F4" s="14">
        <v>597.36999500000002</v>
      </c>
      <c r="G4" s="14">
        <v>3067500</v>
      </c>
      <c r="H4" s="14">
        <f t="shared" ref="H4:H67" si="0">(D4/D3-1)/(A4-A3)</f>
        <v>-6.3615924640906636E-3</v>
      </c>
    </row>
    <row r="5" spans="1:8" x14ac:dyDescent="0.25">
      <c r="A5" s="46">
        <v>44565</v>
      </c>
      <c r="B5" s="14">
        <v>599.90997300000004</v>
      </c>
      <c r="C5" s="14">
        <v>600.40997300000004</v>
      </c>
      <c r="D5" s="14">
        <v>581.59997599999997</v>
      </c>
      <c r="E5" s="14">
        <v>591.15002400000003</v>
      </c>
      <c r="F5" s="14">
        <v>591.15002400000003</v>
      </c>
      <c r="G5" s="14">
        <v>4393100</v>
      </c>
      <c r="H5" s="14">
        <f t="shared" si="0"/>
        <v>-1.5172077401693573E-2</v>
      </c>
    </row>
    <row r="6" spans="1:8" x14ac:dyDescent="0.25">
      <c r="A6" s="46">
        <v>44566</v>
      </c>
      <c r="B6" s="14">
        <v>592</v>
      </c>
      <c r="C6" s="14">
        <v>592.84002699999996</v>
      </c>
      <c r="D6" s="14">
        <v>566.88000499999998</v>
      </c>
      <c r="E6" s="14">
        <v>567.52002000000005</v>
      </c>
      <c r="F6" s="14">
        <v>567.52002000000005</v>
      </c>
      <c r="G6" s="14">
        <v>4148700</v>
      </c>
      <c r="H6" s="14">
        <f t="shared" si="0"/>
        <v>-2.5309442241104874E-2</v>
      </c>
    </row>
    <row r="7" spans="1:8" x14ac:dyDescent="0.25">
      <c r="A7" s="46">
        <v>44567</v>
      </c>
      <c r="B7" s="14">
        <v>554.34002699999996</v>
      </c>
      <c r="C7" s="14">
        <v>563.35998500000005</v>
      </c>
      <c r="D7" s="14">
        <v>542.01000999999997</v>
      </c>
      <c r="E7" s="14">
        <v>553.28997800000002</v>
      </c>
      <c r="F7" s="14">
        <v>553.28997800000002</v>
      </c>
      <c r="G7" s="14">
        <v>5711800</v>
      </c>
      <c r="H7" s="14">
        <f t="shared" si="0"/>
        <v>-4.387170967513665E-2</v>
      </c>
    </row>
    <row r="8" spans="1:8" x14ac:dyDescent="0.25">
      <c r="A8" s="46">
        <v>44568</v>
      </c>
      <c r="B8" s="14">
        <v>549.46002199999998</v>
      </c>
      <c r="C8" s="14">
        <v>553.42999299999997</v>
      </c>
      <c r="D8" s="14">
        <v>538.21997099999999</v>
      </c>
      <c r="E8" s="14">
        <v>541.05999799999995</v>
      </c>
      <c r="F8" s="14">
        <v>541.05999799999995</v>
      </c>
      <c r="G8" s="14">
        <v>3382900</v>
      </c>
      <c r="H8" s="14">
        <f t="shared" si="0"/>
        <v>-6.9925627388320866E-3</v>
      </c>
    </row>
    <row r="9" spans="1:8" x14ac:dyDescent="0.25">
      <c r="A9" s="46">
        <v>44571</v>
      </c>
      <c r="B9" s="14">
        <v>538.48999000000003</v>
      </c>
      <c r="C9" s="14">
        <v>543.69000200000005</v>
      </c>
      <c r="D9" s="14">
        <v>526.32000700000003</v>
      </c>
      <c r="E9" s="14">
        <v>539.84997599999997</v>
      </c>
      <c r="F9" s="14">
        <v>539.84997599999997</v>
      </c>
      <c r="G9" s="14">
        <v>4486100</v>
      </c>
      <c r="H9" s="14">
        <f>(D9/D8-1)/(A9-A8)</f>
        <v>-7.369950727203034E-3</v>
      </c>
    </row>
    <row r="10" spans="1:8" x14ac:dyDescent="0.25">
      <c r="A10" s="46">
        <v>44572</v>
      </c>
      <c r="B10" s="14">
        <v>536.98999000000003</v>
      </c>
      <c r="C10" s="14">
        <v>543.90997300000004</v>
      </c>
      <c r="D10" s="14">
        <v>530.07000700000003</v>
      </c>
      <c r="E10" s="14">
        <v>540.84002699999996</v>
      </c>
      <c r="F10" s="14">
        <v>540.84002699999996</v>
      </c>
      <c r="G10" s="14">
        <v>3077800</v>
      </c>
      <c r="H10" s="14">
        <f>(D10/D9-1)/(A10-A9)</f>
        <v>7.1249429056949865E-3</v>
      </c>
    </row>
    <row r="11" spans="1:8" x14ac:dyDescent="0.25">
      <c r="A11" s="46">
        <v>44573</v>
      </c>
      <c r="B11" s="14">
        <v>544.27002000000005</v>
      </c>
      <c r="C11" s="14">
        <v>544.27002000000005</v>
      </c>
      <c r="D11" s="14">
        <v>532.02002000000005</v>
      </c>
      <c r="E11" s="14">
        <v>537.21997099999999</v>
      </c>
      <c r="F11" s="14">
        <v>537.21997099999999</v>
      </c>
      <c r="G11" s="14">
        <v>3787400</v>
      </c>
      <c r="H11" s="14">
        <f t="shared" si="0"/>
        <v>3.6787838856160437E-3</v>
      </c>
    </row>
    <row r="12" spans="1:8" x14ac:dyDescent="0.25">
      <c r="A12" s="46">
        <v>44574</v>
      </c>
      <c r="B12" s="14">
        <v>537.05999799999995</v>
      </c>
      <c r="C12" s="14">
        <v>540.78997800000002</v>
      </c>
      <c r="D12" s="14">
        <v>518.26000999999997</v>
      </c>
      <c r="E12" s="14">
        <v>519.20001200000002</v>
      </c>
      <c r="F12" s="14">
        <v>519.20001200000002</v>
      </c>
      <c r="G12" s="14">
        <v>4475100</v>
      </c>
      <c r="H12" s="14">
        <f t="shared" si="0"/>
        <v>-2.5863707158990112E-2</v>
      </c>
    </row>
    <row r="13" spans="1:8" x14ac:dyDescent="0.25">
      <c r="A13" s="46">
        <v>44575</v>
      </c>
      <c r="B13" s="14">
        <v>517.59997599999997</v>
      </c>
      <c r="C13" s="14">
        <v>538.36999500000002</v>
      </c>
      <c r="D13" s="14">
        <v>511.88000499999998</v>
      </c>
      <c r="E13" s="14">
        <v>525.69000200000005</v>
      </c>
      <c r="F13" s="14">
        <v>525.69000200000005</v>
      </c>
      <c r="G13" s="14">
        <v>7861100</v>
      </c>
      <c r="H13" s="14">
        <f t="shared" si="0"/>
        <v>-1.2310432749769729E-2</v>
      </c>
    </row>
    <row r="14" spans="1:8" x14ac:dyDescent="0.25">
      <c r="A14" s="46">
        <v>44579</v>
      </c>
      <c r="B14" s="14">
        <v>520.080017</v>
      </c>
      <c r="C14" s="14">
        <v>521.75</v>
      </c>
      <c r="D14" s="14">
        <v>508.67999300000002</v>
      </c>
      <c r="E14" s="14">
        <v>510.79998799999998</v>
      </c>
      <c r="F14" s="14">
        <v>510.79998799999998</v>
      </c>
      <c r="G14" s="14">
        <v>4839100</v>
      </c>
      <c r="H14" s="14">
        <f t="shared" si="0"/>
        <v>-1.5628721422709102E-3</v>
      </c>
    </row>
    <row r="15" spans="1:8" x14ac:dyDescent="0.25">
      <c r="A15" s="46">
        <v>44580</v>
      </c>
      <c r="B15" s="14">
        <v>515</v>
      </c>
      <c r="C15" s="14">
        <v>523.21002199999998</v>
      </c>
      <c r="D15" s="14">
        <v>510.51001000000002</v>
      </c>
      <c r="E15" s="14">
        <v>515.85998500000005</v>
      </c>
      <c r="F15" s="14">
        <v>515.85998500000005</v>
      </c>
      <c r="G15" s="14">
        <v>4353500</v>
      </c>
      <c r="H15" s="14">
        <f t="shared" si="0"/>
        <v>3.5975800605154706E-3</v>
      </c>
    </row>
    <row r="16" spans="1:8" x14ac:dyDescent="0.25">
      <c r="A16" s="46">
        <v>44581</v>
      </c>
      <c r="B16" s="14">
        <v>517.75</v>
      </c>
      <c r="C16" s="14">
        <v>526.64001499999995</v>
      </c>
      <c r="D16" s="14">
        <v>506.92999300000002</v>
      </c>
      <c r="E16" s="14">
        <v>508.25</v>
      </c>
      <c r="F16" s="14">
        <v>508.25</v>
      </c>
      <c r="G16" s="14">
        <v>12659000</v>
      </c>
      <c r="H16" s="14">
        <f t="shared" si="0"/>
        <v>-7.0126284105574976E-3</v>
      </c>
    </row>
    <row r="17" spans="1:8" x14ac:dyDescent="0.25">
      <c r="A17" s="46">
        <v>44582</v>
      </c>
      <c r="B17" s="14">
        <v>400.42999300000002</v>
      </c>
      <c r="C17" s="14">
        <v>409.14999399999999</v>
      </c>
      <c r="D17" s="14">
        <v>379.98998999999998</v>
      </c>
      <c r="E17" s="14">
        <v>397.5</v>
      </c>
      <c r="F17" s="14">
        <v>397.5</v>
      </c>
      <c r="G17" s="14">
        <v>58904300</v>
      </c>
      <c r="H17" s="14">
        <f t="shared" si="0"/>
        <v>-0.25040933610728389</v>
      </c>
    </row>
    <row r="18" spans="1:8" x14ac:dyDescent="0.25">
      <c r="A18" s="46">
        <v>44585</v>
      </c>
      <c r="B18" s="14">
        <v>383.91000400000001</v>
      </c>
      <c r="C18" s="14">
        <v>387.26001000000002</v>
      </c>
      <c r="D18" s="14">
        <v>351.459991</v>
      </c>
      <c r="E18" s="14">
        <v>387.14999399999999</v>
      </c>
      <c r="F18" s="14">
        <v>387.14999399999999</v>
      </c>
      <c r="G18" s="14">
        <v>32346000</v>
      </c>
      <c r="H18" s="14">
        <f t="shared" si="0"/>
        <v>-2.5026974175468841E-2</v>
      </c>
    </row>
    <row r="19" spans="1:8" x14ac:dyDescent="0.25">
      <c r="A19" s="46">
        <v>44586</v>
      </c>
      <c r="B19" s="14">
        <v>379.14001500000001</v>
      </c>
      <c r="C19" s="14">
        <v>387.709991</v>
      </c>
      <c r="D19" s="14">
        <v>365.13000499999998</v>
      </c>
      <c r="E19" s="14">
        <v>366.42001299999998</v>
      </c>
      <c r="F19" s="14">
        <v>366.42001299999998</v>
      </c>
      <c r="G19" s="14">
        <v>15145800</v>
      </c>
      <c r="H19" s="14">
        <f t="shared" si="0"/>
        <v>3.88949364082809E-2</v>
      </c>
    </row>
    <row r="20" spans="1:8" x14ac:dyDescent="0.25">
      <c r="A20" s="46">
        <v>44587</v>
      </c>
      <c r="B20" s="14">
        <v>378.26998900000001</v>
      </c>
      <c r="C20" s="14">
        <v>382.66000400000001</v>
      </c>
      <c r="D20" s="14">
        <v>356.61999500000002</v>
      </c>
      <c r="E20" s="14">
        <v>359.70001200000002</v>
      </c>
      <c r="F20" s="14">
        <v>359.70001200000002</v>
      </c>
      <c r="G20" s="14">
        <v>12684000</v>
      </c>
      <c r="H20" s="14">
        <f t="shared" si="0"/>
        <v>-2.3306794521036345E-2</v>
      </c>
    </row>
    <row r="21" spans="1:8" x14ac:dyDescent="0.25">
      <c r="A21" s="46">
        <v>44588</v>
      </c>
      <c r="B21" s="14">
        <v>382.05999800000001</v>
      </c>
      <c r="C21" s="14">
        <v>394.79998799999998</v>
      </c>
      <c r="D21" s="14">
        <v>378.10000600000001</v>
      </c>
      <c r="E21" s="14">
        <v>386.70001200000002</v>
      </c>
      <c r="F21" s="14">
        <v>386.70001200000002</v>
      </c>
      <c r="G21" s="14">
        <v>24324700</v>
      </c>
      <c r="H21" s="14">
        <f t="shared" si="0"/>
        <v>6.0232211601034757E-2</v>
      </c>
    </row>
    <row r="22" spans="1:8" x14ac:dyDescent="0.25">
      <c r="A22" s="46">
        <v>44589</v>
      </c>
      <c r="B22" s="14">
        <v>386.76001000000002</v>
      </c>
      <c r="C22" s="14">
        <v>387</v>
      </c>
      <c r="D22" s="14">
        <v>372.07998700000002</v>
      </c>
      <c r="E22" s="14">
        <v>384.35998499999999</v>
      </c>
      <c r="F22" s="14">
        <v>384.35998499999999</v>
      </c>
      <c r="G22" s="14">
        <v>11966600</v>
      </c>
      <c r="H22" s="14">
        <f t="shared" si="0"/>
        <v>-1.5921763830916147E-2</v>
      </c>
    </row>
    <row r="23" spans="1:8" x14ac:dyDescent="0.25">
      <c r="A23" s="46">
        <v>44592</v>
      </c>
      <c r="B23" s="14">
        <v>401.97000100000002</v>
      </c>
      <c r="C23" s="14">
        <v>427.70001200000002</v>
      </c>
      <c r="D23" s="14">
        <v>398.20001200000002</v>
      </c>
      <c r="E23" s="14">
        <v>427.14001500000001</v>
      </c>
      <c r="F23" s="14">
        <v>427.14001500000001</v>
      </c>
      <c r="G23" s="14">
        <v>20047500</v>
      </c>
      <c r="H23" s="14">
        <f t="shared" si="0"/>
        <v>2.3400008880348617E-2</v>
      </c>
    </row>
    <row r="24" spans="1:8" x14ac:dyDescent="0.25">
      <c r="A24" s="46">
        <v>44593</v>
      </c>
      <c r="B24" s="14">
        <v>432.959991</v>
      </c>
      <c r="C24" s="14">
        <v>458.48001099999999</v>
      </c>
      <c r="D24" s="14">
        <v>425.540009</v>
      </c>
      <c r="E24" s="14">
        <v>457.13000499999998</v>
      </c>
      <c r="F24" s="14">
        <v>457.13000499999998</v>
      </c>
      <c r="G24" s="14">
        <v>22568100</v>
      </c>
      <c r="H24" s="14">
        <f t="shared" si="0"/>
        <v>6.8658955741066174E-2</v>
      </c>
    </row>
    <row r="25" spans="1:8" x14ac:dyDescent="0.25">
      <c r="A25" s="46">
        <v>44594</v>
      </c>
      <c r="B25" s="14">
        <v>448.25</v>
      </c>
      <c r="C25" s="14">
        <v>451.98001099999999</v>
      </c>
      <c r="D25" s="14">
        <v>426.48001099999999</v>
      </c>
      <c r="E25" s="14">
        <v>429.48001099999999</v>
      </c>
      <c r="F25" s="14">
        <v>429.48001099999999</v>
      </c>
      <c r="G25" s="14">
        <v>14346000</v>
      </c>
      <c r="H25" s="14">
        <f t="shared" si="0"/>
        <v>2.2089626829895348E-3</v>
      </c>
    </row>
    <row r="26" spans="1:8" x14ac:dyDescent="0.25">
      <c r="A26" s="46">
        <v>44595</v>
      </c>
      <c r="B26" s="14">
        <v>421.44000199999999</v>
      </c>
      <c r="C26" s="14">
        <v>429.26001000000002</v>
      </c>
      <c r="D26" s="14">
        <v>404.27999899999998</v>
      </c>
      <c r="E26" s="14">
        <v>405.60000600000001</v>
      </c>
      <c r="F26" s="14">
        <v>405.60000600000001</v>
      </c>
      <c r="G26" s="14">
        <v>9905200</v>
      </c>
      <c r="H26" s="14">
        <f t="shared" si="0"/>
        <v>-5.205405043004474E-2</v>
      </c>
    </row>
    <row r="27" spans="1:8" x14ac:dyDescent="0.25">
      <c r="A27" s="46">
        <v>44596</v>
      </c>
      <c r="B27" s="14">
        <v>407.30999800000001</v>
      </c>
      <c r="C27" s="14">
        <v>412.76998900000001</v>
      </c>
      <c r="D27" s="14">
        <v>396.64001500000001</v>
      </c>
      <c r="E27" s="14">
        <v>410.17001299999998</v>
      </c>
      <c r="F27" s="14">
        <v>410.17001299999998</v>
      </c>
      <c r="G27" s="14">
        <v>7789800</v>
      </c>
      <c r="H27" s="14">
        <f t="shared" si="0"/>
        <v>-1.8897754078603279E-2</v>
      </c>
    </row>
    <row r="28" spans="1:8" x14ac:dyDescent="0.25">
      <c r="A28" s="46">
        <v>44599</v>
      </c>
      <c r="B28" s="14">
        <v>410.17001299999998</v>
      </c>
      <c r="C28" s="14">
        <v>412.35000600000001</v>
      </c>
      <c r="D28" s="14">
        <v>393.54998799999998</v>
      </c>
      <c r="E28" s="14">
        <v>402.10000600000001</v>
      </c>
      <c r="F28" s="14">
        <v>402.10000600000001</v>
      </c>
      <c r="G28" s="14">
        <v>8232900</v>
      </c>
      <c r="H28" s="14">
        <f t="shared" si="0"/>
        <v>-2.5968358235363884E-3</v>
      </c>
    </row>
    <row r="29" spans="1:8" x14ac:dyDescent="0.25">
      <c r="A29" s="46">
        <v>44600</v>
      </c>
      <c r="B29" s="14">
        <v>398.17999300000002</v>
      </c>
      <c r="C29" s="14">
        <v>406.60998499999999</v>
      </c>
      <c r="D29" s="14">
        <v>395.82998700000002</v>
      </c>
      <c r="E29" s="14">
        <v>403.52999899999998</v>
      </c>
      <c r="F29" s="14">
        <v>403.52999899999998</v>
      </c>
      <c r="G29" s="14">
        <v>6818500</v>
      </c>
      <c r="H29" s="14">
        <f t="shared" si="0"/>
        <v>5.7934165151087846E-3</v>
      </c>
    </row>
    <row r="30" spans="1:8" x14ac:dyDescent="0.25">
      <c r="A30" s="46">
        <v>44601</v>
      </c>
      <c r="B30" s="14">
        <v>408.64999399999999</v>
      </c>
      <c r="C30" s="14">
        <v>412.98001099999999</v>
      </c>
      <c r="D30" s="14">
        <v>398.790009</v>
      </c>
      <c r="E30" s="14">
        <v>412.89001500000001</v>
      </c>
      <c r="F30" s="14">
        <v>412.89001500000001</v>
      </c>
      <c r="G30" s="14">
        <v>7738200</v>
      </c>
      <c r="H30" s="14">
        <f t="shared" si="0"/>
        <v>7.4780135341285803E-3</v>
      </c>
    </row>
    <row r="31" spans="1:8" x14ac:dyDescent="0.25">
      <c r="A31" s="46">
        <v>44602</v>
      </c>
      <c r="B31" s="14">
        <v>402.10000600000001</v>
      </c>
      <c r="C31" s="14">
        <v>408</v>
      </c>
      <c r="D31" s="14">
        <v>396.35998499999999</v>
      </c>
      <c r="E31" s="14">
        <v>406.26998900000001</v>
      </c>
      <c r="F31" s="14">
        <v>406.26998900000001</v>
      </c>
      <c r="G31" s="14">
        <v>8452900</v>
      </c>
      <c r="H31" s="14">
        <f t="shared" si="0"/>
        <v>-6.0934926782481025E-3</v>
      </c>
    </row>
    <row r="32" spans="1:8" x14ac:dyDescent="0.25">
      <c r="A32" s="46">
        <v>44603</v>
      </c>
      <c r="B32" s="14">
        <v>405.32998700000002</v>
      </c>
      <c r="C32" s="14">
        <v>411.60998499999999</v>
      </c>
      <c r="D32" s="14">
        <v>387.64999399999999</v>
      </c>
      <c r="E32" s="14">
        <v>391.30999800000001</v>
      </c>
      <c r="F32" s="14">
        <v>391.30999800000001</v>
      </c>
      <c r="G32" s="14">
        <v>7558900</v>
      </c>
      <c r="H32" s="14">
        <f t="shared" si="0"/>
        <v>-2.1974950372449897E-2</v>
      </c>
    </row>
    <row r="33" spans="1:8" x14ac:dyDescent="0.25">
      <c r="A33" s="46">
        <v>44606</v>
      </c>
      <c r="B33" s="14">
        <v>387.58999599999999</v>
      </c>
      <c r="C33" s="14">
        <v>409.35998499999999</v>
      </c>
      <c r="D33" s="14">
        <v>386.89001500000001</v>
      </c>
      <c r="E33" s="14">
        <v>396.57000699999998</v>
      </c>
      <c r="F33" s="14">
        <v>396.57000699999998</v>
      </c>
      <c r="G33" s="14">
        <v>7202200</v>
      </c>
      <c r="H33" s="14">
        <f t="shared" si="0"/>
        <v>-6.5349242165428179E-4</v>
      </c>
    </row>
    <row r="34" spans="1:8" x14ac:dyDescent="0.25">
      <c r="A34" s="46">
        <v>44607</v>
      </c>
      <c r="B34" s="14">
        <v>403.790009</v>
      </c>
      <c r="C34" s="14">
        <v>409.16000400000001</v>
      </c>
      <c r="D34" s="14">
        <v>401.01001000000002</v>
      </c>
      <c r="E34" s="14">
        <v>407.459991</v>
      </c>
      <c r="F34" s="14">
        <v>407.459991</v>
      </c>
      <c r="G34" s="14">
        <v>5392300</v>
      </c>
      <c r="H34" s="14">
        <f t="shared" si="0"/>
        <v>3.6496147361156472E-2</v>
      </c>
    </row>
    <row r="35" spans="1:8" x14ac:dyDescent="0.25">
      <c r="A35" s="46">
        <v>44608</v>
      </c>
      <c r="B35" s="14">
        <v>401.52999899999998</v>
      </c>
      <c r="C35" s="14">
        <v>401.55999800000001</v>
      </c>
      <c r="D35" s="14">
        <v>390.38000499999998</v>
      </c>
      <c r="E35" s="14">
        <v>398.07998700000002</v>
      </c>
      <c r="F35" s="14">
        <v>398.07998700000002</v>
      </c>
      <c r="G35" s="14">
        <v>5277700</v>
      </c>
      <c r="H35" s="14">
        <f t="shared" si="0"/>
        <v>-2.6508078937979684E-2</v>
      </c>
    </row>
    <row r="36" spans="1:8" x14ac:dyDescent="0.25">
      <c r="A36" s="46">
        <v>44609</v>
      </c>
      <c r="B36" s="14">
        <v>394.23998999999998</v>
      </c>
      <c r="C36" s="14">
        <v>399.10998499999999</v>
      </c>
      <c r="D36" s="14">
        <v>385.70001200000002</v>
      </c>
      <c r="E36" s="14">
        <v>386.67001299999998</v>
      </c>
      <c r="F36" s="14">
        <v>386.67001299999998</v>
      </c>
      <c r="G36" s="14">
        <v>4669200</v>
      </c>
      <c r="H36" s="14">
        <f t="shared" si="0"/>
        <v>-1.198830098892989E-2</v>
      </c>
    </row>
    <row r="37" spans="1:8" x14ac:dyDescent="0.25">
      <c r="A37" s="46">
        <v>44610</v>
      </c>
      <c r="B37" s="14">
        <v>392.52999899999998</v>
      </c>
      <c r="C37" s="14">
        <v>402.86999500000002</v>
      </c>
      <c r="D37" s="14">
        <v>389.04998799999998</v>
      </c>
      <c r="E37" s="14">
        <v>391.290009</v>
      </c>
      <c r="F37" s="14">
        <v>391.290009</v>
      </c>
      <c r="G37" s="14">
        <v>6801700</v>
      </c>
      <c r="H37" s="14">
        <f t="shared" si="0"/>
        <v>8.6854443758741517E-3</v>
      </c>
    </row>
    <row r="38" spans="1:8" x14ac:dyDescent="0.25">
      <c r="A38" s="46">
        <v>44614</v>
      </c>
      <c r="B38" s="14">
        <v>388.95001200000002</v>
      </c>
      <c r="C38" s="14">
        <v>392.42001299999998</v>
      </c>
      <c r="D38" s="14">
        <v>373.01998900000001</v>
      </c>
      <c r="E38" s="14">
        <v>377.38000499999998</v>
      </c>
      <c r="F38" s="14">
        <v>377.38000499999998</v>
      </c>
      <c r="G38" s="14">
        <v>6697500</v>
      </c>
      <c r="H38" s="14">
        <f t="shared" si="0"/>
        <v>-1.0300732228784942E-2</v>
      </c>
    </row>
    <row r="39" spans="1:8" x14ac:dyDescent="0.25">
      <c r="A39" s="46">
        <v>44615</v>
      </c>
      <c r="B39" s="14">
        <v>382.72000100000002</v>
      </c>
      <c r="C39" s="14">
        <v>386</v>
      </c>
      <c r="D39" s="14">
        <v>366.66000400000001</v>
      </c>
      <c r="E39" s="14">
        <v>367.459991</v>
      </c>
      <c r="F39" s="14">
        <v>367.459991</v>
      </c>
      <c r="G39" s="14">
        <v>4614300</v>
      </c>
      <c r="H39" s="14">
        <f t="shared" si="0"/>
        <v>-1.704998441785921E-2</v>
      </c>
    </row>
    <row r="40" spans="1:8" x14ac:dyDescent="0.25">
      <c r="A40" s="46">
        <v>44616</v>
      </c>
      <c r="B40" s="14">
        <v>355.08999599999999</v>
      </c>
      <c r="C40" s="14">
        <v>390.73001099999999</v>
      </c>
      <c r="D40" s="14">
        <v>354.72000100000002</v>
      </c>
      <c r="E40" s="14">
        <v>390.02999899999998</v>
      </c>
      <c r="F40" s="14">
        <v>390.02999899999998</v>
      </c>
      <c r="G40" s="14">
        <v>7068700</v>
      </c>
      <c r="H40" s="14">
        <f t="shared" si="0"/>
        <v>-3.2564236267231372E-2</v>
      </c>
    </row>
    <row r="41" spans="1:8" x14ac:dyDescent="0.25">
      <c r="A41" s="46">
        <v>44617</v>
      </c>
      <c r="B41" s="14">
        <v>386.60998499999999</v>
      </c>
      <c r="C41" s="14">
        <v>391.290009</v>
      </c>
      <c r="D41" s="14">
        <v>375.57998700000002</v>
      </c>
      <c r="E41" s="14">
        <v>390.79998799999998</v>
      </c>
      <c r="F41" s="14">
        <v>390.79998799999998</v>
      </c>
      <c r="G41" s="14">
        <v>4841600</v>
      </c>
      <c r="H41" s="14">
        <f t="shared" si="0"/>
        <v>5.8806906690327843E-2</v>
      </c>
    </row>
    <row r="42" spans="1:8" x14ac:dyDescent="0.25">
      <c r="A42" s="46">
        <v>44620</v>
      </c>
      <c r="B42" s="14">
        <v>387.32998700000002</v>
      </c>
      <c r="C42" s="14">
        <v>397.75</v>
      </c>
      <c r="D42" s="14">
        <v>382.13000499999998</v>
      </c>
      <c r="E42" s="14">
        <v>394.51998900000001</v>
      </c>
      <c r="F42" s="14">
        <v>394.51998900000001</v>
      </c>
      <c r="G42" s="14">
        <v>5035000</v>
      </c>
      <c r="H42" s="14">
        <f t="shared" si="0"/>
        <v>5.8132472679736464E-3</v>
      </c>
    </row>
    <row r="43" spans="1:8" x14ac:dyDescent="0.25">
      <c r="A43" s="46">
        <v>44621</v>
      </c>
      <c r="B43" s="14">
        <v>391.60000600000001</v>
      </c>
      <c r="C43" s="14">
        <v>395</v>
      </c>
      <c r="D43" s="14">
        <v>383.709991</v>
      </c>
      <c r="E43" s="14">
        <v>386.23998999999998</v>
      </c>
      <c r="F43" s="14">
        <v>386.23998999999998</v>
      </c>
      <c r="G43" s="14">
        <v>3290400</v>
      </c>
      <c r="H43" s="14">
        <f t="shared" si="0"/>
        <v>4.1346818604313107E-3</v>
      </c>
    </row>
    <row r="44" spans="1:8" x14ac:dyDescent="0.25">
      <c r="A44" s="46">
        <v>44622</v>
      </c>
      <c r="B44" s="14">
        <v>388.92999300000002</v>
      </c>
      <c r="C44" s="14">
        <v>389.22000100000002</v>
      </c>
      <c r="D44" s="14">
        <v>375.209991</v>
      </c>
      <c r="E44" s="14">
        <v>380.02999899999998</v>
      </c>
      <c r="F44" s="14">
        <v>380.02999899999998</v>
      </c>
      <c r="G44" s="14">
        <v>5356800</v>
      </c>
      <c r="H44" s="14">
        <f t="shared" si="0"/>
        <v>-2.2152146671625239E-2</v>
      </c>
    </row>
    <row r="45" spans="1:8" x14ac:dyDescent="0.25">
      <c r="A45" s="46">
        <v>44623</v>
      </c>
      <c r="B45" s="14">
        <v>386</v>
      </c>
      <c r="C45" s="14">
        <v>386.11999500000002</v>
      </c>
      <c r="D45" s="14">
        <v>364.64999399999999</v>
      </c>
      <c r="E45" s="14">
        <v>368.07000699999998</v>
      </c>
      <c r="F45" s="14">
        <v>368.07000699999998</v>
      </c>
      <c r="G45" s="14">
        <v>6076800</v>
      </c>
      <c r="H45" s="14">
        <f t="shared" si="0"/>
        <v>-2.8144231905594452E-2</v>
      </c>
    </row>
    <row r="46" spans="1:8" x14ac:dyDescent="0.25">
      <c r="A46" s="46">
        <v>44624</v>
      </c>
      <c r="B46" s="14">
        <v>368</v>
      </c>
      <c r="C46" s="14">
        <v>374.82000699999998</v>
      </c>
      <c r="D46" s="14">
        <v>357.17001299999998</v>
      </c>
      <c r="E46" s="14">
        <v>361.73001099999999</v>
      </c>
      <c r="F46" s="14">
        <v>361.73001099999999</v>
      </c>
      <c r="G46" s="14">
        <v>5325500</v>
      </c>
      <c r="H46" s="14">
        <f t="shared" si="0"/>
        <v>-2.0512768745582388E-2</v>
      </c>
    </row>
    <row r="47" spans="1:8" x14ac:dyDescent="0.25">
      <c r="A47" s="46">
        <v>44627</v>
      </c>
      <c r="B47" s="14">
        <v>360.41000400000001</v>
      </c>
      <c r="C47" s="14">
        <v>362</v>
      </c>
      <c r="D47" s="14">
        <v>350.20001200000002</v>
      </c>
      <c r="E47" s="14">
        <v>350.26001000000002</v>
      </c>
      <c r="F47" s="14">
        <v>350.26001000000002</v>
      </c>
      <c r="G47" s="14">
        <v>5708400</v>
      </c>
      <c r="H47" s="14">
        <f t="shared" si="0"/>
        <v>-6.5048396620761562E-3</v>
      </c>
    </row>
    <row r="48" spans="1:8" x14ac:dyDescent="0.25">
      <c r="A48" s="46">
        <v>44628</v>
      </c>
      <c r="B48" s="14">
        <v>349.79998799999998</v>
      </c>
      <c r="C48" s="14">
        <v>358.85998499999999</v>
      </c>
      <c r="D48" s="14">
        <v>340.67001299999998</v>
      </c>
      <c r="E48" s="14">
        <v>341.76001000000002</v>
      </c>
      <c r="F48" s="14">
        <v>341.76001000000002</v>
      </c>
      <c r="G48" s="14">
        <v>6428700</v>
      </c>
      <c r="H48" s="14">
        <f t="shared" si="0"/>
        <v>-2.7213017342786472E-2</v>
      </c>
    </row>
    <row r="49" spans="1:8" x14ac:dyDescent="0.25">
      <c r="A49" s="46">
        <v>44629</v>
      </c>
      <c r="B49" s="14">
        <v>357.69000199999999</v>
      </c>
      <c r="C49" s="14">
        <v>364.14001500000001</v>
      </c>
      <c r="D49" s="14">
        <v>350.51001000000002</v>
      </c>
      <c r="E49" s="14">
        <v>358.790009</v>
      </c>
      <c r="F49" s="14">
        <v>358.790009</v>
      </c>
      <c r="G49" s="14">
        <v>6520200</v>
      </c>
      <c r="H49" s="14">
        <f t="shared" si="0"/>
        <v>2.8884247584186618E-2</v>
      </c>
    </row>
    <row r="50" spans="1:8" x14ac:dyDescent="0.25">
      <c r="A50" s="46">
        <v>44630</v>
      </c>
      <c r="B50" s="14">
        <v>356.20001200000002</v>
      </c>
      <c r="C50" s="14">
        <v>367.01998900000001</v>
      </c>
      <c r="D50" s="14">
        <v>353.29998799999998</v>
      </c>
      <c r="E50" s="14">
        <v>356.76998900000001</v>
      </c>
      <c r="F50" s="14">
        <v>356.76998900000001</v>
      </c>
      <c r="G50" s="14">
        <v>4807800</v>
      </c>
      <c r="H50" s="14">
        <f t="shared" si="0"/>
        <v>7.9597669692799133E-3</v>
      </c>
    </row>
    <row r="51" spans="1:8" x14ac:dyDescent="0.25">
      <c r="A51" s="46">
        <v>44631</v>
      </c>
      <c r="B51" s="14">
        <v>361.19000199999999</v>
      </c>
      <c r="C51" s="14">
        <v>363.35998499999999</v>
      </c>
      <c r="D51" s="14">
        <v>340</v>
      </c>
      <c r="E51" s="14">
        <v>340.32000699999998</v>
      </c>
      <c r="F51" s="14">
        <v>340.32000699999998</v>
      </c>
      <c r="G51" s="14">
        <v>4819900</v>
      </c>
      <c r="H51" s="14">
        <f t="shared" si="0"/>
        <v>-3.7645028167960115E-2</v>
      </c>
    </row>
    <row r="52" spans="1:8" x14ac:dyDescent="0.25">
      <c r="A52" s="46">
        <v>44634</v>
      </c>
      <c r="B52" s="14">
        <v>338.72000100000002</v>
      </c>
      <c r="C52" s="14">
        <v>341.32000699999998</v>
      </c>
      <c r="D52" s="14">
        <v>329.82000699999998</v>
      </c>
      <c r="E52" s="14">
        <v>331.01001000000002</v>
      </c>
      <c r="F52" s="14">
        <v>331.01001000000002</v>
      </c>
      <c r="G52" s="14">
        <v>5907800</v>
      </c>
      <c r="H52" s="14">
        <f t="shared" si="0"/>
        <v>-9.9803852941176743E-3</v>
      </c>
    </row>
    <row r="53" spans="1:8" x14ac:dyDescent="0.25">
      <c r="A53" s="46">
        <v>44635</v>
      </c>
      <c r="B53" s="14">
        <v>335.10000600000001</v>
      </c>
      <c r="C53" s="14">
        <v>345.35998499999999</v>
      </c>
      <c r="D53" s="14">
        <v>332.35998499999999</v>
      </c>
      <c r="E53" s="14">
        <v>343.75</v>
      </c>
      <c r="F53" s="14">
        <v>343.75</v>
      </c>
      <c r="G53" s="14">
        <v>5460600</v>
      </c>
      <c r="H53" s="14">
        <f t="shared" si="0"/>
        <v>7.701103468838344E-3</v>
      </c>
    </row>
    <row r="54" spans="1:8" x14ac:dyDescent="0.25">
      <c r="A54" s="46">
        <v>44636</v>
      </c>
      <c r="B54" s="14">
        <v>348.20001200000002</v>
      </c>
      <c r="C54" s="14">
        <v>359.98998999999998</v>
      </c>
      <c r="D54" s="14">
        <v>343.05999800000001</v>
      </c>
      <c r="E54" s="14">
        <v>357.52999899999998</v>
      </c>
      <c r="F54" s="14">
        <v>357.52999899999998</v>
      </c>
      <c r="G54" s="14">
        <v>6982500</v>
      </c>
      <c r="H54" s="14">
        <f t="shared" si="0"/>
        <v>3.2194047066165465E-2</v>
      </c>
    </row>
    <row r="55" spans="1:8" x14ac:dyDescent="0.25">
      <c r="A55" s="46">
        <v>44637</v>
      </c>
      <c r="B55" s="14">
        <v>359.70001200000002</v>
      </c>
      <c r="C55" s="14">
        <v>373.30999800000001</v>
      </c>
      <c r="D55" s="14">
        <v>354.88000499999998</v>
      </c>
      <c r="E55" s="14">
        <v>371.39999399999999</v>
      </c>
      <c r="F55" s="14">
        <v>371.39999399999999</v>
      </c>
      <c r="G55" s="14">
        <v>5818300</v>
      </c>
      <c r="H55" s="14">
        <f t="shared" si="0"/>
        <v>3.4454634958634767E-2</v>
      </c>
    </row>
    <row r="56" spans="1:8" x14ac:dyDescent="0.25">
      <c r="A56" s="46">
        <v>44638</v>
      </c>
      <c r="B56" s="14">
        <v>372</v>
      </c>
      <c r="C56" s="14">
        <v>381.79998799999998</v>
      </c>
      <c r="D56" s="14">
        <v>368.47000100000002</v>
      </c>
      <c r="E56" s="14">
        <v>380.60000600000001</v>
      </c>
      <c r="F56" s="14">
        <v>380.60000600000001</v>
      </c>
      <c r="G56" s="14">
        <v>8324800</v>
      </c>
      <c r="H56" s="14">
        <f t="shared" si="0"/>
        <v>3.8294622995172833E-2</v>
      </c>
    </row>
    <row r="57" spans="1:8" x14ac:dyDescent="0.25">
      <c r="A57" s="46">
        <v>44641</v>
      </c>
      <c r="B57" s="14">
        <v>378.01998900000001</v>
      </c>
      <c r="C57" s="14">
        <v>381.82000699999998</v>
      </c>
      <c r="D57" s="14">
        <v>368.94000199999999</v>
      </c>
      <c r="E57" s="14">
        <v>374.58999599999999</v>
      </c>
      <c r="F57" s="14">
        <v>374.58999599999999</v>
      </c>
      <c r="G57" s="14">
        <v>4866500</v>
      </c>
      <c r="H57" s="14">
        <f t="shared" si="0"/>
        <v>4.2518251031239035E-4</v>
      </c>
    </row>
    <row r="58" spans="1:8" x14ac:dyDescent="0.25">
      <c r="A58" s="46">
        <v>44642</v>
      </c>
      <c r="B58" s="14">
        <v>371.14001500000001</v>
      </c>
      <c r="C58" s="14">
        <v>386.66000400000001</v>
      </c>
      <c r="D58" s="14">
        <v>366.76001000000002</v>
      </c>
      <c r="E58" s="14">
        <v>382.92001299999998</v>
      </c>
      <c r="F58" s="14">
        <v>382.92001299999998</v>
      </c>
      <c r="G58" s="14">
        <v>4242800</v>
      </c>
      <c r="H58" s="14">
        <f t="shared" si="0"/>
        <v>-5.9087981465343331E-3</v>
      </c>
    </row>
    <row r="59" spans="1:8" x14ac:dyDescent="0.25">
      <c r="A59" s="46">
        <v>44643</v>
      </c>
      <c r="B59" s="14">
        <v>379.76998900000001</v>
      </c>
      <c r="C59" s="14">
        <v>382.459991</v>
      </c>
      <c r="D59" s="14">
        <v>374.48998999999998</v>
      </c>
      <c r="E59" s="14">
        <v>374.48998999999998</v>
      </c>
      <c r="F59" s="14">
        <v>374.48998999999998</v>
      </c>
      <c r="G59" s="14">
        <v>3729000</v>
      </c>
      <c r="H59" s="14">
        <f t="shared" si="0"/>
        <v>2.1076398160202681E-2</v>
      </c>
    </row>
    <row r="60" spans="1:8" x14ac:dyDescent="0.25">
      <c r="A60" s="46">
        <v>44644</v>
      </c>
      <c r="B60" s="14">
        <v>379.76001000000002</v>
      </c>
      <c r="C60" s="14">
        <v>379.76001000000002</v>
      </c>
      <c r="D60" s="14">
        <v>368.89999399999999</v>
      </c>
      <c r="E60" s="14">
        <v>375.709991</v>
      </c>
      <c r="F60" s="14">
        <v>375.709991</v>
      </c>
      <c r="G60" s="14">
        <v>3888500</v>
      </c>
      <c r="H60" s="14">
        <f t="shared" si="0"/>
        <v>-1.4926957059653301E-2</v>
      </c>
    </row>
    <row r="61" spans="1:8" x14ac:dyDescent="0.25">
      <c r="A61" s="46">
        <v>44645</v>
      </c>
      <c r="B61" s="14">
        <v>377.07000699999998</v>
      </c>
      <c r="C61" s="14">
        <v>377.64001500000001</v>
      </c>
      <c r="D61" s="14">
        <v>366.42999300000002</v>
      </c>
      <c r="E61" s="14">
        <v>373.85000600000001</v>
      </c>
      <c r="F61" s="14">
        <v>373.85000600000001</v>
      </c>
      <c r="G61" s="14">
        <v>3574500</v>
      </c>
      <c r="H61" s="14">
        <f t="shared" si="0"/>
        <v>-6.6955842780522801E-3</v>
      </c>
    </row>
    <row r="62" spans="1:8" x14ac:dyDescent="0.25">
      <c r="A62" s="46">
        <v>44648</v>
      </c>
      <c r="B62" s="14">
        <v>375.23001099999999</v>
      </c>
      <c r="C62" s="14">
        <v>380.27999899999998</v>
      </c>
      <c r="D62" s="14">
        <v>366.73001099999999</v>
      </c>
      <c r="E62" s="14">
        <v>378.51001000000002</v>
      </c>
      <c r="F62" s="14">
        <v>378.51001000000002</v>
      </c>
      <c r="G62" s="14">
        <v>4323400</v>
      </c>
      <c r="H62" s="14">
        <f t="shared" si="0"/>
        <v>2.7291979889865203E-4</v>
      </c>
    </row>
    <row r="63" spans="1:8" x14ac:dyDescent="0.25">
      <c r="A63" s="46">
        <v>44649</v>
      </c>
      <c r="B63" s="14">
        <v>384.39001500000001</v>
      </c>
      <c r="C63" s="14">
        <v>396.5</v>
      </c>
      <c r="D63" s="14">
        <v>380.32998700000002</v>
      </c>
      <c r="E63" s="14">
        <v>391.82000699999998</v>
      </c>
      <c r="F63" s="14">
        <v>391.82000699999998</v>
      </c>
      <c r="G63" s="14">
        <v>5880700</v>
      </c>
      <c r="H63" s="14">
        <f t="shared" si="0"/>
        <v>3.7084437030161732E-2</v>
      </c>
    </row>
    <row r="64" spans="1:8" x14ac:dyDescent="0.25">
      <c r="A64" s="46">
        <v>44650</v>
      </c>
      <c r="B64" s="14">
        <v>389.54998799999998</v>
      </c>
      <c r="C64" s="14">
        <v>392.70001200000002</v>
      </c>
      <c r="D64" s="14">
        <v>378.63000499999998</v>
      </c>
      <c r="E64" s="14">
        <v>381.47000100000002</v>
      </c>
      <c r="F64" s="14">
        <v>381.47000100000002</v>
      </c>
      <c r="G64" s="14">
        <v>4023300</v>
      </c>
      <c r="H64" s="14">
        <f t="shared" si="0"/>
        <v>-4.4697553653586519E-3</v>
      </c>
    </row>
    <row r="65" spans="1:8" x14ac:dyDescent="0.25">
      <c r="A65" s="46">
        <v>44651</v>
      </c>
      <c r="B65" s="14">
        <v>383.58999599999999</v>
      </c>
      <c r="C65" s="14">
        <v>384</v>
      </c>
      <c r="D65" s="14">
        <v>373.60998499999999</v>
      </c>
      <c r="E65" s="14">
        <v>374.58999599999999</v>
      </c>
      <c r="F65" s="14">
        <v>374.58999599999999</v>
      </c>
      <c r="G65" s="14">
        <v>4134700</v>
      </c>
      <c r="H65" s="14">
        <f t="shared" si="0"/>
        <v>-1.3258378717238672E-2</v>
      </c>
    </row>
    <row r="66" spans="1:8" x14ac:dyDescent="0.25">
      <c r="A66" s="46">
        <v>44652</v>
      </c>
      <c r="B66" s="14">
        <v>376.79998799999998</v>
      </c>
      <c r="C66" s="14">
        <v>380.86999500000002</v>
      </c>
      <c r="D66" s="14">
        <v>368.5</v>
      </c>
      <c r="E66" s="14">
        <v>373.47000100000002</v>
      </c>
      <c r="F66" s="14">
        <v>373.47000100000002</v>
      </c>
      <c r="G66" s="14">
        <v>4644200</v>
      </c>
      <c r="H66" s="14">
        <f t="shared" si="0"/>
        <v>-1.3677324496560228E-2</v>
      </c>
    </row>
    <row r="67" spans="1:8" x14ac:dyDescent="0.25">
      <c r="A67" s="46">
        <v>44655</v>
      </c>
      <c r="B67" s="14">
        <v>373.54998799999998</v>
      </c>
      <c r="C67" s="14">
        <v>396.01998900000001</v>
      </c>
      <c r="D67" s="14">
        <v>373.13000499999998</v>
      </c>
      <c r="E67" s="14">
        <v>391.5</v>
      </c>
      <c r="F67" s="14">
        <v>391.5</v>
      </c>
      <c r="G67" s="14">
        <v>7001800</v>
      </c>
      <c r="H67" s="14">
        <f t="shared" si="0"/>
        <v>4.1881546811397552E-3</v>
      </c>
    </row>
    <row r="68" spans="1:8" x14ac:dyDescent="0.25">
      <c r="A68" s="46">
        <v>44656</v>
      </c>
      <c r="B68" s="14">
        <v>389.29998799999998</v>
      </c>
      <c r="C68" s="14">
        <v>390</v>
      </c>
      <c r="D68" s="14">
        <v>377.30999800000001</v>
      </c>
      <c r="E68" s="14">
        <v>380.14999399999999</v>
      </c>
      <c r="F68" s="14">
        <v>380.14999399999999</v>
      </c>
      <c r="G68" s="14">
        <v>4234500</v>
      </c>
      <c r="H68" s="14">
        <f t="shared" ref="H68:H131" si="1">(D68/D67-1)/(A68-A67)</f>
        <v>1.1202511039014373E-2</v>
      </c>
    </row>
    <row r="69" spans="1:8" x14ac:dyDescent="0.25">
      <c r="A69" s="46">
        <v>44657</v>
      </c>
      <c r="B69" s="14">
        <v>374.14999399999999</v>
      </c>
      <c r="C69" s="14">
        <v>376.47000100000002</v>
      </c>
      <c r="D69" s="14">
        <v>362.73001099999999</v>
      </c>
      <c r="E69" s="14">
        <v>368.35000600000001</v>
      </c>
      <c r="F69" s="14">
        <v>368.35000600000001</v>
      </c>
      <c r="G69" s="14">
        <v>4354900</v>
      </c>
      <c r="H69" s="14">
        <f t="shared" si="1"/>
        <v>-3.8641931242966998E-2</v>
      </c>
    </row>
    <row r="70" spans="1:8" x14ac:dyDescent="0.25">
      <c r="A70" s="46">
        <v>44658</v>
      </c>
      <c r="B70" s="14">
        <v>365</v>
      </c>
      <c r="C70" s="14">
        <v>368.540009</v>
      </c>
      <c r="D70" s="14">
        <v>353.69000199999999</v>
      </c>
      <c r="E70" s="14">
        <v>362.14999399999999</v>
      </c>
      <c r="F70" s="14">
        <v>362.14999399999999</v>
      </c>
      <c r="G70" s="14">
        <v>4948900</v>
      </c>
      <c r="H70" s="14">
        <f t="shared" si="1"/>
        <v>-2.4922142436127226E-2</v>
      </c>
    </row>
    <row r="71" spans="1:8" x14ac:dyDescent="0.25">
      <c r="A71" s="46">
        <v>44659</v>
      </c>
      <c r="B71" s="14">
        <v>361.959991</v>
      </c>
      <c r="C71" s="14">
        <v>362.5</v>
      </c>
      <c r="D71" s="14">
        <v>354.86999500000002</v>
      </c>
      <c r="E71" s="14">
        <v>355.88000499999998</v>
      </c>
      <c r="F71" s="14">
        <v>355.88000499999998</v>
      </c>
      <c r="G71" s="14">
        <v>4025200</v>
      </c>
      <c r="H71" s="14">
        <f t="shared" si="1"/>
        <v>3.3362351022860892E-3</v>
      </c>
    </row>
    <row r="72" spans="1:8" x14ac:dyDescent="0.25">
      <c r="A72" s="46">
        <v>44662</v>
      </c>
      <c r="B72" s="14">
        <v>350</v>
      </c>
      <c r="C72" s="14">
        <v>354.77999899999998</v>
      </c>
      <c r="D72" s="14">
        <v>345.20001200000002</v>
      </c>
      <c r="E72" s="14">
        <v>348</v>
      </c>
      <c r="F72" s="14">
        <v>348</v>
      </c>
      <c r="G72" s="14">
        <v>3777100</v>
      </c>
      <c r="H72" s="14">
        <f t="shared" si="1"/>
        <v>-9.0831225859674767E-3</v>
      </c>
    </row>
    <row r="73" spans="1:8" x14ac:dyDescent="0.25">
      <c r="A73" s="46">
        <v>44663</v>
      </c>
      <c r="B73" s="14">
        <v>355.91000400000001</v>
      </c>
      <c r="C73" s="14">
        <v>359.41000400000001</v>
      </c>
      <c r="D73" s="14">
        <v>342.25</v>
      </c>
      <c r="E73" s="14">
        <v>344.10000600000001</v>
      </c>
      <c r="F73" s="14">
        <v>344.10000600000001</v>
      </c>
      <c r="G73" s="14">
        <v>3824300</v>
      </c>
      <c r="H73" s="14">
        <f t="shared" si="1"/>
        <v>-8.5458050331701507E-3</v>
      </c>
    </row>
    <row r="74" spans="1:8" x14ac:dyDescent="0.25">
      <c r="A74" s="46">
        <v>44664</v>
      </c>
      <c r="B74" s="14">
        <v>343.92001299999998</v>
      </c>
      <c r="C74" s="14">
        <v>352</v>
      </c>
      <c r="D74" s="14">
        <v>341.16000400000001</v>
      </c>
      <c r="E74" s="14">
        <v>350.42999300000002</v>
      </c>
      <c r="F74" s="14">
        <v>350.42999300000002</v>
      </c>
      <c r="G74" s="14">
        <v>3231000</v>
      </c>
      <c r="H74" s="14">
        <f t="shared" si="1"/>
        <v>-3.1847947406865584E-3</v>
      </c>
    </row>
    <row r="75" spans="1:8" x14ac:dyDescent="0.25">
      <c r="A75" s="46">
        <v>44665</v>
      </c>
      <c r="B75" s="14">
        <v>350.95001200000002</v>
      </c>
      <c r="C75" s="14">
        <v>352</v>
      </c>
      <c r="D75" s="14">
        <v>339.85998499999999</v>
      </c>
      <c r="E75" s="14">
        <v>341.13000499999998</v>
      </c>
      <c r="F75" s="14">
        <v>341.13000499999998</v>
      </c>
      <c r="G75" s="14">
        <v>4343800</v>
      </c>
      <c r="H75" s="14">
        <f t="shared" si="1"/>
        <v>-3.8105844318140347E-3</v>
      </c>
    </row>
    <row r="76" spans="1:8" x14ac:dyDescent="0.25">
      <c r="A76" s="46">
        <v>44669</v>
      </c>
      <c r="B76" s="14">
        <v>340</v>
      </c>
      <c r="C76" s="14">
        <v>342.35998499999999</v>
      </c>
      <c r="D76" s="14">
        <v>331.61999500000002</v>
      </c>
      <c r="E76" s="14">
        <v>337.85998499999999</v>
      </c>
      <c r="F76" s="14">
        <v>337.85998499999999</v>
      </c>
      <c r="G76" s="14">
        <v>5105000</v>
      </c>
      <c r="H76" s="14">
        <f t="shared" si="1"/>
        <v>-6.0613122783489681E-3</v>
      </c>
    </row>
    <row r="77" spans="1:8" x14ac:dyDescent="0.25">
      <c r="A77" s="46">
        <v>44670</v>
      </c>
      <c r="B77" s="14">
        <v>333.22000100000002</v>
      </c>
      <c r="C77" s="14">
        <v>351.67999300000002</v>
      </c>
      <c r="D77" s="14">
        <v>333.22000100000002</v>
      </c>
      <c r="E77" s="14">
        <v>348.60998499999999</v>
      </c>
      <c r="F77" s="14">
        <v>348.60998499999999</v>
      </c>
      <c r="G77" s="14">
        <v>20906900</v>
      </c>
      <c r="H77" s="14">
        <f t="shared" si="1"/>
        <v>4.8248176350162986E-3</v>
      </c>
    </row>
    <row r="78" spans="1:8" x14ac:dyDescent="0.25">
      <c r="A78" s="46">
        <v>44671</v>
      </c>
      <c r="B78" s="14">
        <v>245.199997</v>
      </c>
      <c r="C78" s="14">
        <v>248.699997</v>
      </c>
      <c r="D78" s="14">
        <v>212.509995</v>
      </c>
      <c r="E78" s="14">
        <v>226.19000199999999</v>
      </c>
      <c r="F78" s="14">
        <v>226.19000199999999</v>
      </c>
      <c r="G78" s="14">
        <v>133387500</v>
      </c>
      <c r="H78" s="14">
        <f t="shared" si="1"/>
        <v>-0.36225318299545894</v>
      </c>
    </row>
    <row r="79" spans="1:8" x14ac:dyDescent="0.25">
      <c r="A79" s="46">
        <v>44672</v>
      </c>
      <c r="B79" s="14">
        <v>220</v>
      </c>
      <c r="C79" s="14">
        <v>227.679993</v>
      </c>
      <c r="D79" s="14">
        <v>211.520004</v>
      </c>
      <c r="E79" s="14">
        <v>218.220001</v>
      </c>
      <c r="F79" s="14">
        <v>218.220001</v>
      </c>
      <c r="G79" s="14">
        <v>53501600</v>
      </c>
      <c r="H79" s="14">
        <f t="shared" si="1"/>
        <v>-4.6585620596339972E-3</v>
      </c>
    </row>
    <row r="80" spans="1:8" x14ac:dyDescent="0.25">
      <c r="A80" s="46">
        <v>44673</v>
      </c>
      <c r="B80" s="14">
        <v>220.179993</v>
      </c>
      <c r="C80" s="14">
        <v>226.270004</v>
      </c>
      <c r="D80" s="14">
        <v>210.050003</v>
      </c>
      <c r="E80" s="14">
        <v>215.520004</v>
      </c>
      <c r="F80" s="14">
        <v>215.520004</v>
      </c>
      <c r="G80" s="14">
        <v>37515100</v>
      </c>
      <c r="H80" s="14">
        <f t="shared" si="1"/>
        <v>-6.9497020244004837E-3</v>
      </c>
    </row>
    <row r="81" spans="1:8" x14ac:dyDescent="0.25">
      <c r="A81" s="46">
        <v>44676</v>
      </c>
      <c r="B81" s="14">
        <v>213.80999800000001</v>
      </c>
      <c r="C81" s="14">
        <v>216.66000399999999</v>
      </c>
      <c r="D81" s="14">
        <v>204.509995</v>
      </c>
      <c r="E81" s="14">
        <v>209.91000399999999</v>
      </c>
      <c r="F81" s="14">
        <v>209.91000399999999</v>
      </c>
      <c r="G81" s="14">
        <v>28152000</v>
      </c>
      <c r="H81" s="14">
        <f t="shared" si="1"/>
        <v>-8.791570135485002E-3</v>
      </c>
    </row>
    <row r="82" spans="1:8" x14ac:dyDescent="0.25">
      <c r="A82" s="46">
        <v>44677</v>
      </c>
      <c r="B82" s="14">
        <v>208.800003</v>
      </c>
      <c r="C82" s="14">
        <v>209.14999399999999</v>
      </c>
      <c r="D82" s="14">
        <v>198.279999</v>
      </c>
      <c r="E82" s="14">
        <v>198.39999399999999</v>
      </c>
      <c r="F82" s="14">
        <v>198.39999399999999</v>
      </c>
      <c r="G82" s="14">
        <v>20318100</v>
      </c>
      <c r="H82" s="14">
        <f t="shared" si="1"/>
        <v>-3.0463039227006994E-2</v>
      </c>
    </row>
    <row r="83" spans="1:8" x14ac:dyDescent="0.25">
      <c r="A83" s="46">
        <v>44678</v>
      </c>
      <c r="B83" s="14">
        <v>194.009995</v>
      </c>
      <c r="C83" s="14">
        <v>200.19000199999999</v>
      </c>
      <c r="D83" s="14">
        <v>187.770004</v>
      </c>
      <c r="E83" s="14">
        <v>188.53999300000001</v>
      </c>
      <c r="F83" s="14">
        <v>188.53999300000001</v>
      </c>
      <c r="G83" s="14">
        <v>22298400</v>
      </c>
      <c r="H83" s="14">
        <f t="shared" si="1"/>
        <v>-5.3005825363152237E-2</v>
      </c>
    </row>
    <row r="84" spans="1:8" x14ac:dyDescent="0.25">
      <c r="A84" s="46">
        <v>44679</v>
      </c>
      <c r="B84" s="14">
        <v>191.55999800000001</v>
      </c>
      <c r="C84" s="14">
        <v>201.479996</v>
      </c>
      <c r="D84" s="14">
        <v>185.60000600000001</v>
      </c>
      <c r="E84" s="14">
        <v>199.520004</v>
      </c>
      <c r="F84" s="14">
        <v>199.520004</v>
      </c>
      <c r="G84" s="14">
        <v>21363200</v>
      </c>
      <c r="H84" s="14">
        <f t="shared" si="1"/>
        <v>-1.1556680799772456E-2</v>
      </c>
    </row>
    <row r="85" spans="1:8" x14ac:dyDescent="0.25">
      <c r="A85" s="46">
        <v>44680</v>
      </c>
      <c r="B85" s="14">
        <v>198.679993</v>
      </c>
      <c r="C85" s="14">
        <v>204.71000699999999</v>
      </c>
      <c r="D85" s="14">
        <v>190</v>
      </c>
      <c r="E85" s="14">
        <v>190.36000100000001</v>
      </c>
      <c r="F85" s="14">
        <v>190.36000100000001</v>
      </c>
      <c r="G85" s="14">
        <v>16391900</v>
      </c>
      <c r="H85" s="14">
        <f t="shared" si="1"/>
        <v>2.3706863457752192E-2</v>
      </c>
    </row>
    <row r="86" spans="1:8" x14ac:dyDescent="0.25">
      <c r="A86" s="46">
        <v>44683</v>
      </c>
      <c r="B86" s="14">
        <v>191.71000699999999</v>
      </c>
      <c r="C86" s="14">
        <v>200.21000699999999</v>
      </c>
      <c r="D86" s="14">
        <v>190.009995</v>
      </c>
      <c r="E86" s="14">
        <v>199.46000699999999</v>
      </c>
      <c r="F86" s="14">
        <v>199.46000699999999</v>
      </c>
      <c r="G86" s="14">
        <v>14591600</v>
      </c>
      <c r="H86" s="14">
        <f t="shared" si="1"/>
        <v>1.7535087719326253E-5</v>
      </c>
    </row>
    <row r="87" spans="1:8" x14ac:dyDescent="0.25">
      <c r="A87" s="46">
        <v>44684</v>
      </c>
      <c r="B87" s="14">
        <v>198.28999300000001</v>
      </c>
      <c r="C87" s="14">
        <v>203.199997</v>
      </c>
      <c r="D87" s="14">
        <v>194.770004</v>
      </c>
      <c r="E87" s="14">
        <v>199.86999499999999</v>
      </c>
      <c r="F87" s="14">
        <v>199.86999499999999</v>
      </c>
      <c r="G87" s="14">
        <v>11839400</v>
      </c>
      <c r="H87" s="14">
        <f t="shared" si="1"/>
        <v>2.5051361113924475E-2</v>
      </c>
    </row>
    <row r="88" spans="1:8" x14ac:dyDescent="0.25">
      <c r="A88" s="46">
        <v>44685</v>
      </c>
      <c r="B88" s="14">
        <v>197.64999399999999</v>
      </c>
      <c r="C88" s="14">
        <v>204.38000500000001</v>
      </c>
      <c r="D88" s="14">
        <v>191.009995</v>
      </c>
      <c r="E88" s="14">
        <v>204.009995</v>
      </c>
      <c r="F88" s="14">
        <v>204.009995</v>
      </c>
      <c r="G88" s="14">
        <v>12218800</v>
      </c>
      <c r="H88" s="14">
        <f t="shared" si="1"/>
        <v>-1.9304866882890237E-2</v>
      </c>
    </row>
    <row r="89" spans="1:8" x14ac:dyDescent="0.25">
      <c r="A89" s="46">
        <v>44686</v>
      </c>
      <c r="B89" s="14">
        <v>200.449997</v>
      </c>
      <c r="C89" s="14">
        <v>200.71000699999999</v>
      </c>
      <c r="D89" s="14">
        <v>186</v>
      </c>
      <c r="E89" s="14">
        <v>188.320007</v>
      </c>
      <c r="F89" s="14">
        <v>188.320007</v>
      </c>
      <c r="G89" s="14">
        <v>13971300</v>
      </c>
      <c r="H89" s="14">
        <f t="shared" si="1"/>
        <v>-2.6228967756373178E-2</v>
      </c>
    </row>
    <row r="90" spans="1:8" x14ac:dyDescent="0.25">
      <c r="A90" s="46">
        <v>44687</v>
      </c>
      <c r="B90" s="14">
        <v>186.75</v>
      </c>
      <c r="C90" s="14">
        <v>187.21000699999999</v>
      </c>
      <c r="D90" s="14">
        <v>175.80999800000001</v>
      </c>
      <c r="E90" s="14">
        <v>180.970001</v>
      </c>
      <c r="F90" s="14">
        <v>180.970001</v>
      </c>
      <c r="G90" s="14">
        <v>17185500</v>
      </c>
      <c r="H90" s="14">
        <f t="shared" si="1"/>
        <v>-5.4784956989247235E-2</v>
      </c>
    </row>
    <row r="91" spans="1:8" x14ac:dyDescent="0.25">
      <c r="A91" s="46">
        <v>44690</v>
      </c>
      <c r="B91" s="14">
        <v>177.66000399999999</v>
      </c>
      <c r="C91" s="14">
        <v>183.199997</v>
      </c>
      <c r="D91" s="14">
        <v>172.300003</v>
      </c>
      <c r="E91" s="14">
        <v>173.10000600000001</v>
      </c>
      <c r="F91" s="14">
        <v>173.10000600000001</v>
      </c>
      <c r="G91" s="14">
        <v>14031300</v>
      </c>
      <c r="H91" s="14">
        <f t="shared" si="1"/>
        <v>-6.6549021480185227E-3</v>
      </c>
    </row>
    <row r="92" spans="1:8" x14ac:dyDescent="0.25">
      <c r="A92" s="46">
        <v>44691</v>
      </c>
      <c r="B92" s="14">
        <v>176.009995</v>
      </c>
      <c r="C92" s="14">
        <v>181.86999499999999</v>
      </c>
      <c r="D92" s="14">
        <v>170.570007</v>
      </c>
      <c r="E92" s="14">
        <v>177.66000399999999</v>
      </c>
      <c r="F92" s="14">
        <v>177.66000399999999</v>
      </c>
      <c r="G92" s="14">
        <v>13883900</v>
      </c>
      <c r="H92" s="14">
        <f t="shared" si="1"/>
        <v>-1.0040603423553063E-2</v>
      </c>
    </row>
    <row r="93" spans="1:8" x14ac:dyDescent="0.25">
      <c r="A93" s="46">
        <v>44692</v>
      </c>
      <c r="B93" s="14">
        <v>176.08999600000001</v>
      </c>
      <c r="C93" s="14">
        <v>180.91999799999999</v>
      </c>
      <c r="D93" s="14">
        <v>165.550003</v>
      </c>
      <c r="E93" s="14">
        <v>166.36999499999999</v>
      </c>
      <c r="F93" s="14">
        <v>166.36999499999999</v>
      </c>
      <c r="G93" s="14">
        <v>12665500</v>
      </c>
      <c r="H93" s="14">
        <f t="shared" si="1"/>
        <v>-2.9430754493666611E-2</v>
      </c>
    </row>
    <row r="94" spans="1:8" x14ac:dyDescent="0.25">
      <c r="A94" s="46">
        <v>44693</v>
      </c>
      <c r="B94" s="14">
        <v>163.96000699999999</v>
      </c>
      <c r="C94" s="14">
        <v>177.58000200000001</v>
      </c>
      <c r="D94" s="14">
        <v>162.71000699999999</v>
      </c>
      <c r="E94" s="14">
        <v>174.30999800000001</v>
      </c>
      <c r="F94" s="14">
        <v>174.30999800000001</v>
      </c>
      <c r="G94" s="14">
        <v>17662100</v>
      </c>
      <c r="H94" s="14">
        <f t="shared" si="1"/>
        <v>-1.7154913612414835E-2</v>
      </c>
    </row>
    <row r="95" spans="1:8" x14ac:dyDescent="0.25">
      <c r="A95" s="46">
        <v>44694</v>
      </c>
      <c r="B95" s="14">
        <v>177.16000399999999</v>
      </c>
      <c r="C95" s="14">
        <v>187.770004</v>
      </c>
      <c r="D95" s="14">
        <v>176.009995</v>
      </c>
      <c r="E95" s="14">
        <v>187.63999899999999</v>
      </c>
      <c r="F95" s="14">
        <v>187.63999899999999</v>
      </c>
      <c r="G95" s="14">
        <v>13136300</v>
      </c>
      <c r="H95" s="14">
        <f t="shared" si="1"/>
        <v>8.1740442676030423E-2</v>
      </c>
    </row>
    <row r="96" spans="1:8" x14ac:dyDescent="0.25">
      <c r="A96" s="46">
        <v>44697</v>
      </c>
      <c r="B96" s="14">
        <v>193.300003</v>
      </c>
      <c r="C96" s="14">
        <v>195.88999899999999</v>
      </c>
      <c r="D96" s="14">
        <v>185.699997</v>
      </c>
      <c r="E96" s="14">
        <v>186.509995</v>
      </c>
      <c r="F96" s="14">
        <v>186.509995</v>
      </c>
      <c r="G96" s="14">
        <v>16145000</v>
      </c>
      <c r="H96" s="14">
        <f t="shared" si="1"/>
        <v>1.8351234352723383E-2</v>
      </c>
    </row>
    <row r="97" spans="1:8" x14ac:dyDescent="0.25">
      <c r="A97" s="46">
        <v>44698</v>
      </c>
      <c r="B97" s="14">
        <v>189.16999799999999</v>
      </c>
      <c r="C97" s="14">
        <v>191.39999399999999</v>
      </c>
      <c r="D97" s="14">
        <v>185.16999799999999</v>
      </c>
      <c r="E97" s="14">
        <v>190.55999800000001</v>
      </c>
      <c r="F97" s="14">
        <v>190.55999800000001</v>
      </c>
      <c r="G97" s="14">
        <v>9876700</v>
      </c>
      <c r="H97" s="14">
        <f t="shared" si="1"/>
        <v>-2.8540603584393809E-3</v>
      </c>
    </row>
    <row r="98" spans="1:8" x14ac:dyDescent="0.25">
      <c r="A98" s="46">
        <v>44699</v>
      </c>
      <c r="B98" s="14">
        <v>186.720001</v>
      </c>
      <c r="C98" s="14">
        <v>187.699997</v>
      </c>
      <c r="D98" s="14">
        <v>176.270004</v>
      </c>
      <c r="E98" s="14">
        <v>177.19000199999999</v>
      </c>
      <c r="F98" s="14">
        <v>177.19000199999999</v>
      </c>
      <c r="G98" s="14">
        <v>9665600</v>
      </c>
      <c r="H98" s="14">
        <f t="shared" si="1"/>
        <v>-4.8063909359657653E-2</v>
      </c>
    </row>
    <row r="99" spans="1:8" x14ac:dyDescent="0.25">
      <c r="A99" s="46">
        <v>44700</v>
      </c>
      <c r="B99" s="14">
        <v>178.050003</v>
      </c>
      <c r="C99" s="14">
        <v>186.300003</v>
      </c>
      <c r="D99" s="14">
        <v>175.71000699999999</v>
      </c>
      <c r="E99" s="14">
        <v>183.479996</v>
      </c>
      <c r="F99" s="14">
        <v>183.479996</v>
      </c>
      <c r="G99" s="14">
        <v>10448500</v>
      </c>
      <c r="H99" s="14">
        <f t="shared" si="1"/>
        <v>-3.1769273687655142E-3</v>
      </c>
    </row>
    <row r="100" spans="1:8" x14ac:dyDescent="0.25">
      <c r="A100" s="46">
        <v>44701</v>
      </c>
      <c r="B100" s="14">
        <v>185.86999499999999</v>
      </c>
      <c r="C100" s="14">
        <v>190.19000199999999</v>
      </c>
      <c r="D100" s="14">
        <v>179.770004</v>
      </c>
      <c r="E100" s="14">
        <v>186.35000600000001</v>
      </c>
      <c r="F100" s="14">
        <v>186.35000600000001</v>
      </c>
      <c r="G100" s="14">
        <v>10429400</v>
      </c>
      <c r="H100" s="14">
        <f t="shared" si="1"/>
        <v>2.3106236629994559E-2</v>
      </c>
    </row>
    <row r="101" spans="1:8" x14ac:dyDescent="0.25">
      <c r="A101" s="46">
        <v>44704</v>
      </c>
      <c r="B101" s="14">
        <v>186.14999399999999</v>
      </c>
      <c r="C101" s="14">
        <v>187.66000399999999</v>
      </c>
      <c r="D101" s="14">
        <v>177.88999899999999</v>
      </c>
      <c r="E101" s="14">
        <v>187.44000199999999</v>
      </c>
      <c r="F101" s="14">
        <v>187.44000199999999</v>
      </c>
      <c r="G101" s="14">
        <v>9602000</v>
      </c>
      <c r="H101" s="14">
        <f t="shared" si="1"/>
        <v>-3.4859449262366247E-3</v>
      </c>
    </row>
    <row r="102" spans="1:8" x14ac:dyDescent="0.25">
      <c r="A102" s="46">
        <v>44705</v>
      </c>
      <c r="B102" s="14">
        <v>182</v>
      </c>
      <c r="C102" s="14">
        <v>184</v>
      </c>
      <c r="D102" s="14">
        <v>177.16999799999999</v>
      </c>
      <c r="E102" s="14">
        <v>180.33999600000001</v>
      </c>
      <c r="F102" s="14">
        <v>180.33999600000001</v>
      </c>
      <c r="G102" s="14">
        <v>7706400</v>
      </c>
      <c r="H102" s="14">
        <f t="shared" si="1"/>
        <v>-4.0474506945159527E-3</v>
      </c>
    </row>
    <row r="103" spans="1:8" x14ac:dyDescent="0.25">
      <c r="A103" s="46">
        <v>44706</v>
      </c>
      <c r="B103" s="14">
        <v>180.279999</v>
      </c>
      <c r="C103" s="14">
        <v>188.86999499999999</v>
      </c>
      <c r="D103" s="14">
        <v>180.16999799999999</v>
      </c>
      <c r="E103" s="14">
        <v>187.83000200000001</v>
      </c>
      <c r="F103" s="14">
        <v>187.83000200000001</v>
      </c>
      <c r="G103" s="14">
        <v>8522100</v>
      </c>
      <c r="H103" s="14">
        <f t="shared" si="1"/>
        <v>1.6932889506495297E-2</v>
      </c>
    </row>
    <row r="104" spans="1:8" x14ac:dyDescent="0.25">
      <c r="A104" s="46">
        <v>44707</v>
      </c>
      <c r="B104" s="14">
        <v>186.490005</v>
      </c>
      <c r="C104" s="14">
        <v>192.33999600000001</v>
      </c>
      <c r="D104" s="14">
        <v>183.08999600000001</v>
      </c>
      <c r="E104" s="14">
        <v>191.39999399999999</v>
      </c>
      <c r="F104" s="14">
        <v>191.39999399999999</v>
      </c>
      <c r="G104" s="14">
        <v>8049900</v>
      </c>
      <c r="H104" s="14">
        <f t="shared" si="1"/>
        <v>1.6206904770016184E-2</v>
      </c>
    </row>
    <row r="105" spans="1:8" x14ac:dyDescent="0.25">
      <c r="A105" s="46">
        <v>44708</v>
      </c>
      <c r="B105" s="14">
        <v>193.19000199999999</v>
      </c>
      <c r="C105" s="14">
        <v>195.25</v>
      </c>
      <c r="D105" s="14">
        <v>190.36999499999999</v>
      </c>
      <c r="E105" s="14">
        <v>195.19000199999999</v>
      </c>
      <c r="F105" s="14">
        <v>195.19000199999999</v>
      </c>
      <c r="G105" s="14">
        <v>8586000</v>
      </c>
      <c r="H105" s="14">
        <f t="shared" si="1"/>
        <v>3.9761861155974687E-2</v>
      </c>
    </row>
    <row r="106" spans="1:8" x14ac:dyDescent="0.25">
      <c r="A106" s="46">
        <v>44712</v>
      </c>
      <c r="B106" s="14">
        <v>196.179993</v>
      </c>
      <c r="C106" s="14">
        <v>199.949997</v>
      </c>
      <c r="D106" s="14">
        <v>190.800003</v>
      </c>
      <c r="E106" s="14">
        <v>197.44000199999999</v>
      </c>
      <c r="F106" s="14">
        <v>197.44000199999999</v>
      </c>
      <c r="G106" s="14">
        <v>11398500</v>
      </c>
      <c r="H106" s="14">
        <f t="shared" si="1"/>
        <v>5.6470033526029306E-4</v>
      </c>
    </row>
    <row r="107" spans="1:8" x14ac:dyDescent="0.25">
      <c r="A107" s="46">
        <v>44713</v>
      </c>
      <c r="B107" s="14">
        <v>198.699997</v>
      </c>
      <c r="C107" s="14">
        <v>202.740005</v>
      </c>
      <c r="D107" s="14">
        <v>191.66000399999999</v>
      </c>
      <c r="E107" s="14">
        <v>192.91000399999999</v>
      </c>
      <c r="F107" s="14">
        <v>192.91000399999999</v>
      </c>
      <c r="G107" s="14">
        <v>8416200</v>
      </c>
      <c r="H107" s="14">
        <f t="shared" si="1"/>
        <v>4.5073426964252761E-3</v>
      </c>
    </row>
    <row r="108" spans="1:8" x14ac:dyDescent="0.25">
      <c r="A108" s="46">
        <v>44714</v>
      </c>
      <c r="B108" s="14">
        <v>192.020004</v>
      </c>
      <c r="C108" s="14">
        <v>205.470001</v>
      </c>
      <c r="D108" s="14">
        <v>191.720001</v>
      </c>
      <c r="E108" s="14">
        <v>205.08999600000001</v>
      </c>
      <c r="F108" s="14">
        <v>205.08999600000001</v>
      </c>
      <c r="G108" s="14">
        <v>9623100</v>
      </c>
      <c r="H108" s="14">
        <f t="shared" si="1"/>
        <v>3.1303870785692745E-4</v>
      </c>
    </row>
    <row r="109" spans="1:8" x14ac:dyDescent="0.25">
      <c r="A109" s="46">
        <v>44715</v>
      </c>
      <c r="B109" s="14">
        <v>200.13999899999999</v>
      </c>
      <c r="C109" s="14">
        <v>202.949997</v>
      </c>
      <c r="D109" s="14">
        <v>198.050003</v>
      </c>
      <c r="E109" s="14">
        <v>198.979996</v>
      </c>
      <c r="F109" s="14">
        <v>198.979996</v>
      </c>
      <c r="G109" s="14">
        <v>7191800</v>
      </c>
      <c r="H109" s="14">
        <f t="shared" si="1"/>
        <v>3.3016909904981739E-2</v>
      </c>
    </row>
    <row r="110" spans="1:8" x14ac:dyDescent="0.25">
      <c r="A110" s="46">
        <v>44718</v>
      </c>
      <c r="B110" s="14">
        <v>202.08999600000001</v>
      </c>
      <c r="C110" s="14">
        <v>203.86999499999999</v>
      </c>
      <c r="D110" s="14">
        <v>195.38000500000001</v>
      </c>
      <c r="E110" s="14">
        <v>197.13999899999999</v>
      </c>
      <c r="F110" s="14">
        <v>197.13999899999999</v>
      </c>
      <c r="G110" s="14">
        <v>5372000</v>
      </c>
      <c r="H110" s="14">
        <f t="shared" si="1"/>
        <v>-4.4938112590350672E-3</v>
      </c>
    </row>
    <row r="111" spans="1:8" x14ac:dyDescent="0.25">
      <c r="A111" s="46">
        <v>44719</v>
      </c>
      <c r="B111" s="14">
        <v>194.86999499999999</v>
      </c>
      <c r="C111" s="14">
        <v>199.60000600000001</v>
      </c>
      <c r="D111" s="14">
        <v>193</v>
      </c>
      <c r="E111" s="14">
        <v>198.61000100000001</v>
      </c>
      <c r="F111" s="14">
        <v>198.61000100000001</v>
      </c>
      <c r="G111" s="14">
        <v>4839500</v>
      </c>
      <c r="H111" s="14">
        <f t="shared" si="1"/>
        <v>-1.2181415390996708E-2</v>
      </c>
    </row>
    <row r="112" spans="1:8" x14ac:dyDescent="0.25">
      <c r="A112" s="46">
        <v>44720</v>
      </c>
      <c r="B112" s="14">
        <v>197.949997</v>
      </c>
      <c r="C112" s="14">
        <v>207.38000500000001</v>
      </c>
      <c r="D112" s="14">
        <v>197.63999899999999</v>
      </c>
      <c r="E112" s="14">
        <v>202.83000200000001</v>
      </c>
      <c r="F112" s="14">
        <v>202.83000200000001</v>
      </c>
      <c r="G112" s="14">
        <v>7244100</v>
      </c>
      <c r="H112" s="14">
        <f t="shared" si="1"/>
        <v>2.404144559585486E-2</v>
      </c>
    </row>
    <row r="113" spans="1:8" x14ac:dyDescent="0.25">
      <c r="A113" s="46">
        <v>44721</v>
      </c>
      <c r="B113" s="14">
        <v>200.64999399999999</v>
      </c>
      <c r="C113" s="14">
        <v>201.69000199999999</v>
      </c>
      <c r="D113" s="14">
        <v>192.53999300000001</v>
      </c>
      <c r="E113" s="14">
        <v>192.770004</v>
      </c>
      <c r="F113" s="14">
        <v>192.770004</v>
      </c>
      <c r="G113" s="14">
        <v>6949000</v>
      </c>
      <c r="H113" s="14">
        <f t="shared" si="1"/>
        <v>-2.5804523506398058E-2</v>
      </c>
    </row>
    <row r="114" spans="1:8" x14ac:dyDescent="0.25">
      <c r="A114" s="46">
        <v>44722</v>
      </c>
      <c r="B114" s="14">
        <v>182.63999899999999</v>
      </c>
      <c r="C114" s="14">
        <v>185.86000100000001</v>
      </c>
      <c r="D114" s="14">
        <v>180.85000600000001</v>
      </c>
      <c r="E114" s="14">
        <v>182.94000199999999</v>
      </c>
      <c r="F114" s="14">
        <v>182.94000199999999</v>
      </c>
      <c r="G114" s="14">
        <v>13065600</v>
      </c>
      <c r="H114" s="14">
        <f t="shared" si="1"/>
        <v>-6.0714591383619676E-2</v>
      </c>
    </row>
    <row r="115" spans="1:8" x14ac:dyDescent="0.25">
      <c r="A115" s="46">
        <v>44725</v>
      </c>
      <c r="B115" s="14">
        <v>177.070007</v>
      </c>
      <c r="C115" s="14">
        <v>179.08999600000001</v>
      </c>
      <c r="D115" s="14">
        <v>168.96000699999999</v>
      </c>
      <c r="E115" s="14">
        <v>169.69000199999999</v>
      </c>
      <c r="F115" s="14">
        <v>169.69000199999999</v>
      </c>
      <c r="G115" s="14">
        <v>10222400</v>
      </c>
      <c r="H115" s="14">
        <f t="shared" si="1"/>
        <v>-2.1915028302514978E-2</v>
      </c>
    </row>
    <row r="116" spans="1:8" x14ac:dyDescent="0.25">
      <c r="A116" s="46">
        <v>44726</v>
      </c>
      <c r="B116" s="14">
        <v>169.75</v>
      </c>
      <c r="C116" s="14">
        <v>172.05999800000001</v>
      </c>
      <c r="D116" s="14">
        <v>164.279999</v>
      </c>
      <c r="E116" s="14">
        <v>167.53999300000001</v>
      </c>
      <c r="F116" s="14">
        <v>167.53999300000001</v>
      </c>
      <c r="G116" s="14">
        <v>11555300</v>
      </c>
      <c r="H116" s="14">
        <f t="shared" si="1"/>
        <v>-2.7698909837284624E-2</v>
      </c>
    </row>
    <row r="117" spans="1:8" x14ac:dyDescent="0.25">
      <c r="A117" s="46">
        <v>44727</v>
      </c>
      <c r="B117" s="14">
        <v>169.259995</v>
      </c>
      <c r="C117" s="14">
        <v>183.85000600000001</v>
      </c>
      <c r="D117" s="14">
        <v>168.529999</v>
      </c>
      <c r="E117" s="14">
        <v>180.11000100000001</v>
      </c>
      <c r="F117" s="14">
        <v>180.11000100000001</v>
      </c>
      <c r="G117" s="14">
        <v>12396000</v>
      </c>
      <c r="H117" s="14">
        <f t="shared" si="1"/>
        <v>2.587046521713221E-2</v>
      </c>
    </row>
    <row r="118" spans="1:8" x14ac:dyDescent="0.25">
      <c r="A118" s="46">
        <v>44728</v>
      </c>
      <c r="B118" s="14">
        <v>174</v>
      </c>
      <c r="C118" s="14">
        <v>176.270004</v>
      </c>
      <c r="D118" s="14">
        <v>171.55999800000001</v>
      </c>
      <c r="E118" s="14">
        <v>173.35000600000001</v>
      </c>
      <c r="F118" s="14">
        <v>173.35000600000001</v>
      </c>
      <c r="G118" s="14">
        <v>8201300</v>
      </c>
      <c r="H118" s="14">
        <f t="shared" si="1"/>
        <v>1.7978989010734026E-2</v>
      </c>
    </row>
    <row r="119" spans="1:8" x14ac:dyDescent="0.25">
      <c r="A119" s="46">
        <v>44729</v>
      </c>
      <c r="B119" s="14">
        <v>173.63000500000001</v>
      </c>
      <c r="C119" s="14">
        <v>179.64999399999999</v>
      </c>
      <c r="D119" s="14">
        <v>173.33999600000001</v>
      </c>
      <c r="E119" s="14">
        <v>175.509995</v>
      </c>
      <c r="F119" s="14">
        <v>175.509995</v>
      </c>
      <c r="G119" s="14">
        <v>12133400</v>
      </c>
      <c r="H119" s="14">
        <f t="shared" si="1"/>
        <v>1.0375367339419128E-2</v>
      </c>
    </row>
    <row r="120" spans="1:8" x14ac:dyDescent="0.25">
      <c r="A120" s="46">
        <v>44733</v>
      </c>
      <c r="B120" s="14">
        <v>177.60000600000001</v>
      </c>
      <c r="C120" s="14">
        <v>178.61999499999999</v>
      </c>
      <c r="D120" s="14">
        <v>169.800003</v>
      </c>
      <c r="E120" s="14">
        <v>170.91000399999999</v>
      </c>
      <c r="F120" s="14">
        <v>170.91000399999999</v>
      </c>
      <c r="G120" s="14">
        <v>12177600</v>
      </c>
      <c r="H120" s="14">
        <f t="shared" si="1"/>
        <v>-5.1055628846328194E-3</v>
      </c>
    </row>
    <row r="121" spans="1:8" x14ac:dyDescent="0.25">
      <c r="A121" s="46">
        <v>44734</v>
      </c>
      <c r="B121" s="14">
        <v>170.75</v>
      </c>
      <c r="C121" s="14">
        <v>182.820007</v>
      </c>
      <c r="D121" s="14">
        <v>170.199997</v>
      </c>
      <c r="E121" s="14">
        <v>178.88999899999999</v>
      </c>
      <c r="F121" s="14">
        <v>178.88999899999999</v>
      </c>
      <c r="G121" s="14">
        <v>11992400</v>
      </c>
      <c r="H121" s="14">
        <f t="shared" si="1"/>
        <v>2.355677225753583E-3</v>
      </c>
    </row>
    <row r="122" spans="1:8" x14ac:dyDescent="0.25">
      <c r="A122" s="46">
        <v>44735</v>
      </c>
      <c r="B122" s="14">
        <v>180.5</v>
      </c>
      <c r="C122" s="14">
        <v>182.759995</v>
      </c>
      <c r="D122" s="14">
        <v>175.86999499999999</v>
      </c>
      <c r="E122" s="14">
        <v>181.71000699999999</v>
      </c>
      <c r="F122" s="14">
        <v>181.71000699999999</v>
      </c>
      <c r="G122" s="14">
        <v>9538200</v>
      </c>
      <c r="H122" s="14">
        <f t="shared" si="1"/>
        <v>3.3313737367457241E-2</v>
      </c>
    </row>
    <row r="123" spans="1:8" x14ac:dyDescent="0.25">
      <c r="A123" s="46">
        <v>44736</v>
      </c>
      <c r="B123" s="14">
        <v>183.5</v>
      </c>
      <c r="C123" s="14">
        <v>191.19000199999999</v>
      </c>
      <c r="D123" s="14">
        <v>181.83999600000001</v>
      </c>
      <c r="E123" s="14">
        <v>190.85000600000001</v>
      </c>
      <c r="F123" s="14">
        <v>190.85000600000001</v>
      </c>
      <c r="G123" s="14">
        <v>12424000</v>
      </c>
      <c r="H123" s="14">
        <f t="shared" si="1"/>
        <v>3.3945534597871641E-2</v>
      </c>
    </row>
    <row r="124" spans="1:8" x14ac:dyDescent="0.25">
      <c r="A124" s="46">
        <v>44739</v>
      </c>
      <c r="B124" s="14">
        <v>191.770004</v>
      </c>
      <c r="C124" s="14">
        <v>191.779999</v>
      </c>
      <c r="D124" s="14">
        <v>182.38999899999999</v>
      </c>
      <c r="E124" s="14">
        <v>189.13999899999999</v>
      </c>
      <c r="F124" s="14">
        <v>189.13999899999999</v>
      </c>
      <c r="G124" s="14">
        <v>8363900</v>
      </c>
      <c r="H124" s="14">
        <f t="shared" si="1"/>
        <v>1.0082178693697763E-3</v>
      </c>
    </row>
    <row r="125" spans="1:8" x14ac:dyDescent="0.25">
      <c r="A125" s="46">
        <v>44740</v>
      </c>
      <c r="B125" s="14">
        <v>189.199997</v>
      </c>
      <c r="C125" s="14">
        <v>192.199997</v>
      </c>
      <c r="D125" s="14">
        <v>179.36999499999999</v>
      </c>
      <c r="E125" s="14">
        <v>179.60000600000001</v>
      </c>
      <c r="F125" s="14">
        <v>179.60000600000001</v>
      </c>
      <c r="G125" s="14">
        <v>7185400</v>
      </c>
      <c r="H125" s="14">
        <f t="shared" si="1"/>
        <v>-1.6557947346663493E-2</v>
      </c>
    </row>
    <row r="126" spans="1:8" x14ac:dyDescent="0.25">
      <c r="A126" s="46">
        <v>44741</v>
      </c>
      <c r="B126" s="14">
        <v>179.550003</v>
      </c>
      <c r="C126" s="14">
        <v>180.66999799999999</v>
      </c>
      <c r="D126" s="14">
        <v>175.10000600000001</v>
      </c>
      <c r="E126" s="14">
        <v>178.36000100000001</v>
      </c>
      <c r="F126" s="14">
        <v>178.36000100000001</v>
      </c>
      <c r="G126" s="14">
        <v>5766800</v>
      </c>
      <c r="H126" s="14">
        <f t="shared" si="1"/>
        <v>-2.3805480955719438E-2</v>
      </c>
    </row>
    <row r="127" spans="1:8" x14ac:dyDescent="0.25">
      <c r="A127" s="46">
        <v>44742</v>
      </c>
      <c r="B127" s="14">
        <v>177.070007</v>
      </c>
      <c r="C127" s="14">
        <v>179.449997</v>
      </c>
      <c r="D127" s="14">
        <v>170.300003</v>
      </c>
      <c r="E127" s="14">
        <v>174.86999499999999</v>
      </c>
      <c r="F127" s="14">
        <v>174.86999499999999</v>
      </c>
      <c r="G127" s="14">
        <v>7894700</v>
      </c>
      <c r="H127" s="14">
        <f t="shared" si="1"/>
        <v>-2.7412923104068954E-2</v>
      </c>
    </row>
    <row r="128" spans="1:8" x14ac:dyDescent="0.25">
      <c r="A128" s="46">
        <v>44743</v>
      </c>
      <c r="B128" s="14">
        <v>176.490005</v>
      </c>
      <c r="C128" s="14">
        <v>180.10000600000001</v>
      </c>
      <c r="D128" s="14">
        <v>174.270004</v>
      </c>
      <c r="E128" s="14">
        <v>179.949997</v>
      </c>
      <c r="F128" s="14">
        <v>179.949997</v>
      </c>
      <c r="G128" s="14">
        <v>5201600</v>
      </c>
      <c r="H128" s="14">
        <f t="shared" si="1"/>
        <v>2.3311808162446157E-2</v>
      </c>
    </row>
    <row r="129" spans="1:8" x14ac:dyDescent="0.25">
      <c r="A129" s="46">
        <v>44747</v>
      </c>
      <c r="B129" s="14">
        <v>176.279999</v>
      </c>
      <c r="C129" s="14">
        <v>185.91999799999999</v>
      </c>
      <c r="D129" s="14">
        <v>172.679993</v>
      </c>
      <c r="E129" s="14">
        <v>185.88000500000001</v>
      </c>
      <c r="F129" s="14">
        <v>185.88000500000001</v>
      </c>
      <c r="G129" s="14">
        <v>7334300</v>
      </c>
      <c r="H129" s="14">
        <f t="shared" si="1"/>
        <v>-2.2809590915026379E-3</v>
      </c>
    </row>
    <row r="130" spans="1:8" x14ac:dyDescent="0.25">
      <c r="A130" s="46">
        <v>44748</v>
      </c>
      <c r="B130" s="14">
        <v>185.199997</v>
      </c>
      <c r="C130" s="14">
        <v>186.220001</v>
      </c>
      <c r="D130" s="14">
        <v>180.820007</v>
      </c>
      <c r="E130" s="14">
        <v>184.05999800000001</v>
      </c>
      <c r="F130" s="14">
        <v>184.05999800000001</v>
      </c>
      <c r="G130" s="14">
        <v>5753400</v>
      </c>
      <c r="H130" s="14">
        <f t="shared" si="1"/>
        <v>4.7139300034602094E-2</v>
      </c>
    </row>
    <row r="131" spans="1:8" x14ac:dyDescent="0.25">
      <c r="A131" s="46">
        <v>44749</v>
      </c>
      <c r="B131" s="14">
        <v>184.270004</v>
      </c>
      <c r="C131" s="14">
        <v>190.21000699999999</v>
      </c>
      <c r="D131" s="14">
        <v>183.5</v>
      </c>
      <c r="E131" s="14">
        <v>189.270004</v>
      </c>
      <c r="F131" s="14">
        <v>189.270004</v>
      </c>
      <c r="G131" s="14">
        <v>6334500</v>
      </c>
      <c r="H131" s="14">
        <f t="shared" si="1"/>
        <v>1.4821330031250302E-2</v>
      </c>
    </row>
    <row r="132" spans="1:8" x14ac:dyDescent="0.25">
      <c r="A132" s="46">
        <v>44750</v>
      </c>
      <c r="B132" s="14">
        <v>186.020004</v>
      </c>
      <c r="C132" s="14">
        <v>189.91000399999999</v>
      </c>
      <c r="D132" s="14">
        <v>182.75</v>
      </c>
      <c r="E132" s="14">
        <v>186.979996</v>
      </c>
      <c r="F132" s="14">
        <v>186.979996</v>
      </c>
      <c r="G132" s="14">
        <v>5835700</v>
      </c>
      <c r="H132" s="14">
        <f t="shared" ref="H132:H195" si="2">(D132/D131-1)/(A132-A131)</f>
        <v>-4.0871934604904681E-3</v>
      </c>
    </row>
    <row r="133" spans="1:8" x14ac:dyDescent="0.25">
      <c r="A133" s="46">
        <v>44753</v>
      </c>
      <c r="B133" s="14">
        <v>184.729996</v>
      </c>
      <c r="C133" s="14">
        <v>184.990005</v>
      </c>
      <c r="D133" s="14">
        <v>176.88999899999999</v>
      </c>
      <c r="E133" s="14">
        <v>177.33999600000001</v>
      </c>
      <c r="F133" s="14">
        <v>177.33999600000001</v>
      </c>
      <c r="G133" s="14">
        <v>6038800</v>
      </c>
      <c r="H133" s="14">
        <f t="shared" si="2"/>
        <v>-1.068855631554951E-2</v>
      </c>
    </row>
    <row r="134" spans="1:8" x14ac:dyDescent="0.25">
      <c r="A134" s="46">
        <v>44754</v>
      </c>
      <c r="B134" s="14">
        <v>177.33000200000001</v>
      </c>
      <c r="C134" s="14">
        <v>179.779999</v>
      </c>
      <c r="D134" s="14">
        <v>173.41999799999999</v>
      </c>
      <c r="E134" s="14">
        <v>174.449997</v>
      </c>
      <c r="F134" s="14">
        <v>174.449997</v>
      </c>
      <c r="G134" s="14">
        <v>6845300</v>
      </c>
      <c r="H134" s="14">
        <f t="shared" si="2"/>
        <v>-1.9616716714436766E-2</v>
      </c>
    </row>
    <row r="135" spans="1:8" x14ac:dyDescent="0.25">
      <c r="A135" s="46">
        <v>44755</v>
      </c>
      <c r="B135" s="14">
        <v>170.5</v>
      </c>
      <c r="C135" s="14">
        <v>179.179993</v>
      </c>
      <c r="D135" s="14">
        <v>169.699997</v>
      </c>
      <c r="E135" s="14">
        <v>176.55999800000001</v>
      </c>
      <c r="F135" s="14">
        <v>176.55999800000001</v>
      </c>
      <c r="G135" s="14">
        <v>12734400</v>
      </c>
      <c r="H135" s="14">
        <f t="shared" si="2"/>
        <v>-2.1450819068744242E-2</v>
      </c>
    </row>
    <row r="136" spans="1:8" x14ac:dyDescent="0.25">
      <c r="A136" s="46">
        <v>44756</v>
      </c>
      <c r="B136" s="14">
        <v>175.55999800000001</v>
      </c>
      <c r="C136" s="14">
        <v>177.520004</v>
      </c>
      <c r="D136" s="14">
        <v>171.820007</v>
      </c>
      <c r="E136" s="14">
        <v>174.779999</v>
      </c>
      <c r="F136" s="14">
        <v>174.779999</v>
      </c>
      <c r="G136" s="14">
        <v>9039500</v>
      </c>
      <c r="H136" s="14">
        <f t="shared" si="2"/>
        <v>1.2492693208474348E-2</v>
      </c>
    </row>
    <row r="137" spans="1:8" x14ac:dyDescent="0.25">
      <c r="A137" s="46">
        <v>44757</v>
      </c>
      <c r="B137" s="14">
        <v>175.58000200000001</v>
      </c>
      <c r="C137" s="14">
        <v>189.220001</v>
      </c>
      <c r="D137" s="14">
        <v>174.55999800000001</v>
      </c>
      <c r="E137" s="14">
        <v>189.11000100000001</v>
      </c>
      <c r="F137" s="14">
        <v>189.11000100000001</v>
      </c>
      <c r="G137" s="14">
        <v>16319100</v>
      </c>
      <c r="H137" s="14">
        <f t="shared" si="2"/>
        <v>1.5946868166522687E-2</v>
      </c>
    </row>
    <row r="138" spans="1:8" x14ac:dyDescent="0.25">
      <c r="A138" s="46">
        <v>44760</v>
      </c>
      <c r="B138" s="14">
        <v>192.5</v>
      </c>
      <c r="C138" s="14">
        <v>199.66999799999999</v>
      </c>
      <c r="D138" s="14">
        <v>189.800003</v>
      </c>
      <c r="E138" s="14">
        <v>190.91999799999999</v>
      </c>
      <c r="F138" s="14">
        <v>190.91999799999999</v>
      </c>
      <c r="G138" s="14">
        <v>16322800</v>
      </c>
      <c r="H138" s="14">
        <f t="shared" si="2"/>
        <v>2.9101751402785075E-2</v>
      </c>
    </row>
    <row r="139" spans="1:8" x14ac:dyDescent="0.25">
      <c r="A139" s="46">
        <v>44761</v>
      </c>
      <c r="B139" s="14">
        <v>193.020004</v>
      </c>
      <c r="C139" s="14">
        <v>201.970001</v>
      </c>
      <c r="D139" s="14">
        <v>188.39999399999999</v>
      </c>
      <c r="E139" s="14">
        <v>201.63000500000001</v>
      </c>
      <c r="F139" s="14">
        <v>201.63000500000001</v>
      </c>
      <c r="G139" s="14">
        <v>28178700</v>
      </c>
      <c r="H139" s="14">
        <f t="shared" si="2"/>
        <v>-7.3762327601227806E-3</v>
      </c>
    </row>
    <row r="140" spans="1:8" x14ac:dyDescent="0.25">
      <c r="A140" s="46">
        <v>44762</v>
      </c>
      <c r="B140" s="14">
        <v>208.16999799999999</v>
      </c>
      <c r="C140" s="14">
        <v>216.970001</v>
      </c>
      <c r="D140" s="14">
        <v>200.10000600000001</v>
      </c>
      <c r="E140" s="14">
        <v>216.44000199999999</v>
      </c>
      <c r="F140" s="14">
        <v>216.44000199999999</v>
      </c>
      <c r="G140" s="14">
        <v>53920300</v>
      </c>
      <c r="H140" s="14">
        <f t="shared" si="2"/>
        <v>6.2101976500062994E-2</v>
      </c>
    </row>
    <row r="141" spans="1:8" x14ac:dyDescent="0.25">
      <c r="A141" s="46">
        <v>44763</v>
      </c>
      <c r="B141" s="14">
        <v>214.300003</v>
      </c>
      <c r="C141" s="14">
        <v>224.320007</v>
      </c>
      <c r="D141" s="14">
        <v>211.5</v>
      </c>
      <c r="E141" s="14">
        <v>223.88000500000001</v>
      </c>
      <c r="F141" s="14">
        <v>223.88000500000001</v>
      </c>
      <c r="G141" s="14">
        <v>23430100</v>
      </c>
      <c r="H141" s="14">
        <f t="shared" si="2"/>
        <v>5.6971482549580621E-2</v>
      </c>
    </row>
    <row r="142" spans="1:8" x14ac:dyDescent="0.25">
      <c r="A142" s="46">
        <v>44764</v>
      </c>
      <c r="B142" s="14">
        <v>222.38000500000001</v>
      </c>
      <c r="C142" s="14">
        <v>229.35000600000001</v>
      </c>
      <c r="D142" s="14">
        <v>218.44000199999999</v>
      </c>
      <c r="E142" s="14">
        <v>220.44000199999999</v>
      </c>
      <c r="F142" s="14">
        <v>220.44000199999999</v>
      </c>
      <c r="G142" s="14">
        <v>17805500</v>
      </c>
      <c r="H142" s="14">
        <f t="shared" si="2"/>
        <v>3.2813248226950309E-2</v>
      </c>
    </row>
    <row r="143" spans="1:8" x14ac:dyDescent="0.25">
      <c r="A143" s="46">
        <v>44767</v>
      </c>
      <c r="B143" s="14">
        <v>221.30999800000001</v>
      </c>
      <c r="C143" s="14">
        <v>225.229996</v>
      </c>
      <c r="D143" s="14">
        <v>216.35000600000001</v>
      </c>
      <c r="E143" s="14">
        <v>218.509995</v>
      </c>
      <c r="F143" s="14">
        <v>218.509995</v>
      </c>
      <c r="G143" s="14">
        <v>10935200</v>
      </c>
      <c r="H143" s="14">
        <f t="shared" si="2"/>
        <v>-3.1892754392729059E-3</v>
      </c>
    </row>
    <row r="144" spans="1:8" x14ac:dyDescent="0.25">
      <c r="A144" s="46">
        <v>44768</v>
      </c>
      <c r="B144" s="14">
        <v>216.66000399999999</v>
      </c>
      <c r="C144" s="14">
        <v>219.38999899999999</v>
      </c>
      <c r="D144" s="14">
        <v>211.63999899999999</v>
      </c>
      <c r="E144" s="14">
        <v>213.91000399999999</v>
      </c>
      <c r="F144" s="14">
        <v>213.91000399999999</v>
      </c>
      <c r="G144" s="14">
        <v>9508500</v>
      </c>
      <c r="H144" s="14">
        <f t="shared" si="2"/>
        <v>-2.1770311390700958E-2</v>
      </c>
    </row>
    <row r="145" spans="1:8" x14ac:dyDescent="0.25">
      <c r="A145" s="46">
        <v>44769</v>
      </c>
      <c r="B145" s="14">
        <v>216.479996</v>
      </c>
      <c r="C145" s="14">
        <v>227.779999</v>
      </c>
      <c r="D145" s="14">
        <v>214.58000200000001</v>
      </c>
      <c r="E145" s="14">
        <v>226.75</v>
      </c>
      <c r="F145" s="14">
        <v>226.75</v>
      </c>
      <c r="G145" s="14">
        <v>10508400</v>
      </c>
      <c r="H145" s="14">
        <f t="shared" si="2"/>
        <v>1.3891528132165654E-2</v>
      </c>
    </row>
    <row r="146" spans="1:8" x14ac:dyDescent="0.25">
      <c r="A146" s="46">
        <v>44770</v>
      </c>
      <c r="B146" s="14">
        <v>224.60000600000001</v>
      </c>
      <c r="C146" s="14">
        <v>228.10000600000001</v>
      </c>
      <c r="D146" s="14">
        <v>219.66999799999999</v>
      </c>
      <c r="E146" s="14">
        <v>226.020004</v>
      </c>
      <c r="F146" s="14">
        <v>226.020004</v>
      </c>
      <c r="G146" s="14">
        <v>8972700</v>
      </c>
      <c r="H146" s="14">
        <f t="shared" si="2"/>
        <v>2.3720737965134298E-2</v>
      </c>
    </row>
    <row r="147" spans="1:8" x14ac:dyDescent="0.25">
      <c r="A147" s="46">
        <v>44771</v>
      </c>
      <c r="B147" s="14">
        <v>223.28999300000001</v>
      </c>
      <c r="C147" s="14">
        <v>230.75</v>
      </c>
      <c r="D147" s="14">
        <v>222.39999399999999</v>
      </c>
      <c r="E147" s="14">
        <v>224.89999399999999</v>
      </c>
      <c r="F147" s="14">
        <v>224.89999399999999</v>
      </c>
      <c r="G147" s="14">
        <v>9064900</v>
      </c>
      <c r="H147" s="14">
        <f t="shared" si="2"/>
        <v>1.242771441186985E-2</v>
      </c>
    </row>
    <row r="148" spans="1:8" x14ac:dyDescent="0.25">
      <c r="A148" s="46">
        <v>44774</v>
      </c>
      <c r="B148" s="14">
        <v>223.10000600000001</v>
      </c>
      <c r="C148" s="14">
        <v>228.38999899999999</v>
      </c>
      <c r="D148" s="14">
        <v>221</v>
      </c>
      <c r="E148" s="14">
        <v>226.21000699999999</v>
      </c>
      <c r="F148" s="14">
        <v>226.21000699999999</v>
      </c>
      <c r="G148" s="14">
        <v>5525000</v>
      </c>
      <c r="H148" s="14">
        <f t="shared" si="2"/>
        <v>-2.0983124067290491E-3</v>
      </c>
    </row>
    <row r="149" spans="1:8" x14ac:dyDescent="0.25">
      <c r="A149" s="46">
        <v>44775</v>
      </c>
      <c r="B149" s="14">
        <v>222.759995</v>
      </c>
      <c r="C149" s="14">
        <v>228.199997</v>
      </c>
      <c r="D149" s="14">
        <v>220.88000500000001</v>
      </c>
      <c r="E149" s="14">
        <v>221.41999799999999</v>
      </c>
      <c r="F149" s="14">
        <v>221.41999799999999</v>
      </c>
      <c r="G149" s="14">
        <v>6361300</v>
      </c>
      <c r="H149" s="14">
        <f t="shared" si="2"/>
        <v>-5.4296380090490537E-4</v>
      </c>
    </row>
    <row r="150" spans="1:8" x14ac:dyDescent="0.25">
      <c r="A150" s="46">
        <v>44776</v>
      </c>
      <c r="B150" s="14">
        <v>224.78999300000001</v>
      </c>
      <c r="C150" s="14">
        <v>228.10000600000001</v>
      </c>
      <c r="D150" s="14">
        <v>222.41999799999999</v>
      </c>
      <c r="E150" s="14">
        <v>226.729996</v>
      </c>
      <c r="F150" s="14">
        <v>226.729996</v>
      </c>
      <c r="G150" s="14">
        <v>6400700</v>
      </c>
      <c r="H150" s="14">
        <f t="shared" si="2"/>
        <v>6.97207970454361E-3</v>
      </c>
    </row>
    <row r="151" spans="1:8" x14ac:dyDescent="0.25">
      <c r="A151" s="46">
        <v>44777</v>
      </c>
      <c r="B151" s="14">
        <v>227.679993</v>
      </c>
      <c r="C151" s="14">
        <v>232.070007</v>
      </c>
      <c r="D151" s="14">
        <v>225.050003</v>
      </c>
      <c r="E151" s="14">
        <v>229.91000399999999</v>
      </c>
      <c r="F151" s="14">
        <v>229.91000399999999</v>
      </c>
      <c r="G151" s="14">
        <v>7142700</v>
      </c>
      <c r="H151" s="14">
        <f t="shared" si="2"/>
        <v>1.1824498802486261E-2</v>
      </c>
    </row>
    <row r="152" spans="1:8" x14ac:dyDescent="0.25">
      <c r="A152" s="46">
        <v>44778</v>
      </c>
      <c r="B152" s="14">
        <v>225.300003</v>
      </c>
      <c r="C152" s="14">
        <v>228.61999499999999</v>
      </c>
      <c r="D152" s="14">
        <v>222.86999499999999</v>
      </c>
      <c r="E152" s="14">
        <v>226.779999</v>
      </c>
      <c r="F152" s="14">
        <v>226.779999</v>
      </c>
      <c r="G152" s="14">
        <v>5539700</v>
      </c>
      <c r="H152" s="14">
        <f t="shared" si="2"/>
        <v>-9.6867716993543906E-3</v>
      </c>
    </row>
    <row r="153" spans="1:8" x14ac:dyDescent="0.25">
      <c r="A153" s="46">
        <v>44781</v>
      </c>
      <c r="B153" s="14">
        <v>227.490005</v>
      </c>
      <c r="C153" s="14">
        <v>241.96000699999999</v>
      </c>
      <c r="D153" s="14">
        <v>226.41000399999999</v>
      </c>
      <c r="E153" s="14">
        <v>233.490005</v>
      </c>
      <c r="F153" s="14">
        <v>233.490005</v>
      </c>
      <c r="G153" s="14">
        <v>10982100</v>
      </c>
      <c r="H153" s="14">
        <f t="shared" si="2"/>
        <v>5.2945799186651472E-3</v>
      </c>
    </row>
    <row r="154" spans="1:8" x14ac:dyDescent="0.25">
      <c r="A154" s="46">
        <v>44782</v>
      </c>
      <c r="B154" s="14">
        <v>231.61999499999999</v>
      </c>
      <c r="C154" s="14">
        <v>232.199997</v>
      </c>
      <c r="D154" s="14">
        <v>224.64999399999999</v>
      </c>
      <c r="E154" s="14">
        <v>229.94000199999999</v>
      </c>
      <c r="F154" s="14">
        <v>229.94000199999999</v>
      </c>
      <c r="G154" s="14">
        <v>6181200</v>
      </c>
      <c r="H154" s="14">
        <f t="shared" si="2"/>
        <v>-7.7735522675932422E-3</v>
      </c>
    </row>
    <row r="155" spans="1:8" x14ac:dyDescent="0.25">
      <c r="A155" s="46">
        <v>44783</v>
      </c>
      <c r="B155" s="14">
        <v>236.990005</v>
      </c>
      <c r="C155" s="14">
        <v>244.53999300000001</v>
      </c>
      <c r="D155" s="14">
        <v>236.60000600000001</v>
      </c>
      <c r="E155" s="14">
        <v>244.11000100000001</v>
      </c>
      <c r="F155" s="14">
        <v>244.11000100000001</v>
      </c>
      <c r="G155" s="14">
        <v>9254800</v>
      </c>
      <c r="H155" s="14">
        <f t="shared" si="2"/>
        <v>5.3193911948201666E-2</v>
      </c>
    </row>
    <row r="156" spans="1:8" x14ac:dyDescent="0.25">
      <c r="A156" s="46">
        <v>44784</v>
      </c>
      <c r="B156" s="14">
        <v>244.679993</v>
      </c>
      <c r="C156" s="14">
        <v>251.61999499999999</v>
      </c>
      <c r="D156" s="14">
        <v>241.509995</v>
      </c>
      <c r="E156" s="14">
        <v>242.699997</v>
      </c>
      <c r="F156" s="14">
        <v>242.699997</v>
      </c>
      <c r="G156" s="14">
        <v>8780100</v>
      </c>
      <c r="H156" s="14">
        <f t="shared" si="2"/>
        <v>2.0752277580246448E-2</v>
      </c>
    </row>
    <row r="157" spans="1:8" x14ac:dyDescent="0.25">
      <c r="A157" s="46">
        <v>44785</v>
      </c>
      <c r="B157" s="14">
        <v>244.80999800000001</v>
      </c>
      <c r="C157" s="14">
        <v>249.41000399999999</v>
      </c>
      <c r="D157" s="14">
        <v>243.759995</v>
      </c>
      <c r="E157" s="14">
        <v>249.300003</v>
      </c>
      <c r="F157" s="14">
        <v>249.300003</v>
      </c>
      <c r="G157" s="14">
        <v>6098500</v>
      </c>
      <c r="H157" s="14">
        <f t="shared" si="2"/>
        <v>9.3163846076018686E-3</v>
      </c>
    </row>
    <row r="158" spans="1:8" x14ac:dyDescent="0.25">
      <c r="A158" s="46">
        <v>44788</v>
      </c>
      <c r="B158" s="14">
        <v>248.11000100000001</v>
      </c>
      <c r="C158" s="14">
        <v>251.990005</v>
      </c>
      <c r="D158" s="14">
        <v>247.509995</v>
      </c>
      <c r="E158" s="14">
        <v>249.11000100000001</v>
      </c>
      <c r="F158" s="14">
        <v>249.11000100000001</v>
      </c>
      <c r="G158" s="14">
        <v>6527400</v>
      </c>
      <c r="H158" s="14">
        <f t="shared" si="2"/>
        <v>5.1279948541186711E-3</v>
      </c>
    </row>
    <row r="159" spans="1:8" x14ac:dyDescent="0.25">
      <c r="A159" s="46">
        <v>44789</v>
      </c>
      <c r="B159" s="14">
        <v>247.16000399999999</v>
      </c>
      <c r="C159" s="14">
        <v>249.28999300000001</v>
      </c>
      <c r="D159" s="14">
        <v>244.029999</v>
      </c>
      <c r="E159" s="14">
        <v>245.69000199999999</v>
      </c>
      <c r="F159" s="14">
        <v>245.69000199999999</v>
      </c>
      <c r="G159" s="14">
        <v>5136800</v>
      </c>
      <c r="H159" s="14">
        <f t="shared" si="2"/>
        <v>-1.4060022101329728E-2</v>
      </c>
    </row>
    <row r="160" spans="1:8" x14ac:dyDescent="0.25">
      <c r="A160" s="46">
        <v>44790</v>
      </c>
      <c r="B160" s="14">
        <v>241.179993</v>
      </c>
      <c r="C160" s="14">
        <v>244.240005</v>
      </c>
      <c r="D160" s="14">
        <v>237.55999800000001</v>
      </c>
      <c r="E160" s="14">
        <v>241.14999399999999</v>
      </c>
      <c r="F160" s="14">
        <v>241.14999399999999</v>
      </c>
      <c r="G160" s="14">
        <v>5627200</v>
      </c>
      <c r="H160" s="14">
        <f t="shared" si="2"/>
        <v>-2.6513137837614775E-2</v>
      </c>
    </row>
    <row r="161" spans="1:8" x14ac:dyDescent="0.25">
      <c r="A161" s="46">
        <v>44791</v>
      </c>
      <c r="B161" s="14">
        <v>241.96000699999999</v>
      </c>
      <c r="C161" s="14">
        <v>246.479996</v>
      </c>
      <c r="D161" s="14">
        <v>239.279999</v>
      </c>
      <c r="E161" s="14">
        <v>245.16999799999999</v>
      </c>
      <c r="F161" s="14">
        <v>245.16999799999999</v>
      </c>
      <c r="G161" s="14">
        <v>5280400</v>
      </c>
      <c r="H161" s="14">
        <f t="shared" si="2"/>
        <v>7.2402804111826313E-3</v>
      </c>
    </row>
    <row r="162" spans="1:8" x14ac:dyDescent="0.25">
      <c r="A162" s="46">
        <v>44792</v>
      </c>
      <c r="B162" s="14">
        <v>240.949997</v>
      </c>
      <c r="C162" s="14">
        <v>243.28999300000001</v>
      </c>
      <c r="D162" s="14">
        <v>235.679993</v>
      </c>
      <c r="E162" s="14">
        <v>241.16000399999999</v>
      </c>
      <c r="F162" s="14">
        <v>241.16000399999999</v>
      </c>
      <c r="G162" s="14">
        <v>7504700</v>
      </c>
      <c r="H162" s="14">
        <f t="shared" si="2"/>
        <v>-1.5045160544321146E-2</v>
      </c>
    </row>
    <row r="163" spans="1:8" x14ac:dyDescent="0.25">
      <c r="A163" s="46">
        <v>44795</v>
      </c>
      <c r="B163" s="14">
        <v>232.550003</v>
      </c>
      <c r="C163" s="14">
        <v>233.479996</v>
      </c>
      <c r="D163" s="14">
        <v>224.58999600000001</v>
      </c>
      <c r="E163" s="14">
        <v>226.53999300000001</v>
      </c>
      <c r="F163" s="14">
        <v>226.53999300000001</v>
      </c>
      <c r="G163" s="14">
        <v>8630100</v>
      </c>
      <c r="H163" s="14">
        <f t="shared" si="2"/>
        <v>-1.568510597616431E-2</v>
      </c>
    </row>
    <row r="164" spans="1:8" x14ac:dyDescent="0.25">
      <c r="A164" s="46">
        <v>44796</v>
      </c>
      <c r="B164" s="14">
        <v>226.46000699999999</v>
      </c>
      <c r="C164" s="14">
        <v>229.89999399999999</v>
      </c>
      <c r="D164" s="14">
        <v>224.300003</v>
      </c>
      <c r="E164" s="14">
        <v>224.550003</v>
      </c>
      <c r="F164" s="14">
        <v>224.550003</v>
      </c>
      <c r="G164" s="14">
        <v>5276900</v>
      </c>
      <c r="H164" s="14">
        <f t="shared" si="2"/>
        <v>-1.2912106735155637E-3</v>
      </c>
    </row>
    <row r="165" spans="1:8" x14ac:dyDescent="0.25">
      <c r="A165" s="46">
        <v>44797</v>
      </c>
      <c r="B165" s="14">
        <v>225.66000399999999</v>
      </c>
      <c r="C165" s="14">
        <v>234.10000600000001</v>
      </c>
      <c r="D165" s="14">
        <v>223.94000199999999</v>
      </c>
      <c r="E165" s="14">
        <v>229.61000100000001</v>
      </c>
      <c r="F165" s="14">
        <v>229.61000100000001</v>
      </c>
      <c r="G165" s="14">
        <v>5426300</v>
      </c>
      <c r="H165" s="14">
        <f t="shared" si="2"/>
        <v>-1.6049977493759471E-3</v>
      </c>
    </row>
    <row r="166" spans="1:8" x14ac:dyDescent="0.25">
      <c r="A166" s="46">
        <v>44798</v>
      </c>
      <c r="B166" s="14">
        <v>230.240005</v>
      </c>
      <c r="C166" s="14">
        <v>234.16000399999999</v>
      </c>
      <c r="D166" s="14">
        <v>229</v>
      </c>
      <c r="E166" s="14">
        <v>233.979996</v>
      </c>
      <c r="F166" s="14">
        <v>233.979996</v>
      </c>
      <c r="G166" s="14">
        <v>3766900</v>
      </c>
      <c r="H166" s="14">
        <f t="shared" si="2"/>
        <v>2.2595328904212453E-2</v>
      </c>
    </row>
    <row r="167" spans="1:8" x14ac:dyDescent="0.25">
      <c r="A167" s="46">
        <v>44799</v>
      </c>
      <c r="B167" s="14">
        <v>233.63000500000001</v>
      </c>
      <c r="C167" s="14">
        <v>236.949997</v>
      </c>
      <c r="D167" s="14">
        <v>223.14999399999999</v>
      </c>
      <c r="E167" s="14">
        <v>223.279999</v>
      </c>
      <c r="F167" s="14">
        <v>223.279999</v>
      </c>
      <c r="G167" s="14">
        <v>5349800</v>
      </c>
      <c r="H167" s="14">
        <f t="shared" si="2"/>
        <v>-2.5545877729257649E-2</v>
      </c>
    </row>
    <row r="168" spans="1:8" x14ac:dyDescent="0.25">
      <c r="A168" s="46">
        <v>44802</v>
      </c>
      <c r="B168" s="14">
        <v>221.929993</v>
      </c>
      <c r="C168" s="14">
        <v>229.86999499999999</v>
      </c>
      <c r="D168" s="14">
        <v>221.520004</v>
      </c>
      <c r="E168" s="14">
        <v>224.570007</v>
      </c>
      <c r="F168" s="14">
        <v>224.570007</v>
      </c>
      <c r="G168" s="14">
        <v>7109400</v>
      </c>
      <c r="H168" s="14">
        <f t="shared" si="2"/>
        <v>-2.4348196935196631E-3</v>
      </c>
    </row>
    <row r="169" spans="1:8" x14ac:dyDescent="0.25">
      <c r="A169" s="46">
        <v>44803</v>
      </c>
      <c r="B169" s="14">
        <v>226.66000399999999</v>
      </c>
      <c r="C169" s="14">
        <v>229.78999300000001</v>
      </c>
      <c r="D169" s="14">
        <v>218.740005</v>
      </c>
      <c r="E169" s="14">
        <v>220.64999399999999</v>
      </c>
      <c r="F169" s="14">
        <v>220.64999399999999</v>
      </c>
      <c r="G169" s="14">
        <v>5740400</v>
      </c>
      <c r="H169" s="14">
        <f t="shared" si="2"/>
        <v>-1.2549652174979165E-2</v>
      </c>
    </row>
    <row r="170" spans="1:8" x14ac:dyDescent="0.25">
      <c r="A170" s="46">
        <v>44804</v>
      </c>
      <c r="B170" s="14">
        <v>227</v>
      </c>
      <c r="C170" s="14">
        <v>233.88000500000001</v>
      </c>
      <c r="D170" s="14">
        <v>223.429993</v>
      </c>
      <c r="E170" s="14">
        <v>223.55999800000001</v>
      </c>
      <c r="F170" s="14">
        <v>223.55999800000001</v>
      </c>
      <c r="G170" s="14">
        <v>8615900</v>
      </c>
      <c r="H170" s="14">
        <f t="shared" si="2"/>
        <v>2.1440924809341677E-2</v>
      </c>
    </row>
    <row r="171" spans="1:8" x14ac:dyDescent="0.25">
      <c r="A171" s="46">
        <v>44805</v>
      </c>
      <c r="B171" s="14">
        <v>220.720001</v>
      </c>
      <c r="C171" s="14">
        <v>230.36999499999999</v>
      </c>
      <c r="D171" s="14">
        <v>219.470001</v>
      </c>
      <c r="E171" s="14">
        <v>230.03999300000001</v>
      </c>
      <c r="F171" s="14">
        <v>230.03999300000001</v>
      </c>
      <c r="G171" s="14">
        <v>7292900</v>
      </c>
      <c r="H171" s="14">
        <f t="shared" si="2"/>
        <v>-1.7723636593409364E-2</v>
      </c>
    </row>
    <row r="172" spans="1:8" x14ac:dyDescent="0.25">
      <c r="A172" s="46">
        <v>44806</v>
      </c>
      <c r="B172" s="14">
        <v>231.029999</v>
      </c>
      <c r="C172" s="14">
        <v>233.88000500000001</v>
      </c>
      <c r="D172" s="14">
        <v>225.03999300000001</v>
      </c>
      <c r="E172" s="14">
        <v>226.11000100000001</v>
      </c>
      <c r="F172" s="14">
        <v>226.11000100000001</v>
      </c>
      <c r="G172" s="14">
        <v>8164900</v>
      </c>
      <c r="H172" s="14">
        <f t="shared" si="2"/>
        <v>2.5379286347203323E-2</v>
      </c>
    </row>
    <row r="173" spans="1:8" x14ac:dyDescent="0.25">
      <c r="A173" s="46">
        <v>44810</v>
      </c>
      <c r="B173" s="14">
        <v>225.58999600000001</v>
      </c>
      <c r="C173" s="14">
        <v>226.85000600000001</v>
      </c>
      <c r="D173" s="14">
        <v>214.69000199999999</v>
      </c>
      <c r="E173" s="14">
        <v>218.38999899999999</v>
      </c>
      <c r="F173" s="14">
        <v>218.38999899999999</v>
      </c>
      <c r="G173" s="14">
        <v>7469000</v>
      </c>
      <c r="H173" s="14">
        <f t="shared" si="2"/>
        <v>-1.1497946278375526E-2</v>
      </c>
    </row>
    <row r="174" spans="1:8" x14ac:dyDescent="0.25">
      <c r="A174" s="46">
        <v>44811</v>
      </c>
      <c r="B174" s="14">
        <v>220.21000699999999</v>
      </c>
      <c r="C174" s="14">
        <v>229.33000200000001</v>
      </c>
      <c r="D174" s="14">
        <v>218.270004</v>
      </c>
      <c r="E174" s="14">
        <v>228.96000699999999</v>
      </c>
      <c r="F174" s="14">
        <v>228.96000699999999</v>
      </c>
      <c r="G174" s="14">
        <v>8149300</v>
      </c>
      <c r="H174" s="14">
        <f t="shared" si="2"/>
        <v>1.6675215271552357E-2</v>
      </c>
    </row>
    <row r="175" spans="1:8" x14ac:dyDescent="0.25">
      <c r="A175" s="46">
        <v>44812</v>
      </c>
      <c r="B175" s="14">
        <v>224.16000399999999</v>
      </c>
      <c r="C175" s="14">
        <v>228.740005</v>
      </c>
      <c r="D175" s="14">
        <v>221.300003</v>
      </c>
      <c r="E175" s="14">
        <v>227.44000199999999</v>
      </c>
      <c r="F175" s="14">
        <v>227.44000199999999</v>
      </c>
      <c r="G175" s="14">
        <v>6737400</v>
      </c>
      <c r="H175" s="14">
        <f t="shared" si="2"/>
        <v>1.3881884567152891E-2</v>
      </c>
    </row>
    <row r="176" spans="1:8" x14ac:dyDescent="0.25">
      <c r="A176" s="46">
        <v>44813</v>
      </c>
      <c r="B176" s="14">
        <v>229.61999499999999</v>
      </c>
      <c r="C176" s="14">
        <v>234.779999</v>
      </c>
      <c r="D176" s="14">
        <v>229.61999499999999</v>
      </c>
      <c r="E176" s="14">
        <v>233.570007</v>
      </c>
      <c r="F176" s="14">
        <v>233.570007</v>
      </c>
      <c r="G176" s="14">
        <v>6699600</v>
      </c>
      <c r="H176" s="14">
        <f t="shared" si="2"/>
        <v>3.7595986837831052E-2</v>
      </c>
    </row>
    <row r="177" spans="1:8" x14ac:dyDescent="0.25">
      <c r="A177" s="46">
        <v>44816</v>
      </c>
      <c r="B177" s="14">
        <v>233.61000100000001</v>
      </c>
      <c r="C177" s="14">
        <v>239.490005</v>
      </c>
      <c r="D177" s="14">
        <v>233.36999499999999</v>
      </c>
      <c r="E177" s="14">
        <v>236.529999</v>
      </c>
      <c r="F177" s="14">
        <v>236.529999</v>
      </c>
      <c r="G177" s="14">
        <v>6047400</v>
      </c>
      <c r="H177" s="14">
        <f t="shared" si="2"/>
        <v>5.4437767930444929E-3</v>
      </c>
    </row>
    <row r="178" spans="1:8" x14ac:dyDescent="0.25">
      <c r="A178" s="46">
        <v>44817</v>
      </c>
      <c r="B178" s="14">
        <v>226.5</v>
      </c>
      <c r="C178" s="14">
        <v>227.69000199999999</v>
      </c>
      <c r="D178" s="14">
        <v>217.720001</v>
      </c>
      <c r="E178" s="14">
        <v>218.13000500000001</v>
      </c>
      <c r="F178" s="14">
        <v>218.13000500000001</v>
      </c>
      <c r="G178" s="14">
        <v>8000100</v>
      </c>
      <c r="H178" s="14">
        <f t="shared" si="2"/>
        <v>-6.7060866158050847E-2</v>
      </c>
    </row>
    <row r="179" spans="1:8" x14ac:dyDescent="0.25">
      <c r="A179" s="46">
        <v>44818</v>
      </c>
      <c r="B179" s="14">
        <v>219.820007</v>
      </c>
      <c r="C179" s="14">
        <v>228</v>
      </c>
      <c r="D179" s="14">
        <v>215.800003</v>
      </c>
      <c r="E179" s="14">
        <v>224.11999499999999</v>
      </c>
      <c r="F179" s="14">
        <v>224.11999499999999</v>
      </c>
      <c r="G179" s="14">
        <v>8230300</v>
      </c>
      <c r="H179" s="14">
        <f t="shared" si="2"/>
        <v>-8.8186569501255141E-3</v>
      </c>
    </row>
    <row r="180" spans="1:8" x14ac:dyDescent="0.25">
      <c r="A180" s="46">
        <v>44819</v>
      </c>
      <c r="B180" s="14">
        <v>230.470001</v>
      </c>
      <c r="C180" s="14">
        <v>242.28999300000001</v>
      </c>
      <c r="D180" s="14">
        <v>229.10000600000001</v>
      </c>
      <c r="E180" s="14">
        <v>235.38000500000001</v>
      </c>
      <c r="F180" s="14">
        <v>235.38000500000001</v>
      </c>
      <c r="G180" s="14">
        <v>19454100</v>
      </c>
      <c r="H180" s="14">
        <f t="shared" si="2"/>
        <v>6.1631152989372273E-2</v>
      </c>
    </row>
    <row r="181" spans="1:8" x14ac:dyDescent="0.25">
      <c r="A181" s="46">
        <v>44820</v>
      </c>
      <c r="B181" s="14">
        <v>231.220001</v>
      </c>
      <c r="C181" s="14">
        <v>241.36000100000001</v>
      </c>
      <c r="D181" s="14">
        <v>227.83000200000001</v>
      </c>
      <c r="E181" s="14">
        <v>240.13000500000001</v>
      </c>
      <c r="F181" s="14">
        <v>240.13000500000001</v>
      </c>
      <c r="G181" s="14">
        <v>18914200</v>
      </c>
      <c r="H181" s="14">
        <f t="shared" si="2"/>
        <v>-5.5434481306823047E-3</v>
      </c>
    </row>
    <row r="182" spans="1:8" x14ac:dyDescent="0.25">
      <c r="A182" s="46">
        <v>44823</v>
      </c>
      <c r="B182" s="14">
        <v>245.050003</v>
      </c>
      <c r="C182" s="14">
        <v>245.25</v>
      </c>
      <c r="D182" s="14">
        <v>235.75</v>
      </c>
      <c r="E182" s="14">
        <v>243.63000500000001</v>
      </c>
      <c r="F182" s="14">
        <v>243.63000500000001</v>
      </c>
      <c r="G182" s="14">
        <v>17912400</v>
      </c>
      <c r="H182" s="14">
        <f t="shared" si="2"/>
        <v>1.1587584208217372E-2</v>
      </c>
    </row>
    <row r="183" spans="1:8" x14ac:dyDescent="0.25">
      <c r="A183" s="46">
        <v>44824</v>
      </c>
      <c r="B183" s="14">
        <v>240.36999499999999</v>
      </c>
      <c r="C183" s="14">
        <v>250.490005</v>
      </c>
      <c r="D183" s="14">
        <v>239.66000399999999</v>
      </c>
      <c r="E183" s="14">
        <v>242.85000600000001</v>
      </c>
      <c r="F183" s="14">
        <v>242.85000600000001</v>
      </c>
      <c r="G183" s="14">
        <v>16037400</v>
      </c>
      <c r="H183" s="14">
        <f t="shared" si="2"/>
        <v>1.65853828207847E-2</v>
      </c>
    </row>
    <row r="184" spans="1:8" x14ac:dyDescent="0.25">
      <c r="A184" s="46">
        <v>44825</v>
      </c>
      <c r="B184" s="14">
        <v>242.66999799999999</v>
      </c>
      <c r="C184" s="14">
        <v>248.300003</v>
      </c>
      <c r="D184" s="14">
        <v>236.679993</v>
      </c>
      <c r="E184" s="14">
        <v>236.86999499999999</v>
      </c>
      <c r="F184" s="14">
        <v>236.86999499999999</v>
      </c>
      <c r="G184" s="14">
        <v>9166800</v>
      </c>
      <c r="H184" s="14">
        <f t="shared" si="2"/>
        <v>-1.2434327590180594E-2</v>
      </c>
    </row>
    <row r="185" spans="1:8" x14ac:dyDescent="0.25">
      <c r="A185" s="46">
        <v>44826</v>
      </c>
      <c r="B185" s="14">
        <v>235.35000600000001</v>
      </c>
      <c r="C185" s="14">
        <v>240.5</v>
      </c>
      <c r="D185" s="14">
        <v>231.66000399999999</v>
      </c>
      <c r="E185" s="14">
        <v>237.050003</v>
      </c>
      <c r="F185" s="14">
        <v>237.050003</v>
      </c>
      <c r="G185" s="14">
        <v>10018000</v>
      </c>
      <c r="H185" s="14">
        <f t="shared" si="2"/>
        <v>-2.1210026823010764E-2</v>
      </c>
    </row>
    <row r="186" spans="1:8" x14ac:dyDescent="0.25">
      <c r="A186" s="46">
        <v>44827</v>
      </c>
      <c r="B186" s="14">
        <v>235.13999899999999</v>
      </c>
      <c r="C186" s="14">
        <v>236.449997</v>
      </c>
      <c r="D186" s="14">
        <v>221.429993</v>
      </c>
      <c r="E186" s="14">
        <v>226.41000399999999</v>
      </c>
      <c r="F186" s="14">
        <v>226.41000399999999</v>
      </c>
      <c r="G186" s="14">
        <v>11207200</v>
      </c>
      <c r="H186" s="14">
        <f t="shared" si="2"/>
        <v>-4.4159590880435196E-2</v>
      </c>
    </row>
    <row r="187" spans="1:8" x14ac:dyDescent="0.25">
      <c r="A187" s="46">
        <v>44830</v>
      </c>
      <c r="B187" s="14">
        <v>225.60000600000001</v>
      </c>
      <c r="C187" s="14">
        <v>232.699997</v>
      </c>
      <c r="D187" s="14">
        <v>223.009995</v>
      </c>
      <c r="E187" s="14">
        <v>224.070007</v>
      </c>
      <c r="F187" s="14">
        <v>224.070007</v>
      </c>
      <c r="G187" s="14">
        <v>8234300</v>
      </c>
      <c r="H187" s="14">
        <f t="shared" si="2"/>
        <v>2.3784823645518482E-3</v>
      </c>
    </row>
    <row r="188" spans="1:8" x14ac:dyDescent="0.25">
      <c r="A188" s="46">
        <v>44831</v>
      </c>
      <c r="B188" s="14">
        <v>228.63000500000001</v>
      </c>
      <c r="C188" s="14">
        <v>230.63999899999999</v>
      </c>
      <c r="D188" s="14">
        <v>220.720001</v>
      </c>
      <c r="E188" s="14">
        <v>224.36000100000001</v>
      </c>
      <c r="F188" s="14">
        <v>224.36000100000001</v>
      </c>
      <c r="G188" s="14">
        <v>7762200</v>
      </c>
      <c r="H188" s="14">
        <f t="shared" si="2"/>
        <v>-1.0268571146329175E-2</v>
      </c>
    </row>
    <row r="189" spans="1:8" x14ac:dyDescent="0.25">
      <c r="A189" s="46">
        <v>44832</v>
      </c>
      <c r="B189" s="14">
        <v>229.69000199999999</v>
      </c>
      <c r="C189" s="14">
        <v>246.64999399999999</v>
      </c>
      <c r="D189" s="14">
        <v>227.38000500000001</v>
      </c>
      <c r="E189" s="14">
        <v>245.199997</v>
      </c>
      <c r="F189" s="14">
        <v>245.199997</v>
      </c>
      <c r="G189" s="14">
        <v>17579700</v>
      </c>
      <c r="H189" s="14">
        <f t="shared" si="2"/>
        <v>3.0173994064090381E-2</v>
      </c>
    </row>
    <row r="190" spans="1:8" x14ac:dyDescent="0.25">
      <c r="A190" s="46">
        <v>44833</v>
      </c>
      <c r="B190" s="14">
        <v>241.61000100000001</v>
      </c>
      <c r="C190" s="14">
        <v>246.979996</v>
      </c>
      <c r="D190" s="14">
        <v>235.679993</v>
      </c>
      <c r="E190" s="14">
        <v>239.71000699999999</v>
      </c>
      <c r="F190" s="14">
        <v>239.71000699999999</v>
      </c>
      <c r="G190" s="14">
        <v>18994900</v>
      </c>
      <c r="H190" s="14">
        <f t="shared" si="2"/>
        <v>3.6502717114462069E-2</v>
      </c>
    </row>
    <row r="191" spans="1:8" x14ac:dyDescent="0.25">
      <c r="A191" s="46">
        <v>44834</v>
      </c>
      <c r="B191" s="14">
        <v>237</v>
      </c>
      <c r="C191" s="14">
        <v>242.44000199999999</v>
      </c>
      <c r="D191" s="14">
        <v>233.259995</v>
      </c>
      <c r="E191" s="14">
        <v>235.44000199999999</v>
      </c>
      <c r="F191" s="14">
        <v>235.44000199999999</v>
      </c>
      <c r="G191" s="14">
        <v>11848600</v>
      </c>
      <c r="H191" s="14">
        <f t="shared" si="2"/>
        <v>-1.0268152036138178E-2</v>
      </c>
    </row>
    <row r="192" spans="1:8" x14ac:dyDescent="0.25">
      <c r="A192" s="46">
        <v>44837</v>
      </c>
      <c r="B192" s="14">
        <v>237.85000600000001</v>
      </c>
      <c r="C192" s="14">
        <v>241.53999300000001</v>
      </c>
      <c r="D192" s="14">
        <v>232.85000600000001</v>
      </c>
      <c r="E192" s="14">
        <v>239.03999300000001</v>
      </c>
      <c r="F192" s="14">
        <v>239.03999300000001</v>
      </c>
      <c r="G192" s="14">
        <v>8657400</v>
      </c>
      <c r="H192" s="14">
        <f t="shared" si="2"/>
        <v>-5.8588271855186669E-4</v>
      </c>
    </row>
    <row r="193" spans="1:8" x14ac:dyDescent="0.25">
      <c r="A193" s="46">
        <v>44838</v>
      </c>
      <c r="B193" s="14">
        <v>244.83999600000001</v>
      </c>
      <c r="C193" s="14">
        <v>245.800003</v>
      </c>
      <c r="D193" s="14">
        <v>233.25</v>
      </c>
      <c r="E193" s="14">
        <v>240.740005</v>
      </c>
      <c r="F193" s="14">
        <v>240.740005</v>
      </c>
      <c r="G193" s="14">
        <v>13925900</v>
      </c>
      <c r="H193" s="14">
        <f t="shared" si="2"/>
        <v>1.7178182937216402E-3</v>
      </c>
    </row>
    <row r="194" spans="1:8" x14ac:dyDescent="0.25">
      <c r="A194" s="46">
        <v>44839</v>
      </c>
      <c r="B194" s="14">
        <v>238.759995</v>
      </c>
      <c r="C194" s="14">
        <v>241.58999600000001</v>
      </c>
      <c r="D194" s="14">
        <v>227.38000500000001</v>
      </c>
      <c r="E194" s="14">
        <v>236.729996</v>
      </c>
      <c r="F194" s="14">
        <v>236.729996</v>
      </c>
      <c r="G194" s="14">
        <v>10825600</v>
      </c>
      <c r="H194" s="14">
        <f t="shared" si="2"/>
        <v>-2.5166109324758823E-2</v>
      </c>
    </row>
    <row r="195" spans="1:8" x14ac:dyDescent="0.25">
      <c r="A195" s="46">
        <v>44840</v>
      </c>
      <c r="B195" s="14">
        <v>236.679993</v>
      </c>
      <c r="C195" s="14">
        <v>244.279999</v>
      </c>
      <c r="D195" s="14">
        <v>233.91000399999999</v>
      </c>
      <c r="E195" s="14">
        <v>240.020004</v>
      </c>
      <c r="F195" s="14">
        <v>240.020004</v>
      </c>
      <c r="G195" s="14">
        <v>9188900</v>
      </c>
      <c r="H195" s="14">
        <f t="shared" si="2"/>
        <v>2.8718439864578116E-2</v>
      </c>
    </row>
    <row r="196" spans="1:8" x14ac:dyDescent="0.25">
      <c r="A196" s="46">
        <v>44841</v>
      </c>
      <c r="B196" s="14">
        <v>235.770004</v>
      </c>
      <c r="C196" s="14">
        <v>237.33000200000001</v>
      </c>
      <c r="D196" s="14">
        <v>224.279999</v>
      </c>
      <c r="E196" s="14">
        <v>224.75</v>
      </c>
      <c r="F196" s="14">
        <v>224.75</v>
      </c>
      <c r="G196" s="14">
        <v>9806100</v>
      </c>
      <c r="H196" s="14">
        <f t="shared" ref="H196:H259" si="3">(D196/D195-1)/(A196-A195)</f>
        <v>-4.1169701318118812E-2</v>
      </c>
    </row>
    <row r="197" spans="1:8" x14ac:dyDescent="0.25">
      <c r="A197" s="46">
        <v>44844</v>
      </c>
      <c r="B197" s="14">
        <v>225.63999899999999</v>
      </c>
      <c r="C197" s="14">
        <v>233.83000200000001</v>
      </c>
      <c r="D197" s="14">
        <v>224.229996</v>
      </c>
      <c r="E197" s="14">
        <v>229.979996</v>
      </c>
      <c r="F197" s="14">
        <v>229.979996</v>
      </c>
      <c r="G197" s="14">
        <v>9991100</v>
      </c>
      <c r="H197" s="14">
        <f t="shared" si="3"/>
        <v>-7.4316331108363151E-5</v>
      </c>
    </row>
    <row r="198" spans="1:8" x14ac:dyDescent="0.25">
      <c r="A198" s="46">
        <v>44845</v>
      </c>
      <c r="B198" s="14">
        <v>226.050003</v>
      </c>
      <c r="C198" s="14">
        <v>230.44000199999999</v>
      </c>
      <c r="D198" s="14">
        <v>213.699997</v>
      </c>
      <c r="E198" s="14">
        <v>214.28999300000001</v>
      </c>
      <c r="F198" s="14">
        <v>214.28999300000001</v>
      </c>
      <c r="G198" s="14">
        <v>15282400</v>
      </c>
      <c r="H198" s="14">
        <f t="shared" si="3"/>
        <v>-4.6960706363300297E-2</v>
      </c>
    </row>
    <row r="199" spans="1:8" x14ac:dyDescent="0.25">
      <c r="A199" s="46">
        <v>44846</v>
      </c>
      <c r="B199" s="14">
        <v>214.300003</v>
      </c>
      <c r="C199" s="14">
        <v>223.66999799999999</v>
      </c>
      <c r="D199" s="14">
        <v>212.63999899999999</v>
      </c>
      <c r="E199" s="14">
        <v>220.86999499999999</v>
      </c>
      <c r="F199" s="14">
        <v>220.86999499999999</v>
      </c>
      <c r="G199" s="14">
        <v>12952600</v>
      </c>
      <c r="H199" s="14">
        <f t="shared" si="3"/>
        <v>-4.9602153246638414E-3</v>
      </c>
    </row>
    <row r="200" spans="1:8" x14ac:dyDescent="0.25">
      <c r="A200" s="46">
        <v>44847</v>
      </c>
      <c r="B200" s="14">
        <v>212.69000199999999</v>
      </c>
      <c r="C200" s="14">
        <v>234.470001</v>
      </c>
      <c r="D200" s="14">
        <v>211.729996</v>
      </c>
      <c r="E200" s="14">
        <v>232.509995</v>
      </c>
      <c r="F200" s="14">
        <v>232.509995</v>
      </c>
      <c r="G200" s="14">
        <v>17505000</v>
      </c>
      <c r="H200" s="14">
        <f t="shared" si="3"/>
        <v>-4.2795476123003162E-3</v>
      </c>
    </row>
    <row r="201" spans="1:8" x14ac:dyDescent="0.25">
      <c r="A201" s="46">
        <v>44848</v>
      </c>
      <c r="B201" s="14">
        <v>237.800003</v>
      </c>
      <c r="C201" s="14">
        <v>238.800003</v>
      </c>
      <c r="D201" s="14">
        <v>229.509995</v>
      </c>
      <c r="E201" s="14">
        <v>230</v>
      </c>
      <c r="F201" s="14">
        <v>230</v>
      </c>
      <c r="G201" s="14">
        <v>15293400</v>
      </c>
      <c r="H201" s="14">
        <f t="shared" si="3"/>
        <v>8.3974870523305656E-2</v>
      </c>
    </row>
    <row r="202" spans="1:8" x14ac:dyDescent="0.25">
      <c r="A202" s="46">
        <v>44851</v>
      </c>
      <c r="B202" s="14">
        <v>234.41000399999999</v>
      </c>
      <c r="C202" s="14">
        <v>249.91999799999999</v>
      </c>
      <c r="D202" s="14">
        <v>234.39999399999999</v>
      </c>
      <c r="E202" s="14">
        <v>245.10000600000001</v>
      </c>
      <c r="F202" s="14">
        <v>245.10000600000001</v>
      </c>
      <c r="G202" s="14">
        <v>21057800</v>
      </c>
      <c r="H202" s="14">
        <f t="shared" si="3"/>
        <v>7.1020857573835068E-3</v>
      </c>
    </row>
    <row r="203" spans="1:8" x14ac:dyDescent="0.25">
      <c r="A203" s="46">
        <v>44852</v>
      </c>
      <c r="B203" s="14">
        <v>249.800003</v>
      </c>
      <c r="C203" s="14">
        <v>250.36999499999999</v>
      </c>
      <c r="D203" s="14">
        <v>237.729996</v>
      </c>
      <c r="E203" s="14">
        <v>240.86000100000001</v>
      </c>
      <c r="F203" s="14">
        <v>240.86000100000001</v>
      </c>
      <c r="G203" s="14">
        <v>25776700</v>
      </c>
      <c r="H203" s="14">
        <f t="shared" si="3"/>
        <v>1.4206493537708864E-2</v>
      </c>
    </row>
    <row r="204" spans="1:8" x14ac:dyDescent="0.25">
      <c r="A204" s="46">
        <v>44853</v>
      </c>
      <c r="B204" s="14">
        <v>265</v>
      </c>
      <c r="C204" s="14">
        <v>279.29998799999998</v>
      </c>
      <c r="D204" s="14">
        <v>262.66000400000001</v>
      </c>
      <c r="E204" s="14">
        <v>272.38000499999998</v>
      </c>
      <c r="F204" s="14">
        <v>272.38000499999998</v>
      </c>
      <c r="G204" s="14">
        <v>46685300</v>
      </c>
      <c r="H204" s="14">
        <f t="shared" si="3"/>
        <v>0.10486690118818665</v>
      </c>
    </row>
    <row r="205" spans="1:8" x14ac:dyDescent="0.25">
      <c r="A205" s="46">
        <v>44854</v>
      </c>
      <c r="B205" s="14">
        <v>272.77999899999998</v>
      </c>
      <c r="C205" s="14">
        <v>278.38000499999998</v>
      </c>
      <c r="D205" s="14">
        <v>266.38000499999998</v>
      </c>
      <c r="E205" s="14">
        <v>268.16000400000001</v>
      </c>
      <c r="F205" s="14">
        <v>268.16000400000001</v>
      </c>
      <c r="G205" s="14">
        <v>17207100</v>
      </c>
      <c r="H205" s="14">
        <f t="shared" si="3"/>
        <v>1.4162799601571407E-2</v>
      </c>
    </row>
    <row r="206" spans="1:8" x14ac:dyDescent="0.25">
      <c r="A206" s="46">
        <v>44855</v>
      </c>
      <c r="B206" s="14">
        <v>268.95001200000002</v>
      </c>
      <c r="C206" s="14">
        <v>290.75</v>
      </c>
      <c r="D206" s="14">
        <v>265.67999300000002</v>
      </c>
      <c r="E206" s="14">
        <v>289.57000699999998</v>
      </c>
      <c r="F206" s="14">
        <v>289.57000699999998</v>
      </c>
      <c r="G206" s="14">
        <v>24889100</v>
      </c>
      <c r="H206" s="14">
        <f t="shared" si="3"/>
        <v>-2.6278699108814862E-3</v>
      </c>
    </row>
    <row r="207" spans="1:8" x14ac:dyDescent="0.25">
      <c r="A207" s="46">
        <v>44858</v>
      </c>
      <c r="B207" s="14">
        <v>290.23001099999999</v>
      </c>
      <c r="C207" s="14">
        <v>290.48998999999998</v>
      </c>
      <c r="D207" s="14">
        <v>280.35998499999999</v>
      </c>
      <c r="E207" s="14">
        <v>282.45001200000002</v>
      </c>
      <c r="F207" s="14">
        <v>282.45001200000002</v>
      </c>
      <c r="G207" s="14">
        <v>13326400</v>
      </c>
      <c r="H207" s="14">
        <f t="shared" si="3"/>
        <v>1.8418137592568568E-2</v>
      </c>
    </row>
    <row r="208" spans="1:8" x14ac:dyDescent="0.25">
      <c r="A208" s="46">
        <v>44859</v>
      </c>
      <c r="B208" s="14">
        <v>286.95001200000002</v>
      </c>
      <c r="C208" s="14">
        <v>297.58999599999999</v>
      </c>
      <c r="D208" s="14">
        <v>285.54998799999998</v>
      </c>
      <c r="E208" s="14">
        <v>291.01998900000001</v>
      </c>
      <c r="F208" s="14">
        <v>291.01998900000001</v>
      </c>
      <c r="G208" s="14">
        <v>15100700</v>
      </c>
      <c r="H208" s="14">
        <f t="shared" si="3"/>
        <v>1.851192494535181E-2</v>
      </c>
    </row>
    <row r="209" spans="1:8" x14ac:dyDescent="0.25">
      <c r="A209" s="46">
        <v>44860</v>
      </c>
      <c r="B209" s="14">
        <v>290.040009</v>
      </c>
      <c r="C209" s="14">
        <v>305.63000499999998</v>
      </c>
      <c r="D209" s="14">
        <v>288.040009</v>
      </c>
      <c r="E209" s="14">
        <v>298.61999500000002</v>
      </c>
      <c r="F209" s="14">
        <v>298.61999500000002</v>
      </c>
      <c r="G209" s="14">
        <v>15714100</v>
      </c>
      <c r="H209" s="14">
        <f t="shared" si="3"/>
        <v>8.7200879167959044E-3</v>
      </c>
    </row>
    <row r="210" spans="1:8" x14ac:dyDescent="0.25">
      <c r="A210" s="46">
        <v>44861</v>
      </c>
      <c r="B210" s="14">
        <v>298.32998700000002</v>
      </c>
      <c r="C210" s="14">
        <v>305.209991</v>
      </c>
      <c r="D210" s="14">
        <v>294.77999899999998</v>
      </c>
      <c r="E210" s="14">
        <v>296.94000199999999</v>
      </c>
      <c r="F210" s="14">
        <v>296.94000199999999</v>
      </c>
      <c r="G210" s="14">
        <v>14612600</v>
      </c>
      <c r="H210" s="14">
        <f t="shared" si="3"/>
        <v>2.3399492394821975E-2</v>
      </c>
    </row>
    <row r="211" spans="1:8" x14ac:dyDescent="0.25">
      <c r="A211" s="46">
        <v>44862</v>
      </c>
      <c r="B211" s="14">
        <v>297.70001200000002</v>
      </c>
      <c r="C211" s="14">
        <v>301.19000199999999</v>
      </c>
      <c r="D211" s="14">
        <v>292.290009</v>
      </c>
      <c r="E211" s="14">
        <v>295.72000100000002</v>
      </c>
      <c r="F211" s="14">
        <v>295.72000100000002</v>
      </c>
      <c r="G211" s="14">
        <v>9960500</v>
      </c>
      <c r="H211" s="14">
        <f t="shared" si="3"/>
        <v>-8.4469435119306491E-3</v>
      </c>
    </row>
    <row r="212" spans="1:8" x14ac:dyDescent="0.25">
      <c r="A212" s="46">
        <v>44865</v>
      </c>
      <c r="B212" s="14">
        <v>295.13000499999998</v>
      </c>
      <c r="C212" s="14">
        <v>297.61999500000002</v>
      </c>
      <c r="D212" s="14">
        <v>289.5</v>
      </c>
      <c r="E212" s="14">
        <v>291.88000499999998</v>
      </c>
      <c r="F212" s="14">
        <v>291.88000499999998</v>
      </c>
      <c r="G212" s="14">
        <v>7505100</v>
      </c>
      <c r="H212" s="14">
        <f t="shared" si="3"/>
        <v>-3.1817816940845254E-3</v>
      </c>
    </row>
    <row r="213" spans="1:8" x14ac:dyDescent="0.25">
      <c r="A213" s="46">
        <v>44866</v>
      </c>
      <c r="B213" s="14">
        <v>296.17001299999998</v>
      </c>
      <c r="C213" s="14">
        <v>299.70001200000002</v>
      </c>
      <c r="D213" s="14">
        <v>286.42001299999998</v>
      </c>
      <c r="E213" s="14">
        <v>286.75</v>
      </c>
      <c r="F213" s="14">
        <v>286.75</v>
      </c>
      <c r="G213" s="14">
        <v>6916400</v>
      </c>
      <c r="H213" s="14">
        <f t="shared" si="3"/>
        <v>-1.0638987910190023E-2</v>
      </c>
    </row>
    <row r="214" spans="1:8" x14ac:dyDescent="0.25">
      <c r="A214" s="46">
        <v>44867</v>
      </c>
      <c r="B214" s="14">
        <v>286.39999399999999</v>
      </c>
      <c r="C214" s="14">
        <v>287.32998700000002</v>
      </c>
      <c r="D214" s="14">
        <v>272.83999599999999</v>
      </c>
      <c r="E214" s="14">
        <v>273</v>
      </c>
      <c r="F214" s="14">
        <v>273</v>
      </c>
      <c r="G214" s="14">
        <v>10367600</v>
      </c>
      <c r="H214" s="14">
        <f t="shared" si="3"/>
        <v>-4.7412947362724944E-2</v>
      </c>
    </row>
    <row r="215" spans="1:8" x14ac:dyDescent="0.25">
      <c r="A215" s="46">
        <v>44868</v>
      </c>
      <c r="B215" s="14">
        <v>271.25</v>
      </c>
      <c r="C215" s="14">
        <v>276.290009</v>
      </c>
      <c r="D215" s="14">
        <v>268.79998799999998</v>
      </c>
      <c r="E215" s="14">
        <v>269.05999800000001</v>
      </c>
      <c r="F215" s="14">
        <v>269.05999800000001</v>
      </c>
      <c r="G215" s="14">
        <v>7057400</v>
      </c>
      <c r="H215" s="14">
        <f t="shared" si="3"/>
        <v>-1.4807242556916012E-2</v>
      </c>
    </row>
    <row r="216" spans="1:8" x14ac:dyDescent="0.25">
      <c r="A216" s="46">
        <v>44869</v>
      </c>
      <c r="B216" s="14">
        <v>272.01998900000001</v>
      </c>
      <c r="C216" s="14">
        <v>274.97000100000002</v>
      </c>
      <c r="D216" s="14">
        <v>255.320007</v>
      </c>
      <c r="E216" s="14">
        <v>260.790009</v>
      </c>
      <c r="F216" s="14">
        <v>260.790009</v>
      </c>
      <c r="G216" s="14">
        <v>11124700</v>
      </c>
      <c r="H216" s="14">
        <f t="shared" si="3"/>
        <v>-5.014874107806877E-2</v>
      </c>
    </row>
    <row r="217" spans="1:8" x14ac:dyDescent="0.25">
      <c r="A217" s="46">
        <v>44872</v>
      </c>
      <c r="B217" s="14">
        <v>261.05999800000001</v>
      </c>
      <c r="C217" s="14">
        <v>261.14999399999999</v>
      </c>
      <c r="D217" s="14">
        <v>252.08999600000001</v>
      </c>
      <c r="E217" s="14">
        <v>258.60000600000001</v>
      </c>
      <c r="F217" s="14">
        <v>258.60000600000001</v>
      </c>
      <c r="G217" s="14">
        <v>7927000</v>
      </c>
      <c r="H217" s="14">
        <f t="shared" si="3"/>
        <v>-4.2169446334588594E-3</v>
      </c>
    </row>
    <row r="218" spans="1:8" x14ac:dyDescent="0.25">
      <c r="A218" s="46">
        <v>44873</v>
      </c>
      <c r="B218" s="14">
        <v>259.92001299999998</v>
      </c>
      <c r="C218" s="14">
        <v>266.07998700000002</v>
      </c>
      <c r="D218" s="14">
        <v>256.88000499999998</v>
      </c>
      <c r="E218" s="14">
        <v>263.459991</v>
      </c>
      <c r="F218" s="14">
        <v>263.459991</v>
      </c>
      <c r="G218" s="14">
        <v>7683800</v>
      </c>
      <c r="H218" s="14">
        <f t="shared" si="3"/>
        <v>1.9001186385833257E-2</v>
      </c>
    </row>
    <row r="219" spans="1:8" x14ac:dyDescent="0.25">
      <c r="A219" s="46">
        <v>44874</v>
      </c>
      <c r="B219" s="14">
        <v>259.66000400000001</v>
      </c>
      <c r="C219" s="14">
        <v>260.89999399999999</v>
      </c>
      <c r="D219" s="14">
        <v>254.220001</v>
      </c>
      <c r="E219" s="14">
        <v>254.66000399999999</v>
      </c>
      <c r="F219" s="14">
        <v>254.66000399999999</v>
      </c>
      <c r="G219" s="14">
        <v>7266000</v>
      </c>
      <c r="H219" s="14">
        <f t="shared" si="3"/>
        <v>-1.0355044955717707E-2</v>
      </c>
    </row>
    <row r="220" spans="1:8" x14ac:dyDescent="0.25">
      <c r="A220" s="46">
        <v>44875</v>
      </c>
      <c r="B220" s="14">
        <v>265.98998999999998</v>
      </c>
      <c r="C220" s="14">
        <v>275.35998499999999</v>
      </c>
      <c r="D220" s="14">
        <v>260.08999599999999</v>
      </c>
      <c r="E220" s="14">
        <v>274.97000100000002</v>
      </c>
      <c r="F220" s="14">
        <v>274.97000100000002</v>
      </c>
      <c r="G220" s="14">
        <v>9667300</v>
      </c>
      <c r="H220" s="14">
        <f t="shared" si="3"/>
        <v>2.3090217043937322E-2</v>
      </c>
    </row>
    <row r="221" spans="1:8" x14ac:dyDescent="0.25">
      <c r="A221" s="46">
        <v>44876</v>
      </c>
      <c r="B221" s="14">
        <v>274.47000100000002</v>
      </c>
      <c r="C221" s="14">
        <v>290.66000400000001</v>
      </c>
      <c r="D221" s="14">
        <v>271.55999800000001</v>
      </c>
      <c r="E221" s="14">
        <v>290.13000499999998</v>
      </c>
      <c r="F221" s="14">
        <v>290.13000499999998</v>
      </c>
      <c r="G221" s="14">
        <v>9573800</v>
      </c>
      <c r="H221" s="14">
        <f t="shared" si="3"/>
        <v>4.4100127557386015E-2</v>
      </c>
    </row>
    <row r="222" spans="1:8" x14ac:dyDescent="0.25">
      <c r="A222" s="46">
        <v>44879</v>
      </c>
      <c r="B222" s="14">
        <v>290</v>
      </c>
      <c r="C222" s="14">
        <v>311</v>
      </c>
      <c r="D222" s="14">
        <v>288.19000199999999</v>
      </c>
      <c r="E222" s="14">
        <v>299.26998900000001</v>
      </c>
      <c r="F222" s="14">
        <v>299.26998900000001</v>
      </c>
      <c r="G222" s="14">
        <v>17978200</v>
      </c>
      <c r="H222" s="14">
        <f t="shared" si="3"/>
        <v>2.0412927925661073E-2</v>
      </c>
    </row>
    <row r="223" spans="1:8" x14ac:dyDescent="0.25">
      <c r="A223" s="46">
        <v>44880</v>
      </c>
      <c r="B223" s="14">
        <v>309.20001200000002</v>
      </c>
      <c r="C223" s="14">
        <v>312.709991</v>
      </c>
      <c r="D223" s="14">
        <v>302.54998799999998</v>
      </c>
      <c r="E223" s="14">
        <v>310.20001200000002</v>
      </c>
      <c r="F223" s="14">
        <v>310.20001200000002</v>
      </c>
      <c r="G223" s="14">
        <v>14626900</v>
      </c>
      <c r="H223" s="14">
        <f t="shared" si="3"/>
        <v>4.9828189390137112E-2</v>
      </c>
    </row>
    <row r="224" spans="1:8" x14ac:dyDescent="0.25">
      <c r="A224" s="46">
        <v>44881</v>
      </c>
      <c r="B224" s="14">
        <v>309.94000199999999</v>
      </c>
      <c r="C224" s="14">
        <v>310.48998999999998</v>
      </c>
      <c r="D224" s="14">
        <v>303.60998499999999</v>
      </c>
      <c r="E224" s="14">
        <v>306.01998900000001</v>
      </c>
      <c r="F224" s="14">
        <v>306.01998900000001</v>
      </c>
      <c r="G224" s="14">
        <v>8038600</v>
      </c>
      <c r="H224" s="14">
        <f t="shared" si="3"/>
        <v>3.5035433549579498E-3</v>
      </c>
    </row>
    <row r="225" spans="1:8" x14ac:dyDescent="0.25">
      <c r="A225" s="46">
        <v>44882</v>
      </c>
      <c r="B225" s="14">
        <v>294.72000100000002</v>
      </c>
      <c r="C225" s="14">
        <v>299.82000699999998</v>
      </c>
      <c r="D225" s="14">
        <v>291</v>
      </c>
      <c r="E225" s="14">
        <v>295.27999899999998</v>
      </c>
      <c r="F225" s="14">
        <v>295.27999899999998</v>
      </c>
      <c r="G225" s="14">
        <v>9838200</v>
      </c>
      <c r="H225" s="14">
        <f t="shared" si="3"/>
        <v>-4.1533498972374017E-2</v>
      </c>
    </row>
    <row r="226" spans="1:8" x14ac:dyDescent="0.25">
      <c r="A226" s="46">
        <v>44883</v>
      </c>
      <c r="B226" s="14">
        <v>297.32998700000002</v>
      </c>
      <c r="C226" s="14">
        <v>298</v>
      </c>
      <c r="D226" s="14">
        <v>287</v>
      </c>
      <c r="E226" s="14">
        <v>287.98001099999999</v>
      </c>
      <c r="F226" s="14">
        <v>287.98001099999999</v>
      </c>
      <c r="G226" s="14">
        <v>8400100</v>
      </c>
      <c r="H226" s="14">
        <f t="shared" si="3"/>
        <v>-1.3745704467353903E-2</v>
      </c>
    </row>
    <row r="227" spans="1:8" x14ac:dyDescent="0.25">
      <c r="A227" s="46">
        <v>44886</v>
      </c>
      <c r="B227" s="14">
        <v>291</v>
      </c>
      <c r="C227" s="14">
        <v>291.86999500000002</v>
      </c>
      <c r="D227" s="14">
        <v>282.66000400000001</v>
      </c>
      <c r="E227" s="14">
        <v>285.04998799999998</v>
      </c>
      <c r="F227" s="14">
        <v>285.04998799999998</v>
      </c>
      <c r="G227" s="14">
        <v>7256500</v>
      </c>
      <c r="H227" s="14">
        <f t="shared" si="3"/>
        <v>-5.0406457607432937E-3</v>
      </c>
    </row>
    <row r="228" spans="1:8" x14ac:dyDescent="0.25">
      <c r="A228" s="46">
        <v>44887</v>
      </c>
      <c r="B228" s="14">
        <v>284.98998999999998</v>
      </c>
      <c r="C228" s="14">
        <v>286.98001099999999</v>
      </c>
      <c r="D228" s="14">
        <v>277.33999599999999</v>
      </c>
      <c r="E228" s="14">
        <v>286.69000199999999</v>
      </c>
      <c r="F228" s="14">
        <v>286.69000199999999</v>
      </c>
      <c r="G228" s="14">
        <v>6245100</v>
      </c>
      <c r="H228" s="14">
        <f t="shared" si="3"/>
        <v>-1.8821226649384903E-2</v>
      </c>
    </row>
    <row r="229" spans="1:8" x14ac:dyDescent="0.25">
      <c r="A229" s="46">
        <v>44888</v>
      </c>
      <c r="B229" s="14">
        <v>285.91000400000001</v>
      </c>
      <c r="C229" s="14">
        <v>292.47000100000002</v>
      </c>
      <c r="D229" s="14">
        <v>283.76001000000002</v>
      </c>
      <c r="E229" s="14">
        <v>291.5</v>
      </c>
      <c r="F229" s="14">
        <v>291.5</v>
      </c>
      <c r="G229" s="14">
        <v>5919000</v>
      </c>
      <c r="H229" s="14">
        <f t="shared" si="3"/>
        <v>2.3148532821064993E-2</v>
      </c>
    </row>
    <row r="230" spans="1:8" x14ac:dyDescent="0.25">
      <c r="A230" s="46">
        <v>44890</v>
      </c>
      <c r="B230" s="14">
        <v>289</v>
      </c>
      <c r="C230" s="14">
        <v>289.209991</v>
      </c>
      <c r="D230" s="14">
        <v>284.17001299999998</v>
      </c>
      <c r="E230" s="14">
        <v>285.540009</v>
      </c>
      <c r="F230" s="14">
        <v>285.540009</v>
      </c>
      <c r="G230" s="14">
        <v>3236000</v>
      </c>
      <c r="H230" s="14">
        <f t="shared" si="3"/>
        <v>7.2244676055654988E-4</v>
      </c>
    </row>
    <row r="231" spans="1:8" x14ac:dyDescent="0.25">
      <c r="A231" s="46">
        <v>44893</v>
      </c>
      <c r="B231" s="14">
        <v>284</v>
      </c>
      <c r="C231" s="14">
        <v>289.54998799999998</v>
      </c>
      <c r="D231" s="14">
        <v>280.52999899999998</v>
      </c>
      <c r="E231" s="14">
        <v>281.17001299999998</v>
      </c>
      <c r="F231" s="14">
        <v>281.17001299999998</v>
      </c>
      <c r="G231" s="14">
        <v>4703400</v>
      </c>
      <c r="H231" s="14">
        <f t="shared" si="3"/>
        <v>-4.2697608631914559E-3</v>
      </c>
    </row>
    <row r="232" spans="1:8" x14ac:dyDescent="0.25">
      <c r="A232" s="46">
        <v>44894</v>
      </c>
      <c r="B232" s="14">
        <v>282.5</v>
      </c>
      <c r="C232" s="14">
        <v>282.959991</v>
      </c>
      <c r="D232" s="14">
        <v>275.94000199999999</v>
      </c>
      <c r="E232" s="14">
        <v>280.959991</v>
      </c>
      <c r="F232" s="14">
        <v>280.959991</v>
      </c>
      <c r="G232" s="14">
        <v>5786900</v>
      </c>
      <c r="H232" s="14">
        <f t="shared" si="3"/>
        <v>-1.6361875793540315E-2</v>
      </c>
    </row>
    <row r="233" spans="1:8" x14ac:dyDescent="0.25">
      <c r="A233" s="46">
        <v>44895</v>
      </c>
      <c r="B233" s="14">
        <v>281.36999500000002</v>
      </c>
      <c r="C233" s="14">
        <v>308.26001000000002</v>
      </c>
      <c r="D233" s="14">
        <v>280.41000400000001</v>
      </c>
      <c r="E233" s="14">
        <v>305.52999899999998</v>
      </c>
      <c r="F233" s="14">
        <v>305.52999899999998</v>
      </c>
      <c r="G233" s="14">
        <v>16070100</v>
      </c>
      <c r="H233" s="14">
        <f t="shared" si="3"/>
        <v>1.6199180863961882E-2</v>
      </c>
    </row>
    <row r="234" spans="1:8" x14ac:dyDescent="0.25">
      <c r="A234" s="46">
        <v>44896</v>
      </c>
      <c r="B234" s="14">
        <v>303.98998999999998</v>
      </c>
      <c r="C234" s="14">
        <v>319.79998799999998</v>
      </c>
      <c r="D234" s="14">
        <v>303.02999899999998</v>
      </c>
      <c r="E234" s="14">
        <v>316.95001200000002</v>
      </c>
      <c r="F234" s="14">
        <v>316.95001200000002</v>
      </c>
      <c r="G234" s="14">
        <v>14664900</v>
      </c>
      <c r="H234" s="14">
        <f t="shared" si="3"/>
        <v>8.0667574898647176E-2</v>
      </c>
    </row>
    <row r="235" spans="1:8" x14ac:dyDescent="0.25">
      <c r="A235" s="46">
        <v>44897</v>
      </c>
      <c r="B235" s="14">
        <v>310.48998999999998</v>
      </c>
      <c r="C235" s="14">
        <v>321.98998999999998</v>
      </c>
      <c r="D235" s="14">
        <v>310</v>
      </c>
      <c r="E235" s="14">
        <v>320.41000400000001</v>
      </c>
      <c r="F235" s="14">
        <v>320.41000400000001</v>
      </c>
      <c r="G235" s="14">
        <v>12690600</v>
      </c>
      <c r="H235" s="14">
        <f t="shared" si="3"/>
        <v>2.3001026376929801E-2</v>
      </c>
    </row>
    <row r="236" spans="1:8" x14ac:dyDescent="0.25">
      <c r="A236" s="46">
        <v>44900</v>
      </c>
      <c r="B236" s="14">
        <v>316.459991</v>
      </c>
      <c r="C236" s="14">
        <v>322.76998900000001</v>
      </c>
      <c r="D236" s="14">
        <v>310.92001299999998</v>
      </c>
      <c r="E236" s="14">
        <v>312.58999599999999</v>
      </c>
      <c r="F236" s="14">
        <v>312.58999599999999</v>
      </c>
      <c r="G236" s="14">
        <v>8423000</v>
      </c>
      <c r="H236" s="14">
        <f t="shared" si="3"/>
        <v>9.8926129032254439E-4</v>
      </c>
    </row>
    <row r="237" spans="1:8" x14ac:dyDescent="0.25">
      <c r="A237" s="46">
        <v>44901</v>
      </c>
      <c r="B237" s="14">
        <v>311</v>
      </c>
      <c r="C237" s="14">
        <v>313.22000100000002</v>
      </c>
      <c r="D237" s="14">
        <v>303.13000499999998</v>
      </c>
      <c r="E237" s="14">
        <v>305.55999800000001</v>
      </c>
      <c r="F237" s="14">
        <v>305.55999800000001</v>
      </c>
      <c r="G237" s="14">
        <v>7195400</v>
      </c>
      <c r="H237" s="14">
        <f t="shared" si="3"/>
        <v>-2.5054701126620671E-2</v>
      </c>
    </row>
    <row r="238" spans="1:8" x14ac:dyDescent="0.25">
      <c r="A238" s="46">
        <v>44902</v>
      </c>
      <c r="B238" s="14">
        <v>306.5</v>
      </c>
      <c r="C238" s="14">
        <v>309.60998499999999</v>
      </c>
      <c r="D238" s="14">
        <v>302.10000600000001</v>
      </c>
      <c r="E238" s="14">
        <v>308.42001299999998</v>
      </c>
      <c r="F238" s="14">
        <v>308.42001299999998</v>
      </c>
      <c r="G238" s="14">
        <v>7821600</v>
      </c>
      <c r="H238" s="14">
        <f t="shared" si="3"/>
        <v>-3.3978787418288414E-3</v>
      </c>
    </row>
    <row r="239" spans="1:8" x14ac:dyDescent="0.25">
      <c r="A239" s="46">
        <v>44903</v>
      </c>
      <c r="B239" s="14">
        <v>309.10998499999999</v>
      </c>
      <c r="C239" s="14">
        <v>312.38000499999998</v>
      </c>
      <c r="D239" s="14">
        <v>304.80999800000001</v>
      </c>
      <c r="E239" s="14">
        <v>310.26001000000002</v>
      </c>
      <c r="F239" s="14">
        <v>310.26001000000002</v>
      </c>
      <c r="G239" s="14">
        <v>7205300</v>
      </c>
      <c r="H239" s="14">
        <f t="shared" si="3"/>
        <v>8.9705128969774783E-3</v>
      </c>
    </row>
    <row r="240" spans="1:8" x14ac:dyDescent="0.25">
      <c r="A240" s="46">
        <v>44904</v>
      </c>
      <c r="B240" s="14">
        <v>321.45001200000002</v>
      </c>
      <c r="C240" s="14">
        <v>329</v>
      </c>
      <c r="D240" s="14">
        <v>319.51998900000001</v>
      </c>
      <c r="E240" s="14">
        <v>320.01001000000002</v>
      </c>
      <c r="F240" s="14">
        <v>320.01001000000002</v>
      </c>
      <c r="G240" s="14">
        <v>14364000</v>
      </c>
      <c r="H240" s="14">
        <f t="shared" si="3"/>
        <v>4.8259542326429816E-2</v>
      </c>
    </row>
    <row r="241" spans="1:8" x14ac:dyDescent="0.25">
      <c r="A241" s="46">
        <v>44907</v>
      </c>
      <c r="B241" s="14">
        <v>320</v>
      </c>
      <c r="C241" s="14">
        <v>323.17999300000002</v>
      </c>
      <c r="D241" s="14">
        <v>308.85000600000001</v>
      </c>
      <c r="E241" s="14">
        <v>315.17999300000002</v>
      </c>
      <c r="F241" s="14">
        <v>315.17999300000002</v>
      </c>
      <c r="G241" s="14">
        <v>10148600</v>
      </c>
      <c r="H241" s="14">
        <f t="shared" si="3"/>
        <v>-1.1131262901990143E-2</v>
      </c>
    </row>
    <row r="242" spans="1:8" x14ac:dyDescent="0.25">
      <c r="A242" s="46">
        <v>44908</v>
      </c>
      <c r="B242" s="14">
        <v>328</v>
      </c>
      <c r="C242" s="14">
        <v>332.72000100000002</v>
      </c>
      <c r="D242" s="14">
        <v>317.20001200000002</v>
      </c>
      <c r="E242" s="14">
        <v>320.33999599999999</v>
      </c>
      <c r="F242" s="14">
        <v>320.33999599999999</v>
      </c>
      <c r="G242" s="14">
        <v>10756400</v>
      </c>
      <c r="H242" s="14">
        <f t="shared" si="3"/>
        <v>2.7035796787389543E-2</v>
      </c>
    </row>
    <row r="243" spans="1:8" x14ac:dyDescent="0.25">
      <c r="A243" s="46">
        <v>44909</v>
      </c>
      <c r="B243" s="14">
        <v>318.97000100000002</v>
      </c>
      <c r="C243" s="14">
        <v>324.709991</v>
      </c>
      <c r="D243" s="14">
        <v>314.42001299999998</v>
      </c>
      <c r="E243" s="14">
        <v>317.82998700000002</v>
      </c>
      <c r="F243" s="14">
        <v>317.82998700000002</v>
      </c>
      <c r="G243" s="14">
        <v>7543300</v>
      </c>
      <c r="H243" s="14">
        <f t="shared" si="3"/>
        <v>-8.7641831488960431E-3</v>
      </c>
    </row>
    <row r="244" spans="1:8" x14ac:dyDescent="0.25">
      <c r="A244" s="46">
        <v>44910</v>
      </c>
      <c r="B244" s="14">
        <v>302.11999500000002</v>
      </c>
      <c r="C244" s="14">
        <v>303.39001500000001</v>
      </c>
      <c r="D244" s="14">
        <v>286.54998799999998</v>
      </c>
      <c r="E244" s="14">
        <v>290.41000400000001</v>
      </c>
      <c r="F244" s="14">
        <v>290.41000400000001</v>
      </c>
      <c r="G244" s="14">
        <v>17724600</v>
      </c>
      <c r="H244" s="14">
        <f t="shared" si="3"/>
        <v>-8.8639475375888344E-2</v>
      </c>
    </row>
    <row r="245" spans="1:8" x14ac:dyDescent="0.25">
      <c r="A245" s="46">
        <v>44911</v>
      </c>
      <c r="B245" s="14">
        <v>288.76001000000002</v>
      </c>
      <c r="C245" s="14">
        <v>294.72000100000002</v>
      </c>
      <c r="D245" s="14">
        <v>288.70001200000002</v>
      </c>
      <c r="E245" s="14">
        <v>290.709991</v>
      </c>
      <c r="F245" s="14">
        <v>290.709991</v>
      </c>
      <c r="G245" s="14">
        <v>14080000</v>
      </c>
      <c r="H245" s="14">
        <f t="shared" si="3"/>
        <v>7.5031376375420678E-3</v>
      </c>
    </row>
    <row r="246" spans="1:8" x14ac:dyDescent="0.25">
      <c r="A246" s="46">
        <v>44914</v>
      </c>
      <c r="B246" s="14">
        <v>289.73001099999999</v>
      </c>
      <c r="C246" s="14">
        <v>292.25</v>
      </c>
      <c r="D246" s="14">
        <v>286.13000499999998</v>
      </c>
      <c r="E246" s="14">
        <v>288.29998799999998</v>
      </c>
      <c r="F246" s="14">
        <v>288.29998799999998</v>
      </c>
      <c r="G246" s="14">
        <v>6163700</v>
      </c>
      <c r="H246" s="14">
        <f t="shared" si="3"/>
        <v>-2.9673327481538614E-3</v>
      </c>
    </row>
    <row r="247" spans="1:8" x14ac:dyDescent="0.25">
      <c r="A247" s="46">
        <v>44915</v>
      </c>
      <c r="B247" s="14">
        <v>281.23998999999998</v>
      </c>
      <c r="C247" s="14">
        <v>289.27999899999998</v>
      </c>
      <c r="D247" s="14">
        <v>280.80999800000001</v>
      </c>
      <c r="E247" s="14">
        <v>288.19000199999999</v>
      </c>
      <c r="F247" s="14">
        <v>288.19000199999999</v>
      </c>
      <c r="G247" s="14">
        <v>6918100</v>
      </c>
      <c r="H247" s="14">
        <f t="shared" si="3"/>
        <v>-1.8592971401234171E-2</v>
      </c>
    </row>
    <row r="248" spans="1:8" x14ac:dyDescent="0.25">
      <c r="A248" s="46">
        <v>44916</v>
      </c>
      <c r="B248" s="14">
        <v>289.98998999999998</v>
      </c>
      <c r="C248" s="14">
        <v>300.66000400000001</v>
      </c>
      <c r="D248" s="14">
        <v>286.5</v>
      </c>
      <c r="E248" s="14">
        <v>297.959991</v>
      </c>
      <c r="F248" s="14">
        <v>297.959991</v>
      </c>
      <c r="G248" s="14">
        <v>6376200</v>
      </c>
      <c r="H248" s="14">
        <f t="shared" si="3"/>
        <v>2.0262818420019313E-2</v>
      </c>
    </row>
    <row r="249" spans="1:8" x14ac:dyDescent="0.25">
      <c r="A249" s="46">
        <v>44917</v>
      </c>
      <c r="B249" s="14">
        <v>298.08999599999999</v>
      </c>
      <c r="C249" s="14">
        <v>298.88000499999998</v>
      </c>
      <c r="D249" s="14">
        <v>290.80999800000001</v>
      </c>
      <c r="E249" s="14">
        <v>297.75</v>
      </c>
      <c r="F249" s="14">
        <v>297.75</v>
      </c>
      <c r="G249" s="14">
        <v>7856200</v>
      </c>
      <c r="H249" s="14">
        <f t="shared" si="3"/>
        <v>1.5043623036649301E-2</v>
      </c>
    </row>
    <row r="250" spans="1:8" x14ac:dyDescent="0.25">
      <c r="A250" s="46">
        <v>44918</v>
      </c>
      <c r="B250" s="14">
        <v>296.17999300000002</v>
      </c>
      <c r="C250" s="14">
        <v>298.459991</v>
      </c>
      <c r="D250" s="14">
        <v>291.91000400000001</v>
      </c>
      <c r="E250" s="14">
        <v>294.959991</v>
      </c>
      <c r="F250" s="14">
        <v>294.959991</v>
      </c>
      <c r="G250" s="14">
        <v>4251100</v>
      </c>
      <c r="H250" s="14">
        <f t="shared" si="3"/>
        <v>3.7825590851934265E-3</v>
      </c>
    </row>
    <row r="251" spans="1:8" x14ac:dyDescent="0.25">
      <c r="A251" s="46">
        <v>44922</v>
      </c>
      <c r="B251" s="14">
        <v>293.19000199999999</v>
      </c>
      <c r="C251" s="14">
        <v>293.57000699999998</v>
      </c>
      <c r="D251" s="14">
        <v>282.13000499999998</v>
      </c>
      <c r="E251" s="14">
        <v>284.17001299999998</v>
      </c>
      <c r="F251" s="14">
        <v>284.17001299999998</v>
      </c>
      <c r="G251" s="14">
        <v>5778100</v>
      </c>
      <c r="H251" s="14">
        <f t="shared" si="3"/>
        <v>-8.3758683035748405E-3</v>
      </c>
    </row>
    <row r="252" spans="1:8" x14ac:dyDescent="0.25">
      <c r="A252" s="46">
        <v>44923</v>
      </c>
      <c r="B252" s="14">
        <v>281.92001299999998</v>
      </c>
      <c r="C252" s="14">
        <v>285.19000199999999</v>
      </c>
      <c r="D252" s="14">
        <v>273.41000400000001</v>
      </c>
      <c r="E252" s="14">
        <v>276.88000499999998</v>
      </c>
      <c r="F252" s="14">
        <v>276.88000499999998</v>
      </c>
      <c r="G252" s="14">
        <v>5964400</v>
      </c>
      <c r="H252" s="14">
        <f t="shared" si="3"/>
        <v>-3.0907740564496078E-2</v>
      </c>
    </row>
    <row r="253" spans="1:8" x14ac:dyDescent="0.25">
      <c r="A253" s="46">
        <v>44924</v>
      </c>
      <c r="B253" s="14">
        <v>283.17999300000002</v>
      </c>
      <c r="C253" s="14">
        <v>295.5</v>
      </c>
      <c r="D253" s="14">
        <v>281.01001000000002</v>
      </c>
      <c r="E253" s="14">
        <v>291.11999500000002</v>
      </c>
      <c r="F253" s="14">
        <v>291.11999500000002</v>
      </c>
      <c r="G253" s="14">
        <v>9588500</v>
      </c>
      <c r="H253" s="14">
        <f t="shared" si="3"/>
        <v>2.779710284485426E-2</v>
      </c>
    </row>
    <row r="254" spans="1:8" x14ac:dyDescent="0.25">
      <c r="A254" s="46">
        <v>44925</v>
      </c>
      <c r="B254" s="14">
        <v>285.52999899999998</v>
      </c>
      <c r="C254" s="14">
        <v>295.01001000000002</v>
      </c>
      <c r="D254" s="14">
        <v>283.22000100000002</v>
      </c>
      <c r="E254" s="14">
        <v>294.88000499999998</v>
      </c>
      <c r="F254" s="14">
        <v>294.88000499999998</v>
      </c>
      <c r="G254" s="14">
        <v>7566900</v>
      </c>
      <c r="H254" s="14">
        <f t="shared" si="3"/>
        <v>7.8644565010335121E-3</v>
      </c>
    </row>
    <row r="255" spans="1:8" x14ac:dyDescent="0.25">
      <c r="A255" s="46">
        <v>44929</v>
      </c>
      <c r="B255" s="14">
        <v>298.05999800000001</v>
      </c>
      <c r="C255" s="14">
        <v>298.39001500000001</v>
      </c>
      <c r="D255" s="14">
        <v>288.70001200000002</v>
      </c>
      <c r="E255" s="14">
        <v>294.95001200000002</v>
      </c>
      <c r="F255" s="14">
        <v>294.95001200000002</v>
      </c>
      <c r="G255" s="14">
        <v>6764000</v>
      </c>
      <c r="H255" s="14">
        <f t="shared" si="3"/>
        <v>4.8372387019375851E-3</v>
      </c>
    </row>
    <row r="256" spans="1:8" x14ac:dyDescent="0.25">
      <c r="A256" s="46">
        <v>44930</v>
      </c>
      <c r="B256" s="14">
        <v>298.23998999999998</v>
      </c>
      <c r="C256" s="14">
        <v>311.14001500000001</v>
      </c>
      <c r="D256" s="14">
        <v>295.51001000000002</v>
      </c>
      <c r="E256" s="14">
        <v>309.41000400000001</v>
      </c>
      <c r="F256" s="14">
        <v>309.41000400000001</v>
      </c>
      <c r="G256" s="14">
        <v>9345100</v>
      </c>
      <c r="H256" s="14">
        <f t="shared" si="3"/>
        <v>2.3588492265112837E-2</v>
      </c>
    </row>
    <row r="257" spans="1:8" x14ac:dyDescent="0.25">
      <c r="A257" s="46">
        <v>44931</v>
      </c>
      <c r="B257" s="14">
        <v>307</v>
      </c>
      <c r="C257" s="14">
        <v>314.17999300000002</v>
      </c>
      <c r="D257" s="14">
        <v>304.54998799999998</v>
      </c>
      <c r="E257" s="14">
        <v>309.70001200000002</v>
      </c>
      <c r="F257" s="14">
        <v>309.70001200000002</v>
      </c>
      <c r="G257" s="14">
        <v>8328400</v>
      </c>
      <c r="H257" s="14">
        <f t="shared" si="3"/>
        <v>3.0591105864738566E-2</v>
      </c>
    </row>
    <row r="258" spans="1:8" x14ac:dyDescent="0.25">
      <c r="A258" s="46">
        <v>44932</v>
      </c>
      <c r="B258" s="14">
        <v>311.57000699999998</v>
      </c>
      <c r="C258" s="14">
        <v>316.76998900000001</v>
      </c>
      <c r="D258" s="14">
        <v>303.69000199999999</v>
      </c>
      <c r="E258" s="14">
        <v>315.54998799999998</v>
      </c>
      <c r="F258" s="14">
        <v>315.54998799999998</v>
      </c>
      <c r="G258" s="14">
        <v>8959800</v>
      </c>
      <c r="H258" s="14">
        <f t="shared" si="3"/>
        <v>-2.8237925919734064E-3</v>
      </c>
    </row>
    <row r="259" spans="1:8" x14ac:dyDescent="0.25">
      <c r="A259" s="46">
        <v>44935</v>
      </c>
      <c r="B259" s="14">
        <v>316.82998700000002</v>
      </c>
      <c r="C259" s="14">
        <v>321.70001200000002</v>
      </c>
      <c r="D259" s="14">
        <v>313.22000100000002</v>
      </c>
      <c r="E259" s="14">
        <v>315.17001299999998</v>
      </c>
      <c r="F259" s="14">
        <v>315.17001299999998</v>
      </c>
      <c r="G259" s="14">
        <v>6766600</v>
      </c>
      <c r="H259" s="14">
        <f t="shared" si="3"/>
        <v>1.0460226916964318E-2</v>
      </c>
    </row>
    <row r="260" spans="1:8" x14ac:dyDescent="0.25">
      <c r="A260" s="46">
        <v>44936</v>
      </c>
      <c r="B260" s="14">
        <v>311.07000699999998</v>
      </c>
      <c r="C260" s="14">
        <v>329.35000600000001</v>
      </c>
      <c r="D260" s="14">
        <v>311.07000699999998</v>
      </c>
      <c r="E260" s="14">
        <v>327.540009</v>
      </c>
      <c r="F260" s="14">
        <v>327.540009</v>
      </c>
      <c r="G260" s="14">
        <v>13072300</v>
      </c>
      <c r="H260" s="14">
        <f t="shared" ref="H260:H323" si="4">(D260/D259-1)/(A260-A259)</f>
        <v>-6.8641657401694589E-3</v>
      </c>
    </row>
    <row r="261" spans="1:8" x14ac:dyDescent="0.25">
      <c r="A261" s="46">
        <v>44937</v>
      </c>
      <c r="B261" s="14">
        <v>326.5</v>
      </c>
      <c r="C261" s="14">
        <v>328.88000499999998</v>
      </c>
      <c r="D261" s="14">
        <v>321.35000600000001</v>
      </c>
      <c r="E261" s="14">
        <v>327.26001000000002</v>
      </c>
      <c r="F261" s="14">
        <v>327.26001000000002</v>
      </c>
      <c r="G261" s="14">
        <v>9579700</v>
      </c>
      <c r="H261" s="14">
        <f t="shared" si="4"/>
        <v>3.3047220139098998E-2</v>
      </c>
    </row>
    <row r="262" spans="1:8" x14ac:dyDescent="0.25">
      <c r="A262" s="46">
        <v>44938</v>
      </c>
      <c r="B262" s="14">
        <v>332.5</v>
      </c>
      <c r="C262" s="14">
        <v>332.95001200000002</v>
      </c>
      <c r="D262" s="14">
        <v>323.14001500000001</v>
      </c>
      <c r="E262" s="14">
        <v>330.13000499999998</v>
      </c>
      <c r="F262" s="14">
        <v>330.13000499999998</v>
      </c>
      <c r="G262" s="14">
        <v>10856200</v>
      </c>
      <c r="H262" s="14">
        <f t="shared" si="4"/>
        <v>5.570278408521423E-3</v>
      </c>
    </row>
    <row r="263" spans="1:8" x14ac:dyDescent="0.25">
      <c r="A263" s="46">
        <v>44939</v>
      </c>
      <c r="B263" s="14">
        <v>329.97000100000002</v>
      </c>
      <c r="C263" s="14">
        <v>336.64999399999999</v>
      </c>
      <c r="D263" s="14">
        <v>328.89001500000001</v>
      </c>
      <c r="E263" s="14">
        <v>332.82000699999998</v>
      </c>
      <c r="F263" s="14">
        <v>332.82000699999998</v>
      </c>
      <c r="G263" s="14">
        <v>8286800</v>
      </c>
      <c r="H263" s="14">
        <f t="shared" si="4"/>
        <v>1.7794144126656697E-2</v>
      </c>
    </row>
    <row r="264" spans="1:8" x14ac:dyDescent="0.25">
      <c r="A264" s="46">
        <v>44943</v>
      </c>
      <c r="B264" s="14">
        <v>331.07998700000002</v>
      </c>
      <c r="C264" s="14">
        <v>332.5</v>
      </c>
      <c r="D264" s="14">
        <v>323.60000600000001</v>
      </c>
      <c r="E264" s="14">
        <v>326.22000100000002</v>
      </c>
      <c r="F264" s="14">
        <v>326.22000100000002</v>
      </c>
      <c r="G264" s="14">
        <v>9247000</v>
      </c>
      <c r="H264" s="14">
        <f t="shared" si="4"/>
        <v>-4.0211079378618397E-3</v>
      </c>
    </row>
    <row r="265" spans="1:8" x14ac:dyDescent="0.25">
      <c r="A265" s="46">
        <v>44944</v>
      </c>
      <c r="B265" s="14">
        <v>326.75</v>
      </c>
      <c r="C265" s="14">
        <v>330.07998700000002</v>
      </c>
      <c r="D265" s="14">
        <v>321.25</v>
      </c>
      <c r="E265" s="14">
        <v>326.32998700000002</v>
      </c>
      <c r="F265" s="14">
        <v>326.32998700000002</v>
      </c>
      <c r="G265" s="14">
        <v>7814100</v>
      </c>
      <c r="H265" s="14">
        <f t="shared" si="4"/>
        <v>-7.2620703227057604E-3</v>
      </c>
    </row>
    <row r="266" spans="1:8" x14ac:dyDescent="0.25">
      <c r="A266" s="46">
        <v>44945</v>
      </c>
      <c r="B266" s="14">
        <v>322.57000699999998</v>
      </c>
      <c r="C266" s="14">
        <v>324.89001500000001</v>
      </c>
      <c r="D266" s="14">
        <v>313.39001500000001</v>
      </c>
      <c r="E266" s="14">
        <v>315.77999899999998</v>
      </c>
      <c r="F266" s="14">
        <v>315.77999899999998</v>
      </c>
      <c r="G266" s="14">
        <v>18008200</v>
      </c>
      <c r="H266" s="14">
        <f t="shared" si="4"/>
        <v>-2.446687937743186E-2</v>
      </c>
    </row>
    <row r="267" spans="1:8" x14ac:dyDescent="0.25">
      <c r="A267" s="46">
        <v>44946</v>
      </c>
      <c r="B267" s="14">
        <v>336.790009</v>
      </c>
      <c r="C267" s="14">
        <v>344</v>
      </c>
      <c r="D267" s="14">
        <v>332.63000499999998</v>
      </c>
      <c r="E267" s="14">
        <v>342.5</v>
      </c>
      <c r="F267" s="14">
        <v>342.5</v>
      </c>
      <c r="G267" s="14">
        <v>28430300</v>
      </c>
      <c r="H267" s="14">
        <f t="shared" si="4"/>
        <v>6.1393117454619617E-2</v>
      </c>
    </row>
    <row r="268" spans="1:8" x14ac:dyDescent="0.25">
      <c r="A268" s="46">
        <v>44949</v>
      </c>
      <c r="B268" s="14">
        <v>341.72000100000002</v>
      </c>
      <c r="C268" s="14">
        <v>362.25</v>
      </c>
      <c r="D268" s="14">
        <v>340.63000499999998</v>
      </c>
      <c r="E268" s="14">
        <v>357.42001299999998</v>
      </c>
      <c r="F268" s="14">
        <v>357.42001299999998</v>
      </c>
      <c r="G268" s="14">
        <v>15646900</v>
      </c>
      <c r="H268" s="14">
        <f t="shared" si="4"/>
        <v>8.0169155716023344E-3</v>
      </c>
    </row>
    <row r="269" spans="1:8" x14ac:dyDescent="0.25">
      <c r="A269" s="46">
        <v>44950</v>
      </c>
      <c r="B269" s="14">
        <v>357.52999899999998</v>
      </c>
      <c r="C269" s="14">
        <v>365.64999399999999</v>
      </c>
      <c r="D269" s="14">
        <v>355.14001500000001</v>
      </c>
      <c r="E269" s="14">
        <v>363.82998700000002</v>
      </c>
      <c r="F269" s="14">
        <v>363.82998700000002</v>
      </c>
      <c r="G269" s="14">
        <v>11796500</v>
      </c>
      <c r="H269" s="14">
        <f t="shared" si="4"/>
        <v>4.2597568584717083E-2</v>
      </c>
    </row>
    <row r="270" spans="1:8" x14ac:dyDescent="0.25">
      <c r="A270" s="46">
        <v>44951</v>
      </c>
      <c r="B270" s="14">
        <v>360.57000699999998</v>
      </c>
      <c r="C270" s="14">
        <v>368.89999399999999</v>
      </c>
      <c r="D270" s="14">
        <v>358.5</v>
      </c>
      <c r="E270" s="14">
        <v>367.959991</v>
      </c>
      <c r="F270" s="14">
        <v>367.959991</v>
      </c>
      <c r="G270" s="14">
        <v>7766900</v>
      </c>
      <c r="H270" s="14">
        <f t="shared" si="4"/>
        <v>9.4610149746150451E-3</v>
      </c>
    </row>
    <row r="271" spans="1:8" x14ac:dyDescent="0.25">
      <c r="A271" s="46">
        <v>44952</v>
      </c>
      <c r="B271" s="14">
        <v>368.76998900000001</v>
      </c>
      <c r="C271" s="14">
        <v>369.01998900000001</v>
      </c>
      <c r="D271" s="14">
        <v>361.70001200000002</v>
      </c>
      <c r="E271" s="14">
        <v>364.86999500000002</v>
      </c>
      <c r="F271" s="14">
        <v>364.86999500000002</v>
      </c>
      <c r="G271" s="14">
        <v>8256800</v>
      </c>
      <c r="H271" s="14">
        <f t="shared" si="4"/>
        <v>8.9261143654115749E-3</v>
      </c>
    </row>
    <row r="272" spans="1:8" x14ac:dyDescent="0.25">
      <c r="A272" s="46">
        <v>44953</v>
      </c>
      <c r="B272" s="14">
        <v>363.20001200000002</v>
      </c>
      <c r="C272" s="14">
        <v>365.92001299999998</v>
      </c>
      <c r="D272" s="14">
        <v>360.58999599999999</v>
      </c>
      <c r="E272" s="14">
        <v>360.76998900000001</v>
      </c>
      <c r="F272" s="14">
        <v>360.76998900000001</v>
      </c>
      <c r="G272" s="14">
        <v>6703500</v>
      </c>
      <c r="H272" s="14">
        <f t="shared" si="4"/>
        <v>-3.0688857151600635E-3</v>
      </c>
    </row>
    <row r="273" spans="1:8" x14ac:dyDescent="0.25">
      <c r="A273" s="46">
        <v>44956</v>
      </c>
      <c r="B273" s="14">
        <v>358.44000199999999</v>
      </c>
      <c r="C273" s="14">
        <v>360.95001200000002</v>
      </c>
      <c r="D273" s="14">
        <v>352.85998499999999</v>
      </c>
      <c r="E273" s="14">
        <v>353.10998499999999</v>
      </c>
      <c r="F273" s="14">
        <v>353.10998499999999</v>
      </c>
      <c r="G273" s="14">
        <v>5127600</v>
      </c>
      <c r="H273" s="14">
        <f t="shared" si="4"/>
        <v>-7.145706652752863E-3</v>
      </c>
    </row>
    <row r="274" spans="1:8" x14ac:dyDescent="0.25">
      <c r="A274" s="46">
        <v>44957</v>
      </c>
      <c r="B274" s="14">
        <v>349.98001099999999</v>
      </c>
      <c r="C274" s="14">
        <v>355.95001200000002</v>
      </c>
      <c r="D274" s="14">
        <v>348.709991</v>
      </c>
      <c r="E274" s="14">
        <v>353.85998499999999</v>
      </c>
      <c r="F274" s="14">
        <v>353.85998499999999</v>
      </c>
      <c r="G274" s="14">
        <v>5660700</v>
      </c>
      <c r="H274" s="14">
        <f t="shared" si="4"/>
        <v>-1.1761021868206378E-2</v>
      </c>
    </row>
    <row r="275" spans="1:8" x14ac:dyDescent="0.25">
      <c r="A275" s="46">
        <v>44958</v>
      </c>
      <c r="B275" s="14">
        <v>353.85998499999999</v>
      </c>
      <c r="C275" s="14">
        <v>365.39001500000001</v>
      </c>
      <c r="D275" s="14">
        <v>349.91000400000001</v>
      </c>
      <c r="E275" s="14">
        <v>361.98998999999998</v>
      </c>
      <c r="F275" s="14">
        <v>361.98998999999998</v>
      </c>
      <c r="G275" s="14">
        <v>8005200</v>
      </c>
      <c r="H275" s="14">
        <f t="shared" si="4"/>
        <v>3.4412922800368673E-3</v>
      </c>
    </row>
    <row r="276" spans="1:8" x14ac:dyDescent="0.25">
      <c r="A276" s="46">
        <v>44959</v>
      </c>
      <c r="B276" s="14">
        <v>365.16000400000001</v>
      </c>
      <c r="C276" s="14">
        <v>368.32000699999998</v>
      </c>
      <c r="D276" s="14">
        <v>358.42999300000002</v>
      </c>
      <c r="E276" s="14">
        <v>366.89001500000001</v>
      </c>
      <c r="F276" s="14">
        <v>366.89001500000001</v>
      </c>
      <c r="G276" s="14">
        <v>7857000</v>
      </c>
      <c r="H276" s="14">
        <f t="shared" si="4"/>
        <v>2.4349086629715355E-2</v>
      </c>
    </row>
    <row r="277" spans="1:8" x14ac:dyDescent="0.25">
      <c r="A277" s="46">
        <v>44960</v>
      </c>
      <c r="B277" s="14">
        <v>359.07998700000002</v>
      </c>
      <c r="C277" s="14">
        <v>379.42999300000002</v>
      </c>
      <c r="D277" s="14">
        <v>359</v>
      </c>
      <c r="E277" s="14">
        <v>365.89999399999999</v>
      </c>
      <c r="F277" s="14">
        <v>365.89999399999999</v>
      </c>
      <c r="G277" s="14">
        <v>9402000</v>
      </c>
      <c r="H277" s="14">
        <f t="shared" si="4"/>
        <v>1.5902882323801659E-3</v>
      </c>
    </row>
    <row r="278" spans="1:8" x14ac:dyDescent="0.25">
      <c r="A278" s="46">
        <v>44963</v>
      </c>
      <c r="B278" s="14">
        <v>363.64001500000001</v>
      </c>
      <c r="C278" s="14">
        <v>368.45001200000002</v>
      </c>
      <c r="D278" s="14">
        <v>360.67999300000002</v>
      </c>
      <c r="E278" s="14">
        <v>361.48001099999999</v>
      </c>
      <c r="F278" s="14">
        <v>361.48001099999999</v>
      </c>
      <c r="G278" s="14">
        <v>4994900</v>
      </c>
      <c r="H278" s="14">
        <f t="shared" si="4"/>
        <v>1.5598820798514712E-3</v>
      </c>
    </row>
    <row r="279" spans="1:8" x14ac:dyDescent="0.25">
      <c r="A279" s="46">
        <v>44964</v>
      </c>
      <c r="B279" s="14">
        <v>358.51001000000002</v>
      </c>
      <c r="C279" s="14">
        <v>364.17999300000002</v>
      </c>
      <c r="D279" s="14">
        <v>354.17999300000002</v>
      </c>
      <c r="E279" s="14">
        <v>362.95001200000002</v>
      </c>
      <c r="F279" s="14">
        <v>362.95001200000002</v>
      </c>
      <c r="G279" s="14">
        <v>6289400</v>
      </c>
      <c r="H279" s="14">
        <f t="shared" si="4"/>
        <v>-1.8021515266027022E-2</v>
      </c>
    </row>
    <row r="280" spans="1:8" x14ac:dyDescent="0.25">
      <c r="A280" s="46">
        <v>44965</v>
      </c>
      <c r="B280" s="14">
        <v>360.01998900000001</v>
      </c>
      <c r="C280" s="14">
        <v>368.19000199999999</v>
      </c>
      <c r="D280" s="14">
        <v>358.30999800000001</v>
      </c>
      <c r="E280" s="14">
        <v>366.82998700000002</v>
      </c>
      <c r="F280" s="14">
        <v>366.82998700000002</v>
      </c>
      <c r="G280" s="14">
        <v>6253200</v>
      </c>
      <c r="H280" s="14">
        <f t="shared" si="4"/>
        <v>1.1660751825696591E-2</v>
      </c>
    </row>
    <row r="281" spans="1:8" x14ac:dyDescent="0.25">
      <c r="A281" s="46">
        <v>44966</v>
      </c>
      <c r="B281" s="14">
        <v>372.41000400000001</v>
      </c>
      <c r="C281" s="14">
        <v>373.82998700000002</v>
      </c>
      <c r="D281" s="14">
        <v>361.73998999999998</v>
      </c>
      <c r="E281" s="14">
        <v>362.5</v>
      </c>
      <c r="F281" s="14">
        <v>362.5</v>
      </c>
      <c r="G281" s="14">
        <v>6901100</v>
      </c>
      <c r="H281" s="14">
        <f t="shared" si="4"/>
        <v>9.5726940893230417E-3</v>
      </c>
    </row>
    <row r="282" spans="1:8" x14ac:dyDescent="0.25">
      <c r="A282" s="46">
        <v>44967</v>
      </c>
      <c r="B282" s="14">
        <v>359.16000400000001</v>
      </c>
      <c r="C282" s="14">
        <v>362.14001500000001</v>
      </c>
      <c r="D282" s="14">
        <v>347.14001500000001</v>
      </c>
      <c r="E282" s="14">
        <v>347.35998499999999</v>
      </c>
      <c r="F282" s="14">
        <v>347.35998499999999</v>
      </c>
      <c r="G282" s="14">
        <v>7291100</v>
      </c>
      <c r="H282" s="14">
        <f t="shared" si="4"/>
        <v>-4.036041190801154E-2</v>
      </c>
    </row>
    <row r="283" spans="1:8" x14ac:dyDescent="0.25">
      <c r="A283" s="46">
        <v>44970</v>
      </c>
      <c r="B283" s="14">
        <v>349.5</v>
      </c>
      <c r="C283" s="14">
        <v>359.70001200000002</v>
      </c>
      <c r="D283" s="14">
        <v>344.25</v>
      </c>
      <c r="E283" s="14">
        <v>358.57000699999998</v>
      </c>
      <c r="F283" s="14">
        <v>358.57000699999998</v>
      </c>
      <c r="G283" s="14">
        <v>7134400</v>
      </c>
      <c r="H283" s="14">
        <f t="shared" si="4"/>
        <v>-2.7750714170284851E-3</v>
      </c>
    </row>
    <row r="284" spans="1:8" x14ac:dyDescent="0.25">
      <c r="A284" s="46">
        <v>44971</v>
      </c>
      <c r="B284" s="14">
        <v>357.54998799999998</v>
      </c>
      <c r="C284" s="14">
        <v>363.75</v>
      </c>
      <c r="D284" s="14">
        <v>353.39999399999999</v>
      </c>
      <c r="E284" s="14">
        <v>359.959991</v>
      </c>
      <c r="F284" s="14">
        <v>359.959991</v>
      </c>
      <c r="G284" s="14">
        <v>4624800</v>
      </c>
      <c r="H284" s="14">
        <f t="shared" si="4"/>
        <v>2.657950326797387E-2</v>
      </c>
    </row>
    <row r="285" spans="1:8" x14ac:dyDescent="0.25">
      <c r="A285" s="46">
        <v>44972</v>
      </c>
      <c r="B285" s="14">
        <v>356.63000499999998</v>
      </c>
      <c r="C285" s="14">
        <v>362.88000499999998</v>
      </c>
      <c r="D285" s="14">
        <v>354.23998999999998</v>
      </c>
      <c r="E285" s="14">
        <v>361.42001299999998</v>
      </c>
      <c r="F285" s="14">
        <v>361.42001299999998</v>
      </c>
      <c r="G285" s="14">
        <v>3966000</v>
      </c>
      <c r="H285" s="14">
        <f t="shared" si="4"/>
        <v>2.3768987387136065E-3</v>
      </c>
    </row>
    <row r="286" spans="1:8" x14ac:dyDescent="0.25">
      <c r="A286" s="46">
        <v>44973</v>
      </c>
      <c r="B286" s="14">
        <v>355</v>
      </c>
      <c r="C286" s="14">
        <v>361.5</v>
      </c>
      <c r="D286" s="14">
        <v>350.30999800000001</v>
      </c>
      <c r="E286" s="14">
        <v>350.709991</v>
      </c>
      <c r="F286" s="14">
        <v>350.709991</v>
      </c>
      <c r="G286" s="14">
        <v>5215700</v>
      </c>
      <c r="H286" s="14">
        <f t="shared" si="4"/>
        <v>-1.1094151171356925E-2</v>
      </c>
    </row>
    <row r="287" spans="1:8" x14ac:dyDescent="0.25">
      <c r="A287" s="46">
        <v>44974</v>
      </c>
      <c r="B287" s="14">
        <v>347.91000400000001</v>
      </c>
      <c r="C287" s="14">
        <v>349</v>
      </c>
      <c r="D287" s="14">
        <v>342.44000199999999</v>
      </c>
      <c r="E287" s="14">
        <v>347.959991</v>
      </c>
      <c r="F287" s="14">
        <v>347.959991</v>
      </c>
      <c r="G287" s="14">
        <v>5294700</v>
      </c>
      <c r="H287" s="14">
        <f t="shared" si="4"/>
        <v>-2.2465804701354841E-2</v>
      </c>
    </row>
    <row r="288" spans="1:8" x14ac:dyDescent="0.25">
      <c r="A288" s="46">
        <v>44978</v>
      </c>
      <c r="B288" s="14">
        <v>342.85000600000001</v>
      </c>
      <c r="C288" s="14">
        <v>344.13000499999998</v>
      </c>
      <c r="D288" s="14">
        <v>336.42001299999998</v>
      </c>
      <c r="E288" s="14">
        <v>337.5</v>
      </c>
      <c r="F288" s="14">
        <v>337.5</v>
      </c>
      <c r="G288" s="14">
        <v>5710300</v>
      </c>
      <c r="H288" s="14">
        <f t="shared" si="4"/>
        <v>-4.3949224425013367E-3</v>
      </c>
    </row>
    <row r="289" spans="1:8" x14ac:dyDescent="0.25">
      <c r="A289" s="46">
        <v>44979</v>
      </c>
      <c r="B289" s="14">
        <v>337.5</v>
      </c>
      <c r="C289" s="14">
        <v>341.91000400000001</v>
      </c>
      <c r="D289" s="14">
        <v>332.82000699999998</v>
      </c>
      <c r="E289" s="14">
        <v>334.88000499999998</v>
      </c>
      <c r="F289" s="14">
        <v>334.88000499999998</v>
      </c>
      <c r="G289" s="14">
        <v>4546200</v>
      </c>
      <c r="H289" s="14">
        <f t="shared" si="4"/>
        <v>-1.0700926998656324E-2</v>
      </c>
    </row>
    <row r="290" spans="1:8" x14ac:dyDescent="0.25">
      <c r="A290" s="46">
        <v>44980</v>
      </c>
      <c r="B290" s="14">
        <v>331.23001099999999</v>
      </c>
      <c r="C290" s="14">
        <v>331.27999899999998</v>
      </c>
      <c r="D290" s="14">
        <v>314.29998799999998</v>
      </c>
      <c r="E290" s="14">
        <v>323.64999399999999</v>
      </c>
      <c r="F290" s="14">
        <v>323.64999399999999</v>
      </c>
      <c r="G290" s="14">
        <v>13238700</v>
      </c>
      <c r="H290" s="14">
        <f t="shared" si="4"/>
        <v>-5.5645750286881013E-2</v>
      </c>
    </row>
    <row r="291" spans="1:8" x14ac:dyDescent="0.25">
      <c r="A291" s="46">
        <v>44981</v>
      </c>
      <c r="B291" s="14">
        <v>319.29998799999998</v>
      </c>
      <c r="C291" s="14">
        <v>321.5</v>
      </c>
      <c r="D291" s="14">
        <v>314.51998900000001</v>
      </c>
      <c r="E291" s="14">
        <v>317.14999399999999</v>
      </c>
      <c r="F291" s="14">
        <v>317.14999399999999</v>
      </c>
      <c r="G291" s="14">
        <v>6830700</v>
      </c>
      <c r="H291" s="14">
        <f t="shared" si="4"/>
        <v>6.9997139166311229E-4</v>
      </c>
    </row>
    <row r="292" spans="1:8" x14ac:dyDescent="0.25">
      <c r="A292" s="46">
        <v>44984</v>
      </c>
      <c r="B292" s="14">
        <v>323.86999500000002</v>
      </c>
      <c r="C292" s="14">
        <v>330</v>
      </c>
      <c r="D292" s="14">
        <v>322.11999500000002</v>
      </c>
      <c r="E292" s="14">
        <v>323.02999899999998</v>
      </c>
      <c r="F292" s="14">
        <v>323.02999899999998</v>
      </c>
      <c r="G292" s="14">
        <v>6142600</v>
      </c>
      <c r="H292" s="14">
        <f t="shared" si="4"/>
        <v>8.0546083617386213E-3</v>
      </c>
    </row>
    <row r="293" spans="1:8" x14ac:dyDescent="0.25">
      <c r="A293" s="46">
        <v>44985</v>
      </c>
      <c r="B293" s="14">
        <v>323.70001200000002</v>
      </c>
      <c r="C293" s="14">
        <v>327.61999500000002</v>
      </c>
      <c r="D293" s="14">
        <v>321.17001299999998</v>
      </c>
      <c r="E293" s="14">
        <v>322.13000499999998</v>
      </c>
      <c r="F293" s="14">
        <v>322.13000499999998</v>
      </c>
      <c r="G293" s="14">
        <v>3676100</v>
      </c>
      <c r="H293" s="14">
        <f t="shared" si="4"/>
        <v>-2.9491556399658947E-3</v>
      </c>
    </row>
    <row r="294" spans="1:8" x14ac:dyDescent="0.25">
      <c r="A294" s="46">
        <v>44986</v>
      </c>
      <c r="B294" s="14">
        <v>321.54998799999998</v>
      </c>
      <c r="C294" s="14">
        <v>326.60000600000001</v>
      </c>
      <c r="D294" s="14">
        <v>312.35998499999999</v>
      </c>
      <c r="E294" s="14">
        <v>313.48001099999999</v>
      </c>
      <c r="F294" s="14">
        <v>313.48001099999999</v>
      </c>
      <c r="G294" s="14">
        <v>4911300</v>
      </c>
      <c r="H294" s="14">
        <f t="shared" si="4"/>
        <v>-2.7431041639619069E-2</v>
      </c>
    </row>
    <row r="295" spans="1:8" x14ac:dyDescent="0.25">
      <c r="A295" s="46">
        <v>44987</v>
      </c>
      <c r="B295" s="14">
        <v>310.959991</v>
      </c>
      <c r="C295" s="14">
        <v>315.57000699999998</v>
      </c>
      <c r="D295" s="14">
        <v>310.38000499999998</v>
      </c>
      <c r="E295" s="14">
        <v>311.88000499999998</v>
      </c>
      <c r="F295" s="14">
        <v>311.88000499999998</v>
      </c>
      <c r="G295" s="14">
        <v>4911000</v>
      </c>
      <c r="H295" s="14">
        <f t="shared" si="4"/>
        <v>-6.3387760759433531E-3</v>
      </c>
    </row>
    <row r="296" spans="1:8" x14ac:dyDescent="0.25">
      <c r="A296" s="46">
        <v>44988</v>
      </c>
      <c r="B296" s="14">
        <v>315.45001200000002</v>
      </c>
      <c r="C296" s="14">
        <v>317.48998999999998</v>
      </c>
      <c r="D296" s="14">
        <v>310.82000699999998</v>
      </c>
      <c r="E296" s="14">
        <v>315.17999300000002</v>
      </c>
      <c r="F296" s="14">
        <v>315.17999300000002</v>
      </c>
      <c r="G296" s="14">
        <v>5953300</v>
      </c>
      <c r="H296" s="14">
        <f t="shared" si="4"/>
        <v>1.4176235353819955E-3</v>
      </c>
    </row>
    <row r="297" spans="1:8" x14ac:dyDescent="0.25">
      <c r="A297" s="46">
        <v>44991</v>
      </c>
      <c r="B297" s="14">
        <v>317</v>
      </c>
      <c r="C297" s="14">
        <v>323.29998799999998</v>
      </c>
      <c r="D297" s="14">
        <v>311.83999599999999</v>
      </c>
      <c r="E297" s="14">
        <v>312.02999899999998</v>
      </c>
      <c r="F297" s="14">
        <v>312.02999899999998</v>
      </c>
      <c r="G297" s="14">
        <v>5660700</v>
      </c>
      <c r="H297" s="14">
        <f t="shared" si="4"/>
        <v>1.0938688812696846E-3</v>
      </c>
    </row>
    <row r="298" spans="1:8" x14ac:dyDescent="0.25">
      <c r="A298" s="46">
        <v>44992</v>
      </c>
      <c r="B298" s="14">
        <v>312.67999300000002</v>
      </c>
      <c r="C298" s="14">
        <v>314.29998799999998</v>
      </c>
      <c r="D298" s="14">
        <v>306.61999500000002</v>
      </c>
      <c r="E298" s="14">
        <v>308.47000100000002</v>
      </c>
      <c r="F298" s="14">
        <v>308.47000100000002</v>
      </c>
      <c r="G298" s="14">
        <v>4553100</v>
      </c>
      <c r="H298" s="14">
        <f t="shared" si="4"/>
        <v>-1.6739356936112726E-2</v>
      </c>
    </row>
    <row r="299" spans="1:8" x14ac:dyDescent="0.25">
      <c r="A299" s="46">
        <v>44993</v>
      </c>
      <c r="B299" s="14">
        <v>309.290009</v>
      </c>
      <c r="C299" s="14">
        <v>311.82998700000002</v>
      </c>
      <c r="D299" s="14">
        <v>305.75</v>
      </c>
      <c r="E299" s="14">
        <v>311.790009</v>
      </c>
      <c r="F299" s="14">
        <v>311.790009</v>
      </c>
      <c r="G299" s="14">
        <v>3479500</v>
      </c>
      <c r="H299" s="14">
        <f t="shared" si="4"/>
        <v>-2.8373720376585476E-3</v>
      </c>
    </row>
    <row r="300" spans="1:8" x14ac:dyDescent="0.25">
      <c r="A300" s="46">
        <v>44994</v>
      </c>
      <c r="B300" s="14">
        <v>312.07998700000002</v>
      </c>
      <c r="C300" s="14">
        <v>312.51001000000002</v>
      </c>
      <c r="D300" s="14">
        <v>294.88000499999998</v>
      </c>
      <c r="E300" s="14">
        <v>297.77999899999998</v>
      </c>
      <c r="F300" s="14">
        <v>297.77999899999998</v>
      </c>
      <c r="G300" s="14">
        <v>7443400</v>
      </c>
      <c r="H300" s="14">
        <f t="shared" si="4"/>
        <v>-3.5551905151267382E-2</v>
      </c>
    </row>
    <row r="301" spans="1:8" x14ac:dyDescent="0.25">
      <c r="A301" s="46">
        <v>44995</v>
      </c>
      <c r="B301" s="14">
        <v>297.89999399999999</v>
      </c>
      <c r="C301" s="14">
        <v>298.790009</v>
      </c>
      <c r="D301" s="14">
        <v>289</v>
      </c>
      <c r="E301" s="14">
        <v>292.76001000000002</v>
      </c>
      <c r="F301" s="14">
        <v>292.76001000000002</v>
      </c>
      <c r="G301" s="14">
        <v>5759300</v>
      </c>
      <c r="H301" s="14">
        <f t="shared" si="4"/>
        <v>-1.9940331322227056E-2</v>
      </c>
    </row>
    <row r="302" spans="1:8" x14ac:dyDescent="0.25">
      <c r="A302" s="46">
        <v>44998</v>
      </c>
      <c r="B302" s="14">
        <v>287.33999599999999</v>
      </c>
      <c r="C302" s="14">
        <v>299.23998999999998</v>
      </c>
      <c r="D302" s="14">
        <v>285.32998700000002</v>
      </c>
      <c r="E302" s="14">
        <v>293.51001000000002</v>
      </c>
      <c r="F302" s="14">
        <v>293.51001000000002</v>
      </c>
      <c r="G302" s="14">
        <v>6292400</v>
      </c>
      <c r="H302" s="14">
        <f t="shared" si="4"/>
        <v>-4.2330023068050488E-3</v>
      </c>
    </row>
    <row r="303" spans="1:8" x14ac:dyDescent="0.25">
      <c r="A303" s="46">
        <v>44999</v>
      </c>
      <c r="B303" s="14">
        <v>295.97000100000002</v>
      </c>
      <c r="C303" s="14">
        <v>297.45001200000002</v>
      </c>
      <c r="D303" s="14">
        <v>290.30999800000001</v>
      </c>
      <c r="E303" s="14">
        <v>294.94000199999999</v>
      </c>
      <c r="F303" s="14">
        <v>294.94000199999999</v>
      </c>
      <c r="G303" s="14">
        <v>5956700</v>
      </c>
      <c r="H303" s="14">
        <f t="shared" si="4"/>
        <v>1.7453514270829196E-2</v>
      </c>
    </row>
    <row r="304" spans="1:8" x14ac:dyDescent="0.25">
      <c r="A304" s="46">
        <v>45000</v>
      </c>
      <c r="B304" s="14">
        <v>292.51001000000002</v>
      </c>
      <c r="C304" s="14">
        <v>306.30999800000001</v>
      </c>
      <c r="D304" s="14">
        <v>292.27999899999998</v>
      </c>
      <c r="E304" s="14">
        <v>303.790009</v>
      </c>
      <c r="F304" s="14">
        <v>303.790009</v>
      </c>
      <c r="G304" s="14">
        <v>9215300</v>
      </c>
      <c r="H304" s="14">
        <f t="shared" si="4"/>
        <v>6.7858531003812672E-3</v>
      </c>
    </row>
    <row r="305" spans="1:8" x14ac:dyDescent="0.25">
      <c r="A305" s="46">
        <v>45001</v>
      </c>
      <c r="B305" s="14">
        <v>304.75</v>
      </c>
      <c r="C305" s="14">
        <v>316.60000600000001</v>
      </c>
      <c r="D305" s="14">
        <v>301.709991</v>
      </c>
      <c r="E305" s="14">
        <v>310.05999800000001</v>
      </c>
      <c r="F305" s="14">
        <v>310.05999800000001</v>
      </c>
      <c r="G305" s="14">
        <v>7903700</v>
      </c>
      <c r="H305" s="14">
        <f t="shared" si="4"/>
        <v>3.2263555605116956E-2</v>
      </c>
    </row>
    <row r="306" spans="1:8" x14ac:dyDescent="0.25">
      <c r="A306" s="46">
        <v>45002</v>
      </c>
      <c r="B306" s="14">
        <v>310.05999800000001</v>
      </c>
      <c r="C306" s="14">
        <v>310.76001000000002</v>
      </c>
      <c r="D306" s="14">
        <v>300</v>
      </c>
      <c r="E306" s="14">
        <v>303.5</v>
      </c>
      <c r="F306" s="14">
        <v>303.5</v>
      </c>
      <c r="G306" s="14">
        <v>6918800</v>
      </c>
      <c r="H306" s="14">
        <f t="shared" si="4"/>
        <v>-5.667664482479795E-3</v>
      </c>
    </row>
    <row r="307" spans="1:8" x14ac:dyDescent="0.25">
      <c r="A307" s="46">
        <v>45005</v>
      </c>
      <c r="B307" s="14">
        <v>299.790009</v>
      </c>
      <c r="C307" s="14">
        <v>307.5</v>
      </c>
      <c r="D307" s="14">
        <v>296</v>
      </c>
      <c r="E307" s="14">
        <v>305.13000499999998</v>
      </c>
      <c r="F307" s="14">
        <v>305.13000499999998</v>
      </c>
      <c r="G307" s="14">
        <v>5113400</v>
      </c>
      <c r="H307" s="14">
        <f t="shared" si="4"/>
        <v>-4.4444444444444358E-3</v>
      </c>
    </row>
    <row r="308" spans="1:8" x14ac:dyDescent="0.25">
      <c r="A308" s="46">
        <v>45006</v>
      </c>
      <c r="B308" s="14">
        <v>306.32000699999998</v>
      </c>
      <c r="C308" s="14">
        <v>307.92001299999998</v>
      </c>
      <c r="D308" s="14">
        <v>300.42999300000002</v>
      </c>
      <c r="E308" s="14">
        <v>305.790009</v>
      </c>
      <c r="F308" s="14">
        <v>305.790009</v>
      </c>
      <c r="G308" s="14">
        <v>4886300</v>
      </c>
      <c r="H308" s="14">
        <f t="shared" si="4"/>
        <v>1.4966192567567704E-2</v>
      </c>
    </row>
    <row r="309" spans="1:8" x14ac:dyDescent="0.25">
      <c r="A309" s="46">
        <v>45007</v>
      </c>
      <c r="B309" s="14">
        <v>306.30999800000001</v>
      </c>
      <c r="C309" s="14">
        <v>306.45001200000002</v>
      </c>
      <c r="D309" s="14">
        <v>293.540009</v>
      </c>
      <c r="E309" s="14">
        <v>293.89999399999999</v>
      </c>
      <c r="F309" s="14">
        <v>293.89999399999999</v>
      </c>
      <c r="G309" s="14">
        <v>5808000</v>
      </c>
      <c r="H309" s="14">
        <f t="shared" si="4"/>
        <v>-2.2933742171341809E-2</v>
      </c>
    </row>
    <row r="310" spans="1:8" x14ac:dyDescent="0.25">
      <c r="A310" s="46">
        <v>45008</v>
      </c>
      <c r="B310" s="14">
        <v>304.67999300000002</v>
      </c>
      <c r="C310" s="14">
        <v>322.77999899999998</v>
      </c>
      <c r="D310" s="14">
        <v>304.14001500000001</v>
      </c>
      <c r="E310" s="14">
        <v>320.36999500000002</v>
      </c>
      <c r="F310" s="14">
        <v>320.36999500000002</v>
      </c>
      <c r="G310" s="14">
        <v>15653300</v>
      </c>
      <c r="H310" s="14">
        <f t="shared" si="4"/>
        <v>3.6110941183489675E-2</v>
      </c>
    </row>
    <row r="311" spans="1:8" x14ac:dyDescent="0.25">
      <c r="A311" s="46">
        <v>45009</v>
      </c>
      <c r="B311" s="14">
        <v>320.63000499999998</v>
      </c>
      <c r="C311" s="14">
        <v>331.82998700000002</v>
      </c>
      <c r="D311" s="14">
        <v>320.63000499999998</v>
      </c>
      <c r="E311" s="14">
        <v>328.39001500000001</v>
      </c>
      <c r="F311" s="14">
        <v>328.39001500000001</v>
      </c>
      <c r="G311" s="14">
        <v>12991700</v>
      </c>
      <c r="H311" s="14">
        <f t="shared" si="4"/>
        <v>5.4218416475056541E-2</v>
      </c>
    </row>
    <row r="312" spans="1:8" x14ac:dyDescent="0.25">
      <c r="A312" s="46">
        <v>45012</v>
      </c>
      <c r="B312" s="14">
        <v>327.54998799999998</v>
      </c>
      <c r="C312" s="14">
        <v>336.44000199999999</v>
      </c>
      <c r="D312" s="14">
        <v>324.41000400000001</v>
      </c>
      <c r="E312" s="14">
        <v>327.66000400000001</v>
      </c>
      <c r="F312" s="14">
        <v>327.66000400000001</v>
      </c>
      <c r="G312" s="14">
        <v>8625800</v>
      </c>
      <c r="H312" s="14">
        <f t="shared" si="4"/>
        <v>3.929762177643588E-3</v>
      </c>
    </row>
    <row r="313" spans="1:8" x14ac:dyDescent="0.25">
      <c r="A313" s="46">
        <v>45013</v>
      </c>
      <c r="B313" s="14">
        <v>326.05999800000001</v>
      </c>
      <c r="C313" s="14">
        <v>333.32000699999998</v>
      </c>
      <c r="D313" s="14">
        <v>321.27999899999998</v>
      </c>
      <c r="E313" s="14">
        <v>323.51998900000001</v>
      </c>
      <c r="F313" s="14">
        <v>323.51998900000001</v>
      </c>
      <c r="G313" s="14">
        <v>6489400</v>
      </c>
      <c r="H313" s="14">
        <f t="shared" si="4"/>
        <v>-9.6482998717882795E-3</v>
      </c>
    </row>
    <row r="314" spans="1:8" x14ac:dyDescent="0.25">
      <c r="A314" s="46">
        <v>45014</v>
      </c>
      <c r="B314" s="14">
        <v>326.290009</v>
      </c>
      <c r="C314" s="14">
        <v>332.85000600000001</v>
      </c>
      <c r="D314" s="14">
        <v>325.73001099999999</v>
      </c>
      <c r="E314" s="14">
        <v>332.02999899999998</v>
      </c>
      <c r="F314" s="14">
        <v>332.02999899999998</v>
      </c>
      <c r="G314" s="14">
        <v>6287300</v>
      </c>
      <c r="H314" s="14">
        <f t="shared" si="4"/>
        <v>1.3850884007255093E-2</v>
      </c>
    </row>
    <row r="315" spans="1:8" x14ac:dyDescent="0.25">
      <c r="A315" s="46">
        <v>45015</v>
      </c>
      <c r="B315" s="14">
        <v>340.26998900000001</v>
      </c>
      <c r="C315" s="14">
        <v>343.290009</v>
      </c>
      <c r="D315" s="14">
        <v>335.29998799999998</v>
      </c>
      <c r="E315" s="14">
        <v>338.42999300000002</v>
      </c>
      <c r="F315" s="14">
        <v>338.42999300000002</v>
      </c>
      <c r="G315" s="14">
        <v>7131500</v>
      </c>
      <c r="H315" s="14">
        <f t="shared" si="4"/>
        <v>2.938008988063423E-2</v>
      </c>
    </row>
    <row r="316" spans="1:8" x14ac:dyDescent="0.25">
      <c r="A316" s="46">
        <v>45016</v>
      </c>
      <c r="B316" s="14">
        <v>340.04998799999998</v>
      </c>
      <c r="C316" s="14">
        <v>345.83999599999999</v>
      </c>
      <c r="D316" s="14">
        <v>337.20001200000002</v>
      </c>
      <c r="E316" s="14">
        <v>345.48001099999999</v>
      </c>
      <c r="F316" s="14">
        <v>345.48001099999999</v>
      </c>
      <c r="G316" s="14">
        <v>5610200</v>
      </c>
      <c r="H316" s="14">
        <f t="shared" si="4"/>
        <v>5.6666390337003492E-3</v>
      </c>
    </row>
    <row r="317" spans="1:8" x14ac:dyDescent="0.25">
      <c r="A317" s="46">
        <v>45019</v>
      </c>
      <c r="B317" s="14">
        <v>341.82998700000002</v>
      </c>
      <c r="C317" s="14">
        <v>348.57998700000002</v>
      </c>
      <c r="D317" s="14">
        <v>340.39999399999999</v>
      </c>
      <c r="E317" s="14">
        <v>348.27999899999998</v>
      </c>
      <c r="F317" s="14">
        <v>348.27999899999998</v>
      </c>
      <c r="G317" s="14">
        <v>4413700</v>
      </c>
      <c r="H317" s="14">
        <f t="shared" si="4"/>
        <v>3.1632877482420016E-3</v>
      </c>
    </row>
    <row r="318" spans="1:8" x14ac:dyDescent="0.25">
      <c r="A318" s="46">
        <v>45020</v>
      </c>
      <c r="B318" s="14">
        <v>348.48998999999998</v>
      </c>
      <c r="C318" s="14">
        <v>349.79998799999998</v>
      </c>
      <c r="D318" s="14">
        <v>343.95001200000002</v>
      </c>
      <c r="E318" s="14">
        <v>346.75</v>
      </c>
      <c r="F318" s="14">
        <v>346.75</v>
      </c>
      <c r="G318" s="14">
        <v>3298100</v>
      </c>
      <c r="H318" s="14">
        <f t="shared" si="4"/>
        <v>1.0428960230827844E-2</v>
      </c>
    </row>
    <row r="319" spans="1:8" x14ac:dyDescent="0.25">
      <c r="A319" s="46">
        <v>45021</v>
      </c>
      <c r="B319" s="14">
        <v>345.29998799999998</v>
      </c>
      <c r="C319" s="14">
        <v>345.42999300000002</v>
      </c>
      <c r="D319" s="14">
        <v>336.25</v>
      </c>
      <c r="E319" s="14">
        <v>342.35000600000001</v>
      </c>
      <c r="F319" s="14">
        <v>342.35000600000001</v>
      </c>
      <c r="G319" s="14">
        <v>4205500</v>
      </c>
      <c r="H319" s="14">
        <f t="shared" si="4"/>
        <v>-2.2387008958732135E-2</v>
      </c>
    </row>
    <row r="320" spans="1:8" x14ac:dyDescent="0.25">
      <c r="A320" s="46">
        <v>45022</v>
      </c>
      <c r="B320" s="14">
        <v>339.33999599999999</v>
      </c>
      <c r="C320" s="14">
        <v>340.48001099999999</v>
      </c>
      <c r="D320" s="14">
        <v>332.63000499999998</v>
      </c>
      <c r="E320" s="14">
        <v>339.32998700000002</v>
      </c>
      <c r="F320" s="14">
        <v>339.32998700000002</v>
      </c>
      <c r="G320" s="14">
        <v>4660500</v>
      </c>
      <c r="H320" s="14">
        <f t="shared" si="4"/>
        <v>-1.0765784386617128E-2</v>
      </c>
    </row>
    <row r="321" spans="1:8" x14ac:dyDescent="0.25">
      <c r="A321" s="46">
        <v>45026</v>
      </c>
      <c r="B321" s="14">
        <v>335.26998900000001</v>
      </c>
      <c r="C321" s="14">
        <v>339.88000499999998</v>
      </c>
      <c r="D321" s="14">
        <v>333.35998499999999</v>
      </c>
      <c r="E321" s="14">
        <v>338.98998999999998</v>
      </c>
      <c r="F321" s="14">
        <v>338.98998999999998</v>
      </c>
      <c r="G321" s="14">
        <v>2657900</v>
      </c>
      <c r="H321" s="14">
        <f t="shared" si="4"/>
        <v>5.4864262771486816E-4</v>
      </c>
    </row>
    <row r="322" spans="1:8" x14ac:dyDescent="0.25">
      <c r="A322" s="46">
        <v>45027</v>
      </c>
      <c r="B322" s="14">
        <v>343.45001200000002</v>
      </c>
      <c r="C322" s="14">
        <v>347.14001500000001</v>
      </c>
      <c r="D322" s="14">
        <v>337.64001500000001</v>
      </c>
      <c r="E322" s="14">
        <v>338.209991</v>
      </c>
      <c r="F322" s="14">
        <v>338.209991</v>
      </c>
      <c r="G322" s="14">
        <v>4044800</v>
      </c>
      <c r="H322" s="14">
        <f t="shared" si="4"/>
        <v>1.2839063452681598E-2</v>
      </c>
    </row>
    <row r="323" spans="1:8" x14ac:dyDescent="0.25">
      <c r="A323" s="46">
        <v>45028</v>
      </c>
      <c r="B323" s="14">
        <v>340.80999800000001</v>
      </c>
      <c r="C323" s="14">
        <v>342.79998799999998</v>
      </c>
      <c r="D323" s="14">
        <v>330.040009</v>
      </c>
      <c r="E323" s="14">
        <v>331.02999899999998</v>
      </c>
      <c r="F323" s="14">
        <v>331.02999899999998</v>
      </c>
      <c r="G323" s="14">
        <v>3965400</v>
      </c>
      <c r="H323" s="14">
        <f t="shared" si="4"/>
        <v>-2.2509198147026566E-2</v>
      </c>
    </row>
    <row r="324" spans="1:8" x14ac:dyDescent="0.25">
      <c r="A324" s="46">
        <v>45029</v>
      </c>
      <c r="B324" s="14">
        <v>339.98998999999998</v>
      </c>
      <c r="C324" s="14">
        <v>346.42999300000002</v>
      </c>
      <c r="D324" s="14">
        <v>338.75</v>
      </c>
      <c r="E324" s="14">
        <v>346.19000199999999</v>
      </c>
      <c r="F324" s="14">
        <v>346.19000199999999</v>
      </c>
      <c r="G324" s="14">
        <v>7406400</v>
      </c>
      <c r="H324" s="14">
        <f t="shared" ref="H324:H387" si="5">(D324/D323-1)/(A324-A323)</f>
        <v>2.6390712527219806E-2</v>
      </c>
    </row>
    <row r="325" spans="1:8" x14ac:dyDescent="0.25">
      <c r="A325" s="46">
        <v>45030</v>
      </c>
      <c r="B325" s="14">
        <v>342.94000199999999</v>
      </c>
      <c r="C325" s="14">
        <v>344.85000600000001</v>
      </c>
      <c r="D325" s="14">
        <v>336.41000400000001</v>
      </c>
      <c r="E325" s="14">
        <v>338.63000499999998</v>
      </c>
      <c r="F325" s="14">
        <v>338.63000499999998</v>
      </c>
      <c r="G325" s="14">
        <v>5350500</v>
      </c>
      <c r="H325" s="14">
        <f t="shared" si="5"/>
        <v>-6.9077372693726602E-3</v>
      </c>
    </row>
    <row r="326" spans="1:8" x14ac:dyDescent="0.25">
      <c r="A326" s="46">
        <v>45033</v>
      </c>
      <c r="B326" s="14">
        <v>338</v>
      </c>
      <c r="C326" s="14">
        <v>338.39001500000001</v>
      </c>
      <c r="D326" s="14">
        <v>327.5</v>
      </c>
      <c r="E326" s="14">
        <v>332.72000100000002</v>
      </c>
      <c r="F326" s="14">
        <v>332.72000100000002</v>
      </c>
      <c r="G326" s="14">
        <v>6136000</v>
      </c>
      <c r="H326" s="14">
        <f t="shared" si="5"/>
        <v>-8.8285166850547627E-3</v>
      </c>
    </row>
    <row r="327" spans="1:8" x14ac:dyDescent="0.25">
      <c r="A327" s="46">
        <v>45034</v>
      </c>
      <c r="B327" s="14">
        <v>335</v>
      </c>
      <c r="C327" s="14">
        <v>337.19000199999999</v>
      </c>
      <c r="D327" s="14">
        <v>330.5</v>
      </c>
      <c r="E327" s="14">
        <v>333.70001200000002</v>
      </c>
      <c r="F327" s="14">
        <v>333.70001200000002</v>
      </c>
      <c r="G327" s="14">
        <v>17944500</v>
      </c>
      <c r="H327" s="14">
        <f t="shared" si="5"/>
        <v>9.1603053435114212E-3</v>
      </c>
    </row>
    <row r="328" spans="1:8" x14ac:dyDescent="0.25">
      <c r="A328" s="46">
        <v>45035</v>
      </c>
      <c r="B328" s="14">
        <v>324.209991</v>
      </c>
      <c r="C328" s="14">
        <v>325.75</v>
      </c>
      <c r="D328" s="14">
        <v>316.10000600000001</v>
      </c>
      <c r="E328" s="14">
        <v>323.11999500000002</v>
      </c>
      <c r="F328" s="14">
        <v>323.11999500000002</v>
      </c>
      <c r="G328" s="14">
        <v>22128300</v>
      </c>
      <c r="H328" s="14">
        <f t="shared" si="5"/>
        <v>-4.3570329803328312E-2</v>
      </c>
    </row>
    <row r="329" spans="1:8" x14ac:dyDescent="0.25">
      <c r="A329" s="46">
        <v>45036</v>
      </c>
      <c r="B329" s="14">
        <v>320.39001500000001</v>
      </c>
      <c r="C329" s="14">
        <v>331.42999300000002</v>
      </c>
      <c r="D329" s="14">
        <v>318.32998700000002</v>
      </c>
      <c r="E329" s="14">
        <v>325.35000600000001</v>
      </c>
      <c r="F329" s="14">
        <v>325.35000600000001</v>
      </c>
      <c r="G329" s="14">
        <v>9947800</v>
      </c>
      <c r="H329" s="14">
        <f t="shared" si="5"/>
        <v>7.0546692745081518E-3</v>
      </c>
    </row>
    <row r="330" spans="1:8" x14ac:dyDescent="0.25">
      <c r="A330" s="46">
        <v>45037</v>
      </c>
      <c r="B330" s="14">
        <v>323</v>
      </c>
      <c r="C330" s="14">
        <v>328.290009</v>
      </c>
      <c r="D330" s="14">
        <v>319.5</v>
      </c>
      <c r="E330" s="14">
        <v>327.98001099999999</v>
      </c>
      <c r="F330" s="14">
        <v>327.98001099999999</v>
      </c>
      <c r="G330" s="14">
        <v>6348000</v>
      </c>
      <c r="H330" s="14">
        <f t="shared" si="5"/>
        <v>3.6754721445704241E-3</v>
      </c>
    </row>
    <row r="331" spans="1:8" x14ac:dyDescent="0.25">
      <c r="A331" s="46">
        <v>45040</v>
      </c>
      <c r="B331" s="14">
        <v>330.20001200000002</v>
      </c>
      <c r="C331" s="14">
        <v>334.66000400000001</v>
      </c>
      <c r="D331" s="14">
        <v>326.75</v>
      </c>
      <c r="E331" s="14">
        <v>329.01998900000001</v>
      </c>
      <c r="F331" s="14">
        <v>329.01998900000001</v>
      </c>
      <c r="G331" s="14">
        <v>5586600</v>
      </c>
      <c r="H331" s="14">
        <f t="shared" si="5"/>
        <v>7.5639019300991111E-3</v>
      </c>
    </row>
    <row r="332" spans="1:8" x14ac:dyDescent="0.25">
      <c r="A332" s="46">
        <v>45041</v>
      </c>
      <c r="B332" s="14">
        <v>328.5</v>
      </c>
      <c r="C332" s="14">
        <v>328.66000400000001</v>
      </c>
      <c r="D332" s="14">
        <v>321.10000600000001</v>
      </c>
      <c r="E332" s="14">
        <v>322.54998799999998</v>
      </c>
      <c r="F332" s="14">
        <v>322.54998799999998</v>
      </c>
      <c r="G332" s="14">
        <v>5426600</v>
      </c>
      <c r="H332" s="14">
        <f t="shared" si="5"/>
        <v>-1.7291488905891383E-2</v>
      </c>
    </row>
    <row r="333" spans="1:8" x14ac:dyDescent="0.25">
      <c r="A333" s="46">
        <v>45042</v>
      </c>
      <c r="B333" s="14">
        <v>321.35998499999999</v>
      </c>
      <c r="C333" s="14">
        <v>325.89999399999999</v>
      </c>
      <c r="D333" s="14">
        <v>320.47000100000002</v>
      </c>
      <c r="E333" s="14">
        <v>321.14999399999999</v>
      </c>
      <c r="F333" s="14">
        <v>321.14999399999999</v>
      </c>
      <c r="G333" s="14">
        <v>4623200</v>
      </c>
      <c r="H333" s="14">
        <f t="shared" si="5"/>
        <v>-1.9620211405414478E-3</v>
      </c>
    </row>
    <row r="334" spans="1:8" x14ac:dyDescent="0.25">
      <c r="A334" s="46">
        <v>45043</v>
      </c>
      <c r="B334" s="14">
        <v>324.29998799999998</v>
      </c>
      <c r="C334" s="14">
        <v>327.45001200000002</v>
      </c>
      <c r="D334" s="14">
        <v>317.44000199999999</v>
      </c>
      <c r="E334" s="14">
        <v>325.85000600000001</v>
      </c>
      <c r="F334" s="14">
        <v>325.85000600000001</v>
      </c>
      <c r="G334" s="14">
        <v>5618800</v>
      </c>
      <c r="H334" s="14">
        <f t="shared" si="5"/>
        <v>-9.4548600197995603E-3</v>
      </c>
    </row>
    <row r="335" spans="1:8" x14ac:dyDescent="0.25">
      <c r="A335" s="46">
        <v>45044</v>
      </c>
      <c r="B335" s="14">
        <v>325.23998999999998</v>
      </c>
      <c r="C335" s="14">
        <v>330.80999800000001</v>
      </c>
      <c r="D335" s="14">
        <v>324</v>
      </c>
      <c r="E335" s="14">
        <v>329.92999300000002</v>
      </c>
      <c r="F335" s="14">
        <v>329.92999300000002</v>
      </c>
      <c r="G335" s="14">
        <v>4221900</v>
      </c>
      <c r="H335" s="14">
        <f t="shared" si="5"/>
        <v>2.0665316150042079E-2</v>
      </c>
    </row>
    <row r="336" spans="1:8" x14ac:dyDescent="0.25">
      <c r="A336" s="46">
        <v>45047</v>
      </c>
      <c r="B336" s="14">
        <v>329.44000199999999</v>
      </c>
      <c r="C336" s="14">
        <v>331.23001099999999</v>
      </c>
      <c r="D336" s="14">
        <v>318.08999599999999</v>
      </c>
      <c r="E336" s="14">
        <v>324.11999500000002</v>
      </c>
      <c r="F336" s="14">
        <v>324.11999500000002</v>
      </c>
      <c r="G336" s="14">
        <v>5341500</v>
      </c>
      <c r="H336" s="14">
        <f t="shared" si="5"/>
        <v>-6.0802510288066047E-3</v>
      </c>
    </row>
    <row r="337" spans="1:8" x14ac:dyDescent="0.25">
      <c r="A337" s="46">
        <v>45048</v>
      </c>
      <c r="B337" s="14">
        <v>325</v>
      </c>
      <c r="C337" s="14">
        <v>326.07000699999998</v>
      </c>
      <c r="D337" s="14">
        <v>315.61999500000002</v>
      </c>
      <c r="E337" s="14">
        <v>317.54998799999998</v>
      </c>
      <c r="F337" s="14">
        <v>317.54998799999998</v>
      </c>
      <c r="G337" s="14">
        <v>4318600</v>
      </c>
      <c r="H337" s="14">
        <f t="shared" si="5"/>
        <v>-7.7651011696701078E-3</v>
      </c>
    </row>
    <row r="338" spans="1:8" x14ac:dyDescent="0.25">
      <c r="A338" s="46">
        <v>45049</v>
      </c>
      <c r="B338" s="14">
        <v>317.54998799999998</v>
      </c>
      <c r="C338" s="14">
        <v>324.61999500000002</v>
      </c>
      <c r="D338" s="14">
        <v>315.85000600000001</v>
      </c>
      <c r="E338" s="14">
        <v>319.29998799999998</v>
      </c>
      <c r="F338" s="14">
        <v>319.29998799999998</v>
      </c>
      <c r="G338" s="14">
        <v>5064100</v>
      </c>
      <c r="H338" s="14">
        <f t="shared" si="5"/>
        <v>7.2875927901838722E-4</v>
      </c>
    </row>
    <row r="339" spans="1:8" x14ac:dyDescent="0.25">
      <c r="A339" s="46">
        <v>45050</v>
      </c>
      <c r="B339" s="14">
        <v>319.01001000000002</v>
      </c>
      <c r="C339" s="14">
        <v>323.60998499999999</v>
      </c>
      <c r="D339" s="14">
        <v>317.95001200000002</v>
      </c>
      <c r="E339" s="14">
        <v>320.77999899999998</v>
      </c>
      <c r="F339" s="14">
        <v>320.77999899999998</v>
      </c>
      <c r="G339" s="14">
        <v>3879700</v>
      </c>
      <c r="H339" s="14">
        <f t="shared" si="5"/>
        <v>6.6487445309721949E-3</v>
      </c>
    </row>
    <row r="340" spans="1:8" x14ac:dyDescent="0.25">
      <c r="A340" s="46">
        <v>45051</v>
      </c>
      <c r="B340" s="14">
        <v>323.60998499999999</v>
      </c>
      <c r="C340" s="14">
        <v>324.14999399999999</v>
      </c>
      <c r="D340" s="14">
        <v>319.44000199999999</v>
      </c>
      <c r="E340" s="14">
        <v>322.76001000000002</v>
      </c>
      <c r="F340" s="14">
        <v>322.76001000000002</v>
      </c>
      <c r="G340" s="14">
        <v>3988600</v>
      </c>
      <c r="H340" s="14">
        <f t="shared" si="5"/>
        <v>4.6862397979716697E-3</v>
      </c>
    </row>
    <row r="341" spans="1:8" x14ac:dyDescent="0.25">
      <c r="A341" s="46">
        <v>45054</v>
      </c>
      <c r="B341" s="14">
        <v>322.98998999999998</v>
      </c>
      <c r="C341" s="14">
        <v>332.55999800000001</v>
      </c>
      <c r="D341" s="14">
        <v>322.02999899999998</v>
      </c>
      <c r="E341" s="14">
        <v>331.209991</v>
      </c>
      <c r="F341" s="14">
        <v>331.209991</v>
      </c>
      <c r="G341" s="14">
        <v>5488600</v>
      </c>
      <c r="H341" s="14">
        <f t="shared" si="5"/>
        <v>2.7026431502881199E-3</v>
      </c>
    </row>
    <row r="342" spans="1:8" x14ac:dyDescent="0.25">
      <c r="A342" s="46">
        <v>45055</v>
      </c>
      <c r="B342" s="14">
        <v>330.67001299999998</v>
      </c>
      <c r="C342" s="14">
        <v>336.32000699999998</v>
      </c>
      <c r="D342" s="14">
        <v>329.73998999999998</v>
      </c>
      <c r="E342" s="14">
        <v>332.14001500000001</v>
      </c>
      <c r="F342" s="14">
        <v>332.14001500000001</v>
      </c>
      <c r="G342" s="14">
        <v>5544900</v>
      </c>
      <c r="H342" s="14">
        <f t="shared" si="5"/>
        <v>2.3941840896630318E-2</v>
      </c>
    </row>
    <row r="343" spans="1:8" x14ac:dyDescent="0.25">
      <c r="A343" s="46">
        <v>45056</v>
      </c>
      <c r="B343" s="14">
        <v>335.209991</v>
      </c>
      <c r="C343" s="14">
        <v>337.10998499999999</v>
      </c>
      <c r="D343" s="14">
        <v>329.51001000000002</v>
      </c>
      <c r="E343" s="14">
        <v>335.42001299999998</v>
      </c>
      <c r="F343" s="14">
        <v>335.42001299999998</v>
      </c>
      <c r="G343" s="14">
        <v>4289900</v>
      </c>
      <c r="H343" s="14">
        <f t="shared" si="5"/>
        <v>-6.9745862490000476E-4</v>
      </c>
    </row>
    <row r="344" spans="1:8" x14ac:dyDescent="0.25">
      <c r="A344" s="46">
        <v>45057</v>
      </c>
      <c r="B344" s="14">
        <v>334.98001099999999</v>
      </c>
      <c r="C344" s="14">
        <v>345.47000100000002</v>
      </c>
      <c r="D344" s="14">
        <v>331.83999599999999</v>
      </c>
      <c r="E344" s="14">
        <v>344.76001000000002</v>
      </c>
      <c r="F344" s="14">
        <v>344.76001000000002</v>
      </c>
      <c r="G344" s="14">
        <v>8033500</v>
      </c>
      <c r="H344" s="14">
        <f t="shared" si="5"/>
        <v>7.0710628790910945E-3</v>
      </c>
    </row>
    <row r="345" spans="1:8" x14ac:dyDescent="0.25">
      <c r="A345" s="46">
        <v>45058</v>
      </c>
      <c r="B345" s="14">
        <v>344.76001000000002</v>
      </c>
      <c r="C345" s="14">
        <v>348.17001299999998</v>
      </c>
      <c r="D345" s="14">
        <v>337.35998499999999</v>
      </c>
      <c r="E345" s="14">
        <v>339.89001500000001</v>
      </c>
      <c r="F345" s="14">
        <v>339.89001500000001</v>
      </c>
      <c r="G345" s="14">
        <v>6079900</v>
      </c>
      <c r="H345" s="14">
        <f t="shared" si="5"/>
        <v>1.6634489713530431E-2</v>
      </c>
    </row>
    <row r="346" spans="1:8" x14ac:dyDescent="0.25">
      <c r="A346" s="46">
        <v>45061</v>
      </c>
      <c r="B346" s="14">
        <v>340.61999500000002</v>
      </c>
      <c r="C346" s="14">
        <v>341.89999399999999</v>
      </c>
      <c r="D346" s="14">
        <v>335.540009</v>
      </c>
      <c r="E346" s="14">
        <v>335.89001500000001</v>
      </c>
      <c r="F346" s="14">
        <v>335.89001500000001</v>
      </c>
      <c r="G346" s="14">
        <v>3653000</v>
      </c>
      <c r="H346" s="14">
        <f t="shared" si="5"/>
        <v>-1.7982531824770609E-3</v>
      </c>
    </row>
    <row r="347" spans="1:8" x14ac:dyDescent="0.25">
      <c r="A347" s="46">
        <v>45062</v>
      </c>
      <c r="B347" s="14">
        <v>334</v>
      </c>
      <c r="C347" s="14">
        <v>335.17001299999998</v>
      </c>
      <c r="D347" s="14">
        <v>331.91000400000001</v>
      </c>
      <c r="E347" s="14">
        <v>333.75</v>
      </c>
      <c r="F347" s="14">
        <v>333.75</v>
      </c>
      <c r="G347" s="14">
        <v>3332200</v>
      </c>
      <c r="H347" s="14">
        <f t="shared" si="5"/>
        <v>-1.0818396920290851E-2</v>
      </c>
    </row>
    <row r="348" spans="1:8" x14ac:dyDescent="0.25">
      <c r="A348" s="46">
        <v>45063</v>
      </c>
      <c r="B348" s="14">
        <v>331.76001000000002</v>
      </c>
      <c r="C348" s="14">
        <v>341.38000499999998</v>
      </c>
      <c r="D348" s="14">
        <v>329.61999500000002</v>
      </c>
      <c r="E348" s="14">
        <v>339.959991</v>
      </c>
      <c r="F348" s="14">
        <v>339.959991</v>
      </c>
      <c r="G348" s="14">
        <v>3958800</v>
      </c>
      <c r="H348" s="14">
        <f t="shared" si="5"/>
        <v>-6.8994877298124146E-3</v>
      </c>
    </row>
    <row r="349" spans="1:8" x14ac:dyDescent="0.25">
      <c r="A349" s="46">
        <v>45064</v>
      </c>
      <c r="B349" s="14">
        <v>347.25</v>
      </c>
      <c r="C349" s="14">
        <v>375.86999500000002</v>
      </c>
      <c r="D349" s="14">
        <v>346.36999500000002</v>
      </c>
      <c r="E349" s="14">
        <v>371.290009</v>
      </c>
      <c r="F349" s="14">
        <v>371.290009</v>
      </c>
      <c r="G349" s="14">
        <v>20925200</v>
      </c>
      <c r="H349" s="14">
        <f t="shared" si="5"/>
        <v>5.0816092027426985E-2</v>
      </c>
    </row>
    <row r="350" spans="1:8" x14ac:dyDescent="0.25">
      <c r="A350" s="46">
        <v>45065</v>
      </c>
      <c r="B350" s="14">
        <v>369.85998499999999</v>
      </c>
      <c r="C350" s="14">
        <v>369.98998999999998</v>
      </c>
      <c r="D350" s="14">
        <v>363.80999800000001</v>
      </c>
      <c r="E350" s="14">
        <v>365.35998499999999</v>
      </c>
      <c r="F350" s="14">
        <v>365.35998499999999</v>
      </c>
      <c r="G350" s="14">
        <v>7850900</v>
      </c>
      <c r="H350" s="14">
        <f t="shared" si="5"/>
        <v>5.0350790344873886E-2</v>
      </c>
    </row>
    <row r="351" spans="1:8" x14ac:dyDescent="0.25">
      <c r="A351" s="46">
        <v>45068</v>
      </c>
      <c r="B351" s="14">
        <v>365.35998499999999</v>
      </c>
      <c r="C351" s="14">
        <v>372.01001000000002</v>
      </c>
      <c r="D351" s="14">
        <v>362.5</v>
      </c>
      <c r="E351" s="14">
        <v>363.01001000000002</v>
      </c>
      <c r="F351" s="14">
        <v>363.01001000000002</v>
      </c>
      <c r="G351" s="14">
        <v>5406400</v>
      </c>
      <c r="H351" s="14">
        <f t="shared" si="5"/>
        <v>-1.2002583832234255E-3</v>
      </c>
    </row>
    <row r="352" spans="1:8" x14ac:dyDescent="0.25">
      <c r="A352" s="46">
        <v>45069</v>
      </c>
      <c r="B352" s="14">
        <v>360.23998999999998</v>
      </c>
      <c r="C352" s="14">
        <v>364.17001299999998</v>
      </c>
      <c r="D352" s="14">
        <v>354.30999800000001</v>
      </c>
      <c r="E352" s="14">
        <v>355.98998999999998</v>
      </c>
      <c r="F352" s="14">
        <v>355.98998999999998</v>
      </c>
      <c r="G352" s="14">
        <v>6866100</v>
      </c>
      <c r="H352" s="14">
        <f t="shared" si="5"/>
        <v>-2.259310896551725E-2</v>
      </c>
    </row>
    <row r="353" spans="1:8" x14ac:dyDescent="0.25">
      <c r="A353" s="46">
        <v>45070</v>
      </c>
      <c r="B353" s="14">
        <v>356.92999300000002</v>
      </c>
      <c r="C353" s="14">
        <v>367.14999399999999</v>
      </c>
      <c r="D353" s="14">
        <v>356.63000499999998</v>
      </c>
      <c r="E353" s="14">
        <v>364.85000600000001</v>
      </c>
      <c r="F353" s="14">
        <v>364.85000600000001</v>
      </c>
      <c r="G353" s="14">
        <v>7973300</v>
      </c>
      <c r="H353" s="14">
        <f t="shared" si="5"/>
        <v>6.5479580398404291E-3</v>
      </c>
    </row>
    <row r="354" spans="1:8" x14ac:dyDescent="0.25">
      <c r="A354" s="46">
        <v>45071</v>
      </c>
      <c r="B354" s="14">
        <v>359.60998499999999</v>
      </c>
      <c r="C354" s="14">
        <v>367.45001200000002</v>
      </c>
      <c r="D354" s="14">
        <v>357.42001299999998</v>
      </c>
      <c r="E354" s="14">
        <v>359</v>
      </c>
      <c r="F354" s="14">
        <v>359</v>
      </c>
      <c r="G354" s="14">
        <v>6263100</v>
      </c>
      <c r="H354" s="14">
        <f t="shared" si="5"/>
        <v>2.2152034010711752E-3</v>
      </c>
    </row>
    <row r="355" spans="1:8" x14ac:dyDescent="0.25">
      <c r="A355" s="46">
        <v>45072</v>
      </c>
      <c r="B355" s="14">
        <v>361.10000600000001</v>
      </c>
      <c r="C355" s="14">
        <v>383.76001000000002</v>
      </c>
      <c r="D355" s="14">
        <v>356</v>
      </c>
      <c r="E355" s="14">
        <v>378.88000499999998</v>
      </c>
      <c r="F355" s="14">
        <v>378.88000499999998</v>
      </c>
      <c r="G355" s="14">
        <v>9360400</v>
      </c>
      <c r="H355" s="14">
        <f t="shared" si="5"/>
        <v>-3.9729532436674209E-3</v>
      </c>
    </row>
    <row r="356" spans="1:8" x14ac:dyDescent="0.25">
      <c r="A356" s="46">
        <v>45076</v>
      </c>
      <c r="B356" s="14">
        <v>397.48001099999999</v>
      </c>
      <c r="C356" s="14">
        <v>405.10998499999999</v>
      </c>
      <c r="D356" s="14">
        <v>385.790009</v>
      </c>
      <c r="E356" s="14">
        <v>392.98001099999999</v>
      </c>
      <c r="F356" s="14">
        <v>392.98001099999999</v>
      </c>
      <c r="G356" s="14">
        <v>10865000</v>
      </c>
      <c r="H356" s="14">
        <f t="shared" si="5"/>
        <v>2.091995014044945E-2</v>
      </c>
    </row>
    <row r="357" spans="1:8" x14ac:dyDescent="0.25">
      <c r="A357" s="46">
        <v>45077</v>
      </c>
      <c r="B357" s="14">
        <v>391.89001500000001</v>
      </c>
      <c r="C357" s="14">
        <v>396.26001000000002</v>
      </c>
      <c r="D357" s="14">
        <v>388.91000400000001</v>
      </c>
      <c r="E357" s="14">
        <v>395.23001099999999</v>
      </c>
      <c r="F357" s="14">
        <v>395.23001099999999</v>
      </c>
      <c r="G357" s="14">
        <v>6988000</v>
      </c>
      <c r="H357" s="14">
        <f t="shared" si="5"/>
        <v>8.0872882324953821E-3</v>
      </c>
    </row>
    <row r="358" spans="1:8" x14ac:dyDescent="0.25">
      <c r="A358" s="46">
        <v>45078</v>
      </c>
      <c r="B358" s="14">
        <v>397.41000400000001</v>
      </c>
      <c r="C358" s="14">
        <v>407.51998900000001</v>
      </c>
      <c r="D358" s="14">
        <v>393.07998700000002</v>
      </c>
      <c r="E358" s="14">
        <v>403.13000499999998</v>
      </c>
      <c r="F358" s="14">
        <v>403.13000499999998</v>
      </c>
      <c r="G358" s="14">
        <v>7160100</v>
      </c>
      <c r="H358" s="14">
        <f t="shared" si="5"/>
        <v>1.0722231254303161E-2</v>
      </c>
    </row>
    <row r="359" spans="1:8" x14ac:dyDescent="0.25">
      <c r="A359" s="46">
        <v>45079</v>
      </c>
      <c r="B359" s="14">
        <v>402.89001500000001</v>
      </c>
      <c r="C359" s="14">
        <v>406.57998700000002</v>
      </c>
      <c r="D359" s="14">
        <v>395.89999399999999</v>
      </c>
      <c r="E359" s="14">
        <v>400.47000100000002</v>
      </c>
      <c r="F359" s="14">
        <v>400.47000100000002</v>
      </c>
      <c r="G359" s="14">
        <v>5897300</v>
      </c>
      <c r="H359" s="14">
        <f t="shared" si="5"/>
        <v>7.1741301853660566E-3</v>
      </c>
    </row>
    <row r="360" spans="1:8" x14ac:dyDescent="0.25">
      <c r="A360" s="46">
        <v>45082</v>
      </c>
      <c r="B360" s="14">
        <v>400.47000100000002</v>
      </c>
      <c r="C360" s="14">
        <v>413.85998499999999</v>
      </c>
      <c r="D360" s="14">
        <v>400.14999399999999</v>
      </c>
      <c r="E360" s="14">
        <v>403.540009</v>
      </c>
      <c r="F360" s="14">
        <v>403.540009</v>
      </c>
      <c r="G360" s="14">
        <v>7247400</v>
      </c>
      <c r="H360" s="14">
        <f t="shared" si="5"/>
        <v>3.5783447540710758E-3</v>
      </c>
    </row>
    <row r="361" spans="1:8" x14ac:dyDescent="0.25">
      <c r="A361" s="46">
        <v>45083</v>
      </c>
      <c r="B361" s="14">
        <v>405</v>
      </c>
      <c r="C361" s="14">
        <v>405.11999500000002</v>
      </c>
      <c r="D361" s="14">
        <v>396.92999300000002</v>
      </c>
      <c r="E361" s="14">
        <v>399.290009</v>
      </c>
      <c r="F361" s="14">
        <v>399.290009</v>
      </c>
      <c r="G361" s="14">
        <v>4991500</v>
      </c>
      <c r="H361" s="14">
        <f t="shared" si="5"/>
        <v>-8.0469850013291655E-3</v>
      </c>
    </row>
    <row r="362" spans="1:8" x14ac:dyDescent="0.25">
      <c r="A362" s="46">
        <v>45084</v>
      </c>
      <c r="B362" s="14">
        <v>410.42999300000002</v>
      </c>
      <c r="C362" s="14">
        <v>418.95001200000002</v>
      </c>
      <c r="D362" s="14">
        <v>399.23001099999999</v>
      </c>
      <c r="E362" s="14">
        <v>399.76998900000001</v>
      </c>
      <c r="F362" s="14">
        <v>399.76998900000001</v>
      </c>
      <c r="G362" s="14">
        <v>11932400</v>
      </c>
      <c r="H362" s="14">
        <f t="shared" si="5"/>
        <v>5.7945180272631625E-3</v>
      </c>
    </row>
    <row r="363" spans="1:8" x14ac:dyDescent="0.25">
      <c r="A363" s="46">
        <v>45085</v>
      </c>
      <c r="B363" s="14">
        <v>399.76998900000001</v>
      </c>
      <c r="C363" s="14">
        <v>409.540009</v>
      </c>
      <c r="D363" s="14">
        <v>396.33999599999999</v>
      </c>
      <c r="E363" s="14">
        <v>409.36999500000002</v>
      </c>
      <c r="F363" s="14">
        <v>409.36999500000002</v>
      </c>
      <c r="G363" s="14">
        <v>5991100</v>
      </c>
      <c r="H363" s="14">
        <f t="shared" si="5"/>
        <v>-7.2389723226493619E-3</v>
      </c>
    </row>
    <row r="364" spans="1:8" x14ac:dyDescent="0.25">
      <c r="A364" s="46">
        <v>45086</v>
      </c>
      <c r="B364" s="14">
        <v>424.5</v>
      </c>
      <c r="C364" s="14">
        <v>425.89999399999999</v>
      </c>
      <c r="D364" s="14">
        <v>414.76001000000002</v>
      </c>
      <c r="E364" s="14">
        <v>420.01998900000001</v>
      </c>
      <c r="F364" s="14">
        <v>420.01998900000001</v>
      </c>
      <c r="G364" s="14">
        <v>12363000</v>
      </c>
      <c r="H364" s="14">
        <f t="shared" si="5"/>
        <v>4.647528431624659E-2</v>
      </c>
    </row>
    <row r="365" spans="1:8" x14ac:dyDescent="0.25">
      <c r="A365" s="46">
        <v>45089</v>
      </c>
      <c r="B365" s="14">
        <v>418.82998700000002</v>
      </c>
      <c r="C365" s="14">
        <v>424.70001200000002</v>
      </c>
      <c r="D365" s="14">
        <v>416.57000699999998</v>
      </c>
      <c r="E365" s="14">
        <v>423.97000100000002</v>
      </c>
      <c r="F365" s="14">
        <v>423.97000100000002</v>
      </c>
      <c r="G365" s="14">
        <v>5959500</v>
      </c>
      <c r="H365" s="14">
        <f t="shared" si="5"/>
        <v>1.4546540620763437E-3</v>
      </c>
    </row>
    <row r="366" spans="1:8" x14ac:dyDescent="0.25">
      <c r="A366" s="46">
        <v>45090</v>
      </c>
      <c r="B366" s="14">
        <v>430.01001000000002</v>
      </c>
      <c r="C366" s="14">
        <v>437.26998900000001</v>
      </c>
      <c r="D366" s="14">
        <v>428.39999399999999</v>
      </c>
      <c r="E366" s="14">
        <v>435.73001099999999</v>
      </c>
      <c r="F366" s="14">
        <v>435.73001099999999</v>
      </c>
      <c r="G366" s="14">
        <v>7820500</v>
      </c>
      <c r="H366" s="14">
        <f t="shared" si="5"/>
        <v>2.8398556788079121E-2</v>
      </c>
    </row>
    <row r="367" spans="1:8" x14ac:dyDescent="0.25">
      <c r="A367" s="46">
        <v>45091</v>
      </c>
      <c r="B367" s="14">
        <v>434.98998999999998</v>
      </c>
      <c r="C367" s="14">
        <v>447.32998700000002</v>
      </c>
      <c r="D367" s="14">
        <v>433.5</v>
      </c>
      <c r="E367" s="14">
        <v>440.85998499999999</v>
      </c>
      <c r="F367" s="14">
        <v>440.85998499999999</v>
      </c>
      <c r="G367" s="14">
        <v>8413100</v>
      </c>
      <c r="H367" s="14">
        <f t="shared" si="5"/>
        <v>1.1904776077097612E-2</v>
      </c>
    </row>
    <row r="368" spans="1:8" x14ac:dyDescent="0.25">
      <c r="A368" s="46">
        <v>45092</v>
      </c>
      <c r="B368" s="14">
        <v>444.10000600000001</v>
      </c>
      <c r="C368" s="14">
        <v>448.64999399999999</v>
      </c>
      <c r="D368" s="14">
        <v>439.5</v>
      </c>
      <c r="E368" s="14">
        <v>445.26998900000001</v>
      </c>
      <c r="F368" s="14">
        <v>445.26998900000001</v>
      </c>
      <c r="G368" s="14">
        <v>7099900</v>
      </c>
      <c r="H368" s="14">
        <f t="shared" si="5"/>
        <v>1.384083044982698E-2</v>
      </c>
    </row>
    <row r="369" spans="1:8" x14ac:dyDescent="0.25">
      <c r="A369" s="46">
        <v>45093</v>
      </c>
      <c r="B369" s="14">
        <v>446.14999399999999</v>
      </c>
      <c r="C369" s="14">
        <v>447.51001000000002</v>
      </c>
      <c r="D369" s="14">
        <v>430.89999399999999</v>
      </c>
      <c r="E369" s="14">
        <v>431.959991</v>
      </c>
      <c r="F369" s="14">
        <v>431.959991</v>
      </c>
      <c r="G369" s="14">
        <v>8745500</v>
      </c>
      <c r="H369" s="14">
        <f t="shared" si="5"/>
        <v>-1.9567704209328851E-2</v>
      </c>
    </row>
    <row r="370" spans="1:8" x14ac:dyDescent="0.25">
      <c r="A370" s="46">
        <v>45097</v>
      </c>
      <c r="B370" s="14">
        <v>430.17999300000002</v>
      </c>
      <c r="C370" s="14">
        <v>440</v>
      </c>
      <c r="D370" s="14">
        <v>430</v>
      </c>
      <c r="E370" s="14">
        <v>434.70001200000002</v>
      </c>
      <c r="F370" s="14">
        <v>434.70001200000002</v>
      </c>
      <c r="G370" s="14">
        <v>4756000</v>
      </c>
      <c r="H370" s="14">
        <f t="shared" si="5"/>
        <v>-5.2215944101405287E-4</v>
      </c>
    </row>
    <row r="371" spans="1:8" x14ac:dyDescent="0.25">
      <c r="A371" s="46">
        <v>45098</v>
      </c>
      <c r="B371" s="14">
        <v>432.64999399999999</v>
      </c>
      <c r="C371" s="14">
        <v>434.54998799999998</v>
      </c>
      <c r="D371" s="14">
        <v>422.540009</v>
      </c>
      <c r="E371" s="14">
        <v>424.45001200000002</v>
      </c>
      <c r="F371" s="14">
        <v>424.45001200000002</v>
      </c>
      <c r="G371" s="14">
        <v>5146400</v>
      </c>
      <c r="H371" s="14">
        <f t="shared" si="5"/>
        <v>-1.7348816279069812E-2</v>
      </c>
    </row>
    <row r="372" spans="1:8" x14ac:dyDescent="0.25">
      <c r="A372" s="46">
        <v>45099</v>
      </c>
      <c r="B372" s="14">
        <v>422.92999300000002</v>
      </c>
      <c r="C372" s="14">
        <v>424.709991</v>
      </c>
      <c r="D372" s="14">
        <v>418.67999300000002</v>
      </c>
      <c r="E372" s="14">
        <v>422.48001099999999</v>
      </c>
      <c r="F372" s="14">
        <v>422.48001099999999</v>
      </c>
      <c r="G372" s="14">
        <v>4869500</v>
      </c>
      <c r="H372" s="14">
        <f t="shared" si="5"/>
        <v>-9.1352674723873539E-3</v>
      </c>
    </row>
    <row r="373" spans="1:8" x14ac:dyDescent="0.25">
      <c r="A373" s="46">
        <v>45100</v>
      </c>
      <c r="B373" s="14">
        <v>418.58999599999999</v>
      </c>
      <c r="C373" s="14">
        <v>425.82000699999998</v>
      </c>
      <c r="D373" s="14">
        <v>417.73001099999999</v>
      </c>
      <c r="E373" s="14">
        <v>424.01998900000001</v>
      </c>
      <c r="F373" s="14">
        <v>424.01998900000001</v>
      </c>
      <c r="G373" s="14">
        <v>8293900</v>
      </c>
      <c r="H373" s="14">
        <f t="shared" si="5"/>
        <v>-2.2689930636357047E-3</v>
      </c>
    </row>
    <row r="374" spans="1:8" x14ac:dyDescent="0.25">
      <c r="A374" s="46">
        <v>45103</v>
      </c>
      <c r="B374" s="14">
        <v>422.44000199999999</v>
      </c>
      <c r="C374" s="14">
        <v>430.959991</v>
      </c>
      <c r="D374" s="14">
        <v>414.89999399999999</v>
      </c>
      <c r="E374" s="14">
        <v>415.94000199999999</v>
      </c>
      <c r="F374" s="14">
        <v>415.94000199999999</v>
      </c>
      <c r="G374" s="14">
        <v>4640000</v>
      </c>
      <c r="H374" s="14">
        <f t="shared" si="5"/>
        <v>-2.2582504851440901E-3</v>
      </c>
    </row>
    <row r="375" spans="1:8" x14ac:dyDescent="0.25">
      <c r="A375" s="46">
        <v>45104</v>
      </c>
      <c r="B375" s="14">
        <v>417.39001500000001</v>
      </c>
      <c r="C375" s="14">
        <v>420.88000499999998</v>
      </c>
      <c r="D375" s="14">
        <v>411.5</v>
      </c>
      <c r="E375" s="14">
        <v>417.07998700000002</v>
      </c>
      <c r="F375" s="14">
        <v>417.07998700000002</v>
      </c>
      <c r="G375" s="14">
        <v>4818100</v>
      </c>
      <c r="H375" s="14">
        <f t="shared" si="5"/>
        <v>-8.1947313790512455E-3</v>
      </c>
    </row>
    <row r="376" spans="1:8" x14ac:dyDescent="0.25">
      <c r="A376" s="46">
        <v>45105</v>
      </c>
      <c r="B376" s="14">
        <v>423.10000600000001</v>
      </c>
      <c r="C376" s="14">
        <v>437.290009</v>
      </c>
      <c r="D376" s="14">
        <v>422.89001500000001</v>
      </c>
      <c r="E376" s="14">
        <v>429.83999599999999</v>
      </c>
      <c r="F376" s="14">
        <v>429.83999599999999</v>
      </c>
      <c r="G376" s="14">
        <v>8811300</v>
      </c>
      <c r="H376" s="14">
        <f t="shared" si="5"/>
        <v>2.7679258809234497E-2</v>
      </c>
    </row>
    <row r="377" spans="1:8" x14ac:dyDescent="0.25">
      <c r="A377" s="46">
        <v>45106</v>
      </c>
      <c r="B377" s="14">
        <v>434.32998700000002</v>
      </c>
      <c r="C377" s="14">
        <v>437.85000600000001</v>
      </c>
      <c r="D377" s="14">
        <v>426.14999399999999</v>
      </c>
      <c r="E377" s="14">
        <v>428.23998999999998</v>
      </c>
      <c r="F377" s="14">
        <v>428.23998999999998</v>
      </c>
      <c r="G377" s="14">
        <v>4932300</v>
      </c>
      <c r="H377" s="14">
        <f t="shared" si="5"/>
        <v>7.7088105284301989E-3</v>
      </c>
    </row>
    <row r="378" spans="1:8" x14ac:dyDescent="0.25">
      <c r="A378" s="46">
        <v>45107</v>
      </c>
      <c r="B378" s="14">
        <v>431.10000600000001</v>
      </c>
      <c r="C378" s="14">
        <v>444.11999500000002</v>
      </c>
      <c r="D378" s="14">
        <v>431.10000600000001</v>
      </c>
      <c r="E378" s="14">
        <v>440.48998999999998</v>
      </c>
      <c r="F378" s="14">
        <v>440.48998999999998</v>
      </c>
      <c r="G378" s="14">
        <v>7342000</v>
      </c>
      <c r="H378" s="14">
        <f t="shared" si="5"/>
        <v>1.1615656622536497E-2</v>
      </c>
    </row>
    <row r="379" spans="1:8" x14ac:dyDescent="0.25">
      <c r="A379" s="46">
        <v>45110</v>
      </c>
      <c r="B379" s="14">
        <v>439.76001000000002</v>
      </c>
      <c r="C379" s="14">
        <v>441.54998799999998</v>
      </c>
      <c r="D379" s="14">
        <v>431.61999500000002</v>
      </c>
      <c r="E379" s="14">
        <v>441.44000199999999</v>
      </c>
      <c r="F379" s="14">
        <v>441.44000199999999</v>
      </c>
      <c r="G379" s="14">
        <v>3733200</v>
      </c>
      <c r="H379" s="14">
        <f t="shared" si="5"/>
        <v>4.0206370738641678E-4</v>
      </c>
    </row>
    <row r="380" spans="1:8" x14ac:dyDescent="0.25">
      <c r="A380" s="46">
        <v>45112</v>
      </c>
      <c r="B380" s="14">
        <v>444.91000400000001</v>
      </c>
      <c r="C380" s="14">
        <v>450.97000100000002</v>
      </c>
      <c r="D380" s="14">
        <v>439.61999500000002</v>
      </c>
      <c r="E380" s="14">
        <v>445.89999399999999</v>
      </c>
      <c r="F380" s="14">
        <v>445.89999399999999</v>
      </c>
      <c r="G380" s="14">
        <v>6869500</v>
      </c>
      <c r="H380" s="14">
        <f t="shared" si="5"/>
        <v>9.2674112560517941E-3</v>
      </c>
    </row>
    <row r="381" spans="1:8" x14ac:dyDescent="0.25">
      <c r="A381" s="46">
        <v>45113</v>
      </c>
      <c r="B381" s="14">
        <v>440</v>
      </c>
      <c r="C381" s="14">
        <v>442.79998799999998</v>
      </c>
      <c r="D381" s="14">
        <v>430.72000100000002</v>
      </c>
      <c r="E381" s="14">
        <v>438.83999599999999</v>
      </c>
      <c r="F381" s="14">
        <v>438.83999599999999</v>
      </c>
      <c r="G381" s="14">
        <v>4938800</v>
      </c>
      <c r="H381" s="14">
        <f t="shared" si="5"/>
        <v>-2.0244743417550892E-2</v>
      </c>
    </row>
    <row r="382" spans="1:8" x14ac:dyDescent="0.25">
      <c r="A382" s="46">
        <v>45114</v>
      </c>
      <c r="B382" s="14">
        <v>438.60000600000001</v>
      </c>
      <c r="C382" s="14">
        <v>442.32998700000002</v>
      </c>
      <c r="D382" s="14">
        <v>435.83999599999999</v>
      </c>
      <c r="E382" s="14">
        <v>438.10000600000001</v>
      </c>
      <c r="F382" s="14">
        <v>438.10000600000001</v>
      </c>
      <c r="G382" s="14">
        <v>4160100</v>
      </c>
      <c r="H382" s="14">
        <f t="shared" si="5"/>
        <v>1.1887061172253244E-2</v>
      </c>
    </row>
    <row r="383" spans="1:8" x14ac:dyDescent="0.25">
      <c r="A383" s="46">
        <v>45117</v>
      </c>
      <c r="B383" s="14">
        <v>438.51998900000001</v>
      </c>
      <c r="C383" s="14">
        <v>444.41000400000001</v>
      </c>
      <c r="D383" s="14">
        <v>436.82000699999998</v>
      </c>
      <c r="E383" s="14">
        <v>441.709991</v>
      </c>
      <c r="F383" s="14">
        <v>441.709991</v>
      </c>
      <c r="G383" s="14">
        <v>4251700</v>
      </c>
      <c r="H383" s="14">
        <f t="shared" si="5"/>
        <v>7.4951894349169679E-4</v>
      </c>
    </row>
    <row r="384" spans="1:8" x14ac:dyDescent="0.25">
      <c r="A384" s="46">
        <v>45118</v>
      </c>
      <c r="B384" s="14">
        <v>438.64999399999999</v>
      </c>
      <c r="C384" s="14">
        <v>440.79998799999998</v>
      </c>
      <c r="D384" s="14">
        <v>431.040009</v>
      </c>
      <c r="E384" s="14">
        <v>440.209991</v>
      </c>
      <c r="F384" s="14">
        <v>440.209991</v>
      </c>
      <c r="G384" s="14">
        <v>4574600</v>
      </c>
      <c r="H384" s="14">
        <f t="shared" si="5"/>
        <v>-1.3231990081443268E-2</v>
      </c>
    </row>
    <row r="385" spans="1:8" x14ac:dyDescent="0.25">
      <c r="A385" s="46">
        <v>45119</v>
      </c>
      <c r="B385" s="14">
        <v>444.54998799999998</v>
      </c>
      <c r="C385" s="14">
        <v>445.41000400000001</v>
      </c>
      <c r="D385" s="14">
        <v>437.75</v>
      </c>
      <c r="E385" s="14">
        <v>444.04998799999998</v>
      </c>
      <c r="F385" s="14">
        <v>444.04998799999998</v>
      </c>
      <c r="G385" s="14">
        <v>5731700</v>
      </c>
      <c r="H385" s="14">
        <f t="shared" si="5"/>
        <v>1.5566979537623427E-2</v>
      </c>
    </row>
    <row r="386" spans="1:8" x14ac:dyDescent="0.25">
      <c r="A386" s="46">
        <v>45120</v>
      </c>
      <c r="B386" s="14">
        <v>447</v>
      </c>
      <c r="C386" s="14">
        <v>451.67001299999998</v>
      </c>
      <c r="D386" s="14">
        <v>441.17999300000002</v>
      </c>
      <c r="E386" s="14">
        <v>450.38000499999998</v>
      </c>
      <c r="F386" s="14">
        <v>450.38000499999998</v>
      </c>
      <c r="G386" s="14">
        <v>6157500</v>
      </c>
      <c r="H386" s="14">
        <f t="shared" si="5"/>
        <v>7.8355065676756208E-3</v>
      </c>
    </row>
    <row r="387" spans="1:8" x14ac:dyDescent="0.25">
      <c r="A387" s="46">
        <v>45121</v>
      </c>
      <c r="B387" s="14">
        <v>452.790009</v>
      </c>
      <c r="C387" s="14">
        <v>456.48001099999999</v>
      </c>
      <c r="D387" s="14">
        <v>439.70001200000002</v>
      </c>
      <c r="E387" s="14">
        <v>441.91000400000001</v>
      </c>
      <c r="F387" s="14">
        <v>441.91000400000001</v>
      </c>
      <c r="G387" s="14">
        <v>7184900</v>
      </c>
      <c r="H387" s="14">
        <f t="shared" si="5"/>
        <v>-3.3545968164517825E-3</v>
      </c>
    </row>
    <row r="388" spans="1:8" x14ac:dyDescent="0.25">
      <c r="A388" s="46">
        <v>45124</v>
      </c>
      <c r="B388" s="14">
        <v>445.57000699999998</v>
      </c>
      <c r="C388" s="14">
        <v>456.67999300000002</v>
      </c>
      <c r="D388" s="14">
        <v>445.10998499999999</v>
      </c>
      <c r="E388" s="14">
        <v>450.04998799999998</v>
      </c>
      <c r="F388" s="14">
        <v>450.04998799999998</v>
      </c>
      <c r="G388" s="14">
        <v>6891700</v>
      </c>
      <c r="H388" s="14">
        <f t="shared" ref="H388:H451" si="6">(D388/D387-1)/(A388-A387)</f>
        <v>4.1012605961296229E-3</v>
      </c>
    </row>
    <row r="389" spans="1:8" x14ac:dyDescent="0.25">
      <c r="A389" s="46">
        <v>45125</v>
      </c>
      <c r="B389" s="14">
        <v>451</v>
      </c>
      <c r="C389" s="14">
        <v>478.14999399999999</v>
      </c>
      <c r="D389" s="14">
        <v>448.77999899999998</v>
      </c>
      <c r="E389" s="14">
        <v>474.79998799999998</v>
      </c>
      <c r="F389" s="14">
        <v>474.79998799999998</v>
      </c>
      <c r="G389" s="14">
        <v>13196900</v>
      </c>
      <c r="H389" s="14">
        <f t="shared" si="6"/>
        <v>8.2451846143150043E-3</v>
      </c>
    </row>
    <row r="390" spans="1:8" x14ac:dyDescent="0.25">
      <c r="A390" s="46">
        <v>45126</v>
      </c>
      <c r="B390" s="14">
        <v>476.85998499999999</v>
      </c>
      <c r="C390" s="14">
        <v>485</v>
      </c>
      <c r="D390" s="14">
        <v>470</v>
      </c>
      <c r="E390" s="14">
        <v>477.58999599999999</v>
      </c>
      <c r="F390" s="14">
        <v>477.58999599999999</v>
      </c>
      <c r="G390" s="14">
        <v>20996500</v>
      </c>
      <c r="H390" s="14">
        <f t="shared" si="6"/>
        <v>4.7283749381175078E-2</v>
      </c>
    </row>
    <row r="391" spans="1:8" x14ac:dyDescent="0.25">
      <c r="A391" s="46">
        <v>45127</v>
      </c>
      <c r="B391" s="14">
        <v>447</v>
      </c>
      <c r="C391" s="14">
        <v>448.5</v>
      </c>
      <c r="D391" s="14">
        <v>432</v>
      </c>
      <c r="E391" s="14">
        <v>437.42001299999998</v>
      </c>
      <c r="F391" s="14">
        <v>437.42001299999998</v>
      </c>
      <c r="G391" s="14">
        <v>23989700</v>
      </c>
      <c r="H391" s="14">
        <f t="shared" si="6"/>
        <v>-8.085106382978724E-2</v>
      </c>
    </row>
    <row r="392" spans="1:8" x14ac:dyDescent="0.25">
      <c r="A392" s="46">
        <v>45128</v>
      </c>
      <c r="B392" s="14">
        <v>437.36999500000002</v>
      </c>
      <c r="C392" s="14">
        <v>438.23998999999998</v>
      </c>
      <c r="D392" s="14">
        <v>423.19000199999999</v>
      </c>
      <c r="E392" s="14">
        <v>427.5</v>
      </c>
      <c r="F392" s="14">
        <v>427.5</v>
      </c>
      <c r="G392" s="14">
        <v>17303700</v>
      </c>
      <c r="H392" s="14">
        <f t="shared" si="6"/>
        <v>-2.0393513888888881E-2</v>
      </c>
    </row>
    <row r="393" spans="1:8" x14ac:dyDescent="0.25">
      <c r="A393" s="46">
        <v>45131</v>
      </c>
      <c r="B393" s="14">
        <v>425</v>
      </c>
      <c r="C393" s="14">
        <v>428.64001500000001</v>
      </c>
      <c r="D393" s="14">
        <v>419.19000199999999</v>
      </c>
      <c r="E393" s="14">
        <v>428.36999500000002</v>
      </c>
      <c r="F393" s="14">
        <v>428.36999500000002</v>
      </c>
      <c r="G393" s="14">
        <v>8264400</v>
      </c>
      <c r="H393" s="14">
        <f t="shared" si="6"/>
        <v>-3.1506730476428637E-3</v>
      </c>
    </row>
    <row r="394" spans="1:8" x14ac:dyDescent="0.25">
      <c r="A394" s="46">
        <v>45132</v>
      </c>
      <c r="B394" s="14">
        <v>427.17999300000002</v>
      </c>
      <c r="C394" s="14">
        <v>430.88000499999998</v>
      </c>
      <c r="D394" s="14">
        <v>426.13000499999998</v>
      </c>
      <c r="E394" s="14">
        <v>427.70001200000002</v>
      </c>
      <c r="F394" s="14">
        <v>427.70001200000002</v>
      </c>
      <c r="G394" s="14">
        <v>4859800</v>
      </c>
      <c r="H394" s="14">
        <f t="shared" si="6"/>
        <v>1.6555745525629106E-2</v>
      </c>
    </row>
    <row r="395" spans="1:8" x14ac:dyDescent="0.25">
      <c r="A395" s="46">
        <v>45133</v>
      </c>
      <c r="B395" s="14">
        <v>424.20001200000002</v>
      </c>
      <c r="C395" s="14">
        <v>425.26001000000002</v>
      </c>
      <c r="D395" s="14">
        <v>415.58999599999999</v>
      </c>
      <c r="E395" s="14">
        <v>422.67001299999998</v>
      </c>
      <c r="F395" s="14">
        <v>422.67001299999998</v>
      </c>
      <c r="G395" s="14">
        <v>6009200</v>
      </c>
      <c r="H395" s="14">
        <f t="shared" si="6"/>
        <v>-2.4734256861353887E-2</v>
      </c>
    </row>
    <row r="396" spans="1:8" x14ac:dyDescent="0.25">
      <c r="A396" s="46">
        <v>45134</v>
      </c>
      <c r="B396" s="14">
        <v>426.89999399999999</v>
      </c>
      <c r="C396" s="14">
        <v>427.51998900000001</v>
      </c>
      <c r="D396" s="14">
        <v>411.88000499999998</v>
      </c>
      <c r="E396" s="14">
        <v>413.17001299999998</v>
      </c>
      <c r="F396" s="14">
        <v>413.17001299999998</v>
      </c>
      <c r="G396" s="14">
        <v>6594500</v>
      </c>
      <c r="H396" s="14">
        <f t="shared" si="6"/>
        <v>-8.9270459724926088E-3</v>
      </c>
    </row>
    <row r="397" spans="1:8" x14ac:dyDescent="0.25">
      <c r="A397" s="46">
        <v>45135</v>
      </c>
      <c r="B397" s="14">
        <v>415.55999800000001</v>
      </c>
      <c r="C397" s="14">
        <v>427.47000100000002</v>
      </c>
      <c r="D397" s="14">
        <v>413.76001000000002</v>
      </c>
      <c r="E397" s="14">
        <v>425.77999899999998</v>
      </c>
      <c r="F397" s="14">
        <v>425.77999899999998</v>
      </c>
      <c r="G397" s="14">
        <v>6424200</v>
      </c>
      <c r="H397" s="14">
        <f t="shared" si="6"/>
        <v>4.5644483276143788E-3</v>
      </c>
    </row>
    <row r="398" spans="1:8" x14ac:dyDescent="0.25">
      <c r="A398" s="46">
        <v>45138</v>
      </c>
      <c r="B398" s="14">
        <v>426.51001000000002</v>
      </c>
      <c r="C398" s="14">
        <v>439.13000499999998</v>
      </c>
      <c r="D398" s="14">
        <v>426.29998799999998</v>
      </c>
      <c r="E398" s="14">
        <v>438.97000100000002</v>
      </c>
      <c r="F398" s="14">
        <v>438.97000100000002</v>
      </c>
      <c r="G398" s="14">
        <v>6587600</v>
      </c>
      <c r="H398" s="14">
        <f t="shared" si="6"/>
        <v>1.0102456896853443E-2</v>
      </c>
    </row>
    <row r="399" spans="1:8" x14ac:dyDescent="0.25">
      <c r="A399" s="46">
        <v>45139</v>
      </c>
      <c r="B399" s="14">
        <v>437.36999500000002</v>
      </c>
      <c r="C399" s="14">
        <v>445.25</v>
      </c>
      <c r="D399" s="14">
        <v>431.39999399999999</v>
      </c>
      <c r="E399" s="14">
        <v>438.61999500000002</v>
      </c>
      <c r="F399" s="14">
        <v>438.61999500000002</v>
      </c>
      <c r="G399" s="14">
        <v>5711500</v>
      </c>
      <c r="H399" s="14">
        <f t="shared" si="6"/>
        <v>1.1963420463432017E-2</v>
      </c>
    </row>
    <row r="400" spans="1:8" x14ac:dyDescent="0.25">
      <c r="A400" s="46">
        <v>45140</v>
      </c>
      <c r="B400" s="14">
        <v>435.23001099999999</v>
      </c>
      <c r="C400" s="14">
        <v>435.55999800000001</v>
      </c>
      <c r="D400" s="14">
        <v>426.55999800000001</v>
      </c>
      <c r="E400" s="14">
        <v>429.70001200000002</v>
      </c>
      <c r="F400" s="14">
        <v>429.70001200000002</v>
      </c>
      <c r="G400" s="14">
        <v>4912200</v>
      </c>
      <c r="H400" s="14">
        <f t="shared" si="6"/>
        <v>-1.1219276929336219E-2</v>
      </c>
    </row>
    <row r="401" spans="1:8" x14ac:dyDescent="0.25">
      <c r="A401" s="46">
        <v>45141</v>
      </c>
      <c r="B401" s="14">
        <v>427.79998799999998</v>
      </c>
      <c r="C401" s="14">
        <v>441.92999300000002</v>
      </c>
      <c r="D401" s="14">
        <v>427.19000199999999</v>
      </c>
      <c r="E401" s="14">
        <v>431</v>
      </c>
      <c r="F401" s="14">
        <v>431</v>
      </c>
      <c r="G401" s="14">
        <v>6243900</v>
      </c>
      <c r="H401" s="14">
        <f t="shared" si="6"/>
        <v>1.4769411172024238E-3</v>
      </c>
    </row>
    <row r="402" spans="1:8" x14ac:dyDescent="0.25">
      <c r="A402" s="46">
        <v>45142</v>
      </c>
      <c r="B402" s="14">
        <v>433.05999800000001</v>
      </c>
      <c r="C402" s="14">
        <v>436.5</v>
      </c>
      <c r="D402" s="14">
        <v>426.26998900000001</v>
      </c>
      <c r="E402" s="14">
        <v>431.60000600000001</v>
      </c>
      <c r="F402" s="14">
        <v>431.60000600000001</v>
      </c>
      <c r="G402" s="14">
        <v>5439700</v>
      </c>
      <c r="H402" s="14">
        <f t="shared" si="6"/>
        <v>-2.1536388859587641E-3</v>
      </c>
    </row>
    <row r="403" spans="1:8" x14ac:dyDescent="0.25">
      <c r="A403" s="46">
        <v>45145</v>
      </c>
      <c r="B403" s="14">
        <v>436.459991</v>
      </c>
      <c r="C403" s="14">
        <v>441.10998499999999</v>
      </c>
      <c r="D403" s="14">
        <v>428.91000400000001</v>
      </c>
      <c r="E403" s="14">
        <v>440.76001000000002</v>
      </c>
      <c r="F403" s="14">
        <v>440.76001000000002</v>
      </c>
      <c r="G403" s="14">
        <v>4781300</v>
      </c>
      <c r="H403" s="14">
        <f t="shared" si="6"/>
        <v>2.0644310477132923E-3</v>
      </c>
    </row>
    <row r="404" spans="1:8" x14ac:dyDescent="0.25">
      <c r="A404" s="46">
        <v>45146</v>
      </c>
      <c r="B404" s="14">
        <v>440.35998499999999</v>
      </c>
      <c r="C404" s="14">
        <v>443.57000699999998</v>
      </c>
      <c r="D404" s="14">
        <v>435.10000600000001</v>
      </c>
      <c r="E404" s="14">
        <v>438.29998799999998</v>
      </c>
      <c r="F404" s="14">
        <v>438.29998799999998</v>
      </c>
      <c r="G404" s="14">
        <v>3767200</v>
      </c>
      <c r="H404" s="14">
        <f t="shared" si="6"/>
        <v>1.4431936635360021E-2</v>
      </c>
    </row>
    <row r="405" spans="1:8" x14ac:dyDescent="0.25">
      <c r="A405" s="46">
        <v>45147</v>
      </c>
      <c r="B405" s="14">
        <v>439.73998999999998</v>
      </c>
      <c r="C405" s="14">
        <v>440.61999500000002</v>
      </c>
      <c r="D405" s="14">
        <v>427.58999599999999</v>
      </c>
      <c r="E405" s="14">
        <v>428.89999399999999</v>
      </c>
      <c r="F405" s="14">
        <v>428.89999399999999</v>
      </c>
      <c r="G405" s="14">
        <v>3846600</v>
      </c>
      <c r="H405" s="14">
        <f t="shared" si="6"/>
        <v>-1.7260422653269325E-2</v>
      </c>
    </row>
    <row r="406" spans="1:8" x14ac:dyDescent="0.25">
      <c r="A406" s="46">
        <v>45148</v>
      </c>
      <c r="B406" s="14">
        <v>431.11999500000002</v>
      </c>
      <c r="C406" s="14">
        <v>438.11999500000002</v>
      </c>
      <c r="D406" s="14">
        <v>428.69000199999999</v>
      </c>
      <c r="E406" s="14">
        <v>429.98001099999999</v>
      </c>
      <c r="F406" s="14">
        <v>429.98001099999999</v>
      </c>
      <c r="G406" s="14">
        <v>5467600</v>
      </c>
      <c r="H406" s="14">
        <f t="shared" si="6"/>
        <v>2.5725718802831476E-3</v>
      </c>
    </row>
    <row r="407" spans="1:8" x14ac:dyDescent="0.25">
      <c r="A407" s="46">
        <v>45149</v>
      </c>
      <c r="B407" s="14">
        <v>428.98001099999999</v>
      </c>
      <c r="C407" s="14">
        <v>430.63000499999998</v>
      </c>
      <c r="D407" s="14">
        <v>421.32998700000002</v>
      </c>
      <c r="E407" s="14">
        <v>421.66000400000001</v>
      </c>
      <c r="F407" s="14">
        <v>421.66000400000001</v>
      </c>
      <c r="G407" s="14">
        <v>3925200</v>
      </c>
      <c r="H407" s="14">
        <f t="shared" si="6"/>
        <v>-1.716861826882532E-2</v>
      </c>
    </row>
    <row r="408" spans="1:8" x14ac:dyDescent="0.25">
      <c r="A408" s="46">
        <v>45152</v>
      </c>
      <c r="B408" s="14">
        <v>421.98998999999998</v>
      </c>
      <c r="C408" s="14">
        <v>428.85000600000001</v>
      </c>
      <c r="D408" s="14">
        <v>418.77999899999998</v>
      </c>
      <c r="E408" s="14">
        <v>427.77999899999998</v>
      </c>
      <c r="F408" s="14">
        <v>427.77999899999998</v>
      </c>
      <c r="G408" s="14">
        <v>3966000</v>
      </c>
      <c r="H408" s="14">
        <f t="shared" si="6"/>
        <v>-2.017411592401134E-3</v>
      </c>
    </row>
    <row r="409" spans="1:8" x14ac:dyDescent="0.25">
      <c r="A409" s="46">
        <v>45153</v>
      </c>
      <c r="B409" s="14">
        <v>424.41000400000001</v>
      </c>
      <c r="C409" s="14">
        <v>429.11999500000002</v>
      </c>
      <c r="D409" s="14">
        <v>421.040009</v>
      </c>
      <c r="E409" s="14">
        <v>423.70001200000002</v>
      </c>
      <c r="F409" s="14">
        <v>423.70001200000002</v>
      </c>
      <c r="G409" s="14">
        <v>3368000</v>
      </c>
      <c r="H409" s="14">
        <f t="shared" si="6"/>
        <v>5.3966521930288724E-3</v>
      </c>
    </row>
    <row r="410" spans="1:8" x14ac:dyDescent="0.25">
      <c r="A410" s="46">
        <v>45154</v>
      </c>
      <c r="B410" s="14">
        <v>423.73001099999999</v>
      </c>
      <c r="C410" s="14">
        <v>424.51001000000002</v>
      </c>
      <c r="D410" s="14">
        <v>415.25</v>
      </c>
      <c r="E410" s="14">
        <v>415.45001200000002</v>
      </c>
      <c r="F410" s="14">
        <v>415.45001200000002</v>
      </c>
      <c r="G410" s="14">
        <v>3967000</v>
      </c>
      <c r="H410" s="14">
        <f t="shared" si="6"/>
        <v>-1.3751683631566758E-2</v>
      </c>
    </row>
    <row r="411" spans="1:8" x14ac:dyDescent="0.25">
      <c r="A411" s="46">
        <v>45155</v>
      </c>
      <c r="B411" s="14">
        <v>415</v>
      </c>
      <c r="C411" s="14">
        <v>415.23998999999998</v>
      </c>
      <c r="D411" s="14">
        <v>401.57998700000002</v>
      </c>
      <c r="E411" s="14">
        <v>403</v>
      </c>
      <c r="F411" s="14">
        <v>403</v>
      </c>
      <c r="G411" s="14">
        <v>6031500</v>
      </c>
      <c r="H411" s="14">
        <f t="shared" si="6"/>
        <v>-3.2919959060806692E-2</v>
      </c>
    </row>
    <row r="412" spans="1:8" x14ac:dyDescent="0.25">
      <c r="A412" s="46">
        <v>45156</v>
      </c>
      <c r="B412" s="14">
        <v>399.32998700000002</v>
      </c>
      <c r="C412" s="14">
        <v>406.51998900000001</v>
      </c>
      <c r="D412" s="14">
        <v>398.14999399999999</v>
      </c>
      <c r="E412" s="14">
        <v>404.52999899999998</v>
      </c>
      <c r="F412" s="14">
        <v>404.52999899999998</v>
      </c>
      <c r="G412" s="14">
        <v>4309200</v>
      </c>
      <c r="H412" s="14">
        <f t="shared" si="6"/>
        <v>-8.5412448603919833E-3</v>
      </c>
    </row>
    <row r="413" spans="1:8" x14ac:dyDescent="0.25">
      <c r="A413" s="46">
        <v>45159</v>
      </c>
      <c r="B413" s="14">
        <v>402.23001099999999</v>
      </c>
      <c r="C413" s="14">
        <v>409.60998499999999</v>
      </c>
      <c r="D413" s="14">
        <v>399.5</v>
      </c>
      <c r="E413" s="14">
        <v>408.290009</v>
      </c>
      <c r="F413" s="14">
        <v>408.290009</v>
      </c>
      <c r="G413" s="14">
        <v>3861600</v>
      </c>
      <c r="H413" s="14">
        <f t="shared" si="6"/>
        <v>1.1302323415330513E-3</v>
      </c>
    </row>
    <row r="414" spans="1:8" x14ac:dyDescent="0.25">
      <c r="A414" s="46">
        <v>45160</v>
      </c>
      <c r="B414" s="14">
        <v>409</v>
      </c>
      <c r="C414" s="14">
        <v>415.73998999999998</v>
      </c>
      <c r="D414" s="14">
        <v>407.39999399999999</v>
      </c>
      <c r="E414" s="14">
        <v>413.17001299999998</v>
      </c>
      <c r="F414" s="14">
        <v>413.17001299999998</v>
      </c>
      <c r="G414" s="14">
        <v>3603300</v>
      </c>
      <c r="H414" s="14">
        <f t="shared" si="6"/>
        <v>1.9774703379223935E-2</v>
      </c>
    </row>
    <row r="415" spans="1:8" x14ac:dyDescent="0.25">
      <c r="A415" s="46">
        <v>45161</v>
      </c>
      <c r="B415" s="14">
        <v>418.39999399999999</v>
      </c>
      <c r="C415" s="14">
        <v>437.01998900000001</v>
      </c>
      <c r="D415" s="14">
        <v>417.709991</v>
      </c>
      <c r="E415" s="14">
        <v>427.54998799999998</v>
      </c>
      <c r="F415" s="14">
        <v>427.54998799999998</v>
      </c>
      <c r="G415" s="14">
        <v>8174700</v>
      </c>
      <c r="H415" s="14">
        <f t="shared" si="6"/>
        <v>2.5306816769368856E-2</v>
      </c>
    </row>
    <row r="416" spans="1:8" x14ac:dyDescent="0.25">
      <c r="A416" s="46">
        <v>45162</v>
      </c>
      <c r="B416" s="14">
        <v>425.41000400000001</v>
      </c>
      <c r="C416" s="14">
        <v>427.58999599999999</v>
      </c>
      <c r="D416" s="14">
        <v>406.17001299999998</v>
      </c>
      <c r="E416" s="14">
        <v>406.92999300000002</v>
      </c>
      <c r="F416" s="14">
        <v>406.92999300000002</v>
      </c>
      <c r="G416" s="14">
        <v>5687800</v>
      </c>
      <c r="H416" s="14">
        <f t="shared" si="6"/>
        <v>-2.7626770363747499E-2</v>
      </c>
    </row>
    <row r="417" spans="1:8" x14ac:dyDescent="0.25">
      <c r="A417" s="46">
        <v>45163</v>
      </c>
      <c r="B417" s="14">
        <v>412</v>
      </c>
      <c r="C417" s="14">
        <v>419.25</v>
      </c>
      <c r="D417" s="14">
        <v>407.55999800000001</v>
      </c>
      <c r="E417" s="14">
        <v>416.02999899999998</v>
      </c>
      <c r="F417" s="14">
        <v>416.02999899999998</v>
      </c>
      <c r="G417" s="14">
        <v>5390900</v>
      </c>
      <c r="H417" s="14">
        <f t="shared" si="6"/>
        <v>3.4221753342484895E-3</v>
      </c>
    </row>
    <row r="418" spans="1:8" x14ac:dyDescent="0.25">
      <c r="A418" s="46">
        <v>45166</v>
      </c>
      <c r="B418" s="14">
        <v>418.040009</v>
      </c>
      <c r="C418" s="14">
        <v>419.82998700000002</v>
      </c>
      <c r="D418" s="14">
        <v>413.26998900000001</v>
      </c>
      <c r="E418" s="14">
        <v>418.05999800000001</v>
      </c>
      <c r="F418" s="14">
        <v>418.05999800000001</v>
      </c>
      <c r="G418" s="14">
        <v>2928600</v>
      </c>
      <c r="H418" s="14">
        <f t="shared" si="6"/>
        <v>4.6700616907288479E-3</v>
      </c>
    </row>
    <row r="419" spans="1:8" x14ac:dyDescent="0.25">
      <c r="A419" s="46">
        <v>45167</v>
      </c>
      <c r="B419" s="14">
        <v>416</v>
      </c>
      <c r="C419" s="14">
        <v>432.17001299999998</v>
      </c>
      <c r="D419" s="14">
        <v>414.5</v>
      </c>
      <c r="E419" s="14">
        <v>429.98998999999998</v>
      </c>
      <c r="F419" s="14">
        <v>429.98998999999998</v>
      </c>
      <c r="G419" s="14">
        <v>4486700</v>
      </c>
      <c r="H419" s="14">
        <f t="shared" si="6"/>
        <v>2.9762891880349418E-3</v>
      </c>
    </row>
    <row r="420" spans="1:8" x14ac:dyDescent="0.25">
      <c r="A420" s="46">
        <v>45168</v>
      </c>
      <c r="B420" s="14">
        <v>430.85000600000001</v>
      </c>
      <c r="C420" s="14">
        <v>438.16000400000001</v>
      </c>
      <c r="D420" s="14">
        <v>428.35000600000001</v>
      </c>
      <c r="E420" s="14">
        <v>434.67001299999998</v>
      </c>
      <c r="F420" s="14">
        <v>434.67001299999998</v>
      </c>
      <c r="G420" s="14">
        <v>3625400</v>
      </c>
      <c r="H420" s="14">
        <f t="shared" si="6"/>
        <v>3.3413765983112187E-2</v>
      </c>
    </row>
    <row r="421" spans="1:8" x14ac:dyDescent="0.25">
      <c r="A421" s="46">
        <v>45169</v>
      </c>
      <c r="B421" s="14">
        <v>431.23001099999999</v>
      </c>
      <c r="C421" s="14">
        <v>437.14999399999999</v>
      </c>
      <c r="D421" s="14">
        <v>431.23001099999999</v>
      </c>
      <c r="E421" s="14">
        <v>433.67999300000002</v>
      </c>
      <c r="F421" s="14">
        <v>433.67999300000002</v>
      </c>
      <c r="G421" s="14">
        <v>3803000</v>
      </c>
      <c r="H421" s="14">
        <f t="shared" si="6"/>
        <v>6.7234853733140199E-3</v>
      </c>
    </row>
    <row r="422" spans="1:8" x14ac:dyDescent="0.25">
      <c r="A422" s="46">
        <v>45170</v>
      </c>
      <c r="B422" s="14">
        <v>437.73001099999999</v>
      </c>
      <c r="C422" s="14">
        <v>445.5</v>
      </c>
      <c r="D422" s="14">
        <v>435.92999300000002</v>
      </c>
      <c r="E422" s="14">
        <v>439.88000499999998</v>
      </c>
      <c r="F422" s="14">
        <v>439.88000499999998</v>
      </c>
      <c r="G422" s="14">
        <v>4792100</v>
      </c>
      <c r="H422" s="14">
        <f t="shared" si="6"/>
        <v>1.0899014169030163E-2</v>
      </c>
    </row>
    <row r="423" spans="1:8" x14ac:dyDescent="0.25">
      <c r="A423" s="46">
        <v>45174</v>
      </c>
      <c r="B423" s="14">
        <v>438.39001500000001</v>
      </c>
      <c r="C423" s="14">
        <v>453.45001200000002</v>
      </c>
      <c r="D423" s="14">
        <v>438</v>
      </c>
      <c r="E423" s="14">
        <v>448.67999300000002</v>
      </c>
      <c r="F423" s="14">
        <v>448.67999300000002</v>
      </c>
      <c r="G423" s="14">
        <v>6155900</v>
      </c>
      <c r="H423" s="14">
        <f t="shared" si="6"/>
        <v>1.18712123118353E-3</v>
      </c>
    </row>
    <row r="424" spans="1:8" x14ac:dyDescent="0.25">
      <c r="A424" s="46">
        <v>45175</v>
      </c>
      <c r="B424" s="14">
        <v>448.60998499999999</v>
      </c>
      <c r="C424" s="14">
        <v>451.39001500000001</v>
      </c>
      <c r="D424" s="14">
        <v>440.48998999999998</v>
      </c>
      <c r="E424" s="14">
        <v>445.76001000000002</v>
      </c>
      <c r="F424" s="14">
        <v>445.76001000000002</v>
      </c>
      <c r="G424" s="14">
        <v>3862300</v>
      </c>
      <c r="H424" s="14">
        <f t="shared" si="6"/>
        <v>5.6849086757990719E-3</v>
      </c>
    </row>
    <row r="425" spans="1:8" x14ac:dyDescent="0.25">
      <c r="A425" s="46">
        <v>45176</v>
      </c>
      <c r="B425" s="14">
        <v>441.14999399999999</v>
      </c>
      <c r="C425" s="14">
        <v>444.60000600000001</v>
      </c>
      <c r="D425" s="14">
        <v>436.70001200000002</v>
      </c>
      <c r="E425" s="14">
        <v>443.14001500000001</v>
      </c>
      <c r="F425" s="14">
        <v>443.14001500000001</v>
      </c>
      <c r="G425" s="14">
        <v>2922700</v>
      </c>
      <c r="H425" s="14">
        <f t="shared" si="6"/>
        <v>-8.6040048265341174E-3</v>
      </c>
    </row>
    <row r="426" spans="1:8" x14ac:dyDescent="0.25">
      <c r="A426" s="46">
        <v>45177</v>
      </c>
      <c r="B426" s="14">
        <v>443.55999800000001</v>
      </c>
      <c r="C426" s="14">
        <v>446.80999800000001</v>
      </c>
      <c r="D426" s="14">
        <v>438.85000600000001</v>
      </c>
      <c r="E426" s="14">
        <v>442.79998799999998</v>
      </c>
      <c r="F426" s="14">
        <v>442.79998799999998</v>
      </c>
      <c r="G426" s="14">
        <v>2697500</v>
      </c>
      <c r="H426" s="14">
        <f t="shared" si="6"/>
        <v>4.9232744239082749E-3</v>
      </c>
    </row>
    <row r="427" spans="1:8" x14ac:dyDescent="0.25">
      <c r="A427" s="46">
        <v>45180</v>
      </c>
      <c r="B427" s="14">
        <v>443.07000699999998</v>
      </c>
      <c r="C427" s="14">
        <v>449.89001500000001</v>
      </c>
      <c r="D427" s="14">
        <v>442.75</v>
      </c>
      <c r="E427" s="14">
        <v>445.35998499999999</v>
      </c>
      <c r="F427" s="14">
        <v>445.35998499999999</v>
      </c>
      <c r="G427" s="14">
        <v>2913800</v>
      </c>
      <c r="H427" s="14">
        <f t="shared" si="6"/>
        <v>2.9622831997864938E-3</v>
      </c>
    </row>
    <row r="428" spans="1:8" x14ac:dyDescent="0.25">
      <c r="A428" s="46">
        <v>45181</v>
      </c>
      <c r="B428" s="14">
        <v>442.85000600000001</v>
      </c>
      <c r="C428" s="14">
        <v>445.44000199999999</v>
      </c>
      <c r="D428" s="14">
        <v>434.11999500000002</v>
      </c>
      <c r="E428" s="14">
        <v>434.69000199999999</v>
      </c>
      <c r="F428" s="14">
        <v>434.69000199999999</v>
      </c>
      <c r="G428" s="14">
        <v>3124000</v>
      </c>
      <c r="H428" s="14">
        <f t="shared" si="6"/>
        <v>-1.9491823828345578E-2</v>
      </c>
    </row>
    <row r="429" spans="1:8" x14ac:dyDescent="0.25">
      <c r="A429" s="46">
        <v>45182</v>
      </c>
      <c r="B429" s="14">
        <v>435.5</v>
      </c>
      <c r="C429" s="14">
        <v>438.39999399999999</v>
      </c>
      <c r="D429" s="14">
        <v>410.69000199999999</v>
      </c>
      <c r="E429" s="14">
        <v>412.23998999999998</v>
      </c>
      <c r="F429" s="14">
        <v>412.23998999999998</v>
      </c>
      <c r="G429" s="14">
        <v>11843000</v>
      </c>
      <c r="H429" s="14">
        <f t="shared" si="6"/>
        <v>-5.3971236685377844E-2</v>
      </c>
    </row>
    <row r="430" spans="1:8" x14ac:dyDescent="0.25">
      <c r="A430" s="46">
        <v>45183</v>
      </c>
      <c r="B430" s="14">
        <v>410.39999399999999</v>
      </c>
      <c r="C430" s="14">
        <v>411.39001500000001</v>
      </c>
      <c r="D430" s="14">
        <v>400</v>
      </c>
      <c r="E430" s="14">
        <v>400.48998999999998</v>
      </c>
      <c r="F430" s="14">
        <v>400.48998999999998</v>
      </c>
      <c r="G430" s="14">
        <v>10709000</v>
      </c>
      <c r="H430" s="14">
        <f t="shared" si="6"/>
        <v>-2.6029369957732751E-2</v>
      </c>
    </row>
    <row r="431" spans="1:8" x14ac:dyDescent="0.25">
      <c r="A431" s="46">
        <v>45184</v>
      </c>
      <c r="B431" s="14">
        <v>401</v>
      </c>
      <c r="C431" s="14">
        <v>404.70001200000002</v>
      </c>
      <c r="D431" s="14">
        <v>395.02999899999998</v>
      </c>
      <c r="E431" s="14">
        <v>396.94000199999999</v>
      </c>
      <c r="F431" s="14">
        <v>396.94000199999999</v>
      </c>
      <c r="G431" s="14">
        <v>9110700</v>
      </c>
      <c r="H431" s="14">
        <f t="shared" si="6"/>
        <v>-1.2425002500000115E-2</v>
      </c>
    </row>
    <row r="432" spans="1:8" x14ac:dyDescent="0.25">
      <c r="A432" s="46">
        <v>45187</v>
      </c>
      <c r="B432" s="14">
        <v>395.5</v>
      </c>
      <c r="C432" s="14">
        <v>399.47000100000002</v>
      </c>
      <c r="D432" s="14">
        <v>392.60000600000001</v>
      </c>
      <c r="E432" s="14">
        <v>394.39999399999999</v>
      </c>
      <c r="F432" s="14">
        <v>394.39999399999999</v>
      </c>
      <c r="G432" s="14">
        <v>4704700</v>
      </c>
      <c r="H432" s="14">
        <f t="shared" si="6"/>
        <v>-2.0504712774146818E-3</v>
      </c>
    </row>
    <row r="433" spans="1:8" x14ac:dyDescent="0.25">
      <c r="A433" s="46">
        <v>45188</v>
      </c>
      <c r="B433" s="14">
        <v>392.83999599999999</v>
      </c>
      <c r="C433" s="14">
        <v>398.23001099999999</v>
      </c>
      <c r="D433" s="14">
        <v>390.25</v>
      </c>
      <c r="E433" s="14">
        <v>396.20001200000002</v>
      </c>
      <c r="F433" s="14">
        <v>396.20001200000002</v>
      </c>
      <c r="G433" s="14">
        <v>4076800</v>
      </c>
      <c r="H433" s="14">
        <f t="shared" si="6"/>
        <v>-5.9857513094383474E-3</v>
      </c>
    </row>
    <row r="434" spans="1:8" x14ac:dyDescent="0.25">
      <c r="A434" s="46">
        <v>45189</v>
      </c>
      <c r="B434" s="14">
        <v>397.04998799999998</v>
      </c>
      <c r="C434" s="14">
        <v>397.98998999999998</v>
      </c>
      <c r="D434" s="14">
        <v>386.11999500000002</v>
      </c>
      <c r="E434" s="14">
        <v>386.29998799999998</v>
      </c>
      <c r="F434" s="14">
        <v>386.29998799999998</v>
      </c>
      <c r="G434" s="14">
        <v>3866600</v>
      </c>
      <c r="H434" s="14">
        <f t="shared" si="6"/>
        <v>-1.0582972453555328E-2</v>
      </c>
    </row>
    <row r="435" spans="1:8" x14ac:dyDescent="0.25">
      <c r="A435" s="46">
        <v>45190</v>
      </c>
      <c r="B435" s="14">
        <v>386.5</v>
      </c>
      <c r="C435" s="14">
        <v>395.89999399999999</v>
      </c>
      <c r="D435" s="14">
        <v>383.42001299999998</v>
      </c>
      <c r="E435" s="14">
        <v>384.14999399999999</v>
      </c>
      <c r="F435" s="14">
        <v>384.14999399999999</v>
      </c>
      <c r="G435" s="14">
        <v>5547900</v>
      </c>
      <c r="H435" s="14">
        <f t="shared" si="6"/>
        <v>-6.9925982465632863E-3</v>
      </c>
    </row>
    <row r="436" spans="1:8" x14ac:dyDescent="0.25">
      <c r="A436" s="46">
        <v>45191</v>
      </c>
      <c r="B436" s="14">
        <v>385</v>
      </c>
      <c r="C436" s="14">
        <v>386.88000499999998</v>
      </c>
      <c r="D436" s="14">
        <v>378.35998499999999</v>
      </c>
      <c r="E436" s="14">
        <v>379.80999800000001</v>
      </c>
      <c r="F436" s="14">
        <v>379.80999800000001</v>
      </c>
      <c r="G436" s="14">
        <v>3692800</v>
      </c>
      <c r="H436" s="14">
        <f t="shared" si="6"/>
        <v>-1.3197088906259036E-2</v>
      </c>
    </row>
    <row r="437" spans="1:8" x14ac:dyDescent="0.25">
      <c r="A437" s="46">
        <v>45194</v>
      </c>
      <c r="B437" s="14">
        <v>382.89999399999999</v>
      </c>
      <c r="C437" s="14">
        <v>386.61999500000002</v>
      </c>
      <c r="D437" s="14">
        <v>380.80999800000001</v>
      </c>
      <c r="E437" s="14">
        <v>384.79998799999998</v>
      </c>
      <c r="F437" s="14">
        <v>384.79998799999998</v>
      </c>
      <c r="G437" s="14">
        <v>3757300</v>
      </c>
      <c r="H437" s="14">
        <f t="shared" si="6"/>
        <v>2.1584497102673517E-3</v>
      </c>
    </row>
    <row r="438" spans="1:8" x14ac:dyDescent="0.25">
      <c r="A438" s="46">
        <v>45195</v>
      </c>
      <c r="B438" s="14">
        <v>382.88000499999998</v>
      </c>
      <c r="C438" s="14">
        <v>384.55999800000001</v>
      </c>
      <c r="D438" s="14">
        <v>377.35998499999999</v>
      </c>
      <c r="E438" s="14">
        <v>379.25</v>
      </c>
      <c r="F438" s="14">
        <v>379.25</v>
      </c>
      <c r="G438" s="14">
        <v>4089400</v>
      </c>
      <c r="H438" s="14">
        <f t="shared" si="6"/>
        <v>-9.0596702243096461E-3</v>
      </c>
    </row>
    <row r="439" spans="1:8" x14ac:dyDescent="0.25">
      <c r="A439" s="46">
        <v>45196</v>
      </c>
      <c r="B439" s="14">
        <v>382.39999399999999</v>
      </c>
      <c r="C439" s="14">
        <v>384.22000100000002</v>
      </c>
      <c r="D439" s="14">
        <v>376.25</v>
      </c>
      <c r="E439" s="14">
        <v>377.58999599999999</v>
      </c>
      <c r="F439" s="14">
        <v>377.58999599999999</v>
      </c>
      <c r="G439" s="14">
        <v>3843500</v>
      </c>
      <c r="H439" s="14">
        <f t="shared" si="6"/>
        <v>-2.9414486011282159E-3</v>
      </c>
    </row>
    <row r="440" spans="1:8" x14ac:dyDescent="0.25">
      <c r="A440" s="46">
        <v>45197</v>
      </c>
      <c r="B440" s="14">
        <v>375.60000600000001</v>
      </c>
      <c r="C440" s="14">
        <v>378.959991</v>
      </c>
      <c r="D440" s="14">
        <v>371.10000600000001</v>
      </c>
      <c r="E440" s="14">
        <v>376.35998499999999</v>
      </c>
      <c r="F440" s="14">
        <v>376.35998499999999</v>
      </c>
      <c r="G440" s="14">
        <v>4369900</v>
      </c>
      <c r="H440" s="14">
        <f t="shared" si="6"/>
        <v>-1.3687691694352133E-2</v>
      </c>
    </row>
    <row r="441" spans="1:8" x14ac:dyDescent="0.25">
      <c r="A441" s="46">
        <v>45198</v>
      </c>
      <c r="B441" s="14">
        <v>380</v>
      </c>
      <c r="C441" s="14">
        <v>382.57998700000002</v>
      </c>
      <c r="D441" s="14">
        <v>375.35000600000001</v>
      </c>
      <c r="E441" s="14">
        <v>377.60000600000001</v>
      </c>
      <c r="F441" s="14">
        <v>377.60000600000001</v>
      </c>
      <c r="G441" s="14">
        <v>4198700</v>
      </c>
      <c r="H441" s="14">
        <f t="shared" si="6"/>
        <v>1.1452438510604512E-2</v>
      </c>
    </row>
    <row r="442" spans="1:8" x14ac:dyDescent="0.25">
      <c r="A442" s="46">
        <v>45201</v>
      </c>
      <c r="B442" s="14">
        <v>377.48001099999999</v>
      </c>
      <c r="C442" s="14">
        <v>384.80999800000001</v>
      </c>
      <c r="D442" s="14">
        <v>376.79998799999998</v>
      </c>
      <c r="E442" s="14">
        <v>380.32998700000002</v>
      </c>
      <c r="F442" s="14">
        <v>380.32998700000002</v>
      </c>
      <c r="G442" s="14">
        <v>3102100</v>
      </c>
      <c r="H442" s="14">
        <f t="shared" si="6"/>
        <v>1.2876710419803168E-3</v>
      </c>
    </row>
    <row r="443" spans="1:8" x14ac:dyDescent="0.25">
      <c r="A443" s="46">
        <v>45202</v>
      </c>
      <c r="B443" s="14">
        <v>377.10998499999999</v>
      </c>
      <c r="C443" s="14">
        <v>394.89999399999999</v>
      </c>
      <c r="D443" s="14">
        <v>372.85000600000001</v>
      </c>
      <c r="E443" s="14">
        <v>376.75</v>
      </c>
      <c r="F443" s="14">
        <v>376.75</v>
      </c>
      <c r="G443" s="14">
        <v>8878100</v>
      </c>
      <c r="H443" s="14">
        <f t="shared" si="6"/>
        <v>-1.0482967425147538E-2</v>
      </c>
    </row>
    <row r="444" spans="1:8" x14ac:dyDescent="0.25">
      <c r="A444" s="46">
        <v>45203</v>
      </c>
      <c r="B444" s="14">
        <v>376.5</v>
      </c>
      <c r="C444" s="14">
        <v>380.22000100000002</v>
      </c>
      <c r="D444" s="14">
        <v>373.57998700000002</v>
      </c>
      <c r="E444" s="14">
        <v>376.89999399999999</v>
      </c>
      <c r="F444" s="14">
        <v>376.89999399999999</v>
      </c>
      <c r="G444" s="14">
        <v>4303700</v>
      </c>
      <c r="H444" s="14">
        <f t="shared" si="6"/>
        <v>1.9578409233014238E-3</v>
      </c>
    </row>
    <row r="445" spans="1:8" x14ac:dyDescent="0.25">
      <c r="A445" s="46">
        <v>45204</v>
      </c>
      <c r="B445" s="14">
        <v>378.01001000000002</v>
      </c>
      <c r="C445" s="14">
        <v>378.60000600000001</v>
      </c>
      <c r="D445" s="14">
        <v>367.23998999999998</v>
      </c>
      <c r="E445" s="14">
        <v>372.58999599999999</v>
      </c>
      <c r="F445" s="14">
        <v>372.58999599999999</v>
      </c>
      <c r="G445" s="14">
        <v>5034800</v>
      </c>
      <c r="H445" s="14">
        <f t="shared" si="6"/>
        <v>-1.6970922481455153E-2</v>
      </c>
    </row>
    <row r="446" spans="1:8" x14ac:dyDescent="0.25">
      <c r="A446" s="46">
        <v>45205</v>
      </c>
      <c r="B446" s="14">
        <v>368.42999300000002</v>
      </c>
      <c r="C446" s="14">
        <v>382.51998900000001</v>
      </c>
      <c r="D446" s="14">
        <v>367.76998900000001</v>
      </c>
      <c r="E446" s="14">
        <v>381.51001000000002</v>
      </c>
      <c r="F446" s="14">
        <v>381.51001000000002</v>
      </c>
      <c r="G446" s="14">
        <v>4773400</v>
      </c>
      <c r="H446" s="14">
        <f t="shared" si="6"/>
        <v>1.4431952250080204E-3</v>
      </c>
    </row>
    <row r="447" spans="1:8" x14ac:dyDescent="0.25">
      <c r="A447" s="46">
        <v>45208</v>
      </c>
      <c r="B447" s="14">
        <v>378.04998799999998</v>
      </c>
      <c r="C447" s="14">
        <v>387.17001299999998</v>
      </c>
      <c r="D447" s="14">
        <v>377.76001000000002</v>
      </c>
      <c r="E447" s="14">
        <v>385.95001200000002</v>
      </c>
      <c r="F447" s="14">
        <v>385.95001200000002</v>
      </c>
      <c r="G447" s="14">
        <v>3299800</v>
      </c>
      <c r="H447" s="14">
        <f t="shared" si="6"/>
        <v>9.0545914555306695E-3</v>
      </c>
    </row>
    <row r="448" spans="1:8" x14ac:dyDescent="0.25">
      <c r="A448" s="46">
        <v>45209</v>
      </c>
      <c r="B448" s="14">
        <v>385.57998700000002</v>
      </c>
      <c r="C448" s="14">
        <v>388.70001200000002</v>
      </c>
      <c r="D448" s="14">
        <v>372.25</v>
      </c>
      <c r="E448" s="14">
        <v>373.32000699999998</v>
      </c>
      <c r="F448" s="14">
        <v>373.32000699999998</v>
      </c>
      <c r="G448" s="14">
        <v>7288900</v>
      </c>
      <c r="H448" s="14">
        <f t="shared" si="6"/>
        <v>-1.4586006602445911E-2</v>
      </c>
    </row>
    <row r="449" spans="1:8" x14ac:dyDescent="0.25">
      <c r="A449" s="46">
        <v>45210</v>
      </c>
      <c r="B449" s="14">
        <v>372.77999899999998</v>
      </c>
      <c r="C449" s="14">
        <v>377.80999800000001</v>
      </c>
      <c r="D449" s="14">
        <v>365.33999599999999</v>
      </c>
      <c r="E449" s="14">
        <v>365.92999300000002</v>
      </c>
      <c r="F449" s="14">
        <v>365.92999300000002</v>
      </c>
      <c r="G449" s="14">
        <v>9151400</v>
      </c>
      <c r="H449" s="14">
        <f t="shared" si="6"/>
        <v>-1.8562804566823465E-2</v>
      </c>
    </row>
    <row r="450" spans="1:8" x14ac:dyDescent="0.25">
      <c r="A450" s="46">
        <v>45211</v>
      </c>
      <c r="B450" s="14">
        <v>366.48001099999999</v>
      </c>
      <c r="C450" s="14">
        <v>368.82998700000002</v>
      </c>
      <c r="D450" s="14">
        <v>359.04998799999998</v>
      </c>
      <c r="E450" s="14">
        <v>361.20001200000002</v>
      </c>
      <c r="F450" s="14">
        <v>361.20001200000002</v>
      </c>
      <c r="G450" s="14">
        <v>7376100</v>
      </c>
      <c r="H450" s="14">
        <f t="shared" si="6"/>
        <v>-1.7216861194688349E-2</v>
      </c>
    </row>
    <row r="451" spans="1:8" x14ac:dyDescent="0.25">
      <c r="A451" s="46">
        <v>45212</v>
      </c>
      <c r="B451" s="14">
        <v>355.64001500000001</v>
      </c>
      <c r="C451" s="14">
        <v>358.92999300000002</v>
      </c>
      <c r="D451" s="14">
        <v>352.04998799999998</v>
      </c>
      <c r="E451" s="14">
        <v>355.67999300000002</v>
      </c>
      <c r="F451" s="14">
        <v>355.67999300000002</v>
      </c>
      <c r="G451" s="14">
        <v>6312600</v>
      </c>
      <c r="H451" s="14">
        <f t="shared" si="6"/>
        <v>-1.9495892588638708E-2</v>
      </c>
    </row>
    <row r="452" spans="1:8" x14ac:dyDescent="0.25">
      <c r="A452" s="46">
        <v>45215</v>
      </c>
      <c r="B452" s="14">
        <v>356.209991</v>
      </c>
      <c r="C452" s="14">
        <v>363.07998700000002</v>
      </c>
      <c r="D452" s="14">
        <v>354.76998900000001</v>
      </c>
      <c r="E452" s="14">
        <v>360.82000699999998</v>
      </c>
      <c r="F452" s="14">
        <v>360.82000699999998</v>
      </c>
      <c r="G452" s="14">
        <v>5128900</v>
      </c>
      <c r="H452" s="14">
        <f t="shared" ref="H452:H515" si="7">(D452/D451-1)/(A452-A451)</f>
        <v>2.57539278768563E-3</v>
      </c>
    </row>
    <row r="453" spans="1:8" x14ac:dyDescent="0.25">
      <c r="A453" s="46">
        <v>45216</v>
      </c>
      <c r="B453" s="14">
        <v>361.10000600000001</v>
      </c>
      <c r="C453" s="14">
        <v>362.70001200000002</v>
      </c>
      <c r="D453" s="14">
        <v>353.89001500000001</v>
      </c>
      <c r="E453" s="14">
        <v>355.72000100000002</v>
      </c>
      <c r="F453" s="14">
        <v>355.72000100000002</v>
      </c>
      <c r="G453" s="14">
        <v>5908400</v>
      </c>
      <c r="H453" s="14">
        <f t="shared" si="7"/>
        <v>-2.480407101176807E-3</v>
      </c>
    </row>
    <row r="454" spans="1:8" x14ac:dyDescent="0.25">
      <c r="A454" s="46">
        <v>45217</v>
      </c>
      <c r="B454" s="14">
        <v>351</v>
      </c>
      <c r="C454" s="14">
        <v>354.790009</v>
      </c>
      <c r="D454" s="14">
        <v>344.73001099999999</v>
      </c>
      <c r="E454" s="14">
        <v>346.19000199999999</v>
      </c>
      <c r="F454" s="14">
        <v>346.19000199999999</v>
      </c>
      <c r="G454" s="14">
        <v>11429600</v>
      </c>
      <c r="H454" s="14">
        <f t="shared" si="7"/>
        <v>-2.5883759393437566E-2</v>
      </c>
    </row>
    <row r="455" spans="1:8" x14ac:dyDescent="0.25">
      <c r="A455" s="46">
        <v>45218</v>
      </c>
      <c r="B455" s="14">
        <v>404.73998999999998</v>
      </c>
      <c r="C455" s="14">
        <v>408.95001200000002</v>
      </c>
      <c r="D455" s="14">
        <v>392.26001000000002</v>
      </c>
      <c r="E455" s="14">
        <v>401.76998900000001</v>
      </c>
      <c r="F455" s="14">
        <v>401.76998900000001</v>
      </c>
      <c r="G455" s="14">
        <v>28074400</v>
      </c>
      <c r="H455" s="14">
        <f t="shared" si="7"/>
        <v>0.13787601161304175</v>
      </c>
    </row>
    <row r="456" spans="1:8" x14ac:dyDescent="0.25">
      <c r="A456" s="46">
        <v>45219</v>
      </c>
      <c r="B456" s="14">
        <v>405.63000499999998</v>
      </c>
      <c r="C456" s="14">
        <v>410.64001500000001</v>
      </c>
      <c r="D456" s="14">
        <v>398.01001000000002</v>
      </c>
      <c r="E456" s="14">
        <v>400.959991</v>
      </c>
      <c r="F456" s="14">
        <v>400.959991</v>
      </c>
      <c r="G456" s="14">
        <v>12768900</v>
      </c>
      <c r="H456" s="14">
        <f t="shared" si="7"/>
        <v>1.4658644402726573E-2</v>
      </c>
    </row>
    <row r="457" spans="1:8" x14ac:dyDescent="0.25">
      <c r="A457" s="46">
        <v>45222</v>
      </c>
      <c r="B457" s="14">
        <v>403.32000699999998</v>
      </c>
      <c r="C457" s="14">
        <v>407.540009</v>
      </c>
      <c r="D457" s="14">
        <v>398.51998900000001</v>
      </c>
      <c r="E457" s="14">
        <v>406.83999599999999</v>
      </c>
      <c r="F457" s="14">
        <v>406.83999599999999</v>
      </c>
      <c r="G457" s="14">
        <v>7390000</v>
      </c>
      <c r="H457" s="14">
        <f t="shared" si="7"/>
        <v>4.2710734838051029E-4</v>
      </c>
    </row>
    <row r="458" spans="1:8" x14ac:dyDescent="0.25">
      <c r="A458" s="46">
        <v>45223</v>
      </c>
      <c r="B458" s="14">
        <v>409.67999300000002</v>
      </c>
      <c r="C458" s="14">
        <v>416.69000199999999</v>
      </c>
      <c r="D458" s="14">
        <v>408.39001500000001</v>
      </c>
      <c r="E458" s="14">
        <v>413.73001099999999</v>
      </c>
      <c r="F458" s="14">
        <v>413.73001099999999</v>
      </c>
      <c r="G458" s="14">
        <v>6459200</v>
      </c>
      <c r="H458" s="14">
        <f t="shared" si="7"/>
        <v>2.476670248026136E-2</v>
      </c>
    </row>
    <row r="459" spans="1:8" x14ac:dyDescent="0.25">
      <c r="A459" s="46">
        <v>45224</v>
      </c>
      <c r="B459" s="14">
        <v>416.01998900000001</v>
      </c>
      <c r="C459" s="14">
        <v>418.83999599999999</v>
      </c>
      <c r="D459" s="14">
        <v>410.10998499999999</v>
      </c>
      <c r="E459" s="14">
        <v>411.25</v>
      </c>
      <c r="F459" s="14">
        <v>411.25</v>
      </c>
      <c r="G459" s="14">
        <v>6299600</v>
      </c>
      <c r="H459" s="14">
        <f t="shared" si="7"/>
        <v>4.2115868087519992E-3</v>
      </c>
    </row>
    <row r="460" spans="1:8" x14ac:dyDescent="0.25">
      <c r="A460" s="46">
        <v>45225</v>
      </c>
      <c r="B460" s="14">
        <v>411.42001299999998</v>
      </c>
      <c r="C460" s="14">
        <v>417.30999800000001</v>
      </c>
      <c r="D460" s="14">
        <v>401.540009</v>
      </c>
      <c r="E460" s="14">
        <v>403.540009</v>
      </c>
      <c r="F460" s="14">
        <v>403.540009</v>
      </c>
      <c r="G460" s="14">
        <v>6849700</v>
      </c>
      <c r="H460" s="14">
        <f t="shared" si="7"/>
        <v>-2.0896774800545304E-2</v>
      </c>
    </row>
    <row r="461" spans="1:8" x14ac:dyDescent="0.25">
      <c r="A461" s="46">
        <v>45226</v>
      </c>
      <c r="B461" s="14">
        <v>406.42001299999998</v>
      </c>
      <c r="C461" s="14">
        <v>410.209991</v>
      </c>
      <c r="D461" s="14">
        <v>395.61999500000002</v>
      </c>
      <c r="E461" s="14">
        <v>397.86999500000002</v>
      </c>
      <c r="F461" s="14">
        <v>397.86999500000002</v>
      </c>
      <c r="G461" s="14">
        <v>4997600</v>
      </c>
      <c r="H461" s="14">
        <f t="shared" si="7"/>
        <v>-1.4743273066968432E-2</v>
      </c>
    </row>
    <row r="462" spans="1:8" x14ac:dyDescent="0.25">
      <c r="A462" s="46">
        <v>45229</v>
      </c>
      <c r="B462" s="14">
        <v>402.35000600000001</v>
      </c>
      <c r="C462" s="14">
        <v>412.82000699999998</v>
      </c>
      <c r="D462" s="14">
        <v>399.41000400000001</v>
      </c>
      <c r="E462" s="14">
        <v>410.07998700000002</v>
      </c>
      <c r="F462" s="14">
        <v>410.07998700000002</v>
      </c>
      <c r="G462" s="14">
        <v>5317100</v>
      </c>
      <c r="H462" s="14">
        <f t="shared" si="7"/>
        <v>3.1933075913752607E-3</v>
      </c>
    </row>
    <row r="463" spans="1:8" x14ac:dyDescent="0.25">
      <c r="A463" s="46">
        <v>45230</v>
      </c>
      <c r="B463" s="14">
        <v>409.23998999999998</v>
      </c>
      <c r="C463" s="14">
        <v>412.51998900000001</v>
      </c>
      <c r="D463" s="14">
        <v>404.63000499999998</v>
      </c>
      <c r="E463" s="14">
        <v>411.69000199999999</v>
      </c>
      <c r="F463" s="14">
        <v>411.69000199999999</v>
      </c>
      <c r="G463" s="14">
        <v>3877600</v>
      </c>
      <c r="H463" s="14">
        <f t="shared" si="7"/>
        <v>1.3069279556653157E-2</v>
      </c>
    </row>
    <row r="464" spans="1:8" x14ac:dyDescent="0.25">
      <c r="A464" s="46">
        <v>45231</v>
      </c>
      <c r="B464" s="14">
        <v>414.76998900000001</v>
      </c>
      <c r="C464" s="14">
        <v>420.60000600000001</v>
      </c>
      <c r="D464" s="14">
        <v>414.17999300000002</v>
      </c>
      <c r="E464" s="14">
        <v>420.19000199999999</v>
      </c>
      <c r="F464" s="14">
        <v>420.19000199999999</v>
      </c>
      <c r="G464" s="14">
        <v>4806100</v>
      </c>
      <c r="H464" s="14">
        <f t="shared" si="7"/>
        <v>2.3601779111759313E-2</v>
      </c>
    </row>
    <row r="465" spans="1:8" x14ac:dyDescent="0.25">
      <c r="A465" s="46">
        <v>45232</v>
      </c>
      <c r="B465" s="14">
        <v>421.17001299999998</v>
      </c>
      <c r="C465" s="14">
        <v>426.69000199999999</v>
      </c>
      <c r="D465" s="14">
        <v>417.10000600000001</v>
      </c>
      <c r="E465" s="14">
        <v>424.709991</v>
      </c>
      <c r="F465" s="14">
        <v>424.709991</v>
      </c>
      <c r="G465" s="14">
        <v>4476000</v>
      </c>
      <c r="H465" s="14">
        <f t="shared" si="7"/>
        <v>7.0501063531573926E-3</v>
      </c>
    </row>
    <row r="466" spans="1:8" x14ac:dyDescent="0.25">
      <c r="A466" s="46">
        <v>45233</v>
      </c>
      <c r="B466" s="14">
        <v>428.76001000000002</v>
      </c>
      <c r="C466" s="14">
        <v>434.82000699999998</v>
      </c>
      <c r="D466" s="14">
        <v>425.52999899999998</v>
      </c>
      <c r="E466" s="14">
        <v>432.35998499999999</v>
      </c>
      <c r="F466" s="14">
        <v>432.35998499999999</v>
      </c>
      <c r="G466" s="14">
        <v>3664800</v>
      </c>
      <c r="H466" s="14">
        <f t="shared" si="7"/>
        <v>2.0210963506914759E-2</v>
      </c>
    </row>
    <row r="467" spans="1:8" x14ac:dyDescent="0.25">
      <c r="A467" s="46">
        <v>45236</v>
      </c>
      <c r="B467" s="14">
        <v>434.38000499999998</v>
      </c>
      <c r="C467" s="14">
        <v>435.02999899999998</v>
      </c>
      <c r="D467" s="14">
        <v>429.60998499999999</v>
      </c>
      <c r="E467" s="14">
        <v>434.73998999999998</v>
      </c>
      <c r="F467" s="14">
        <v>434.73998999999998</v>
      </c>
      <c r="G467" s="14">
        <v>3003200</v>
      </c>
      <c r="H467" s="14">
        <f t="shared" si="7"/>
        <v>3.1960034228593801E-3</v>
      </c>
    </row>
    <row r="468" spans="1:8" x14ac:dyDescent="0.25">
      <c r="A468" s="46">
        <v>45237</v>
      </c>
      <c r="B468" s="14">
        <v>436.17999300000002</v>
      </c>
      <c r="C468" s="14">
        <v>437.64001500000001</v>
      </c>
      <c r="D468" s="14">
        <v>431</v>
      </c>
      <c r="E468" s="14">
        <v>434.60998499999999</v>
      </c>
      <c r="F468" s="14">
        <v>434.60998499999999</v>
      </c>
      <c r="G468" s="14">
        <v>3291100</v>
      </c>
      <c r="H468" s="14">
        <f t="shared" si="7"/>
        <v>3.2355276844879821E-3</v>
      </c>
    </row>
    <row r="469" spans="1:8" x14ac:dyDescent="0.25">
      <c r="A469" s="46">
        <v>45238</v>
      </c>
      <c r="B469" s="14">
        <v>435</v>
      </c>
      <c r="C469" s="14">
        <v>438.07000699999998</v>
      </c>
      <c r="D469" s="14">
        <v>433.67999300000002</v>
      </c>
      <c r="E469" s="14">
        <v>436.64999399999999</v>
      </c>
      <c r="F469" s="14">
        <v>436.64999399999999</v>
      </c>
      <c r="G469" s="14">
        <v>2356800</v>
      </c>
      <c r="H469" s="14">
        <f t="shared" si="7"/>
        <v>6.218081206496473E-3</v>
      </c>
    </row>
    <row r="470" spans="1:8" x14ac:dyDescent="0.25">
      <c r="A470" s="46">
        <v>45239</v>
      </c>
      <c r="B470" s="14">
        <v>438.02999899999998</v>
      </c>
      <c r="C470" s="14">
        <v>440.38000499999998</v>
      </c>
      <c r="D470" s="14">
        <v>434.35000600000001</v>
      </c>
      <c r="E470" s="14">
        <v>435.14999399999999</v>
      </c>
      <c r="F470" s="14">
        <v>435.14999399999999</v>
      </c>
      <c r="G470" s="14">
        <v>2735500</v>
      </c>
      <c r="H470" s="14">
        <f t="shared" si="7"/>
        <v>1.544947912780481E-3</v>
      </c>
    </row>
    <row r="471" spans="1:8" x14ac:dyDescent="0.25">
      <c r="A471" s="46">
        <v>45240</v>
      </c>
      <c r="B471" s="14">
        <v>437.48001099999999</v>
      </c>
      <c r="C471" s="14">
        <v>447.48001099999999</v>
      </c>
      <c r="D471" s="14">
        <v>435.51001000000002</v>
      </c>
      <c r="E471" s="14">
        <v>447.23998999999998</v>
      </c>
      <c r="F471" s="14">
        <v>447.23998999999998</v>
      </c>
      <c r="G471" s="14">
        <v>4440600</v>
      </c>
      <c r="H471" s="14">
        <f t="shared" si="7"/>
        <v>2.6706664762887744E-3</v>
      </c>
    </row>
    <row r="472" spans="1:8" x14ac:dyDescent="0.25">
      <c r="A472" s="46">
        <v>45243</v>
      </c>
      <c r="B472" s="14">
        <v>447.25</v>
      </c>
      <c r="C472" s="14">
        <v>448.42999300000002</v>
      </c>
      <c r="D472" s="14">
        <v>442.60000600000001</v>
      </c>
      <c r="E472" s="14">
        <v>444.61999500000002</v>
      </c>
      <c r="F472" s="14">
        <v>444.61999500000002</v>
      </c>
      <c r="G472" s="14">
        <v>2896100</v>
      </c>
      <c r="H472" s="14">
        <f t="shared" si="7"/>
        <v>5.426584798820115E-3</v>
      </c>
    </row>
    <row r="473" spans="1:8" x14ac:dyDescent="0.25">
      <c r="A473" s="46">
        <v>45244</v>
      </c>
      <c r="B473" s="14">
        <v>448.77999899999998</v>
      </c>
      <c r="C473" s="14">
        <v>454.07998700000002</v>
      </c>
      <c r="D473" s="14">
        <v>445.64001500000001</v>
      </c>
      <c r="E473" s="14">
        <v>448.64999399999999</v>
      </c>
      <c r="F473" s="14">
        <v>448.64999399999999</v>
      </c>
      <c r="G473" s="14">
        <v>4060900</v>
      </c>
      <c r="H473" s="14">
        <f t="shared" si="7"/>
        <v>6.8685245340913692E-3</v>
      </c>
    </row>
    <row r="474" spans="1:8" x14ac:dyDescent="0.25">
      <c r="A474" s="46">
        <v>45245</v>
      </c>
      <c r="B474" s="14">
        <v>452.80999800000001</v>
      </c>
      <c r="C474" s="14">
        <v>462.75</v>
      </c>
      <c r="D474" s="14">
        <v>452.45001200000002</v>
      </c>
      <c r="E474" s="14">
        <v>461.94000199999999</v>
      </c>
      <c r="F474" s="14">
        <v>461.94000199999999</v>
      </c>
      <c r="G474" s="14">
        <v>5035300</v>
      </c>
      <c r="H474" s="14">
        <f t="shared" si="7"/>
        <v>1.5281385806434011E-2</v>
      </c>
    </row>
    <row r="475" spans="1:8" x14ac:dyDescent="0.25">
      <c r="A475" s="46">
        <v>45246</v>
      </c>
      <c r="B475" s="14">
        <v>463</v>
      </c>
      <c r="C475" s="14">
        <v>467.27999899999998</v>
      </c>
      <c r="D475" s="14">
        <v>459.64999399999999</v>
      </c>
      <c r="E475" s="14">
        <v>466.95001200000002</v>
      </c>
      <c r="F475" s="14">
        <v>466.95001200000002</v>
      </c>
      <c r="G475" s="14">
        <v>3656000</v>
      </c>
      <c r="H475" s="14">
        <f t="shared" si="7"/>
        <v>1.5913320386871765E-2</v>
      </c>
    </row>
    <row r="476" spans="1:8" x14ac:dyDescent="0.25">
      <c r="A476" s="46">
        <v>45247</v>
      </c>
      <c r="B476" s="14">
        <v>466.95001200000002</v>
      </c>
      <c r="C476" s="14">
        <v>467.64999399999999</v>
      </c>
      <c r="D476" s="14">
        <v>462.76001000000002</v>
      </c>
      <c r="E476" s="14">
        <v>465.91000400000001</v>
      </c>
      <c r="F476" s="14">
        <v>465.91000400000001</v>
      </c>
      <c r="G476" s="14">
        <v>2798500</v>
      </c>
      <c r="H476" s="14">
        <f t="shared" si="7"/>
        <v>6.7660525195176735E-3</v>
      </c>
    </row>
    <row r="477" spans="1:8" x14ac:dyDescent="0.25">
      <c r="A477" s="46">
        <v>45250</v>
      </c>
      <c r="B477" s="14">
        <v>465.39999399999999</v>
      </c>
      <c r="C477" s="14">
        <v>476.76001000000002</v>
      </c>
      <c r="D477" s="14">
        <v>465.39999399999999</v>
      </c>
      <c r="E477" s="14">
        <v>474.47000100000002</v>
      </c>
      <c r="F477" s="14">
        <v>474.47000100000002</v>
      </c>
      <c r="G477" s="14">
        <v>3617600</v>
      </c>
      <c r="H477" s="14">
        <f t="shared" si="7"/>
        <v>1.9016221100579915E-3</v>
      </c>
    </row>
    <row r="478" spans="1:8" x14ac:dyDescent="0.25">
      <c r="A478" s="46">
        <v>45251</v>
      </c>
      <c r="B478" s="14">
        <v>472.63000499999998</v>
      </c>
      <c r="C478" s="14">
        <v>477.01998900000001</v>
      </c>
      <c r="D478" s="14">
        <v>471.209991</v>
      </c>
      <c r="E478" s="14">
        <v>474.95001200000002</v>
      </c>
      <c r="F478" s="14">
        <v>474.95001200000002</v>
      </c>
      <c r="G478" s="14">
        <v>2997700</v>
      </c>
      <c r="H478" s="14">
        <f t="shared" si="7"/>
        <v>1.2483878545129556E-2</v>
      </c>
    </row>
    <row r="479" spans="1:8" x14ac:dyDescent="0.25">
      <c r="A479" s="46">
        <v>45252</v>
      </c>
      <c r="B479" s="14">
        <v>476.79998799999998</v>
      </c>
      <c r="C479" s="14">
        <v>482.70001200000002</v>
      </c>
      <c r="D479" s="14">
        <v>476.55999800000001</v>
      </c>
      <c r="E479" s="14">
        <v>478</v>
      </c>
      <c r="F479" s="14">
        <v>478</v>
      </c>
      <c r="G479" s="14">
        <v>2841600</v>
      </c>
      <c r="H479" s="14">
        <f t="shared" si="7"/>
        <v>1.135376393154619E-2</v>
      </c>
    </row>
    <row r="480" spans="1:8" x14ac:dyDescent="0.25">
      <c r="A480" s="46">
        <v>45254</v>
      </c>
      <c r="B480" s="14">
        <v>477.10998499999999</v>
      </c>
      <c r="C480" s="14">
        <v>480.39999399999999</v>
      </c>
      <c r="D480" s="14">
        <v>475.20001200000002</v>
      </c>
      <c r="E480" s="14">
        <v>479.55999800000001</v>
      </c>
      <c r="F480" s="14">
        <v>479.55999800000001</v>
      </c>
      <c r="G480" s="14">
        <v>1404700</v>
      </c>
      <c r="H480" s="14">
        <f t="shared" si="7"/>
        <v>-1.4268780486271226E-3</v>
      </c>
    </row>
    <row r="481" spans="1:8" x14ac:dyDescent="0.25">
      <c r="A481" s="46">
        <v>45257</v>
      </c>
      <c r="B481" s="14">
        <v>479.02999899999998</v>
      </c>
      <c r="C481" s="14">
        <v>482</v>
      </c>
      <c r="D481" s="14">
        <v>475.35000600000001</v>
      </c>
      <c r="E481" s="14">
        <v>479.17001299999998</v>
      </c>
      <c r="F481" s="14">
        <v>479.17001299999998</v>
      </c>
      <c r="G481" s="14">
        <v>3625900</v>
      </c>
      <c r="H481" s="14">
        <f t="shared" si="7"/>
        <v>1.0521464380771246E-4</v>
      </c>
    </row>
    <row r="482" spans="1:8" x14ac:dyDescent="0.25">
      <c r="A482" s="46">
        <v>45258</v>
      </c>
      <c r="B482" s="14">
        <v>478.10998499999999</v>
      </c>
      <c r="C482" s="14">
        <v>480.5</v>
      </c>
      <c r="D482" s="14">
        <v>475.95001200000002</v>
      </c>
      <c r="E482" s="14">
        <v>479</v>
      </c>
      <c r="F482" s="14">
        <v>479</v>
      </c>
      <c r="G482" s="14">
        <v>2890200</v>
      </c>
      <c r="H482" s="14">
        <f t="shared" si="7"/>
        <v>1.262240438469675E-3</v>
      </c>
    </row>
    <row r="483" spans="1:8" x14ac:dyDescent="0.25">
      <c r="A483" s="46">
        <v>45259</v>
      </c>
      <c r="B483" s="14">
        <v>479</v>
      </c>
      <c r="C483" s="14">
        <v>480.98998999999998</v>
      </c>
      <c r="D483" s="14">
        <v>474.48998999999998</v>
      </c>
      <c r="E483" s="14">
        <v>477.19000199999999</v>
      </c>
      <c r="F483" s="14">
        <v>477.19000199999999</v>
      </c>
      <c r="G483" s="14">
        <v>2855500</v>
      </c>
      <c r="H483" s="14">
        <f t="shared" si="7"/>
        <v>-3.067595258302136E-3</v>
      </c>
    </row>
    <row r="484" spans="1:8" x14ac:dyDescent="0.25">
      <c r="A484" s="46">
        <v>45260</v>
      </c>
      <c r="B484" s="14">
        <v>475.30999800000001</v>
      </c>
      <c r="C484" s="14">
        <v>478.58999599999999</v>
      </c>
      <c r="D484" s="14">
        <v>470.42001299999998</v>
      </c>
      <c r="E484" s="14">
        <v>473.97000100000002</v>
      </c>
      <c r="F484" s="14">
        <v>473.97000100000002</v>
      </c>
      <c r="G484" s="14">
        <v>4287300</v>
      </c>
      <c r="H484" s="14">
        <f t="shared" si="7"/>
        <v>-8.5775824269759271E-3</v>
      </c>
    </row>
    <row r="485" spans="1:8" x14ac:dyDescent="0.25">
      <c r="A485" s="46">
        <v>45261</v>
      </c>
      <c r="B485" s="14">
        <v>473.17001299999998</v>
      </c>
      <c r="C485" s="14">
        <v>475.23001099999999</v>
      </c>
      <c r="D485" s="14">
        <v>464.60000600000001</v>
      </c>
      <c r="E485" s="14">
        <v>465.73998999999998</v>
      </c>
      <c r="F485" s="14">
        <v>465.73998999999998</v>
      </c>
      <c r="G485" s="14">
        <v>4338100</v>
      </c>
      <c r="H485" s="14">
        <f t="shared" si="7"/>
        <v>-1.2371937500881725E-2</v>
      </c>
    </row>
    <row r="486" spans="1:8" x14ac:dyDescent="0.25">
      <c r="A486" s="46">
        <v>45264</v>
      </c>
      <c r="B486" s="14">
        <v>460.98998999999998</v>
      </c>
      <c r="C486" s="14">
        <v>461.20001200000002</v>
      </c>
      <c r="D486" s="14">
        <v>451.20001200000002</v>
      </c>
      <c r="E486" s="14">
        <v>453.89999399999999</v>
      </c>
      <c r="F486" s="14">
        <v>453.89999399999999</v>
      </c>
      <c r="G486" s="14">
        <v>5157700</v>
      </c>
      <c r="H486" s="14">
        <f t="shared" si="7"/>
        <v>-9.6140004498120133E-3</v>
      </c>
    </row>
    <row r="487" spans="1:8" x14ac:dyDescent="0.25">
      <c r="A487" s="46">
        <v>45265</v>
      </c>
      <c r="B487" s="14">
        <v>450.70001200000002</v>
      </c>
      <c r="C487" s="14">
        <v>456.39001500000001</v>
      </c>
      <c r="D487" s="14">
        <v>449.57998700000002</v>
      </c>
      <c r="E487" s="14">
        <v>455.14999399999999</v>
      </c>
      <c r="F487" s="14">
        <v>455.14999399999999</v>
      </c>
      <c r="G487" s="14">
        <v>3380700</v>
      </c>
      <c r="H487" s="14">
        <f t="shared" si="7"/>
        <v>-3.5904808442247527E-3</v>
      </c>
    </row>
    <row r="488" spans="1:8" x14ac:dyDescent="0.25">
      <c r="A488" s="46">
        <v>45266</v>
      </c>
      <c r="B488" s="14">
        <v>460</v>
      </c>
      <c r="C488" s="14">
        <v>460.5</v>
      </c>
      <c r="D488" s="14">
        <v>445.73001099999999</v>
      </c>
      <c r="E488" s="14">
        <v>446.73001099999999</v>
      </c>
      <c r="F488" s="14">
        <v>446.73001099999999</v>
      </c>
      <c r="G488" s="14">
        <v>4178800</v>
      </c>
      <c r="H488" s="14">
        <f t="shared" si="7"/>
        <v>-8.5634950650061992E-3</v>
      </c>
    </row>
    <row r="489" spans="1:8" x14ac:dyDescent="0.25">
      <c r="A489" s="46">
        <v>45267</v>
      </c>
      <c r="B489" s="14">
        <v>450.85000600000001</v>
      </c>
      <c r="C489" s="14">
        <v>452.89001500000001</v>
      </c>
      <c r="D489" s="14">
        <v>448.32000699999998</v>
      </c>
      <c r="E489" s="14">
        <v>452</v>
      </c>
      <c r="F489" s="14">
        <v>452</v>
      </c>
      <c r="G489" s="14">
        <v>3506700</v>
      </c>
      <c r="H489" s="14">
        <f t="shared" si="7"/>
        <v>5.810683454293919E-3</v>
      </c>
    </row>
    <row r="490" spans="1:8" x14ac:dyDescent="0.25">
      <c r="A490" s="46">
        <v>45268</v>
      </c>
      <c r="B490" s="14">
        <v>450.76001000000002</v>
      </c>
      <c r="C490" s="14">
        <v>455.5</v>
      </c>
      <c r="D490" s="14">
        <v>450.76001000000002</v>
      </c>
      <c r="E490" s="14">
        <v>453.76001000000002</v>
      </c>
      <c r="F490" s="14">
        <v>453.76001000000002</v>
      </c>
      <c r="G490" s="14">
        <v>3456100</v>
      </c>
      <c r="H490" s="14">
        <f t="shared" si="7"/>
        <v>5.442547648782492E-3</v>
      </c>
    </row>
    <row r="491" spans="1:8" x14ac:dyDescent="0.25">
      <c r="A491" s="46">
        <v>45271</v>
      </c>
      <c r="B491" s="14">
        <v>459.35998499999999</v>
      </c>
      <c r="C491" s="14">
        <v>470.64999399999999</v>
      </c>
      <c r="D491" s="14">
        <v>457.209991</v>
      </c>
      <c r="E491" s="14">
        <v>459.89001500000001</v>
      </c>
      <c r="F491" s="14">
        <v>459.89001500000001</v>
      </c>
      <c r="G491" s="14">
        <v>4929700</v>
      </c>
      <c r="H491" s="14">
        <f t="shared" si="7"/>
        <v>4.7697080907125322E-3</v>
      </c>
    </row>
    <row r="492" spans="1:8" x14ac:dyDescent="0.25">
      <c r="A492" s="46">
        <v>45272</v>
      </c>
      <c r="B492" s="14">
        <v>465.23001099999999</v>
      </c>
      <c r="C492" s="14">
        <v>465.60998499999999</v>
      </c>
      <c r="D492" s="14">
        <v>459.20001200000002</v>
      </c>
      <c r="E492" s="14">
        <v>463</v>
      </c>
      <c r="F492" s="14">
        <v>463</v>
      </c>
      <c r="G492" s="14">
        <v>3302700</v>
      </c>
      <c r="H492" s="14">
        <f t="shared" si="7"/>
        <v>4.3525317450905376E-3</v>
      </c>
    </row>
    <row r="493" spans="1:8" x14ac:dyDescent="0.25">
      <c r="A493" s="46">
        <v>45273</v>
      </c>
      <c r="B493" s="14">
        <v>461.98001099999999</v>
      </c>
      <c r="C493" s="14">
        <v>481.25</v>
      </c>
      <c r="D493" s="14">
        <v>461.98001099999999</v>
      </c>
      <c r="E493" s="14">
        <v>479.98001099999999</v>
      </c>
      <c r="F493" s="14">
        <v>479.98001099999999</v>
      </c>
      <c r="G493" s="14">
        <v>5820200</v>
      </c>
      <c r="H493" s="14">
        <f t="shared" si="7"/>
        <v>6.0540046327350883E-3</v>
      </c>
    </row>
    <row r="494" spans="1:8" x14ac:dyDescent="0.25">
      <c r="A494" s="46">
        <v>45274</v>
      </c>
      <c r="B494" s="14">
        <v>480.35998499999999</v>
      </c>
      <c r="C494" s="14">
        <v>480.76001000000002</v>
      </c>
      <c r="D494" s="14">
        <v>464.76001000000002</v>
      </c>
      <c r="E494" s="14">
        <v>469.82998700000002</v>
      </c>
      <c r="F494" s="14">
        <v>469.82998700000002</v>
      </c>
      <c r="G494" s="14">
        <v>5176400</v>
      </c>
      <c r="H494" s="14">
        <f t="shared" si="7"/>
        <v>6.0175742105863517E-3</v>
      </c>
    </row>
    <row r="495" spans="1:8" x14ac:dyDescent="0.25">
      <c r="A495" s="46">
        <v>45275</v>
      </c>
      <c r="B495" s="14">
        <v>467.29998799999998</v>
      </c>
      <c r="C495" s="14">
        <v>473</v>
      </c>
      <c r="D495" s="14">
        <v>467.29998799999998</v>
      </c>
      <c r="E495" s="14">
        <v>472.05999800000001</v>
      </c>
      <c r="F495" s="14">
        <v>472.05999800000001</v>
      </c>
      <c r="G495" s="14">
        <v>7838300</v>
      </c>
      <c r="H495" s="14">
        <f t="shared" si="7"/>
        <v>5.465138878880671E-3</v>
      </c>
    </row>
    <row r="496" spans="1:8" x14ac:dyDescent="0.25">
      <c r="A496" s="46">
        <v>45278</v>
      </c>
      <c r="B496" s="14">
        <v>476.29998799999998</v>
      </c>
      <c r="C496" s="14">
        <v>492.040009</v>
      </c>
      <c r="D496" s="14">
        <v>475.10000600000001</v>
      </c>
      <c r="E496" s="14">
        <v>486.11999500000002</v>
      </c>
      <c r="F496" s="14">
        <v>486.11999500000002</v>
      </c>
      <c r="G496" s="14">
        <v>6410700</v>
      </c>
      <c r="H496" s="14">
        <f t="shared" si="7"/>
        <v>5.5638905772880482E-3</v>
      </c>
    </row>
    <row r="497" spans="1:8" x14ac:dyDescent="0.25">
      <c r="A497" s="46">
        <v>45279</v>
      </c>
      <c r="B497" s="14">
        <v>488.39999399999999</v>
      </c>
      <c r="C497" s="14">
        <v>496.14001500000001</v>
      </c>
      <c r="D497" s="14">
        <v>484.05999800000001</v>
      </c>
      <c r="E497" s="14">
        <v>495.01998900000001</v>
      </c>
      <c r="F497" s="14">
        <v>495.01998900000001</v>
      </c>
      <c r="G497" s="14">
        <v>3849000</v>
      </c>
      <c r="H497" s="14">
        <f t="shared" si="7"/>
        <v>1.8859170462734109E-2</v>
      </c>
    </row>
    <row r="498" spans="1:8" x14ac:dyDescent="0.25">
      <c r="A498" s="46">
        <v>45280</v>
      </c>
      <c r="B498" s="14">
        <v>492</v>
      </c>
      <c r="C498" s="14">
        <v>500.89001500000001</v>
      </c>
      <c r="D498" s="14">
        <v>488.39001500000001</v>
      </c>
      <c r="E498" s="14">
        <v>489.26998900000001</v>
      </c>
      <c r="F498" s="14">
        <v>489.26998900000001</v>
      </c>
      <c r="G498" s="14">
        <v>4563700</v>
      </c>
      <c r="H498" s="14">
        <f t="shared" si="7"/>
        <v>8.9452072426774443E-3</v>
      </c>
    </row>
    <row r="499" spans="1:8" x14ac:dyDescent="0.25">
      <c r="A499" s="46">
        <v>45281</v>
      </c>
      <c r="B499" s="14">
        <v>492.66000400000001</v>
      </c>
      <c r="C499" s="14">
        <v>494.39999399999999</v>
      </c>
      <c r="D499" s="14">
        <v>486.76998900000001</v>
      </c>
      <c r="E499" s="14">
        <v>491.60998499999999</v>
      </c>
      <c r="F499" s="14">
        <v>491.60998499999999</v>
      </c>
      <c r="G499" s="14">
        <v>2756200</v>
      </c>
      <c r="H499" s="14">
        <f t="shared" si="7"/>
        <v>-3.3170743672963354E-3</v>
      </c>
    </row>
    <row r="500" spans="1:8" x14ac:dyDescent="0.25">
      <c r="A500" s="46">
        <v>45282</v>
      </c>
      <c r="B500" s="14">
        <v>494</v>
      </c>
      <c r="C500" s="14">
        <v>496.01998900000001</v>
      </c>
      <c r="D500" s="14">
        <v>485.45001200000002</v>
      </c>
      <c r="E500" s="14">
        <v>486.76001000000002</v>
      </c>
      <c r="F500" s="14">
        <v>486.76001000000002</v>
      </c>
      <c r="G500" s="14">
        <v>2701100</v>
      </c>
      <c r="H500" s="14">
        <f t="shared" si="7"/>
        <v>-2.7117057949930246E-3</v>
      </c>
    </row>
    <row r="501" spans="1:8" x14ac:dyDescent="0.25">
      <c r="A501" s="46">
        <v>45286</v>
      </c>
      <c r="B501" s="14">
        <v>489.39001500000001</v>
      </c>
      <c r="C501" s="14">
        <v>491.48001099999999</v>
      </c>
      <c r="D501" s="14">
        <v>486.38000499999998</v>
      </c>
      <c r="E501" s="14">
        <v>491.19000199999999</v>
      </c>
      <c r="F501" s="14">
        <v>491.19000199999999</v>
      </c>
      <c r="G501" s="14">
        <v>2034500</v>
      </c>
      <c r="H501" s="14">
        <f t="shared" si="7"/>
        <v>4.7893345195754167E-4</v>
      </c>
    </row>
    <row r="502" spans="1:8" x14ac:dyDescent="0.25">
      <c r="A502" s="46">
        <v>45287</v>
      </c>
      <c r="B502" s="14">
        <v>491.23998999999998</v>
      </c>
      <c r="C502" s="14">
        <v>494.01998900000001</v>
      </c>
      <c r="D502" s="14">
        <v>489.25</v>
      </c>
      <c r="E502" s="14">
        <v>491.790009</v>
      </c>
      <c r="F502" s="14">
        <v>491.790009</v>
      </c>
      <c r="G502" s="14">
        <v>2561300</v>
      </c>
      <c r="H502" s="14">
        <f t="shared" si="7"/>
        <v>5.9007257093144361E-3</v>
      </c>
    </row>
    <row r="503" spans="1:8" x14ac:dyDescent="0.25">
      <c r="A503" s="46">
        <v>45288</v>
      </c>
      <c r="B503" s="14">
        <v>492</v>
      </c>
      <c r="C503" s="14">
        <v>492.89001500000001</v>
      </c>
      <c r="D503" s="14">
        <v>489.07000699999998</v>
      </c>
      <c r="E503" s="14">
        <v>490.51001000000002</v>
      </c>
      <c r="F503" s="14">
        <v>490.51001000000002</v>
      </c>
      <c r="G503" s="14">
        <v>1710500</v>
      </c>
      <c r="H503" s="14">
        <f t="shared" si="7"/>
        <v>-3.678957588145737E-4</v>
      </c>
    </row>
    <row r="504" spans="1:8" x14ac:dyDescent="0.25">
      <c r="A504" s="46">
        <v>45289</v>
      </c>
      <c r="B504" s="14">
        <v>490.36999500000002</v>
      </c>
      <c r="C504" s="14">
        <v>492.23001099999999</v>
      </c>
      <c r="D504" s="14">
        <v>481.94000199999999</v>
      </c>
      <c r="E504" s="14">
        <v>486.88000499999998</v>
      </c>
      <c r="F504" s="14">
        <v>486.88000499999998</v>
      </c>
      <c r="G504" s="14">
        <v>2739500</v>
      </c>
      <c r="H504" s="14">
        <f t="shared" si="7"/>
        <v>-1.4578700181873905E-2</v>
      </c>
    </row>
    <row r="505" spans="1:8" x14ac:dyDescent="0.25">
      <c r="A505" s="46">
        <v>45293</v>
      </c>
      <c r="B505" s="14">
        <v>483.19000199999999</v>
      </c>
      <c r="C505" s="14">
        <v>484.64999399999999</v>
      </c>
      <c r="D505" s="14">
        <v>461.85998499999999</v>
      </c>
      <c r="E505" s="14">
        <v>468.5</v>
      </c>
      <c r="F505" s="14">
        <v>468.5</v>
      </c>
      <c r="G505" s="14">
        <v>5049400</v>
      </c>
      <c r="H505" s="14">
        <f t="shared" si="7"/>
        <v>-1.0416243161321975E-2</v>
      </c>
    </row>
    <row r="506" spans="1:8" x14ac:dyDescent="0.25">
      <c r="A506" s="46">
        <v>45294</v>
      </c>
      <c r="B506" s="14">
        <v>467.32000699999998</v>
      </c>
      <c r="C506" s="14">
        <v>475.04998799999998</v>
      </c>
      <c r="D506" s="14">
        <v>465.76998900000001</v>
      </c>
      <c r="E506" s="14">
        <v>470.26001000000002</v>
      </c>
      <c r="F506" s="14">
        <v>470.26001000000002</v>
      </c>
      <c r="G506" s="14">
        <v>3443700</v>
      </c>
      <c r="H506" s="14">
        <f t="shared" si="7"/>
        <v>8.465777783282169E-3</v>
      </c>
    </row>
    <row r="507" spans="1:8" x14ac:dyDescent="0.25">
      <c r="A507" s="46">
        <v>45295</v>
      </c>
      <c r="B507" s="14">
        <v>472.98001099999999</v>
      </c>
      <c r="C507" s="14">
        <v>480.73998999999998</v>
      </c>
      <c r="D507" s="14">
        <v>466.52999899999998</v>
      </c>
      <c r="E507" s="14">
        <v>474.67001299999998</v>
      </c>
      <c r="F507" s="14">
        <v>474.67001299999998</v>
      </c>
      <c r="G507" s="14">
        <v>3636500</v>
      </c>
      <c r="H507" s="14">
        <f t="shared" si="7"/>
        <v>1.6317281446829313E-3</v>
      </c>
    </row>
    <row r="508" spans="1:8" x14ac:dyDescent="0.25">
      <c r="A508" s="46">
        <v>45296</v>
      </c>
      <c r="B508" s="14">
        <v>476.5</v>
      </c>
      <c r="C508" s="14">
        <v>479.54998799999998</v>
      </c>
      <c r="D508" s="14">
        <v>471.79998799999998</v>
      </c>
      <c r="E508" s="14">
        <v>474.05999800000001</v>
      </c>
      <c r="F508" s="14">
        <v>474.05999800000001</v>
      </c>
      <c r="G508" s="14">
        <v>2612500</v>
      </c>
      <c r="H508" s="14">
        <f t="shared" si="7"/>
        <v>1.1296141751433231E-2</v>
      </c>
    </row>
    <row r="509" spans="1:8" x14ac:dyDescent="0.25">
      <c r="A509" s="46">
        <v>45299</v>
      </c>
      <c r="B509" s="14">
        <v>473.89001500000001</v>
      </c>
      <c r="C509" s="14">
        <v>485.23998999999998</v>
      </c>
      <c r="D509" s="14">
        <v>473.64999399999999</v>
      </c>
      <c r="E509" s="14">
        <v>485.02999899999998</v>
      </c>
      <c r="F509" s="14">
        <v>485.02999899999998</v>
      </c>
      <c r="G509" s="14">
        <v>3675800</v>
      </c>
      <c r="H509" s="14">
        <f t="shared" si="7"/>
        <v>1.3070552826437432E-3</v>
      </c>
    </row>
    <row r="510" spans="1:8" x14ac:dyDescent="0.25">
      <c r="A510" s="46">
        <v>45300</v>
      </c>
      <c r="B510" s="14">
        <v>475.52999899999998</v>
      </c>
      <c r="C510" s="14">
        <v>485.08999599999999</v>
      </c>
      <c r="D510" s="14">
        <v>473.79998799999998</v>
      </c>
      <c r="E510" s="14">
        <v>482.08999599999999</v>
      </c>
      <c r="F510" s="14">
        <v>482.08999599999999</v>
      </c>
      <c r="G510" s="14">
        <v>3526800</v>
      </c>
      <c r="H510" s="14">
        <f t="shared" si="7"/>
        <v>3.1667687511882647E-4</v>
      </c>
    </row>
    <row r="511" spans="1:8" x14ac:dyDescent="0.25">
      <c r="A511" s="46">
        <v>45301</v>
      </c>
      <c r="B511" s="14">
        <v>481.60000600000001</v>
      </c>
      <c r="C511" s="14">
        <v>487</v>
      </c>
      <c r="D511" s="14">
        <v>472.95001200000002</v>
      </c>
      <c r="E511" s="14">
        <v>478.32998700000002</v>
      </c>
      <c r="F511" s="14">
        <v>478.32998700000002</v>
      </c>
      <c r="G511" s="14">
        <v>4342400</v>
      </c>
      <c r="H511" s="14">
        <f t="shared" si="7"/>
        <v>-1.7939553008177178E-3</v>
      </c>
    </row>
    <row r="512" spans="1:8" x14ac:dyDescent="0.25">
      <c r="A512" s="46">
        <v>45302</v>
      </c>
      <c r="B512" s="14">
        <v>492.540009</v>
      </c>
      <c r="C512" s="14">
        <v>503.41000400000001</v>
      </c>
      <c r="D512" s="14">
        <v>483.82000699999998</v>
      </c>
      <c r="E512" s="14">
        <v>492.23001099999999</v>
      </c>
      <c r="F512" s="14">
        <v>492.23001099999999</v>
      </c>
      <c r="G512" s="14">
        <v>7993300</v>
      </c>
      <c r="H512" s="14">
        <f t="shared" si="7"/>
        <v>2.2983390895864764E-2</v>
      </c>
    </row>
    <row r="513" spans="1:8" x14ac:dyDescent="0.25">
      <c r="A513" s="46">
        <v>45303</v>
      </c>
      <c r="B513" s="14">
        <v>500.51001000000002</v>
      </c>
      <c r="C513" s="14">
        <v>500.790009</v>
      </c>
      <c r="D513" s="14">
        <v>490.60998499999999</v>
      </c>
      <c r="E513" s="14">
        <v>492.16000400000001</v>
      </c>
      <c r="F513" s="14">
        <v>492.16000400000001</v>
      </c>
      <c r="G513" s="14">
        <v>4996600</v>
      </c>
      <c r="H513" s="14">
        <f t="shared" si="7"/>
        <v>1.4034099255428201E-2</v>
      </c>
    </row>
    <row r="514" spans="1:8" x14ac:dyDescent="0.25">
      <c r="A514" s="46">
        <v>45307</v>
      </c>
      <c r="B514" s="14">
        <v>490</v>
      </c>
      <c r="C514" s="14">
        <v>494.14999399999999</v>
      </c>
      <c r="D514" s="14">
        <v>478.01998900000001</v>
      </c>
      <c r="E514" s="14">
        <v>481.23998999999998</v>
      </c>
      <c r="F514" s="14">
        <v>481.23998999999998</v>
      </c>
      <c r="G514" s="14">
        <v>4679000</v>
      </c>
      <c r="H514" s="14">
        <f t="shared" si="7"/>
        <v>-6.415480924221284E-3</v>
      </c>
    </row>
    <row r="515" spans="1:8" x14ac:dyDescent="0.25">
      <c r="A515" s="46">
        <v>45308</v>
      </c>
      <c r="B515" s="14">
        <v>484.5</v>
      </c>
      <c r="C515" s="14">
        <v>486.209991</v>
      </c>
      <c r="D515" s="14">
        <v>475.26001000000002</v>
      </c>
      <c r="E515" s="14">
        <v>480.32998700000002</v>
      </c>
      <c r="F515" s="14">
        <v>480.32998700000002</v>
      </c>
      <c r="G515" s="14">
        <v>4894600</v>
      </c>
      <c r="H515" s="14">
        <f t="shared" si="7"/>
        <v>-5.7737731967522077E-3</v>
      </c>
    </row>
    <row r="516" spans="1:8" x14ac:dyDescent="0.25">
      <c r="A516" s="46">
        <v>45309</v>
      </c>
      <c r="B516" s="14">
        <v>480.02999899999998</v>
      </c>
      <c r="C516" s="14">
        <v>485.76998900000001</v>
      </c>
      <c r="D516" s="14">
        <v>478.01998900000001</v>
      </c>
      <c r="E516" s="14">
        <v>485.30999800000001</v>
      </c>
      <c r="F516" s="14">
        <v>485.30999800000001</v>
      </c>
      <c r="G516" s="14">
        <v>4054400</v>
      </c>
      <c r="H516" s="14">
        <f t="shared" ref="H516:H570" si="8">(D516/D515-1)/(A516-A515)</f>
        <v>5.8073032485943532E-3</v>
      </c>
    </row>
    <row r="517" spans="1:8" x14ac:dyDescent="0.25">
      <c r="A517" s="46">
        <v>45310</v>
      </c>
      <c r="B517" s="14">
        <v>484.98001099999999</v>
      </c>
      <c r="C517" s="14">
        <v>485.67001299999998</v>
      </c>
      <c r="D517" s="14">
        <v>476.05999800000001</v>
      </c>
      <c r="E517" s="14">
        <v>482.95001200000002</v>
      </c>
      <c r="F517" s="14">
        <v>482.95001200000002</v>
      </c>
      <c r="G517" s="14">
        <v>5665600</v>
      </c>
      <c r="H517" s="14">
        <f t="shared" si="8"/>
        <v>-4.1002281182848099E-3</v>
      </c>
    </row>
    <row r="518" spans="1:8" x14ac:dyDescent="0.25">
      <c r="A518" s="46">
        <v>45313</v>
      </c>
      <c r="B518" s="14">
        <v>487.54998799999998</v>
      </c>
      <c r="C518" s="14">
        <v>489.79998799999998</v>
      </c>
      <c r="D518" s="14">
        <v>479.89999399999999</v>
      </c>
      <c r="E518" s="14">
        <v>485.709991</v>
      </c>
      <c r="F518" s="14">
        <v>485.709991</v>
      </c>
      <c r="G518" s="14">
        <v>5212300</v>
      </c>
      <c r="H518" s="14">
        <f t="shared" si="8"/>
        <v>2.6887339243879538E-3</v>
      </c>
    </row>
    <row r="519" spans="1:8" x14ac:dyDescent="0.25">
      <c r="A519" s="46">
        <v>45314</v>
      </c>
      <c r="B519" s="14">
        <v>492</v>
      </c>
      <c r="C519" s="14">
        <v>498.959991</v>
      </c>
      <c r="D519" s="14">
        <v>481.39999399999999</v>
      </c>
      <c r="E519" s="14">
        <v>492.19000199999999</v>
      </c>
      <c r="F519" s="14">
        <v>492.19000199999999</v>
      </c>
      <c r="G519" s="14">
        <v>15506000</v>
      </c>
      <c r="H519" s="14">
        <f t="shared" si="8"/>
        <v>3.125651216407288E-3</v>
      </c>
    </row>
    <row r="520" spans="1:8" x14ac:dyDescent="0.25">
      <c r="A520" s="46">
        <v>45315</v>
      </c>
      <c r="B520" s="14">
        <v>537.75</v>
      </c>
      <c r="C520" s="14">
        <v>562.5</v>
      </c>
      <c r="D520" s="14">
        <v>537.07000700000003</v>
      </c>
      <c r="E520" s="14">
        <v>544.86999500000002</v>
      </c>
      <c r="F520" s="14">
        <v>544.86999500000002</v>
      </c>
      <c r="G520" s="14">
        <v>26432800</v>
      </c>
      <c r="H520" s="14">
        <f t="shared" si="8"/>
        <v>0.11564190630214277</v>
      </c>
    </row>
    <row r="521" spans="1:8" x14ac:dyDescent="0.25">
      <c r="A521" s="46">
        <v>45316</v>
      </c>
      <c r="B521" s="14">
        <v>551.95001200000002</v>
      </c>
      <c r="C521" s="14">
        <v>563.46002199999998</v>
      </c>
      <c r="D521" s="14">
        <v>548.46002199999998</v>
      </c>
      <c r="E521" s="14">
        <v>562</v>
      </c>
      <c r="F521" s="14">
        <v>562</v>
      </c>
      <c r="G521" s="14">
        <v>9451900</v>
      </c>
      <c r="H521" s="14">
        <f t="shared" si="8"/>
        <v>2.120769145836876E-2</v>
      </c>
    </row>
    <row r="522" spans="1:8" x14ac:dyDescent="0.25">
      <c r="A522" s="46">
        <v>45317</v>
      </c>
      <c r="B522" s="14">
        <v>561.80999799999995</v>
      </c>
      <c r="C522" s="14">
        <v>579.64001499999995</v>
      </c>
      <c r="D522" s="14">
        <v>558.42999299999997</v>
      </c>
      <c r="E522" s="14">
        <v>570.419983</v>
      </c>
      <c r="F522" s="14">
        <v>570.419983</v>
      </c>
      <c r="G522" s="14">
        <v>12770600</v>
      </c>
      <c r="H522" s="14">
        <f t="shared" si="8"/>
        <v>1.8178118003284505E-2</v>
      </c>
    </row>
    <row r="523" spans="1:8" x14ac:dyDescent="0.25">
      <c r="A523" s="46">
        <v>45320</v>
      </c>
      <c r="B523" s="14">
        <v>571.34997599999997</v>
      </c>
      <c r="C523" s="14">
        <v>578.54998799999998</v>
      </c>
      <c r="D523" s="14">
        <v>562.67999299999997</v>
      </c>
      <c r="E523" s="14">
        <v>575.78997800000002</v>
      </c>
      <c r="F523" s="14">
        <v>575.78997800000002</v>
      </c>
      <c r="G523" s="14">
        <v>6905400</v>
      </c>
      <c r="H523" s="14">
        <f t="shared" si="8"/>
        <v>2.5368742446229367E-3</v>
      </c>
    </row>
    <row r="524" spans="1:8" x14ac:dyDescent="0.25">
      <c r="A524" s="46">
        <v>45321</v>
      </c>
      <c r="B524" s="14">
        <v>567.32000700000003</v>
      </c>
      <c r="C524" s="14">
        <v>570.88000499999998</v>
      </c>
      <c r="D524" s="14">
        <v>560.82000700000003</v>
      </c>
      <c r="E524" s="14">
        <v>562.84997599999997</v>
      </c>
      <c r="F524" s="14">
        <v>562.84997599999997</v>
      </c>
      <c r="G524" s="14">
        <v>6181800</v>
      </c>
      <c r="H524" s="14">
        <f t="shared" si="8"/>
        <v>-3.305584032023523E-3</v>
      </c>
    </row>
    <row r="525" spans="1:8" x14ac:dyDescent="0.25">
      <c r="A525" s="46">
        <v>45322</v>
      </c>
      <c r="B525" s="14">
        <v>562.84997599999997</v>
      </c>
      <c r="C525" s="14">
        <v>572.15002400000003</v>
      </c>
      <c r="D525" s="14">
        <v>562.03997800000002</v>
      </c>
      <c r="E525" s="14">
        <v>564.10998500000005</v>
      </c>
      <c r="F525" s="14">
        <v>564.10998500000005</v>
      </c>
      <c r="G525" s="14">
        <v>4857600</v>
      </c>
      <c r="H525" s="14">
        <f t="shared" si="8"/>
        <v>2.1753343047192786E-3</v>
      </c>
    </row>
    <row r="526" spans="1:8" x14ac:dyDescent="0.25">
      <c r="A526" s="46">
        <v>45323</v>
      </c>
      <c r="B526" s="14">
        <v>567.02002000000005</v>
      </c>
      <c r="C526" s="14">
        <v>572.65997300000004</v>
      </c>
      <c r="D526" s="14">
        <v>563.830017</v>
      </c>
      <c r="E526" s="14">
        <v>567.51000999999997</v>
      </c>
      <c r="F526" s="14">
        <v>567.51000999999997</v>
      </c>
      <c r="G526" s="14">
        <v>3174000</v>
      </c>
      <c r="H526" s="14">
        <f t="shared" si="8"/>
        <v>3.1848962174714224E-3</v>
      </c>
    </row>
    <row r="527" spans="1:8" x14ac:dyDescent="0.25">
      <c r="A527" s="46">
        <v>45324</v>
      </c>
      <c r="B527" s="14">
        <v>564.52002000000005</v>
      </c>
      <c r="C527" s="14">
        <v>567.79998799999998</v>
      </c>
      <c r="D527" s="14">
        <v>562.36999500000002</v>
      </c>
      <c r="E527" s="14">
        <v>564.64001499999995</v>
      </c>
      <c r="F527" s="14">
        <v>564.64001499999995</v>
      </c>
      <c r="G527" s="14">
        <v>4030800</v>
      </c>
      <c r="H527" s="14">
        <f t="shared" si="8"/>
        <v>-2.5894719258977572E-3</v>
      </c>
    </row>
    <row r="528" spans="1:8" x14ac:dyDescent="0.25">
      <c r="A528" s="46">
        <v>45327</v>
      </c>
      <c r="B528" s="14">
        <v>562.46997099999999</v>
      </c>
      <c r="C528" s="14">
        <v>575.75</v>
      </c>
      <c r="D528" s="14">
        <v>557.20001200000002</v>
      </c>
      <c r="E528" s="14">
        <v>562.05999799999995</v>
      </c>
      <c r="F528" s="14">
        <v>562.05999799999995</v>
      </c>
      <c r="G528" s="14">
        <v>4143100</v>
      </c>
      <c r="H528" s="14">
        <f t="shared" si="8"/>
        <v>-3.0644018741908066E-3</v>
      </c>
    </row>
    <row r="529" spans="1:8" x14ac:dyDescent="0.25">
      <c r="A529" s="46">
        <v>45328</v>
      </c>
      <c r="B529" s="14">
        <v>564.11999500000002</v>
      </c>
      <c r="C529" s="14">
        <v>566.34002699999996</v>
      </c>
      <c r="D529" s="14">
        <v>554.36999500000002</v>
      </c>
      <c r="E529" s="14">
        <v>555.88000499999998</v>
      </c>
      <c r="F529" s="14">
        <v>555.88000499999998</v>
      </c>
      <c r="G529" s="14">
        <v>2840300</v>
      </c>
      <c r="H529" s="14">
        <f t="shared" si="8"/>
        <v>-5.0789966601795244E-3</v>
      </c>
    </row>
    <row r="530" spans="1:8" x14ac:dyDescent="0.25">
      <c r="A530" s="46">
        <v>45329</v>
      </c>
      <c r="B530" s="14">
        <v>558.15997300000004</v>
      </c>
      <c r="C530" s="14">
        <v>567.79998799999998</v>
      </c>
      <c r="D530" s="14">
        <v>554.97997999999995</v>
      </c>
      <c r="E530" s="14">
        <v>559.29998799999998</v>
      </c>
      <c r="F530" s="14">
        <v>559.29998799999998</v>
      </c>
      <c r="G530" s="14">
        <v>4373600</v>
      </c>
      <c r="H530" s="14">
        <f t="shared" si="8"/>
        <v>1.1003210951197051E-3</v>
      </c>
    </row>
    <row r="531" spans="1:8" x14ac:dyDescent="0.25">
      <c r="A531" s="46">
        <v>45330</v>
      </c>
      <c r="B531" s="14">
        <v>560.54998799999998</v>
      </c>
      <c r="C531" s="14">
        <v>563.70001200000002</v>
      </c>
      <c r="D531" s="14">
        <v>555.73999000000003</v>
      </c>
      <c r="E531" s="14">
        <v>558.53002900000001</v>
      </c>
      <c r="F531" s="14">
        <v>558.53002900000001</v>
      </c>
      <c r="G531" s="14">
        <v>3175500</v>
      </c>
      <c r="H531" s="14">
        <f t="shared" si="8"/>
        <v>1.3694367858099188E-3</v>
      </c>
    </row>
    <row r="532" spans="1:8" x14ac:dyDescent="0.25">
      <c r="A532" s="46">
        <v>45331</v>
      </c>
      <c r="B532" s="14">
        <v>565</v>
      </c>
      <c r="C532" s="14">
        <v>566</v>
      </c>
      <c r="D532" s="14">
        <v>558.09997599999997</v>
      </c>
      <c r="E532" s="14">
        <v>561.32000700000003</v>
      </c>
      <c r="F532" s="14">
        <v>561.32000700000003</v>
      </c>
      <c r="G532" s="14">
        <v>3055700</v>
      </c>
      <c r="H532" s="14">
        <f t="shared" si="8"/>
        <v>4.2465650168523883E-3</v>
      </c>
    </row>
    <row r="533" spans="1:8" x14ac:dyDescent="0.25">
      <c r="A533" s="46">
        <v>45334</v>
      </c>
      <c r="B533" s="14">
        <v>560.35998500000005</v>
      </c>
      <c r="C533" s="14">
        <v>568.44000200000005</v>
      </c>
      <c r="D533" s="14">
        <v>557</v>
      </c>
      <c r="E533" s="14">
        <v>557.84997599999997</v>
      </c>
      <c r="F533" s="14">
        <v>557.84997599999997</v>
      </c>
      <c r="G533" s="14">
        <v>3608500</v>
      </c>
      <c r="H533" s="14">
        <f t="shared" si="8"/>
        <v>-6.5697667520892011E-4</v>
      </c>
    </row>
    <row r="534" spans="1:8" x14ac:dyDescent="0.25">
      <c r="A534" s="46">
        <v>45335</v>
      </c>
      <c r="B534" s="14">
        <v>550.79998799999998</v>
      </c>
      <c r="C534" s="14">
        <v>559.20001200000002</v>
      </c>
      <c r="D534" s="14">
        <v>549</v>
      </c>
      <c r="E534" s="14">
        <v>554.52002000000005</v>
      </c>
      <c r="F534" s="14">
        <v>554.52002000000005</v>
      </c>
      <c r="G534" s="14">
        <v>3511500</v>
      </c>
      <c r="H534" s="14">
        <f t="shared" si="8"/>
        <v>-1.4362657091561926E-2</v>
      </c>
    </row>
    <row r="535" spans="1:8" x14ac:dyDescent="0.25">
      <c r="A535" s="46">
        <v>45336</v>
      </c>
      <c r="B535" s="14">
        <v>567.26000999999997</v>
      </c>
      <c r="C535" s="14">
        <v>581.25</v>
      </c>
      <c r="D535" s="14">
        <v>564.34002699999996</v>
      </c>
      <c r="E535" s="14">
        <v>579.330017</v>
      </c>
      <c r="F535" s="14">
        <v>579.330017</v>
      </c>
      <c r="G535" s="14">
        <v>5634200</v>
      </c>
      <c r="H535" s="14">
        <f t="shared" si="8"/>
        <v>2.7941761384335129E-2</v>
      </c>
    </row>
    <row r="536" spans="1:8" x14ac:dyDescent="0.25">
      <c r="A536" s="46">
        <v>45337</v>
      </c>
      <c r="B536" s="14">
        <v>581.90997300000004</v>
      </c>
      <c r="C536" s="14">
        <v>593.77002000000005</v>
      </c>
      <c r="D536" s="14">
        <v>580.32000700000003</v>
      </c>
      <c r="E536" s="14">
        <v>593.46002199999998</v>
      </c>
      <c r="F536" s="14">
        <v>593.46002199999998</v>
      </c>
      <c r="G536" s="14">
        <v>5220900</v>
      </c>
      <c r="H536" s="14">
        <f t="shared" si="8"/>
        <v>2.8316226451185367E-2</v>
      </c>
    </row>
    <row r="537" spans="1:8" x14ac:dyDescent="0.25">
      <c r="A537" s="46">
        <v>45338</v>
      </c>
      <c r="B537" s="14">
        <v>596.95001200000002</v>
      </c>
      <c r="C537" s="14">
        <v>597</v>
      </c>
      <c r="D537" s="14">
        <v>577.46002199999998</v>
      </c>
      <c r="E537" s="14">
        <v>583.95001200000002</v>
      </c>
      <c r="F537" s="14">
        <v>583.95001200000002</v>
      </c>
      <c r="G537" s="14">
        <v>4323600</v>
      </c>
      <c r="H537" s="14">
        <f t="shared" si="8"/>
        <v>-4.9282895049318487E-3</v>
      </c>
    </row>
    <row r="538" spans="1:8" x14ac:dyDescent="0.25">
      <c r="A538" s="46">
        <v>45342</v>
      </c>
      <c r="B538" s="14">
        <v>580.17999299999997</v>
      </c>
      <c r="C538" s="14">
        <v>586</v>
      </c>
      <c r="D538" s="14">
        <v>569.65997300000004</v>
      </c>
      <c r="E538" s="14">
        <v>575.13000499999998</v>
      </c>
      <c r="F538" s="14">
        <v>575.13000499999998</v>
      </c>
      <c r="G538" s="14">
        <v>3124200</v>
      </c>
      <c r="H538" s="14">
        <f t="shared" si="8"/>
        <v>-3.3768783564379623E-3</v>
      </c>
    </row>
    <row r="539" spans="1:8" x14ac:dyDescent="0.25">
      <c r="A539" s="46">
        <v>45343</v>
      </c>
      <c r="B539" s="14">
        <v>573.51000999999997</v>
      </c>
      <c r="C539" s="14">
        <v>575.78002900000001</v>
      </c>
      <c r="D539" s="14">
        <v>567.32000700000003</v>
      </c>
      <c r="E539" s="14">
        <v>573.34997599999997</v>
      </c>
      <c r="F539" s="14">
        <v>573.34997599999997</v>
      </c>
      <c r="G539" s="14">
        <v>2281100</v>
      </c>
      <c r="H539" s="14">
        <f t="shared" si="8"/>
        <v>-4.1076538828540565E-3</v>
      </c>
    </row>
    <row r="540" spans="1:8" x14ac:dyDescent="0.25">
      <c r="A540" s="46">
        <v>45344</v>
      </c>
      <c r="B540" s="14">
        <v>582.75</v>
      </c>
      <c r="C540" s="14">
        <v>590.84997599999997</v>
      </c>
      <c r="D540" s="14">
        <v>578.89001499999995</v>
      </c>
      <c r="E540" s="14">
        <v>588.46997099999999</v>
      </c>
      <c r="F540" s="14">
        <v>588.46997099999999</v>
      </c>
      <c r="G540" s="14">
        <v>3526600</v>
      </c>
      <c r="H540" s="14">
        <f t="shared" si="8"/>
        <v>2.0394147671932705E-2</v>
      </c>
    </row>
    <row r="541" spans="1:8" x14ac:dyDescent="0.25">
      <c r="A541" s="46">
        <v>45345</v>
      </c>
      <c r="B541" s="14">
        <v>586.40002400000003</v>
      </c>
      <c r="C541" s="14">
        <v>592.42999299999997</v>
      </c>
      <c r="D541" s="14">
        <v>579.82000700000003</v>
      </c>
      <c r="E541" s="14">
        <v>583.55999799999995</v>
      </c>
      <c r="F541" s="14">
        <v>583.55999799999995</v>
      </c>
      <c r="G541" s="14">
        <v>2568900</v>
      </c>
      <c r="H541" s="14">
        <f t="shared" si="8"/>
        <v>1.6065089669927701E-3</v>
      </c>
    </row>
    <row r="542" spans="1:8" x14ac:dyDescent="0.25">
      <c r="A542" s="46">
        <v>45348</v>
      </c>
      <c r="B542" s="14">
        <v>583.55999799999995</v>
      </c>
      <c r="C542" s="14">
        <v>590.75</v>
      </c>
      <c r="D542" s="14">
        <v>583.27002000000005</v>
      </c>
      <c r="E542" s="14">
        <v>587.65002400000003</v>
      </c>
      <c r="F542" s="14">
        <v>587.65002400000003</v>
      </c>
      <c r="G542" s="14">
        <v>2393700</v>
      </c>
      <c r="H542" s="14">
        <f t="shared" si="8"/>
        <v>1.983381600237403E-3</v>
      </c>
    </row>
    <row r="543" spans="1:8" x14ac:dyDescent="0.25">
      <c r="A543" s="46">
        <v>45349</v>
      </c>
      <c r="B543" s="14">
        <v>595</v>
      </c>
      <c r="C543" s="14">
        <v>605.35998500000005</v>
      </c>
      <c r="D543" s="14">
        <v>592.330017</v>
      </c>
      <c r="E543" s="14">
        <v>601.669983</v>
      </c>
      <c r="F543" s="14">
        <v>601.669983</v>
      </c>
      <c r="G543" s="14">
        <v>4489400</v>
      </c>
      <c r="H543" s="14">
        <f t="shared" si="8"/>
        <v>1.5533109347879659E-2</v>
      </c>
    </row>
    <row r="544" spans="1:8" x14ac:dyDescent="0.25">
      <c r="A544" s="46">
        <v>45350</v>
      </c>
      <c r="B544" s="14">
        <v>595.78997800000002</v>
      </c>
      <c r="C544" s="14">
        <v>598.169983</v>
      </c>
      <c r="D544" s="14">
        <v>590.01000999999997</v>
      </c>
      <c r="E544" s="14">
        <v>596.47997999999995</v>
      </c>
      <c r="F544" s="14">
        <v>596.47997999999995</v>
      </c>
      <c r="G544" s="14">
        <v>2605200</v>
      </c>
      <c r="H544" s="14">
        <f t="shared" si="8"/>
        <v>-3.9167473087895477E-3</v>
      </c>
    </row>
    <row r="545" spans="1:8" x14ac:dyDescent="0.25">
      <c r="A545" s="46">
        <v>45351</v>
      </c>
      <c r="B545" s="14">
        <v>604.25</v>
      </c>
      <c r="C545" s="14">
        <v>604.52002000000005</v>
      </c>
      <c r="D545" s="14">
        <v>595.15997300000004</v>
      </c>
      <c r="E545" s="14">
        <v>602.919983</v>
      </c>
      <c r="F545" s="14">
        <v>602.919983</v>
      </c>
      <c r="G545" s="14">
        <v>3572100</v>
      </c>
      <c r="H545" s="14">
        <f t="shared" si="8"/>
        <v>8.7286027570956382E-3</v>
      </c>
    </row>
    <row r="546" spans="1:8" x14ac:dyDescent="0.25">
      <c r="A546" s="46">
        <v>45352</v>
      </c>
      <c r="B546" s="14">
        <v>599.80999799999995</v>
      </c>
      <c r="C546" s="14">
        <v>620.28002900000001</v>
      </c>
      <c r="D546" s="14">
        <v>599.5</v>
      </c>
      <c r="E546" s="14">
        <v>619.34002699999996</v>
      </c>
      <c r="F546" s="14">
        <v>619.34002699999996</v>
      </c>
      <c r="G546" s="14">
        <v>4264200</v>
      </c>
      <c r="H546" s="14">
        <f t="shared" si="8"/>
        <v>7.2922024277326525E-3</v>
      </c>
    </row>
    <row r="547" spans="1:8" x14ac:dyDescent="0.25">
      <c r="A547" s="46">
        <v>45355</v>
      </c>
      <c r="B547" s="14">
        <v>621.55999799999995</v>
      </c>
      <c r="C547" s="14">
        <v>624.419983</v>
      </c>
      <c r="D547" s="14">
        <v>615.080017</v>
      </c>
      <c r="E547" s="14">
        <v>615.830017</v>
      </c>
      <c r="F547" s="14">
        <v>615.830017</v>
      </c>
      <c r="G547" s="14">
        <v>3020300</v>
      </c>
      <c r="H547" s="14">
        <f t="shared" si="8"/>
        <v>8.6627839866555423E-3</v>
      </c>
    </row>
    <row r="548" spans="1:8" x14ac:dyDescent="0.25">
      <c r="A548" s="46">
        <v>45356</v>
      </c>
      <c r="B548" s="14">
        <v>610.09997599999997</v>
      </c>
      <c r="C548" s="14">
        <v>610.90997300000004</v>
      </c>
      <c r="D548" s="14">
        <v>592</v>
      </c>
      <c r="E548" s="14">
        <v>598.5</v>
      </c>
      <c r="F548" s="14">
        <v>598.5</v>
      </c>
      <c r="G548" s="14">
        <v>3849600</v>
      </c>
      <c r="H548" s="14">
        <f t="shared" si="8"/>
        <v>-3.7523600770792087E-2</v>
      </c>
    </row>
    <row r="549" spans="1:8" x14ac:dyDescent="0.25">
      <c r="A549" s="46">
        <v>45357</v>
      </c>
      <c r="B549" s="14">
        <v>602.98999000000003</v>
      </c>
      <c r="C549" s="14">
        <v>607.92999299999997</v>
      </c>
      <c r="D549" s="14">
        <v>593.55999799999995</v>
      </c>
      <c r="E549" s="14">
        <v>597.69000200000005</v>
      </c>
      <c r="F549" s="14">
        <v>597.69000200000005</v>
      </c>
      <c r="G549" s="14">
        <v>2469600</v>
      </c>
      <c r="H549" s="14">
        <f t="shared" si="8"/>
        <v>2.6351317567567811E-3</v>
      </c>
    </row>
    <row r="550" spans="1:8" x14ac:dyDescent="0.25">
      <c r="A550" s="46">
        <v>45358</v>
      </c>
      <c r="B550" s="14">
        <v>599.34002699999996</v>
      </c>
      <c r="C550" s="14">
        <v>610.53002900000001</v>
      </c>
      <c r="D550" s="14">
        <v>595.90002400000003</v>
      </c>
      <c r="E550" s="14">
        <v>608.51000999999997</v>
      </c>
      <c r="F550" s="14">
        <v>608.51000999999997</v>
      </c>
      <c r="G550" s="14">
        <v>2742800</v>
      </c>
      <c r="H550" s="14">
        <f t="shared" si="8"/>
        <v>3.9423579888886451E-3</v>
      </c>
    </row>
    <row r="551" spans="1:8" x14ac:dyDescent="0.25">
      <c r="A551" s="46">
        <v>45359</v>
      </c>
      <c r="B551" s="14">
        <v>608.27002000000005</v>
      </c>
      <c r="C551" s="14">
        <v>616.09002699999996</v>
      </c>
      <c r="D551" s="14">
        <v>600.84002699999996</v>
      </c>
      <c r="E551" s="14">
        <v>604.82000700000003</v>
      </c>
      <c r="F551" s="14">
        <v>604.82000700000003</v>
      </c>
      <c r="G551" s="14">
        <v>2774600</v>
      </c>
      <c r="H551" s="14">
        <f t="shared" si="8"/>
        <v>8.2899862410474867E-3</v>
      </c>
    </row>
    <row r="552" spans="1:8" x14ac:dyDescent="0.25">
      <c r="A552" s="46">
        <v>45362</v>
      </c>
      <c r="B552" s="14">
        <v>608.080017</v>
      </c>
      <c r="C552" s="14">
        <v>611</v>
      </c>
      <c r="D552" s="14">
        <v>600.36999500000002</v>
      </c>
      <c r="E552" s="14">
        <v>600.92999299999997</v>
      </c>
      <c r="F552" s="14">
        <v>600.92999299999997</v>
      </c>
      <c r="G552" s="14">
        <v>2500900</v>
      </c>
      <c r="H552" s="14">
        <f t="shared" si="8"/>
        <v>-2.6076380782354597E-4</v>
      </c>
    </row>
    <row r="553" spans="1:8" x14ac:dyDescent="0.25">
      <c r="A553" s="46">
        <v>45363</v>
      </c>
      <c r="B553" s="14">
        <v>600.21002199999998</v>
      </c>
      <c r="C553" s="14">
        <v>615.29998799999998</v>
      </c>
      <c r="D553" s="14">
        <v>596.27002000000005</v>
      </c>
      <c r="E553" s="14">
        <v>611.080017</v>
      </c>
      <c r="F553" s="14">
        <v>611.080017</v>
      </c>
      <c r="G553" s="14">
        <v>2821600</v>
      </c>
      <c r="H553" s="14">
        <f t="shared" si="8"/>
        <v>-6.8290804572935793E-3</v>
      </c>
    </row>
    <row r="554" spans="1:8" x14ac:dyDescent="0.25">
      <c r="A554" s="46">
        <v>45364</v>
      </c>
      <c r="B554" s="14">
        <v>613.36999500000002</v>
      </c>
      <c r="C554" s="14">
        <v>614.84997599999997</v>
      </c>
      <c r="D554" s="14">
        <v>607.21002199999998</v>
      </c>
      <c r="E554" s="14">
        <v>609.45001200000002</v>
      </c>
      <c r="F554" s="14">
        <v>609.45001200000002</v>
      </c>
      <c r="G554" s="14">
        <v>2192100</v>
      </c>
      <c r="H554" s="14">
        <f t="shared" si="8"/>
        <v>1.8347395698344648E-2</v>
      </c>
    </row>
    <row r="555" spans="1:8" x14ac:dyDescent="0.25">
      <c r="A555" s="46">
        <v>45365</v>
      </c>
      <c r="B555" s="14">
        <v>615</v>
      </c>
      <c r="C555" s="14">
        <v>620.79998799999998</v>
      </c>
      <c r="D555" s="14">
        <v>607.34997599999997</v>
      </c>
      <c r="E555" s="14">
        <v>613.01000999999997</v>
      </c>
      <c r="F555" s="14">
        <v>613.01000999999997</v>
      </c>
      <c r="G555" s="14">
        <v>3120500</v>
      </c>
      <c r="H555" s="14">
        <f t="shared" si="8"/>
        <v>2.3048697308891697E-4</v>
      </c>
    </row>
    <row r="556" spans="1:8" x14ac:dyDescent="0.25">
      <c r="A556" s="46">
        <v>45366</v>
      </c>
      <c r="B556" s="14">
        <v>622.919983</v>
      </c>
      <c r="C556" s="14">
        <v>622.919983</v>
      </c>
      <c r="D556" s="14">
        <v>603.82000700000003</v>
      </c>
      <c r="E556" s="14">
        <v>605.88000499999998</v>
      </c>
      <c r="F556" s="14">
        <v>605.88000499999998</v>
      </c>
      <c r="G556" s="14">
        <v>6670900</v>
      </c>
      <c r="H556" s="14">
        <f t="shared" si="8"/>
        <v>-5.8120838717213852E-3</v>
      </c>
    </row>
    <row r="557" spans="1:8" x14ac:dyDescent="0.25">
      <c r="A557" s="46">
        <v>45369</v>
      </c>
      <c r="B557" s="14">
        <v>613.55999799999995</v>
      </c>
      <c r="C557" s="14">
        <v>627.40997300000004</v>
      </c>
      <c r="D557" s="14">
        <v>610.45001200000002</v>
      </c>
      <c r="E557" s="14">
        <v>618.39001499999995</v>
      </c>
      <c r="F557" s="14">
        <v>618.39001499999995</v>
      </c>
      <c r="G557" s="14">
        <v>3344200</v>
      </c>
      <c r="H557" s="14">
        <f t="shared" si="8"/>
        <v>3.6600338528807175E-3</v>
      </c>
    </row>
    <row r="558" spans="1:8" x14ac:dyDescent="0.25">
      <c r="A558" s="46">
        <v>45370</v>
      </c>
      <c r="B558" s="14">
        <v>615.61999500000002</v>
      </c>
      <c r="C558" s="14">
        <v>621.28002900000001</v>
      </c>
      <c r="D558" s="14">
        <v>608</v>
      </c>
      <c r="E558" s="14">
        <v>620.73999000000003</v>
      </c>
      <c r="F558" s="14">
        <v>620.73999000000003</v>
      </c>
      <c r="G558" s="14">
        <v>2142600</v>
      </c>
      <c r="H558" s="14">
        <f t="shared" si="8"/>
        <v>-4.0134522923066518E-3</v>
      </c>
    </row>
    <row r="559" spans="1:8" x14ac:dyDescent="0.25">
      <c r="A559" s="46">
        <v>45371</v>
      </c>
      <c r="B559" s="14">
        <v>619.95001200000002</v>
      </c>
      <c r="C559" s="14">
        <v>629.51000999999997</v>
      </c>
      <c r="D559" s="14">
        <v>618.34002699999996</v>
      </c>
      <c r="E559" s="14">
        <v>627.69000200000005</v>
      </c>
      <c r="F559" s="14">
        <v>627.69000200000005</v>
      </c>
      <c r="G559" s="14">
        <v>2639500</v>
      </c>
      <c r="H559" s="14">
        <f t="shared" si="8"/>
        <v>1.700662335526304E-2</v>
      </c>
    </row>
    <row r="560" spans="1:8" x14ac:dyDescent="0.25">
      <c r="A560" s="46">
        <v>45372</v>
      </c>
      <c r="B560" s="14">
        <v>630.65002400000003</v>
      </c>
      <c r="C560" s="14">
        <v>634.35998500000005</v>
      </c>
      <c r="D560" s="14">
        <v>622.330017</v>
      </c>
      <c r="E560" s="14">
        <v>622.71002199999998</v>
      </c>
      <c r="F560" s="14">
        <v>622.71002199999998</v>
      </c>
      <c r="G560" s="14">
        <v>2507700</v>
      </c>
      <c r="H560" s="14">
        <f t="shared" si="8"/>
        <v>6.4527441630428672E-3</v>
      </c>
    </row>
    <row r="561" spans="1:8" x14ac:dyDescent="0.25">
      <c r="A561" s="46">
        <v>45373</v>
      </c>
      <c r="B561" s="14">
        <v>624.15997300000004</v>
      </c>
      <c r="C561" s="14">
        <v>629.04998799999998</v>
      </c>
      <c r="D561" s="14">
        <v>621</v>
      </c>
      <c r="E561" s="14">
        <v>628.01000999999997</v>
      </c>
      <c r="F561" s="14">
        <v>628.01000999999997</v>
      </c>
      <c r="G561" s="14">
        <v>2134100</v>
      </c>
      <c r="H561" s="14">
        <f t="shared" si="8"/>
        <v>-2.1371570769018744E-3</v>
      </c>
    </row>
    <row r="562" spans="1:8" x14ac:dyDescent="0.25">
      <c r="A562" s="46">
        <v>45376</v>
      </c>
      <c r="B562" s="14">
        <v>627.90002400000003</v>
      </c>
      <c r="C562" s="14">
        <v>630.46002199999998</v>
      </c>
      <c r="D562" s="14">
        <v>623.15997300000004</v>
      </c>
      <c r="E562" s="14">
        <v>627.46002199999998</v>
      </c>
      <c r="F562" s="14">
        <v>627.46002199999998</v>
      </c>
      <c r="G562" s="14">
        <v>1803300</v>
      </c>
      <c r="H562" s="14">
        <f t="shared" si="8"/>
        <v>1.1594057971014611E-3</v>
      </c>
    </row>
    <row r="563" spans="1:8" x14ac:dyDescent="0.25">
      <c r="A563" s="46">
        <v>45377</v>
      </c>
      <c r="B563" s="14">
        <v>625.20001200000002</v>
      </c>
      <c r="C563" s="14">
        <v>634.39001499999995</v>
      </c>
      <c r="D563" s="14">
        <v>619.17999299999997</v>
      </c>
      <c r="E563" s="14">
        <v>629.23999000000003</v>
      </c>
      <c r="F563" s="14">
        <v>629.23999000000003</v>
      </c>
      <c r="G563" s="14">
        <v>2804500</v>
      </c>
      <c r="H563" s="14">
        <f t="shared" si="8"/>
        <v>-6.3867709295251096E-3</v>
      </c>
    </row>
    <row r="564" spans="1:8" x14ac:dyDescent="0.25">
      <c r="A564" s="46">
        <v>45378</v>
      </c>
      <c r="B564" s="14">
        <v>629.01000999999997</v>
      </c>
      <c r="C564" s="14">
        <v>631.34997599999997</v>
      </c>
      <c r="D564" s="14">
        <v>610.72997999999995</v>
      </c>
      <c r="E564" s="14">
        <v>613.53002900000001</v>
      </c>
      <c r="F564" s="14">
        <v>613.53002900000001</v>
      </c>
      <c r="G564" s="14">
        <v>2628300</v>
      </c>
      <c r="H564" s="14">
        <f t="shared" si="8"/>
        <v>-1.3647102773877928E-2</v>
      </c>
    </row>
    <row r="565" spans="1:8" x14ac:dyDescent="0.25">
      <c r="A565" s="46">
        <v>45379</v>
      </c>
      <c r="B565" s="14">
        <v>614.98999000000003</v>
      </c>
      <c r="C565" s="14">
        <v>615</v>
      </c>
      <c r="D565" s="14">
        <v>601.59002699999996</v>
      </c>
      <c r="E565" s="14">
        <v>607.330017</v>
      </c>
      <c r="F565" s="14">
        <v>607.330017</v>
      </c>
      <c r="G565" s="14">
        <v>3708800</v>
      </c>
      <c r="H565" s="14">
        <f t="shared" si="8"/>
        <v>-1.496562032209392E-2</v>
      </c>
    </row>
    <row r="566" spans="1:8" x14ac:dyDescent="0.25">
      <c r="A566" s="46">
        <v>45383</v>
      </c>
      <c r="B566" s="14">
        <v>608</v>
      </c>
      <c r="C566" s="14">
        <v>615.10998500000005</v>
      </c>
      <c r="D566" s="14">
        <v>605.57000700000003</v>
      </c>
      <c r="E566" s="14">
        <v>614.30999799999995</v>
      </c>
      <c r="F566" s="14">
        <v>614.30999799999995</v>
      </c>
      <c r="G566" s="14">
        <v>2115900</v>
      </c>
      <c r="H566" s="14">
        <f t="shared" si="8"/>
        <v>1.6539419793274446E-3</v>
      </c>
    </row>
    <row r="567" spans="1:8" x14ac:dyDescent="0.25">
      <c r="A567" s="46">
        <v>45384</v>
      </c>
      <c r="B567" s="14">
        <v>611</v>
      </c>
      <c r="C567" s="14">
        <v>615.03002900000001</v>
      </c>
      <c r="D567" s="14">
        <v>605.51000999999997</v>
      </c>
      <c r="E567" s="14">
        <v>614.21002199999998</v>
      </c>
      <c r="F567" s="14">
        <v>614.21002199999998</v>
      </c>
      <c r="G567" s="14">
        <v>2029200</v>
      </c>
      <c r="H567" s="14">
        <f t="shared" si="8"/>
        <v>-9.9075250270863613E-5</v>
      </c>
    </row>
    <row r="568" spans="1:8" x14ac:dyDescent="0.25">
      <c r="A568" s="46">
        <v>45385</v>
      </c>
      <c r="B568" s="14">
        <v>612.75</v>
      </c>
      <c r="C568" s="14">
        <v>630.40997300000004</v>
      </c>
      <c r="D568" s="14">
        <v>611.5</v>
      </c>
      <c r="E568" s="14">
        <v>630.080017</v>
      </c>
      <c r="F568" s="14">
        <v>630.080017</v>
      </c>
      <c r="G568" s="14">
        <v>2931200</v>
      </c>
      <c r="H568" s="14">
        <f t="shared" si="8"/>
        <v>9.8924706463565659E-3</v>
      </c>
    </row>
    <row r="569" spans="1:8" x14ac:dyDescent="0.25">
      <c r="A569" s="46">
        <v>45386</v>
      </c>
      <c r="B569" s="14">
        <v>633.21002199999998</v>
      </c>
      <c r="C569" s="14">
        <v>638</v>
      </c>
      <c r="D569" s="14">
        <v>616.580017</v>
      </c>
      <c r="E569" s="14">
        <v>617.14001499999995</v>
      </c>
      <c r="F569" s="14">
        <v>617.14001499999995</v>
      </c>
      <c r="G569" s="14">
        <v>3064300</v>
      </c>
      <c r="H569" s="14">
        <f t="shared" si="8"/>
        <v>8.3074685200326126E-3</v>
      </c>
    </row>
    <row r="570" spans="1:8" x14ac:dyDescent="0.25">
      <c r="A570" s="46">
        <v>45387</v>
      </c>
      <c r="B570" s="14">
        <v>624.919983</v>
      </c>
      <c r="C570" s="14">
        <v>637.90997300000004</v>
      </c>
      <c r="D570" s="14">
        <v>622.71002199999998</v>
      </c>
      <c r="E570" s="14">
        <v>636.17999299999997</v>
      </c>
      <c r="F570" s="14">
        <v>636.17999299999997</v>
      </c>
      <c r="G570" s="14">
        <v>3372800</v>
      </c>
      <c r="H570" s="14">
        <f t="shared" si="8"/>
        <v>9.9419456209850487E-3</v>
      </c>
    </row>
  </sheetData>
  <pageMargins left="0.7" right="0.7" top="0.75" bottom="0.75" header="0.3" footer="0.3"/>
  <ignoredErrors>
    <ignoredError sqref="H3" calculatedColumn="1"/>
  </ignoredErrors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D561-EB17-45FB-B9D8-967B1EB89DF0}">
  <sheetPr codeName="Arkusz5">
    <tabColor theme="0" tint="-0.14999847407452621"/>
  </sheetPr>
  <dimension ref="A1:H570"/>
  <sheetViews>
    <sheetView workbookViewId="0">
      <selection activeCell="L14" sqref="L14"/>
    </sheetView>
  </sheetViews>
  <sheetFormatPr defaultRowHeight="15" x14ac:dyDescent="0.25"/>
  <cols>
    <col min="1" max="1" width="10.140625" bestFit="1" customWidth="1"/>
    <col min="2" max="5" width="10.5703125" bestFit="1" customWidth="1"/>
    <col min="6" max="6" width="11" bestFit="1" customWidth="1"/>
    <col min="7" max="7" width="10" bestFit="1" customWidth="1"/>
  </cols>
  <sheetData>
    <row r="1" spans="1:8" x14ac:dyDescent="0.25">
      <c r="A1" s="34" t="s">
        <v>32</v>
      </c>
      <c r="B1" s="34" t="s">
        <v>33</v>
      </c>
      <c r="C1" s="34" t="s">
        <v>34</v>
      </c>
      <c r="D1" s="34" t="s">
        <v>35</v>
      </c>
      <c r="E1" s="34" t="s">
        <v>36</v>
      </c>
      <c r="F1" s="34" t="s">
        <v>37</v>
      </c>
      <c r="G1" s="34" t="s">
        <v>38</v>
      </c>
      <c r="H1" s="34" t="s">
        <v>39</v>
      </c>
    </row>
    <row r="2" spans="1:8" x14ac:dyDescent="0.25">
      <c r="A2" s="46">
        <v>44560</v>
      </c>
      <c r="B2" s="14">
        <v>344</v>
      </c>
      <c r="C2" s="14">
        <v>347.23001099999999</v>
      </c>
      <c r="D2" s="14">
        <v>343.22000100000002</v>
      </c>
      <c r="E2" s="14">
        <v>344.35998499999999</v>
      </c>
      <c r="F2" s="14">
        <v>343.99499500000002</v>
      </c>
      <c r="G2" s="14">
        <v>10593300</v>
      </c>
      <c r="H2" s="14">
        <v>0</v>
      </c>
    </row>
    <row r="3" spans="1:8" x14ac:dyDescent="0.25">
      <c r="A3" s="46">
        <v>44561</v>
      </c>
      <c r="B3" s="14">
        <v>343.01998900000001</v>
      </c>
      <c r="C3" s="14">
        <v>343.44000199999999</v>
      </c>
      <c r="D3" s="14">
        <v>336.26998900000001</v>
      </c>
      <c r="E3" s="14">
        <v>336.35000600000001</v>
      </c>
      <c r="F3" s="14">
        <v>335.99349999999998</v>
      </c>
      <c r="G3" s="14">
        <v>12870500</v>
      </c>
      <c r="H3" s="14">
        <f>(D3/D2-1)/(A3-A2)</f>
        <v>-2.0249437619458632E-2</v>
      </c>
    </row>
    <row r="4" spans="1:8" x14ac:dyDescent="0.25">
      <c r="A4" s="46">
        <v>44564</v>
      </c>
      <c r="B4" s="14">
        <v>338.29998799999998</v>
      </c>
      <c r="C4" s="14">
        <v>341.07998700000002</v>
      </c>
      <c r="D4" s="14">
        <v>337.19000199999999</v>
      </c>
      <c r="E4" s="14">
        <v>338.540009</v>
      </c>
      <c r="F4" s="14">
        <v>338.18118299999998</v>
      </c>
      <c r="G4" s="14">
        <v>14537900</v>
      </c>
      <c r="H4" s="14">
        <f t="shared" ref="H4:H67" si="0">(D4/D3-1)/(A4-A3)</f>
        <v>9.1197849951455778E-4</v>
      </c>
    </row>
    <row r="5" spans="1:8" x14ac:dyDescent="0.25">
      <c r="A5" s="46">
        <v>44565</v>
      </c>
      <c r="B5" s="14">
        <v>339.95001200000002</v>
      </c>
      <c r="C5" s="14">
        <v>343.08999599999999</v>
      </c>
      <c r="D5" s="14">
        <v>331.86999500000002</v>
      </c>
      <c r="E5" s="14">
        <v>336.52999899999998</v>
      </c>
      <c r="F5" s="14">
        <v>336.17330900000002</v>
      </c>
      <c r="G5" s="14">
        <v>15998000</v>
      </c>
      <c r="H5" s="14">
        <f t="shared" si="0"/>
        <v>-1.5777475513642281E-2</v>
      </c>
    </row>
    <row r="6" spans="1:8" x14ac:dyDescent="0.25">
      <c r="A6" s="46">
        <v>44566</v>
      </c>
      <c r="B6" s="14">
        <v>333.01998900000001</v>
      </c>
      <c r="C6" s="14">
        <v>335.76001000000002</v>
      </c>
      <c r="D6" s="14">
        <v>323.83999599999999</v>
      </c>
      <c r="E6" s="14">
        <v>324.17001299999998</v>
      </c>
      <c r="F6" s="14">
        <v>323.82641599999999</v>
      </c>
      <c r="G6" s="14">
        <v>20564500</v>
      </c>
      <c r="H6" s="14">
        <f t="shared" si="0"/>
        <v>-2.4196218763314348E-2</v>
      </c>
    </row>
    <row r="7" spans="1:8" x14ac:dyDescent="0.25">
      <c r="A7" s="46">
        <v>44567</v>
      </c>
      <c r="B7" s="14">
        <v>322.82000699999998</v>
      </c>
      <c r="C7" s="14">
        <v>339.17001299999998</v>
      </c>
      <c r="D7" s="14">
        <v>322.72000100000002</v>
      </c>
      <c r="E7" s="14">
        <v>332.459991</v>
      </c>
      <c r="F7" s="14">
        <v>332.10763500000002</v>
      </c>
      <c r="G7" s="14">
        <v>27962800</v>
      </c>
      <c r="H7" s="14">
        <f t="shared" si="0"/>
        <v>-3.4584826267103352E-3</v>
      </c>
    </row>
    <row r="8" spans="1:8" x14ac:dyDescent="0.25">
      <c r="A8" s="46">
        <v>44568</v>
      </c>
      <c r="B8" s="14">
        <v>332.73998999999998</v>
      </c>
      <c r="C8" s="14">
        <v>337</v>
      </c>
      <c r="D8" s="14">
        <v>328.88000499999998</v>
      </c>
      <c r="E8" s="14">
        <v>331.790009</v>
      </c>
      <c r="F8" s="14">
        <v>331.438354</v>
      </c>
      <c r="G8" s="14">
        <v>14722000</v>
      </c>
      <c r="H8" s="14">
        <f t="shared" si="0"/>
        <v>1.9087766425731845E-2</v>
      </c>
    </row>
    <row r="9" spans="1:8" x14ac:dyDescent="0.25">
      <c r="A9" s="46">
        <v>44571</v>
      </c>
      <c r="B9" s="14">
        <v>325.30999800000001</v>
      </c>
      <c r="C9" s="14">
        <v>328.33999599999999</v>
      </c>
      <c r="D9" s="14">
        <v>315.42999300000002</v>
      </c>
      <c r="E9" s="14">
        <v>328.07000699999998</v>
      </c>
      <c r="F9" s="14">
        <v>327.72228999999999</v>
      </c>
      <c r="G9" s="14">
        <v>24942400</v>
      </c>
      <c r="H9" s="14">
        <f t="shared" si="0"/>
        <v>-1.3632137147812676E-2</v>
      </c>
    </row>
    <row r="10" spans="1:8" x14ac:dyDescent="0.25">
      <c r="A10" s="46">
        <v>44572</v>
      </c>
      <c r="B10" s="14">
        <v>326.77999899999998</v>
      </c>
      <c r="C10" s="14">
        <v>334.63000499999998</v>
      </c>
      <c r="D10" s="14">
        <v>325.27999899999998</v>
      </c>
      <c r="E10" s="14">
        <v>334.36999500000002</v>
      </c>
      <c r="F10" s="14">
        <v>334.01559400000002</v>
      </c>
      <c r="G10" s="14">
        <v>16226800</v>
      </c>
      <c r="H10" s="14">
        <f t="shared" si="0"/>
        <v>3.1227233359511164E-2</v>
      </c>
    </row>
    <row r="11" spans="1:8" x14ac:dyDescent="0.25">
      <c r="A11" s="46">
        <v>44573</v>
      </c>
      <c r="B11" s="14">
        <v>335.17999300000002</v>
      </c>
      <c r="C11" s="14">
        <v>336.36999500000002</v>
      </c>
      <c r="D11" s="14">
        <v>330.02999899999998</v>
      </c>
      <c r="E11" s="14">
        <v>333.26001000000002</v>
      </c>
      <c r="F11" s="14">
        <v>332.90679899999998</v>
      </c>
      <c r="G11" s="14">
        <v>14104900</v>
      </c>
      <c r="H11" s="14">
        <f t="shared" si="0"/>
        <v>1.4602803783210883E-2</v>
      </c>
    </row>
    <row r="12" spans="1:8" x14ac:dyDescent="0.25">
      <c r="A12" s="46">
        <v>44574</v>
      </c>
      <c r="B12" s="14">
        <v>334.98001099999999</v>
      </c>
      <c r="C12" s="14">
        <v>335.63000499999998</v>
      </c>
      <c r="D12" s="14">
        <v>325.76001000000002</v>
      </c>
      <c r="E12" s="14">
        <v>326.48001099999999</v>
      </c>
      <c r="F12" s="14">
        <v>326.13397200000003</v>
      </c>
      <c r="G12" s="14">
        <v>14797100</v>
      </c>
      <c r="H12" s="14">
        <f t="shared" si="0"/>
        <v>-1.2938184446681045E-2</v>
      </c>
    </row>
    <row r="13" spans="1:8" x14ac:dyDescent="0.25">
      <c r="A13" s="46">
        <v>44575</v>
      </c>
      <c r="B13" s="14">
        <v>321.790009</v>
      </c>
      <c r="C13" s="14">
        <v>332.73001099999999</v>
      </c>
      <c r="D13" s="14">
        <v>321.209991</v>
      </c>
      <c r="E13" s="14">
        <v>331.89999399999999</v>
      </c>
      <c r="F13" s="14">
        <v>331.54821800000002</v>
      </c>
      <c r="G13" s="14">
        <v>16868500</v>
      </c>
      <c r="H13" s="14">
        <f t="shared" si="0"/>
        <v>-1.3967395813869299E-2</v>
      </c>
    </row>
    <row r="14" spans="1:8" x14ac:dyDescent="0.25">
      <c r="A14" s="46">
        <v>44579</v>
      </c>
      <c r="B14" s="14">
        <v>323.290009</v>
      </c>
      <c r="C14" s="14">
        <v>324.209991</v>
      </c>
      <c r="D14" s="14">
        <v>317.64001500000001</v>
      </c>
      <c r="E14" s="14">
        <v>318.14999399999999</v>
      </c>
      <c r="F14" s="14">
        <v>317.81280500000003</v>
      </c>
      <c r="G14" s="14">
        <v>22645600</v>
      </c>
      <c r="H14" s="14">
        <f t="shared" si="0"/>
        <v>-2.7785374832876852E-3</v>
      </c>
    </row>
    <row r="15" spans="1:8" x14ac:dyDescent="0.25">
      <c r="A15" s="46">
        <v>44580</v>
      </c>
      <c r="B15" s="14">
        <v>319.57998700000002</v>
      </c>
      <c r="C15" s="14">
        <v>327.10000600000001</v>
      </c>
      <c r="D15" s="14">
        <v>319.32998700000002</v>
      </c>
      <c r="E15" s="14">
        <v>319.58999599999999</v>
      </c>
      <c r="F15" s="14">
        <v>319.25125100000002</v>
      </c>
      <c r="G15" s="14">
        <v>20814700</v>
      </c>
      <c r="H15" s="14">
        <f t="shared" si="0"/>
        <v>5.3204002020967867E-3</v>
      </c>
    </row>
    <row r="16" spans="1:8" x14ac:dyDescent="0.25">
      <c r="A16" s="46">
        <v>44581</v>
      </c>
      <c r="B16" s="14">
        <v>323.89999399999999</v>
      </c>
      <c r="C16" s="14">
        <v>327.82000699999998</v>
      </c>
      <c r="D16" s="14">
        <v>315.98001099999999</v>
      </c>
      <c r="E16" s="14">
        <v>316.55999800000001</v>
      </c>
      <c r="F16" s="14">
        <v>316.22448700000001</v>
      </c>
      <c r="G16" s="14">
        <v>16925000</v>
      </c>
      <c r="H16" s="14">
        <f t="shared" si="0"/>
        <v>-1.0490640204109725E-2</v>
      </c>
    </row>
    <row r="17" spans="1:8" x14ac:dyDescent="0.25">
      <c r="A17" s="46">
        <v>44582</v>
      </c>
      <c r="B17" s="14">
        <v>314.80999800000001</v>
      </c>
      <c r="C17" s="14">
        <v>318.30999800000001</v>
      </c>
      <c r="D17" s="14">
        <v>303.040009</v>
      </c>
      <c r="E17" s="14">
        <v>303.17001299999998</v>
      </c>
      <c r="F17" s="14">
        <v>302.84869400000002</v>
      </c>
      <c r="G17" s="14">
        <v>28710700</v>
      </c>
      <c r="H17" s="14">
        <f t="shared" si="0"/>
        <v>-4.0951963888627096E-2</v>
      </c>
    </row>
    <row r="18" spans="1:8" x14ac:dyDescent="0.25">
      <c r="A18" s="46">
        <v>44585</v>
      </c>
      <c r="B18" s="14">
        <v>297.83999599999999</v>
      </c>
      <c r="C18" s="14">
        <v>309.52999899999998</v>
      </c>
      <c r="D18" s="14">
        <v>289.01001000000002</v>
      </c>
      <c r="E18" s="14">
        <v>308.709991</v>
      </c>
      <c r="F18" s="14">
        <v>308.38278200000002</v>
      </c>
      <c r="G18" s="14">
        <v>38878100</v>
      </c>
      <c r="H18" s="14">
        <f t="shared" si="0"/>
        <v>-1.5432504601507321E-2</v>
      </c>
    </row>
    <row r="19" spans="1:8" x14ac:dyDescent="0.25">
      <c r="A19" s="46">
        <v>44586</v>
      </c>
      <c r="B19" s="14">
        <v>299.95001200000002</v>
      </c>
      <c r="C19" s="14">
        <v>306.23001099999999</v>
      </c>
      <c r="D19" s="14">
        <v>297.57998700000002</v>
      </c>
      <c r="E19" s="14">
        <v>300.14999399999999</v>
      </c>
      <c r="F19" s="14">
        <v>299.83187900000001</v>
      </c>
      <c r="G19" s="14">
        <v>25108500</v>
      </c>
      <c r="H19" s="14">
        <f t="shared" si="0"/>
        <v>2.9652872576974021E-2</v>
      </c>
    </row>
    <row r="20" spans="1:8" x14ac:dyDescent="0.25">
      <c r="A20" s="46">
        <v>44587</v>
      </c>
      <c r="B20" s="14">
        <v>307.01001000000002</v>
      </c>
      <c r="C20" s="14">
        <v>307.51001000000002</v>
      </c>
      <c r="D20" s="14">
        <v>290.85000600000001</v>
      </c>
      <c r="E20" s="14">
        <v>294.63000499999998</v>
      </c>
      <c r="F20" s="14">
        <v>294.31771900000001</v>
      </c>
      <c r="G20" s="14">
        <v>28348800</v>
      </c>
      <c r="H20" s="14">
        <f t="shared" si="0"/>
        <v>-2.2615704328261876E-2</v>
      </c>
    </row>
    <row r="21" spans="1:8" x14ac:dyDescent="0.25">
      <c r="A21" s="46">
        <v>44588</v>
      </c>
      <c r="B21" s="14">
        <v>297.75</v>
      </c>
      <c r="C21" s="14">
        <v>301.709991</v>
      </c>
      <c r="D21" s="14">
        <v>294.26001000000002</v>
      </c>
      <c r="E21" s="14">
        <v>294.64001500000001</v>
      </c>
      <c r="F21" s="14">
        <v>294.32772799999998</v>
      </c>
      <c r="G21" s="14">
        <v>21629900</v>
      </c>
      <c r="H21" s="14">
        <f t="shared" si="0"/>
        <v>1.172427000053089E-2</v>
      </c>
    </row>
    <row r="22" spans="1:8" x14ac:dyDescent="0.25">
      <c r="A22" s="46">
        <v>44589</v>
      </c>
      <c r="B22" s="14">
        <v>295.61999500000002</v>
      </c>
      <c r="C22" s="14">
        <v>301.89999399999999</v>
      </c>
      <c r="D22" s="14">
        <v>293.02999899999998</v>
      </c>
      <c r="E22" s="14">
        <v>301.709991</v>
      </c>
      <c r="F22" s="14">
        <v>301.390198</v>
      </c>
      <c r="G22" s="14">
        <v>21871600</v>
      </c>
      <c r="H22" s="14">
        <f t="shared" si="0"/>
        <v>-4.1800141310402994E-3</v>
      </c>
    </row>
    <row r="23" spans="1:8" x14ac:dyDescent="0.25">
      <c r="A23" s="46">
        <v>44592</v>
      </c>
      <c r="B23" s="14">
        <v>300.67999300000002</v>
      </c>
      <c r="C23" s="14">
        <v>313.790009</v>
      </c>
      <c r="D23" s="14">
        <v>299.32000699999998</v>
      </c>
      <c r="E23" s="14">
        <v>313.26001000000002</v>
      </c>
      <c r="F23" s="14">
        <v>312.92797899999999</v>
      </c>
      <c r="G23" s="14">
        <v>21579500</v>
      </c>
      <c r="H23" s="14">
        <f t="shared" si="0"/>
        <v>7.15513544854951E-3</v>
      </c>
    </row>
    <row r="24" spans="1:8" x14ac:dyDescent="0.25">
      <c r="A24" s="46">
        <v>44593</v>
      </c>
      <c r="B24" s="14">
        <v>314.55999800000001</v>
      </c>
      <c r="C24" s="14">
        <v>319.66000400000001</v>
      </c>
      <c r="D24" s="14">
        <v>312.11999500000002</v>
      </c>
      <c r="E24" s="14">
        <v>319</v>
      </c>
      <c r="F24" s="14">
        <v>318.66189600000001</v>
      </c>
      <c r="G24" s="14">
        <v>18023800</v>
      </c>
      <c r="H24" s="14">
        <f t="shared" si="0"/>
        <v>4.2763556396683056E-2</v>
      </c>
    </row>
    <row r="25" spans="1:8" x14ac:dyDescent="0.25">
      <c r="A25" s="46">
        <v>44594</v>
      </c>
      <c r="B25" s="14">
        <v>327.82000699999998</v>
      </c>
      <c r="C25" s="14">
        <v>328</v>
      </c>
      <c r="D25" s="14">
        <v>316.86999500000002</v>
      </c>
      <c r="E25" s="14">
        <v>323</v>
      </c>
      <c r="F25" s="14">
        <v>322.65765399999998</v>
      </c>
      <c r="G25" s="14">
        <v>58458300</v>
      </c>
      <c r="H25" s="14">
        <f t="shared" si="0"/>
        <v>1.5218505946727356E-2</v>
      </c>
    </row>
    <row r="26" spans="1:8" x14ac:dyDescent="0.25">
      <c r="A26" s="46">
        <v>44595</v>
      </c>
      <c r="B26" s="14">
        <v>244.64999399999999</v>
      </c>
      <c r="C26" s="14">
        <v>248</v>
      </c>
      <c r="D26" s="14">
        <v>235.75</v>
      </c>
      <c r="E26" s="14">
        <v>237.759995</v>
      </c>
      <c r="F26" s="14">
        <v>237.50799599999999</v>
      </c>
      <c r="G26" s="14">
        <v>188119900</v>
      </c>
      <c r="H26" s="14">
        <f t="shared" si="0"/>
        <v>-0.25600402777170495</v>
      </c>
    </row>
    <row r="27" spans="1:8" x14ac:dyDescent="0.25">
      <c r="A27" s="46">
        <v>44596</v>
      </c>
      <c r="B27" s="14">
        <v>234.970001</v>
      </c>
      <c r="C27" s="14">
        <v>242.61000100000001</v>
      </c>
      <c r="D27" s="14">
        <v>230.11000100000001</v>
      </c>
      <c r="E27" s="14">
        <v>237.08999600000001</v>
      </c>
      <c r="F27" s="14">
        <v>236.83871500000001</v>
      </c>
      <c r="G27" s="14">
        <v>89342200</v>
      </c>
      <c r="H27" s="14">
        <f t="shared" si="0"/>
        <v>-2.3923643690349938E-2</v>
      </c>
    </row>
    <row r="28" spans="1:8" x14ac:dyDescent="0.25">
      <c r="A28" s="46">
        <v>44599</v>
      </c>
      <c r="B28" s="14">
        <v>237.699997</v>
      </c>
      <c r="C28" s="14">
        <v>238.300003</v>
      </c>
      <c r="D28" s="14">
        <v>224.009995</v>
      </c>
      <c r="E28" s="14">
        <v>224.91000399999999</v>
      </c>
      <c r="F28" s="14">
        <v>224.67163099999999</v>
      </c>
      <c r="G28" s="14">
        <v>88613800</v>
      </c>
      <c r="H28" s="14">
        <f t="shared" si="0"/>
        <v>-8.8363622810698015E-3</v>
      </c>
    </row>
    <row r="29" spans="1:8" x14ac:dyDescent="0.25">
      <c r="A29" s="46">
        <v>44600</v>
      </c>
      <c r="B29" s="14">
        <v>220.85000600000001</v>
      </c>
      <c r="C29" s="14">
        <v>225.770004</v>
      </c>
      <c r="D29" s="14">
        <v>216.14999399999999</v>
      </c>
      <c r="E29" s="14">
        <v>220.179993</v>
      </c>
      <c r="F29" s="14">
        <v>219.94662500000001</v>
      </c>
      <c r="G29" s="14">
        <v>94729700</v>
      </c>
      <c r="H29" s="14">
        <f t="shared" si="0"/>
        <v>-3.5087724545505239E-2</v>
      </c>
    </row>
    <row r="30" spans="1:8" x14ac:dyDescent="0.25">
      <c r="A30" s="46">
        <v>44601</v>
      </c>
      <c r="B30" s="14">
        <v>224.199997</v>
      </c>
      <c r="C30" s="14">
        <v>233.36999499999999</v>
      </c>
      <c r="D30" s="14">
        <v>222.21000699999999</v>
      </c>
      <c r="E30" s="14">
        <v>232</v>
      </c>
      <c r="F30" s="14">
        <v>231.75410500000001</v>
      </c>
      <c r="G30" s="14">
        <v>86563300</v>
      </c>
      <c r="H30" s="14">
        <f t="shared" si="0"/>
        <v>2.8036146973013487E-2</v>
      </c>
    </row>
    <row r="31" spans="1:8" x14ac:dyDescent="0.25">
      <c r="A31" s="46">
        <v>44602</v>
      </c>
      <c r="B31" s="14">
        <v>228.270004</v>
      </c>
      <c r="C31" s="14">
        <v>235</v>
      </c>
      <c r="D31" s="14">
        <v>226.699997</v>
      </c>
      <c r="E31" s="14">
        <v>228.070007</v>
      </c>
      <c r="F31" s="14">
        <v>227.82827800000001</v>
      </c>
      <c r="G31" s="14">
        <v>49310400</v>
      </c>
      <c r="H31" s="14">
        <f t="shared" si="0"/>
        <v>2.0206065697122355E-2</v>
      </c>
    </row>
    <row r="32" spans="1:8" x14ac:dyDescent="0.25">
      <c r="A32" s="46">
        <v>44603</v>
      </c>
      <c r="B32" s="14">
        <v>228.46000699999999</v>
      </c>
      <c r="C32" s="14">
        <v>230.41999799999999</v>
      </c>
      <c r="D32" s="14">
        <v>218.770004</v>
      </c>
      <c r="E32" s="14">
        <v>219.550003</v>
      </c>
      <c r="F32" s="14">
        <v>219.317307</v>
      </c>
      <c r="G32" s="14">
        <v>46156900</v>
      </c>
      <c r="H32" s="14">
        <f t="shared" si="0"/>
        <v>-3.4980119563036371E-2</v>
      </c>
    </row>
    <row r="33" spans="1:8" x14ac:dyDescent="0.25">
      <c r="A33" s="46">
        <v>44606</v>
      </c>
      <c r="B33" s="14">
        <v>219.30999800000001</v>
      </c>
      <c r="C33" s="14">
        <v>221</v>
      </c>
      <c r="D33" s="14">
        <v>214.779999</v>
      </c>
      <c r="E33" s="14">
        <v>217.699997</v>
      </c>
      <c r="F33" s="14">
        <v>217.46925400000001</v>
      </c>
      <c r="G33" s="14">
        <v>38184000</v>
      </c>
      <c r="H33" s="14">
        <f t="shared" si="0"/>
        <v>-6.079451672299026E-3</v>
      </c>
    </row>
    <row r="34" spans="1:8" x14ac:dyDescent="0.25">
      <c r="A34" s="46">
        <v>44607</v>
      </c>
      <c r="B34" s="14">
        <v>220.470001</v>
      </c>
      <c r="C34" s="14">
        <v>221.14999399999999</v>
      </c>
      <c r="D34" s="14">
        <v>215.05999800000001</v>
      </c>
      <c r="E34" s="14">
        <v>221</v>
      </c>
      <c r="F34" s="14">
        <v>220.765762</v>
      </c>
      <c r="G34" s="14">
        <v>42685500</v>
      </c>
      <c r="H34" s="14">
        <f t="shared" si="0"/>
        <v>1.3036549087608318E-3</v>
      </c>
    </row>
    <row r="35" spans="1:8" x14ac:dyDescent="0.25">
      <c r="A35" s="46">
        <v>44608</v>
      </c>
      <c r="B35" s="14">
        <v>212.41000399999999</v>
      </c>
      <c r="C35" s="14">
        <v>217.46000699999999</v>
      </c>
      <c r="D35" s="14">
        <v>212.36000100000001</v>
      </c>
      <c r="E35" s="14">
        <v>216.53999300000001</v>
      </c>
      <c r="F35" s="14">
        <v>216.310486</v>
      </c>
      <c r="G35" s="14">
        <v>45817500</v>
      </c>
      <c r="H35" s="14">
        <f t="shared" si="0"/>
        <v>-1.2554622082717515E-2</v>
      </c>
    </row>
    <row r="36" spans="1:8" x14ac:dyDescent="0.25">
      <c r="A36" s="46">
        <v>44609</v>
      </c>
      <c r="B36" s="14">
        <v>214.020004</v>
      </c>
      <c r="C36" s="14">
        <v>217.5</v>
      </c>
      <c r="D36" s="14">
        <v>207.16000399999999</v>
      </c>
      <c r="E36" s="14">
        <v>207.71000699999999</v>
      </c>
      <c r="F36" s="14">
        <v>207.48985300000001</v>
      </c>
      <c r="G36" s="14">
        <v>38747500</v>
      </c>
      <c r="H36" s="14">
        <f t="shared" si="0"/>
        <v>-2.4486706420763449E-2</v>
      </c>
    </row>
    <row r="37" spans="1:8" x14ac:dyDescent="0.25">
      <c r="A37" s="46">
        <v>44610</v>
      </c>
      <c r="B37" s="14">
        <v>209.38999899999999</v>
      </c>
      <c r="C37" s="14">
        <v>210.75</v>
      </c>
      <c r="D37" s="14">
        <v>205.179993</v>
      </c>
      <c r="E37" s="14">
        <v>206.16000399999999</v>
      </c>
      <c r="F37" s="14">
        <v>205.941498</v>
      </c>
      <c r="G37" s="14">
        <v>37128400</v>
      </c>
      <c r="H37" s="14">
        <f t="shared" si="0"/>
        <v>-9.5578826113558168E-3</v>
      </c>
    </row>
    <row r="38" spans="1:8" x14ac:dyDescent="0.25">
      <c r="A38" s="46">
        <v>44614</v>
      </c>
      <c r="B38" s="14">
        <v>202.33999600000001</v>
      </c>
      <c r="C38" s="14">
        <v>207.479996</v>
      </c>
      <c r="D38" s="14">
        <v>200.05999800000001</v>
      </c>
      <c r="E38" s="14">
        <v>202.08000200000001</v>
      </c>
      <c r="F38" s="14">
        <v>201.865814</v>
      </c>
      <c r="G38" s="14">
        <v>39852400</v>
      </c>
      <c r="H38" s="14">
        <f t="shared" si="0"/>
        <v>-6.2384189183591343E-3</v>
      </c>
    </row>
    <row r="39" spans="1:8" x14ac:dyDescent="0.25">
      <c r="A39" s="46">
        <v>44615</v>
      </c>
      <c r="B39" s="14">
        <v>204.16000399999999</v>
      </c>
      <c r="C39" s="14">
        <v>206.94000199999999</v>
      </c>
      <c r="D39" s="14">
        <v>198.050003</v>
      </c>
      <c r="E39" s="14">
        <v>198.449997</v>
      </c>
      <c r="F39" s="14">
        <v>198.239655</v>
      </c>
      <c r="G39" s="14">
        <v>44481400</v>
      </c>
      <c r="H39" s="14">
        <f t="shared" si="0"/>
        <v>-1.0046961012165956E-2</v>
      </c>
    </row>
    <row r="40" spans="1:8" x14ac:dyDescent="0.25">
      <c r="A40" s="46">
        <v>44616</v>
      </c>
      <c r="B40" s="14">
        <v>191.05999800000001</v>
      </c>
      <c r="C40" s="14">
        <v>208.35000600000001</v>
      </c>
      <c r="D40" s="14">
        <v>190.220001</v>
      </c>
      <c r="E40" s="14">
        <v>207.60000600000001</v>
      </c>
      <c r="F40" s="14">
        <v>207.379974</v>
      </c>
      <c r="G40" s="14">
        <v>49957200</v>
      </c>
      <c r="H40" s="14">
        <f t="shared" si="0"/>
        <v>-3.9535480340285645E-2</v>
      </c>
    </row>
    <row r="41" spans="1:8" x14ac:dyDescent="0.25">
      <c r="A41" s="46">
        <v>44617</v>
      </c>
      <c r="B41" s="14">
        <v>204.94000199999999</v>
      </c>
      <c r="C41" s="14">
        <v>211.320007</v>
      </c>
      <c r="D41" s="14">
        <v>203.179993</v>
      </c>
      <c r="E41" s="14">
        <v>210.479996</v>
      </c>
      <c r="F41" s="14">
        <v>210.256912</v>
      </c>
      <c r="G41" s="14">
        <v>37627600</v>
      </c>
      <c r="H41" s="14">
        <f t="shared" si="0"/>
        <v>6.8131594637095949E-2</v>
      </c>
    </row>
    <row r="42" spans="1:8" x14ac:dyDescent="0.25">
      <c r="A42" s="46">
        <v>44620</v>
      </c>
      <c r="B42" s="14">
        <v>207.679993</v>
      </c>
      <c r="C42" s="14">
        <v>213.14999399999999</v>
      </c>
      <c r="D42" s="14">
        <v>206.83000200000001</v>
      </c>
      <c r="E42" s="14">
        <v>211.029999</v>
      </c>
      <c r="F42" s="14">
        <v>210.80633499999999</v>
      </c>
      <c r="G42" s="14">
        <v>34239800</v>
      </c>
      <c r="H42" s="14">
        <f t="shared" si="0"/>
        <v>5.9881371620416806E-3</v>
      </c>
    </row>
    <row r="43" spans="1:8" x14ac:dyDescent="0.25">
      <c r="A43" s="46">
        <v>44621</v>
      </c>
      <c r="B43" s="14">
        <v>209.86999499999999</v>
      </c>
      <c r="C43" s="14">
        <v>211.75</v>
      </c>
      <c r="D43" s="14">
        <v>202.220001</v>
      </c>
      <c r="E43" s="14">
        <v>203.490005</v>
      </c>
      <c r="F43" s="14">
        <v>203.27432300000001</v>
      </c>
      <c r="G43" s="14">
        <v>27094900</v>
      </c>
      <c r="H43" s="14">
        <f t="shared" si="0"/>
        <v>-2.2288840861685144E-2</v>
      </c>
    </row>
    <row r="44" spans="1:8" x14ac:dyDescent="0.25">
      <c r="A44" s="46">
        <v>44622</v>
      </c>
      <c r="B44" s="14">
        <v>204.779999</v>
      </c>
      <c r="C44" s="14">
        <v>209.14999399999999</v>
      </c>
      <c r="D44" s="14">
        <v>202.020004</v>
      </c>
      <c r="E44" s="14">
        <v>208.11000100000001</v>
      </c>
      <c r="F44" s="14">
        <v>207.88942</v>
      </c>
      <c r="G44" s="14">
        <v>29452100</v>
      </c>
      <c r="H44" s="14">
        <f t="shared" si="0"/>
        <v>-9.8900701716442274E-4</v>
      </c>
    </row>
    <row r="45" spans="1:8" x14ac:dyDescent="0.25">
      <c r="A45" s="46">
        <v>44623</v>
      </c>
      <c r="B45" s="14">
        <v>209.020004</v>
      </c>
      <c r="C45" s="14">
        <v>209.08000200000001</v>
      </c>
      <c r="D45" s="14">
        <v>201.41999799999999</v>
      </c>
      <c r="E45" s="14">
        <v>202.970001</v>
      </c>
      <c r="F45" s="14">
        <v>202.75488300000001</v>
      </c>
      <c r="G45" s="14">
        <v>27263500</v>
      </c>
      <c r="H45" s="14">
        <f t="shared" si="0"/>
        <v>-2.9700326112259701E-3</v>
      </c>
    </row>
    <row r="46" spans="1:8" x14ac:dyDescent="0.25">
      <c r="A46" s="46">
        <v>44624</v>
      </c>
      <c r="B46" s="14">
        <v>202.36999499999999</v>
      </c>
      <c r="C46" s="14">
        <v>205.88999899999999</v>
      </c>
      <c r="D46" s="14">
        <v>198.78999300000001</v>
      </c>
      <c r="E46" s="14">
        <v>200.05999800000001</v>
      </c>
      <c r="F46" s="14">
        <v>199.847961</v>
      </c>
      <c r="G46" s="14">
        <v>32130900</v>
      </c>
      <c r="H46" s="14">
        <f t="shared" si="0"/>
        <v>-1.3057318171555088E-2</v>
      </c>
    </row>
    <row r="47" spans="1:8" x14ac:dyDescent="0.25">
      <c r="A47" s="46">
        <v>44627</v>
      </c>
      <c r="B47" s="14">
        <v>200.78999300000001</v>
      </c>
      <c r="C47" s="14">
        <v>200.88999899999999</v>
      </c>
      <c r="D47" s="14">
        <v>187.279999</v>
      </c>
      <c r="E47" s="14">
        <v>187.470001</v>
      </c>
      <c r="F47" s="14">
        <v>187.27130099999999</v>
      </c>
      <c r="G47" s="14">
        <v>38560600</v>
      </c>
      <c r="H47" s="14">
        <f t="shared" si="0"/>
        <v>-1.9300089550617721E-2</v>
      </c>
    </row>
    <row r="48" spans="1:8" x14ac:dyDescent="0.25">
      <c r="A48" s="46">
        <v>44628</v>
      </c>
      <c r="B48" s="14">
        <v>187.85000600000001</v>
      </c>
      <c r="C48" s="14">
        <v>196.699997</v>
      </c>
      <c r="D48" s="14">
        <v>186.11000100000001</v>
      </c>
      <c r="E48" s="14">
        <v>190.28999300000001</v>
      </c>
      <c r="F48" s="14">
        <v>190.088303</v>
      </c>
      <c r="G48" s="14">
        <v>37508100</v>
      </c>
      <c r="H48" s="14">
        <f t="shared" si="0"/>
        <v>-6.2473195549300753E-3</v>
      </c>
    </row>
    <row r="49" spans="1:8" x14ac:dyDescent="0.25">
      <c r="A49" s="46">
        <v>44629</v>
      </c>
      <c r="B49" s="14">
        <v>195.740005</v>
      </c>
      <c r="C49" s="14">
        <v>199.10000600000001</v>
      </c>
      <c r="D49" s="14">
        <v>193.91999799999999</v>
      </c>
      <c r="E49" s="14">
        <v>198.5</v>
      </c>
      <c r="F49" s="14">
        <v>198.28961200000001</v>
      </c>
      <c r="G49" s="14">
        <v>31894700</v>
      </c>
      <c r="H49" s="14">
        <f t="shared" si="0"/>
        <v>4.1964413293404723E-2</v>
      </c>
    </row>
    <row r="50" spans="1:8" x14ac:dyDescent="0.25">
      <c r="A50" s="46">
        <v>44630</v>
      </c>
      <c r="B50" s="14">
        <v>194.83999600000001</v>
      </c>
      <c r="C50" s="14">
        <v>196.279999</v>
      </c>
      <c r="D50" s="14">
        <v>191.070007</v>
      </c>
      <c r="E50" s="14">
        <v>195.21000699999999</v>
      </c>
      <c r="F50" s="14">
        <v>195.00311300000001</v>
      </c>
      <c r="G50" s="14">
        <v>24853000</v>
      </c>
      <c r="H50" s="14">
        <f t="shared" si="0"/>
        <v>-1.4696735918901971E-2</v>
      </c>
    </row>
    <row r="51" spans="1:8" x14ac:dyDescent="0.25">
      <c r="A51" s="46">
        <v>44631</v>
      </c>
      <c r="B51" s="14">
        <v>192.63999899999999</v>
      </c>
      <c r="C51" s="14">
        <v>193.55999800000001</v>
      </c>
      <c r="D51" s="14">
        <v>186.66999799999999</v>
      </c>
      <c r="E51" s="14">
        <v>187.61000100000001</v>
      </c>
      <c r="F51" s="14">
        <v>187.411148</v>
      </c>
      <c r="G51" s="14">
        <v>34694500</v>
      </c>
      <c r="H51" s="14">
        <f t="shared" si="0"/>
        <v>-2.3028255816204601E-2</v>
      </c>
    </row>
    <row r="52" spans="1:8" x14ac:dyDescent="0.25">
      <c r="A52" s="46">
        <v>44634</v>
      </c>
      <c r="B52" s="14">
        <v>187.029999</v>
      </c>
      <c r="C52" s="14">
        <v>192.28999300000001</v>
      </c>
      <c r="D52" s="14">
        <v>185.820007</v>
      </c>
      <c r="E52" s="14">
        <v>186.63000500000001</v>
      </c>
      <c r="F52" s="14">
        <v>186.43220500000001</v>
      </c>
      <c r="G52" s="14">
        <v>31010500</v>
      </c>
      <c r="H52" s="14">
        <f t="shared" si="0"/>
        <v>-1.5178139838697053E-3</v>
      </c>
    </row>
    <row r="53" spans="1:8" x14ac:dyDescent="0.25">
      <c r="A53" s="46">
        <v>44635</v>
      </c>
      <c r="B53" s="14">
        <v>190.800003</v>
      </c>
      <c r="C53" s="14">
        <v>192.279999</v>
      </c>
      <c r="D53" s="14">
        <v>185.91000399999999</v>
      </c>
      <c r="E53" s="14">
        <v>192.029999</v>
      </c>
      <c r="F53" s="14">
        <v>191.82646199999999</v>
      </c>
      <c r="G53" s="14">
        <v>31721700</v>
      </c>
      <c r="H53" s="14">
        <f t="shared" si="0"/>
        <v>4.8432352066374307E-4</v>
      </c>
    </row>
    <row r="54" spans="1:8" x14ac:dyDescent="0.25">
      <c r="A54" s="46">
        <v>44636</v>
      </c>
      <c r="B54" s="14">
        <v>194.699997</v>
      </c>
      <c r="C54" s="14">
        <v>203.729996</v>
      </c>
      <c r="D54" s="14">
        <v>194.520004</v>
      </c>
      <c r="E54" s="14">
        <v>203.63000500000001</v>
      </c>
      <c r="F54" s="14">
        <v>203.414185</v>
      </c>
      <c r="G54" s="14">
        <v>40640300</v>
      </c>
      <c r="H54" s="14">
        <f t="shared" si="0"/>
        <v>4.6312730970626159E-2</v>
      </c>
    </row>
    <row r="55" spans="1:8" x14ac:dyDescent="0.25">
      <c r="A55" s="46">
        <v>44637</v>
      </c>
      <c r="B55" s="14">
        <v>201.699997</v>
      </c>
      <c r="C55" s="14">
        <v>208.03999300000001</v>
      </c>
      <c r="D55" s="14">
        <v>201.11000100000001</v>
      </c>
      <c r="E55" s="14">
        <v>207.83999600000001</v>
      </c>
      <c r="F55" s="14">
        <v>207.61970500000001</v>
      </c>
      <c r="G55" s="14">
        <v>29499700</v>
      </c>
      <c r="H55" s="14">
        <f t="shared" si="0"/>
        <v>3.3878248326583371E-2</v>
      </c>
    </row>
    <row r="56" spans="1:8" x14ac:dyDescent="0.25">
      <c r="A56" s="46">
        <v>44638</v>
      </c>
      <c r="B56" s="14">
        <v>206.699997</v>
      </c>
      <c r="C56" s="14">
        <v>216.800003</v>
      </c>
      <c r="D56" s="14">
        <v>206</v>
      </c>
      <c r="E56" s="14">
        <v>216.490005</v>
      </c>
      <c r="F56" s="14">
        <v>216.26054400000001</v>
      </c>
      <c r="G56" s="14">
        <v>52128000</v>
      </c>
      <c r="H56" s="14">
        <f t="shared" si="0"/>
        <v>2.4315046371065296E-2</v>
      </c>
    </row>
    <row r="57" spans="1:8" x14ac:dyDescent="0.25">
      <c r="A57" s="46">
        <v>44641</v>
      </c>
      <c r="B57" s="14">
        <v>214.5</v>
      </c>
      <c r="C57" s="14">
        <v>214.71000699999999</v>
      </c>
      <c r="D57" s="14">
        <v>207.63000500000001</v>
      </c>
      <c r="E57" s="14">
        <v>211.490005</v>
      </c>
      <c r="F57" s="14">
        <v>211.26585399999999</v>
      </c>
      <c r="G57" s="14">
        <v>30142300</v>
      </c>
      <c r="H57" s="14">
        <f t="shared" si="0"/>
        <v>2.6375485436893609E-3</v>
      </c>
    </row>
    <row r="58" spans="1:8" x14ac:dyDescent="0.25">
      <c r="A58" s="46">
        <v>44642</v>
      </c>
      <c r="B58" s="14">
        <v>211.36999499999999</v>
      </c>
      <c r="C58" s="14">
        <v>219.46000699999999</v>
      </c>
      <c r="D58" s="14">
        <v>210.179993</v>
      </c>
      <c r="E58" s="14">
        <v>216.64999399999999</v>
      </c>
      <c r="F58" s="14">
        <v>216.42036400000001</v>
      </c>
      <c r="G58" s="14">
        <v>31998800</v>
      </c>
      <c r="H58" s="14">
        <f t="shared" si="0"/>
        <v>1.2281404125574102E-2</v>
      </c>
    </row>
    <row r="59" spans="1:8" x14ac:dyDescent="0.25">
      <c r="A59" s="46">
        <v>44643</v>
      </c>
      <c r="B59" s="14">
        <v>213.33000200000001</v>
      </c>
      <c r="C59" s="14">
        <v>216.800003</v>
      </c>
      <c r="D59" s="14">
        <v>212.16000399999999</v>
      </c>
      <c r="E59" s="14">
        <v>213.46000699999999</v>
      </c>
      <c r="F59" s="14">
        <v>213.23376500000001</v>
      </c>
      <c r="G59" s="14">
        <v>23717300</v>
      </c>
      <c r="H59" s="14">
        <f t="shared" si="0"/>
        <v>9.4205493669419216E-3</v>
      </c>
    </row>
    <row r="60" spans="1:8" x14ac:dyDescent="0.25">
      <c r="A60" s="46">
        <v>44644</v>
      </c>
      <c r="B60" s="14">
        <v>215</v>
      </c>
      <c r="C60" s="14">
        <v>220.66999799999999</v>
      </c>
      <c r="D60" s="14">
        <v>214.78999300000001</v>
      </c>
      <c r="E60" s="14">
        <v>219.570007</v>
      </c>
      <c r="F60" s="14">
        <v>219.33727999999999</v>
      </c>
      <c r="G60" s="14">
        <v>31502300</v>
      </c>
      <c r="H60" s="14">
        <f t="shared" si="0"/>
        <v>1.2396252594339296E-2</v>
      </c>
    </row>
    <row r="61" spans="1:8" x14ac:dyDescent="0.25">
      <c r="A61" s="46">
        <v>44645</v>
      </c>
      <c r="B61" s="14">
        <v>220.509995</v>
      </c>
      <c r="C61" s="14">
        <v>225.5</v>
      </c>
      <c r="D61" s="14">
        <v>218.88999899999999</v>
      </c>
      <c r="E61" s="14">
        <v>221.820007</v>
      </c>
      <c r="F61" s="14">
        <v>221.5849</v>
      </c>
      <c r="G61" s="14">
        <v>40039000</v>
      </c>
      <c r="H61" s="14">
        <f t="shared" si="0"/>
        <v>1.9088440493594039E-2</v>
      </c>
    </row>
    <row r="62" spans="1:8" x14ac:dyDescent="0.25">
      <c r="A62" s="46">
        <v>44648</v>
      </c>
      <c r="B62" s="14">
        <v>222.13000500000001</v>
      </c>
      <c r="C62" s="14">
        <v>224.03999300000001</v>
      </c>
      <c r="D62" s="14">
        <v>219.53999300000001</v>
      </c>
      <c r="E62" s="14">
        <v>223.58999600000001</v>
      </c>
      <c r="F62" s="14">
        <v>223.35301200000001</v>
      </c>
      <c r="G62" s="14">
        <v>26224100</v>
      </c>
      <c r="H62" s="14">
        <f t="shared" si="0"/>
        <v>9.898335586665159E-4</v>
      </c>
    </row>
    <row r="63" spans="1:8" x14ac:dyDescent="0.25">
      <c r="A63" s="46">
        <v>44649</v>
      </c>
      <c r="B63" s="14">
        <v>226.070007</v>
      </c>
      <c r="C63" s="14">
        <v>230.88999899999999</v>
      </c>
      <c r="D63" s="14">
        <v>225.28999300000001</v>
      </c>
      <c r="E63" s="14">
        <v>229.86000100000001</v>
      </c>
      <c r="F63" s="14">
        <v>229.61637899999999</v>
      </c>
      <c r="G63" s="14">
        <v>31417900</v>
      </c>
      <c r="H63" s="14">
        <f t="shared" si="0"/>
        <v>2.6191127736803654E-2</v>
      </c>
    </row>
    <row r="64" spans="1:8" x14ac:dyDescent="0.25">
      <c r="A64" s="46">
        <v>44650</v>
      </c>
      <c r="B64" s="14">
        <v>228.91000399999999</v>
      </c>
      <c r="C64" s="14">
        <v>231.14999399999999</v>
      </c>
      <c r="D64" s="14">
        <v>226.71000699999999</v>
      </c>
      <c r="E64" s="14">
        <v>227.85000600000001</v>
      </c>
      <c r="F64" s="14">
        <v>227.60850500000001</v>
      </c>
      <c r="G64" s="14">
        <v>25588000</v>
      </c>
      <c r="H64" s="14">
        <f t="shared" si="0"/>
        <v>6.3030495988340984E-3</v>
      </c>
    </row>
    <row r="65" spans="1:8" x14ac:dyDescent="0.25">
      <c r="A65" s="46">
        <v>44651</v>
      </c>
      <c r="B65" s="14">
        <v>228.449997</v>
      </c>
      <c r="C65" s="14">
        <v>228.490005</v>
      </c>
      <c r="D65" s="14">
        <v>222.259995</v>
      </c>
      <c r="E65" s="14">
        <v>222.36000100000001</v>
      </c>
      <c r="F65" s="14">
        <v>222.12432899999999</v>
      </c>
      <c r="G65" s="14">
        <v>24192300</v>
      </c>
      <c r="H65" s="14">
        <f t="shared" si="0"/>
        <v>-1.9628652739620778E-2</v>
      </c>
    </row>
    <row r="66" spans="1:8" x14ac:dyDescent="0.25">
      <c r="A66" s="46">
        <v>44652</v>
      </c>
      <c r="B66" s="14">
        <v>224.550003</v>
      </c>
      <c r="C66" s="14">
        <v>227.279999</v>
      </c>
      <c r="D66" s="14">
        <v>222.699997</v>
      </c>
      <c r="E66" s="14">
        <v>224.85000600000001</v>
      </c>
      <c r="F66" s="14">
        <v>224.611694</v>
      </c>
      <c r="G66" s="14">
        <v>19544800</v>
      </c>
      <c r="H66" s="14">
        <f t="shared" si="0"/>
        <v>1.9796725002174664E-3</v>
      </c>
    </row>
    <row r="67" spans="1:8" x14ac:dyDescent="0.25">
      <c r="A67" s="46">
        <v>44655</v>
      </c>
      <c r="B67" s="14">
        <v>225.979996</v>
      </c>
      <c r="C67" s="14">
        <v>234.35000600000001</v>
      </c>
      <c r="D67" s="14">
        <v>225.86000100000001</v>
      </c>
      <c r="E67" s="14">
        <v>233.88999899999999</v>
      </c>
      <c r="F67" s="14">
        <v>233.64210499999999</v>
      </c>
      <c r="G67" s="14">
        <v>28054800</v>
      </c>
      <c r="H67" s="14">
        <f t="shared" si="0"/>
        <v>4.7298369144866586E-3</v>
      </c>
    </row>
    <row r="68" spans="1:8" x14ac:dyDescent="0.25">
      <c r="A68" s="46">
        <v>44656</v>
      </c>
      <c r="B68" s="14">
        <v>234.08000200000001</v>
      </c>
      <c r="C68" s="14">
        <v>236.86000100000001</v>
      </c>
      <c r="D68" s="14">
        <v>231.020004</v>
      </c>
      <c r="E68" s="14">
        <v>231.83999600000001</v>
      </c>
      <c r="F68" s="14">
        <v>231.594269</v>
      </c>
      <c r="G68" s="14">
        <v>29727200</v>
      </c>
      <c r="H68" s="14">
        <f t="shared" ref="H68:H131" si="1">(D68/D67-1)/(A68-A67)</f>
        <v>2.2846023984565589E-2</v>
      </c>
    </row>
    <row r="69" spans="1:8" x14ac:dyDescent="0.25">
      <c r="A69" s="46">
        <v>44657</v>
      </c>
      <c r="B69" s="14">
        <v>226.91000399999999</v>
      </c>
      <c r="C69" s="14">
        <v>228.990005</v>
      </c>
      <c r="D69" s="14">
        <v>221.41000399999999</v>
      </c>
      <c r="E69" s="14">
        <v>223.300003</v>
      </c>
      <c r="F69" s="14">
        <v>223.06332399999999</v>
      </c>
      <c r="G69" s="14">
        <v>28995100</v>
      </c>
      <c r="H69" s="14">
        <f t="shared" si="1"/>
        <v>-4.1598129311780307E-2</v>
      </c>
    </row>
    <row r="70" spans="1:8" x14ac:dyDescent="0.25">
      <c r="A70" s="46">
        <v>44658</v>
      </c>
      <c r="B70" s="14">
        <v>223.929993</v>
      </c>
      <c r="C70" s="14">
        <v>225.520004</v>
      </c>
      <c r="D70" s="14">
        <v>218.55999800000001</v>
      </c>
      <c r="E70" s="14">
        <v>222.949997</v>
      </c>
      <c r="F70" s="14">
        <v>222.71369899999999</v>
      </c>
      <c r="G70" s="14">
        <v>21037200</v>
      </c>
      <c r="H70" s="14">
        <f t="shared" si="1"/>
        <v>-1.287207419950176E-2</v>
      </c>
    </row>
    <row r="71" spans="1:8" x14ac:dyDescent="0.25">
      <c r="A71" s="46">
        <v>44659</v>
      </c>
      <c r="B71" s="14">
        <v>222.38000500000001</v>
      </c>
      <c r="C71" s="14">
        <v>225.13000500000001</v>
      </c>
      <c r="D71" s="14">
        <v>220.029999</v>
      </c>
      <c r="E71" s="14">
        <v>222.33000200000001</v>
      </c>
      <c r="F71" s="14">
        <v>222.09435999999999</v>
      </c>
      <c r="G71" s="14">
        <v>18375700</v>
      </c>
      <c r="H71" s="14">
        <f t="shared" si="1"/>
        <v>6.7258465110344723E-3</v>
      </c>
    </row>
    <row r="72" spans="1:8" x14ac:dyDescent="0.25">
      <c r="A72" s="46">
        <v>44662</v>
      </c>
      <c r="B72" s="14">
        <v>218.41999799999999</v>
      </c>
      <c r="C72" s="14">
        <v>220.61000100000001</v>
      </c>
      <c r="D72" s="14">
        <v>215.220001</v>
      </c>
      <c r="E72" s="14">
        <v>216.46000699999999</v>
      </c>
      <c r="F72" s="14">
        <v>216.23057600000001</v>
      </c>
      <c r="G72" s="14">
        <v>20516600</v>
      </c>
      <c r="H72" s="14">
        <f t="shared" si="1"/>
        <v>-7.2868821249536531E-3</v>
      </c>
    </row>
    <row r="73" spans="1:8" x14ac:dyDescent="0.25">
      <c r="A73" s="46">
        <v>44663</v>
      </c>
      <c r="B73" s="14">
        <v>220.240005</v>
      </c>
      <c r="C73" s="14">
        <v>222.029999</v>
      </c>
      <c r="D73" s="14">
        <v>213.13000500000001</v>
      </c>
      <c r="E73" s="14">
        <v>214.13999899999999</v>
      </c>
      <c r="F73" s="14">
        <v>213.91304</v>
      </c>
      <c r="G73" s="14">
        <v>20128800</v>
      </c>
      <c r="H73" s="14">
        <f t="shared" si="1"/>
        <v>-9.7109747713456374E-3</v>
      </c>
    </row>
    <row r="74" spans="1:8" x14ac:dyDescent="0.25">
      <c r="A74" s="46">
        <v>44664</v>
      </c>
      <c r="B74" s="14">
        <v>211.820007</v>
      </c>
      <c r="C74" s="14">
        <v>216.61000100000001</v>
      </c>
      <c r="D74" s="14">
        <v>211.33000200000001</v>
      </c>
      <c r="E74" s="14">
        <v>214.990005</v>
      </c>
      <c r="F74" s="14">
        <v>214.762146</v>
      </c>
      <c r="G74" s="14">
        <v>19231800</v>
      </c>
      <c r="H74" s="14">
        <f t="shared" si="1"/>
        <v>-8.4455635423084097E-3</v>
      </c>
    </row>
    <row r="75" spans="1:8" x14ac:dyDescent="0.25">
      <c r="A75" s="46">
        <v>44665</v>
      </c>
      <c r="B75" s="14">
        <v>214.88999899999999</v>
      </c>
      <c r="C75" s="14">
        <v>214.990005</v>
      </c>
      <c r="D75" s="14">
        <v>210</v>
      </c>
      <c r="E75" s="14">
        <v>210.179993</v>
      </c>
      <c r="F75" s="14">
        <v>209.95723000000001</v>
      </c>
      <c r="G75" s="14">
        <v>18379500</v>
      </c>
      <c r="H75" s="14">
        <f t="shared" si="1"/>
        <v>-6.2934840647945745E-3</v>
      </c>
    </row>
    <row r="76" spans="1:8" x14ac:dyDescent="0.25">
      <c r="A76" s="46">
        <v>44669</v>
      </c>
      <c r="B76" s="14">
        <v>210</v>
      </c>
      <c r="C76" s="14">
        <v>213.38000500000001</v>
      </c>
      <c r="D76" s="14">
        <v>208.300003</v>
      </c>
      <c r="E76" s="14">
        <v>210.770004</v>
      </c>
      <c r="F76" s="14">
        <v>210.546616</v>
      </c>
      <c r="G76" s="14">
        <v>16580800</v>
      </c>
      <c r="H76" s="14">
        <f t="shared" si="1"/>
        <v>-2.0238059523809415E-3</v>
      </c>
    </row>
    <row r="77" spans="1:8" x14ac:dyDescent="0.25">
      <c r="A77" s="46">
        <v>44670</v>
      </c>
      <c r="B77" s="14">
        <v>210.520004</v>
      </c>
      <c r="C77" s="14">
        <v>218.429993</v>
      </c>
      <c r="D77" s="14">
        <v>209</v>
      </c>
      <c r="E77" s="14">
        <v>217.30999800000001</v>
      </c>
      <c r="F77" s="14">
        <v>217.079666</v>
      </c>
      <c r="G77" s="14">
        <v>20089900</v>
      </c>
      <c r="H77" s="14">
        <f t="shared" si="1"/>
        <v>3.3605232353262071E-3</v>
      </c>
    </row>
    <row r="78" spans="1:8" x14ac:dyDescent="0.25">
      <c r="A78" s="46">
        <v>44671</v>
      </c>
      <c r="B78" s="14">
        <v>213.61000100000001</v>
      </c>
      <c r="C78" s="14">
        <v>214.16000399999999</v>
      </c>
      <c r="D78" s="14">
        <v>198.91999799999999</v>
      </c>
      <c r="E78" s="14">
        <v>200.41999799999999</v>
      </c>
      <c r="F78" s="14">
        <v>200.207581</v>
      </c>
      <c r="G78" s="14">
        <v>43036500</v>
      </c>
      <c r="H78" s="14">
        <f t="shared" si="1"/>
        <v>-4.8229674641148357E-2</v>
      </c>
    </row>
    <row r="79" spans="1:8" x14ac:dyDescent="0.25">
      <c r="A79" s="46">
        <v>44672</v>
      </c>
      <c r="B79" s="14">
        <v>201.60000600000001</v>
      </c>
      <c r="C79" s="14">
        <v>202.970001</v>
      </c>
      <c r="D79" s="14">
        <v>185.58000200000001</v>
      </c>
      <c r="E79" s="14">
        <v>188.070007</v>
      </c>
      <c r="F79" s="14">
        <v>187.870667</v>
      </c>
      <c r="G79" s="14">
        <v>49954100</v>
      </c>
      <c r="H79" s="14">
        <f t="shared" si="1"/>
        <v>-6.7062116097547864E-2</v>
      </c>
    </row>
    <row r="80" spans="1:8" x14ac:dyDescent="0.25">
      <c r="A80" s="46">
        <v>44673</v>
      </c>
      <c r="B80" s="14">
        <v>190.36999499999999</v>
      </c>
      <c r="C80" s="14">
        <v>192.720001</v>
      </c>
      <c r="D80" s="14">
        <v>183.270004</v>
      </c>
      <c r="E80" s="14">
        <v>184.11000100000001</v>
      </c>
      <c r="F80" s="14">
        <v>183.91487100000001</v>
      </c>
      <c r="G80" s="14">
        <v>36426800</v>
      </c>
      <c r="H80" s="14">
        <f t="shared" si="1"/>
        <v>-1.2447451099822704E-2</v>
      </c>
    </row>
    <row r="81" spans="1:8" x14ac:dyDescent="0.25">
      <c r="A81" s="46">
        <v>44676</v>
      </c>
      <c r="B81" s="14">
        <v>182.729996</v>
      </c>
      <c r="C81" s="14">
        <v>187.179993</v>
      </c>
      <c r="D81" s="14">
        <v>181.66000399999999</v>
      </c>
      <c r="E81" s="14">
        <v>186.990005</v>
      </c>
      <c r="F81" s="14">
        <v>186.791809</v>
      </c>
      <c r="G81" s="14">
        <v>29281100</v>
      </c>
      <c r="H81" s="14">
        <f t="shared" si="1"/>
        <v>-2.9282842524883299E-3</v>
      </c>
    </row>
    <row r="82" spans="1:8" x14ac:dyDescent="0.25">
      <c r="A82" s="46">
        <v>44677</v>
      </c>
      <c r="B82" s="14">
        <v>186.63000500000001</v>
      </c>
      <c r="C82" s="14">
        <v>187.19000199999999</v>
      </c>
      <c r="D82" s="14">
        <v>179.5</v>
      </c>
      <c r="E82" s="14">
        <v>180.949997</v>
      </c>
      <c r="F82" s="14">
        <v>180.75820899999999</v>
      </c>
      <c r="G82" s="14">
        <v>31747400</v>
      </c>
      <c r="H82" s="14">
        <f t="shared" si="1"/>
        <v>-1.1890366357142579E-2</v>
      </c>
    </row>
    <row r="83" spans="1:8" x14ac:dyDescent="0.25">
      <c r="A83" s="46">
        <v>44678</v>
      </c>
      <c r="B83" s="14">
        <v>174.429993</v>
      </c>
      <c r="C83" s="14">
        <v>181.21000699999999</v>
      </c>
      <c r="D83" s="14">
        <v>169</v>
      </c>
      <c r="E83" s="14">
        <v>174.949997</v>
      </c>
      <c r="F83" s="14">
        <v>174.76457199999999</v>
      </c>
      <c r="G83" s="14">
        <v>71062900</v>
      </c>
      <c r="H83" s="14">
        <f t="shared" si="1"/>
        <v>-5.8495821727019504E-2</v>
      </c>
    </row>
    <row r="84" spans="1:8" x14ac:dyDescent="0.25">
      <c r="A84" s="46">
        <v>44679</v>
      </c>
      <c r="B84" s="14">
        <v>202.91999799999999</v>
      </c>
      <c r="C84" s="14">
        <v>208.529999</v>
      </c>
      <c r="D84" s="14">
        <v>192.89999399999999</v>
      </c>
      <c r="E84" s="14">
        <v>205.729996</v>
      </c>
      <c r="F84" s="14">
        <v>205.51194799999999</v>
      </c>
      <c r="G84" s="14">
        <v>100890600</v>
      </c>
      <c r="H84" s="14">
        <f t="shared" si="1"/>
        <v>0.14142008284023655</v>
      </c>
    </row>
    <row r="85" spans="1:8" x14ac:dyDescent="0.25">
      <c r="A85" s="46">
        <v>44680</v>
      </c>
      <c r="B85" s="14">
        <v>204.46000699999999</v>
      </c>
      <c r="C85" s="14">
        <v>212.479996</v>
      </c>
      <c r="D85" s="14">
        <v>199.89999399999999</v>
      </c>
      <c r="E85" s="14">
        <v>200.470001</v>
      </c>
      <c r="F85" s="14">
        <v>200.25752299999999</v>
      </c>
      <c r="G85" s="14">
        <v>49193400</v>
      </c>
      <c r="H85" s="14">
        <f t="shared" si="1"/>
        <v>3.6288233373402701E-2</v>
      </c>
    </row>
    <row r="86" spans="1:8" x14ac:dyDescent="0.25">
      <c r="A86" s="46">
        <v>44683</v>
      </c>
      <c r="B86" s="14">
        <v>201.16999799999999</v>
      </c>
      <c r="C86" s="14">
        <v>211.88000500000001</v>
      </c>
      <c r="D86" s="14">
        <v>200.990005</v>
      </c>
      <c r="E86" s="14">
        <v>211.13000500000001</v>
      </c>
      <c r="F86" s="14">
        <v>210.90623500000001</v>
      </c>
      <c r="G86" s="14">
        <v>49915300</v>
      </c>
      <c r="H86" s="14">
        <f t="shared" si="1"/>
        <v>1.817593851453525E-3</v>
      </c>
    </row>
    <row r="87" spans="1:8" x14ac:dyDescent="0.25">
      <c r="A87" s="46">
        <v>44684</v>
      </c>
      <c r="B87" s="14">
        <v>210.449997</v>
      </c>
      <c r="C87" s="14">
        <v>214.89999399999999</v>
      </c>
      <c r="D87" s="14">
        <v>208.08999600000001</v>
      </c>
      <c r="E87" s="14">
        <v>212.029999</v>
      </c>
      <c r="F87" s="14">
        <v>211.80526699999999</v>
      </c>
      <c r="G87" s="14">
        <v>41556300</v>
      </c>
      <c r="H87" s="14">
        <f t="shared" si="1"/>
        <v>3.5325094897131981E-2</v>
      </c>
    </row>
    <row r="88" spans="1:8" x14ac:dyDescent="0.25">
      <c r="A88" s="46">
        <v>44685</v>
      </c>
      <c r="B88" s="14">
        <v>210.64999399999999</v>
      </c>
      <c r="C88" s="14">
        <v>224.300003</v>
      </c>
      <c r="D88" s="14">
        <v>206.96000699999999</v>
      </c>
      <c r="E88" s="14">
        <v>223.41000399999999</v>
      </c>
      <c r="F88" s="14">
        <v>223.17321799999999</v>
      </c>
      <c r="G88" s="14">
        <v>41375900</v>
      </c>
      <c r="H88" s="14">
        <f t="shared" si="1"/>
        <v>-5.4302898828448853E-3</v>
      </c>
    </row>
    <row r="89" spans="1:8" x14ac:dyDescent="0.25">
      <c r="A89" s="46">
        <v>44686</v>
      </c>
      <c r="B89" s="14">
        <v>218.740005</v>
      </c>
      <c r="C89" s="14">
        <v>220.16999799999999</v>
      </c>
      <c r="D89" s="14">
        <v>206.16000399999999</v>
      </c>
      <c r="E89" s="14">
        <v>208.279999</v>
      </c>
      <c r="F89" s="14">
        <v>208.05924999999999</v>
      </c>
      <c r="G89" s="14">
        <v>41129200</v>
      </c>
      <c r="H89" s="14">
        <f t="shared" si="1"/>
        <v>-3.865495617228154E-3</v>
      </c>
    </row>
    <row r="90" spans="1:8" x14ac:dyDescent="0.25">
      <c r="A90" s="46">
        <v>44687</v>
      </c>
      <c r="B90" s="14">
        <v>207.33999600000001</v>
      </c>
      <c r="C90" s="14">
        <v>209.38000500000001</v>
      </c>
      <c r="D90" s="14">
        <v>201.020004</v>
      </c>
      <c r="E90" s="14">
        <v>203.770004</v>
      </c>
      <c r="F90" s="14">
        <v>203.55403100000001</v>
      </c>
      <c r="G90" s="14">
        <v>34747200</v>
      </c>
      <c r="H90" s="14">
        <f t="shared" si="1"/>
        <v>-2.4932091095613229E-2</v>
      </c>
    </row>
    <row r="91" spans="1:8" x14ac:dyDescent="0.25">
      <c r="A91" s="46">
        <v>44690</v>
      </c>
      <c r="B91" s="14">
        <v>199.83999600000001</v>
      </c>
      <c r="C91" s="14">
        <v>202.570007</v>
      </c>
      <c r="D91" s="14">
        <v>195.58000200000001</v>
      </c>
      <c r="E91" s="14">
        <v>196.21000699999999</v>
      </c>
      <c r="F91" s="14">
        <v>196.00204500000001</v>
      </c>
      <c r="G91" s="14">
        <v>36303200</v>
      </c>
      <c r="H91" s="14">
        <f t="shared" si="1"/>
        <v>-9.0206644309886643E-3</v>
      </c>
    </row>
    <row r="92" spans="1:8" x14ac:dyDescent="0.25">
      <c r="A92" s="46">
        <v>44691</v>
      </c>
      <c r="B92" s="14">
        <v>199.509995</v>
      </c>
      <c r="C92" s="14">
        <v>202.96000699999999</v>
      </c>
      <c r="D92" s="14">
        <v>194.19000199999999</v>
      </c>
      <c r="E92" s="14">
        <v>197.64999399999999</v>
      </c>
      <c r="F92" s="14">
        <v>197.440506</v>
      </c>
      <c r="G92" s="14">
        <v>34452500</v>
      </c>
      <c r="H92" s="14">
        <f t="shared" si="1"/>
        <v>-7.1070660895075077E-3</v>
      </c>
    </row>
    <row r="93" spans="1:8" x14ac:dyDescent="0.25">
      <c r="A93" s="46">
        <v>44692</v>
      </c>
      <c r="B93" s="14">
        <v>196.33000200000001</v>
      </c>
      <c r="C93" s="14">
        <v>200.66999799999999</v>
      </c>
      <c r="D93" s="14">
        <v>188.270004</v>
      </c>
      <c r="E93" s="14">
        <v>188.740005</v>
      </c>
      <c r="F93" s="14">
        <v>188.539963</v>
      </c>
      <c r="G93" s="14">
        <v>31153400</v>
      </c>
      <c r="H93" s="14">
        <f t="shared" si="1"/>
        <v>-3.0485596266691339E-2</v>
      </c>
    </row>
    <row r="94" spans="1:8" x14ac:dyDescent="0.25">
      <c r="A94" s="46">
        <v>44693</v>
      </c>
      <c r="B94" s="14">
        <v>187.05999800000001</v>
      </c>
      <c r="C94" s="14">
        <v>198.050003</v>
      </c>
      <c r="D94" s="14">
        <v>184.779999</v>
      </c>
      <c r="E94" s="14">
        <v>191.240005</v>
      </c>
      <c r="F94" s="14">
        <v>191.037308</v>
      </c>
      <c r="G94" s="14">
        <v>38262200</v>
      </c>
      <c r="H94" s="14">
        <f t="shared" si="1"/>
        <v>-1.8537233366181849E-2</v>
      </c>
    </row>
    <row r="95" spans="1:8" x14ac:dyDescent="0.25">
      <c r="A95" s="46">
        <v>44694</v>
      </c>
      <c r="B95" s="14">
        <v>192.58000200000001</v>
      </c>
      <c r="C95" s="14">
        <v>199.88999899999999</v>
      </c>
      <c r="D95" s="14">
        <v>191.279999</v>
      </c>
      <c r="E95" s="14">
        <v>198.61999499999999</v>
      </c>
      <c r="F95" s="14">
        <v>198.40948499999999</v>
      </c>
      <c r="G95" s="14">
        <v>24549800</v>
      </c>
      <c r="H95" s="14">
        <f t="shared" si="1"/>
        <v>3.5176967394614955E-2</v>
      </c>
    </row>
    <row r="96" spans="1:8" x14ac:dyDescent="0.25">
      <c r="A96" s="46">
        <v>44697</v>
      </c>
      <c r="B96" s="14">
        <v>197.050003</v>
      </c>
      <c r="C96" s="14">
        <v>205.36999499999999</v>
      </c>
      <c r="D96" s="14">
        <v>195.929993</v>
      </c>
      <c r="E96" s="14">
        <v>200.03999300000001</v>
      </c>
      <c r="F96" s="14">
        <v>199.82797199999999</v>
      </c>
      <c r="G96" s="14">
        <v>27112600</v>
      </c>
      <c r="H96" s="14">
        <f t="shared" si="1"/>
        <v>8.1032936433672962E-3</v>
      </c>
    </row>
    <row r="97" spans="1:8" x14ac:dyDescent="0.25">
      <c r="A97" s="46">
        <v>44698</v>
      </c>
      <c r="B97" s="14">
        <v>202.11999499999999</v>
      </c>
      <c r="C97" s="14">
        <v>205.46000699999999</v>
      </c>
      <c r="D97" s="14">
        <v>198.36000100000001</v>
      </c>
      <c r="E97" s="14">
        <v>202.61999499999999</v>
      </c>
      <c r="F97" s="14">
        <v>202.40524300000001</v>
      </c>
      <c r="G97" s="14">
        <v>24872700</v>
      </c>
      <c r="H97" s="14">
        <f t="shared" si="1"/>
        <v>1.2402429882187649E-2</v>
      </c>
    </row>
    <row r="98" spans="1:8" x14ac:dyDescent="0.25">
      <c r="A98" s="46">
        <v>44699</v>
      </c>
      <c r="B98" s="14">
        <v>200</v>
      </c>
      <c r="C98" s="14">
        <v>201</v>
      </c>
      <c r="D98" s="14">
        <v>191.63000500000001</v>
      </c>
      <c r="E98" s="14">
        <v>192.240005</v>
      </c>
      <c r="F98" s="14">
        <v>192.03625500000001</v>
      </c>
      <c r="G98" s="14">
        <v>23960000</v>
      </c>
      <c r="H98" s="14">
        <f t="shared" si="1"/>
        <v>-3.3928190996530549E-2</v>
      </c>
    </row>
    <row r="99" spans="1:8" x14ac:dyDescent="0.25">
      <c r="A99" s="46">
        <v>44700</v>
      </c>
      <c r="B99" s="14">
        <v>191.199997</v>
      </c>
      <c r="C99" s="14">
        <v>195.28999300000001</v>
      </c>
      <c r="D99" s="14">
        <v>189.60000600000001</v>
      </c>
      <c r="E99" s="14">
        <v>191.28999300000001</v>
      </c>
      <c r="F99" s="14">
        <v>191.08725000000001</v>
      </c>
      <c r="G99" s="14">
        <v>24446900</v>
      </c>
      <c r="H99" s="14">
        <f t="shared" si="1"/>
        <v>-1.0593325403294718E-2</v>
      </c>
    </row>
    <row r="100" spans="1:8" x14ac:dyDescent="0.25">
      <c r="A100" s="46">
        <v>44701</v>
      </c>
      <c r="B100" s="14">
        <v>194.970001</v>
      </c>
      <c r="C100" s="14">
        <v>197.91000399999999</v>
      </c>
      <c r="D100" s="14">
        <v>187.86999499999999</v>
      </c>
      <c r="E100" s="14">
        <v>193.53999300000001</v>
      </c>
      <c r="F100" s="14">
        <v>193.334869</v>
      </c>
      <c r="G100" s="14">
        <v>31465600</v>
      </c>
      <c r="H100" s="14">
        <f t="shared" si="1"/>
        <v>-9.1245303019664714E-3</v>
      </c>
    </row>
    <row r="101" spans="1:8" x14ac:dyDescent="0.25">
      <c r="A101" s="46">
        <v>44704</v>
      </c>
      <c r="B101" s="14">
        <v>195.19000199999999</v>
      </c>
      <c r="C101" s="14">
        <v>196.990005</v>
      </c>
      <c r="D101" s="14">
        <v>191.240005</v>
      </c>
      <c r="E101" s="14">
        <v>196.229996</v>
      </c>
      <c r="F101" s="14">
        <v>196.022018</v>
      </c>
      <c r="G101" s="14">
        <v>25059200</v>
      </c>
      <c r="H101" s="14">
        <f t="shared" si="1"/>
        <v>5.9793298374584136E-3</v>
      </c>
    </row>
    <row r="102" spans="1:8" x14ac:dyDescent="0.25">
      <c r="A102" s="46">
        <v>44705</v>
      </c>
      <c r="B102" s="14">
        <v>180.550003</v>
      </c>
      <c r="C102" s="14">
        <v>183.679993</v>
      </c>
      <c r="D102" s="14">
        <v>176.11000100000001</v>
      </c>
      <c r="E102" s="14">
        <v>181.279999</v>
      </c>
      <c r="F102" s="14">
        <v>181.08786000000001</v>
      </c>
      <c r="G102" s="14">
        <v>50406300</v>
      </c>
      <c r="H102" s="14">
        <f t="shared" si="1"/>
        <v>-7.9115266703742138E-2</v>
      </c>
    </row>
    <row r="103" spans="1:8" x14ac:dyDescent="0.25">
      <c r="A103" s="46">
        <v>44706</v>
      </c>
      <c r="B103" s="14">
        <v>180.39999399999999</v>
      </c>
      <c r="C103" s="14">
        <v>185.449997</v>
      </c>
      <c r="D103" s="14">
        <v>179.320007</v>
      </c>
      <c r="E103" s="14">
        <v>183.83000200000001</v>
      </c>
      <c r="F103" s="14">
        <v>183.63516200000001</v>
      </c>
      <c r="G103" s="14">
        <v>28030200</v>
      </c>
      <c r="H103" s="14">
        <f t="shared" si="1"/>
        <v>1.8227278302042516E-2</v>
      </c>
    </row>
    <row r="104" spans="1:8" x14ac:dyDescent="0.25">
      <c r="A104" s="46">
        <v>44707</v>
      </c>
      <c r="B104" s="14">
        <v>182.88000500000001</v>
      </c>
      <c r="C104" s="14">
        <v>192.83000200000001</v>
      </c>
      <c r="D104" s="14">
        <v>182.259995</v>
      </c>
      <c r="E104" s="14">
        <v>191.63000500000001</v>
      </c>
      <c r="F104" s="14">
        <v>191.426895</v>
      </c>
      <c r="G104" s="14">
        <v>23056500</v>
      </c>
      <c r="H104" s="14">
        <f t="shared" si="1"/>
        <v>1.6395203464385277E-2</v>
      </c>
    </row>
    <row r="105" spans="1:8" x14ac:dyDescent="0.25">
      <c r="A105" s="46">
        <v>44708</v>
      </c>
      <c r="B105" s="14">
        <v>191.36000100000001</v>
      </c>
      <c r="C105" s="14">
        <v>195.33000200000001</v>
      </c>
      <c r="D105" s="14">
        <v>189.800003</v>
      </c>
      <c r="E105" s="14">
        <v>195.13000500000001</v>
      </c>
      <c r="F105" s="14">
        <v>194.92318700000001</v>
      </c>
      <c r="G105" s="14">
        <v>22562700</v>
      </c>
      <c r="H105" s="14">
        <f t="shared" si="1"/>
        <v>4.1369517210839479E-2</v>
      </c>
    </row>
    <row r="106" spans="1:8" x14ac:dyDescent="0.25">
      <c r="A106" s="46">
        <v>44712</v>
      </c>
      <c r="B106" s="14">
        <v>194.88999899999999</v>
      </c>
      <c r="C106" s="14">
        <v>197.60000600000001</v>
      </c>
      <c r="D106" s="14">
        <v>192.009995</v>
      </c>
      <c r="E106" s="14">
        <v>193.63999899999999</v>
      </c>
      <c r="F106" s="14">
        <v>193.43476899999999</v>
      </c>
      <c r="G106" s="14">
        <v>26131100</v>
      </c>
      <c r="H106" s="14">
        <f t="shared" si="1"/>
        <v>2.9109483206909981E-3</v>
      </c>
    </row>
    <row r="107" spans="1:8" x14ac:dyDescent="0.25">
      <c r="A107" s="46">
        <v>44713</v>
      </c>
      <c r="B107" s="14">
        <v>196.509995</v>
      </c>
      <c r="C107" s="14">
        <v>199.529999</v>
      </c>
      <c r="D107" s="14">
        <v>185</v>
      </c>
      <c r="E107" s="14">
        <v>188.63999899999999</v>
      </c>
      <c r="F107" s="14">
        <v>188.44006300000001</v>
      </c>
      <c r="G107" s="14">
        <v>36623500</v>
      </c>
      <c r="H107" s="14">
        <f t="shared" si="1"/>
        <v>-3.650849009188295E-2</v>
      </c>
    </row>
    <row r="108" spans="1:8" x14ac:dyDescent="0.25">
      <c r="A108" s="46">
        <v>44714</v>
      </c>
      <c r="B108" s="14">
        <v>188.449997</v>
      </c>
      <c r="C108" s="14">
        <v>200.94000199999999</v>
      </c>
      <c r="D108" s="14">
        <v>187.729996</v>
      </c>
      <c r="E108" s="14">
        <v>198.86000100000001</v>
      </c>
      <c r="F108" s="14">
        <v>198.64923099999999</v>
      </c>
      <c r="G108" s="14">
        <v>31951600</v>
      </c>
      <c r="H108" s="14">
        <f t="shared" si="1"/>
        <v>1.4756735135135202E-2</v>
      </c>
    </row>
    <row r="109" spans="1:8" x14ac:dyDescent="0.25">
      <c r="A109" s="46">
        <v>44715</v>
      </c>
      <c r="B109" s="14">
        <v>195.979996</v>
      </c>
      <c r="C109" s="14">
        <v>196.61000100000001</v>
      </c>
      <c r="D109" s="14">
        <v>189.779999</v>
      </c>
      <c r="E109" s="14">
        <v>190.779999</v>
      </c>
      <c r="F109" s="14">
        <v>190.577789</v>
      </c>
      <c r="G109" s="14">
        <v>19465000</v>
      </c>
      <c r="H109" s="14">
        <f t="shared" si="1"/>
        <v>1.0919954422201172E-2</v>
      </c>
    </row>
    <row r="110" spans="1:8" x14ac:dyDescent="0.25">
      <c r="A110" s="46">
        <v>44718</v>
      </c>
      <c r="B110" s="14">
        <v>193.990005</v>
      </c>
      <c r="C110" s="14">
        <v>196.91999799999999</v>
      </c>
      <c r="D110" s="14">
        <v>188.39999399999999</v>
      </c>
      <c r="E110" s="14">
        <v>194.25</v>
      </c>
      <c r="F110" s="14">
        <v>194.04411300000001</v>
      </c>
      <c r="G110" s="14">
        <v>30574200</v>
      </c>
      <c r="H110" s="14">
        <f t="shared" si="1"/>
        <v>-2.4238680002662827E-3</v>
      </c>
    </row>
    <row r="111" spans="1:8" x14ac:dyDescent="0.25">
      <c r="A111" s="46">
        <v>44719</v>
      </c>
      <c r="B111" s="14">
        <v>191.929993</v>
      </c>
      <c r="C111" s="14">
        <v>196.529999</v>
      </c>
      <c r="D111" s="14">
        <v>191.490005</v>
      </c>
      <c r="E111" s="14">
        <v>195.64999399999999</v>
      </c>
      <c r="F111" s="14">
        <v>195.44262699999999</v>
      </c>
      <c r="G111" s="14">
        <v>18828700</v>
      </c>
      <c r="H111" s="14">
        <f t="shared" si="1"/>
        <v>1.6401332794097723E-2</v>
      </c>
    </row>
    <row r="112" spans="1:8" x14ac:dyDescent="0.25">
      <c r="A112" s="46">
        <v>44720</v>
      </c>
      <c r="B112" s="14">
        <v>194.66999799999999</v>
      </c>
      <c r="C112" s="14">
        <v>202.029999</v>
      </c>
      <c r="D112" s="14">
        <v>194.41000399999999</v>
      </c>
      <c r="E112" s="14">
        <v>196.63999899999999</v>
      </c>
      <c r="F112" s="14">
        <v>196.43158</v>
      </c>
      <c r="G112" s="14">
        <v>22267200</v>
      </c>
      <c r="H112" s="14">
        <f t="shared" si="1"/>
        <v>1.5248832439061166E-2</v>
      </c>
    </row>
    <row r="113" spans="1:8" x14ac:dyDescent="0.25">
      <c r="A113" s="46">
        <v>44721</v>
      </c>
      <c r="B113" s="14">
        <v>194.279999</v>
      </c>
      <c r="C113" s="14">
        <v>199.449997</v>
      </c>
      <c r="D113" s="14">
        <v>183.679993</v>
      </c>
      <c r="E113" s="14">
        <v>184</v>
      </c>
      <c r="F113" s="14">
        <v>183.80497700000001</v>
      </c>
      <c r="G113" s="14">
        <v>23501600</v>
      </c>
      <c r="H113" s="14">
        <f t="shared" si="1"/>
        <v>-5.5192689569616982E-2</v>
      </c>
    </row>
    <row r="114" spans="1:8" x14ac:dyDescent="0.25">
      <c r="A114" s="46">
        <v>44722</v>
      </c>
      <c r="B114" s="14">
        <v>183.03999300000001</v>
      </c>
      <c r="C114" s="14">
        <v>183.10000600000001</v>
      </c>
      <c r="D114" s="14">
        <v>175.020004</v>
      </c>
      <c r="E114" s="14">
        <v>175.570007</v>
      </c>
      <c r="F114" s="14">
        <v>175.383926</v>
      </c>
      <c r="G114" s="14">
        <v>27450800</v>
      </c>
      <c r="H114" s="14">
        <f t="shared" si="1"/>
        <v>-4.7147154453560991E-2</v>
      </c>
    </row>
    <row r="115" spans="1:8" x14ac:dyDescent="0.25">
      <c r="A115" s="46">
        <v>44725</v>
      </c>
      <c r="B115" s="14">
        <v>170.58999600000001</v>
      </c>
      <c r="C115" s="14">
        <v>172.58000200000001</v>
      </c>
      <c r="D115" s="14">
        <v>164.029999</v>
      </c>
      <c r="E115" s="14">
        <v>164.259995</v>
      </c>
      <c r="F115" s="14">
        <v>164.085892</v>
      </c>
      <c r="G115" s="14">
        <v>31749300</v>
      </c>
      <c r="H115" s="14">
        <f t="shared" si="1"/>
        <v>-2.093095027011882E-2</v>
      </c>
    </row>
    <row r="116" spans="1:8" x14ac:dyDescent="0.25">
      <c r="A116" s="46">
        <v>44726</v>
      </c>
      <c r="B116" s="14">
        <v>166.029999</v>
      </c>
      <c r="C116" s="14">
        <v>166.75</v>
      </c>
      <c r="D116" s="14">
        <v>161.36000100000001</v>
      </c>
      <c r="E116" s="14">
        <v>163.729996</v>
      </c>
      <c r="F116" s="14">
        <v>163.55645799999999</v>
      </c>
      <c r="G116" s="14">
        <v>27244300</v>
      </c>
      <c r="H116" s="14">
        <f t="shared" si="1"/>
        <v>-1.6277498117889921E-2</v>
      </c>
    </row>
    <row r="117" spans="1:8" x14ac:dyDescent="0.25">
      <c r="A117" s="46">
        <v>44727</v>
      </c>
      <c r="B117" s="14">
        <v>167.199997</v>
      </c>
      <c r="C117" s="14">
        <v>172.16000399999999</v>
      </c>
      <c r="D117" s="14">
        <v>163.979996</v>
      </c>
      <c r="E117" s="14">
        <v>169.35000600000001</v>
      </c>
      <c r="F117" s="14">
        <v>169.17051699999999</v>
      </c>
      <c r="G117" s="14">
        <v>30008300</v>
      </c>
      <c r="H117" s="14">
        <f t="shared" si="1"/>
        <v>1.6236954534971648E-2</v>
      </c>
    </row>
    <row r="118" spans="1:8" x14ac:dyDescent="0.25">
      <c r="A118" s="46">
        <v>44728</v>
      </c>
      <c r="B118" s="14">
        <v>163.720001</v>
      </c>
      <c r="C118" s="14">
        <v>165.08000200000001</v>
      </c>
      <c r="D118" s="14">
        <v>159.61000100000001</v>
      </c>
      <c r="E118" s="14">
        <v>160.86999499999999</v>
      </c>
      <c r="F118" s="14">
        <v>160.69949299999999</v>
      </c>
      <c r="G118" s="14">
        <v>26944100</v>
      </c>
      <c r="H118" s="14">
        <f t="shared" si="1"/>
        <v>-2.6649561572132163E-2</v>
      </c>
    </row>
    <row r="119" spans="1:8" x14ac:dyDescent="0.25">
      <c r="A119" s="46">
        <v>44729</v>
      </c>
      <c r="B119" s="14">
        <v>161.679993</v>
      </c>
      <c r="C119" s="14">
        <v>165.89999399999999</v>
      </c>
      <c r="D119" s="14">
        <v>159.89999399999999</v>
      </c>
      <c r="E119" s="14">
        <v>163.740005</v>
      </c>
      <c r="F119" s="14">
        <v>163.566452</v>
      </c>
      <c r="G119" s="14">
        <v>31374200</v>
      </c>
      <c r="H119" s="14">
        <f t="shared" si="1"/>
        <v>1.8168848955772976E-3</v>
      </c>
    </row>
    <row r="120" spans="1:8" x14ac:dyDescent="0.25">
      <c r="A120" s="46">
        <v>44733</v>
      </c>
      <c r="B120" s="14">
        <v>165.929993</v>
      </c>
      <c r="C120" s="14">
        <v>167.759995</v>
      </c>
      <c r="D120" s="14">
        <v>155.970001</v>
      </c>
      <c r="E120" s="14">
        <v>157.050003</v>
      </c>
      <c r="F120" s="14">
        <v>156.883545</v>
      </c>
      <c r="G120" s="14">
        <v>50724900</v>
      </c>
      <c r="H120" s="14">
        <f t="shared" si="1"/>
        <v>-6.1444545770276693E-3</v>
      </c>
    </row>
    <row r="121" spans="1:8" x14ac:dyDescent="0.25">
      <c r="A121" s="46">
        <v>44734</v>
      </c>
      <c r="B121" s="14">
        <v>158.38000500000001</v>
      </c>
      <c r="C121" s="14">
        <v>160.78999300000001</v>
      </c>
      <c r="D121" s="14">
        <v>155.44000199999999</v>
      </c>
      <c r="E121" s="14">
        <v>155.85000600000001</v>
      </c>
      <c r="F121" s="14">
        <v>155.68483000000001</v>
      </c>
      <c r="G121" s="14">
        <v>47267800</v>
      </c>
      <c r="H121" s="14">
        <f t="shared" si="1"/>
        <v>-3.398082942885905E-3</v>
      </c>
    </row>
    <row r="122" spans="1:8" x14ac:dyDescent="0.25">
      <c r="A122" s="46">
        <v>44735</v>
      </c>
      <c r="B122" s="14">
        <v>156.270004</v>
      </c>
      <c r="C122" s="14">
        <v>159.75</v>
      </c>
      <c r="D122" s="14">
        <v>154.25</v>
      </c>
      <c r="E122" s="14">
        <v>158.75</v>
      </c>
      <c r="F122" s="14">
        <v>158.58174099999999</v>
      </c>
      <c r="G122" s="14">
        <v>40499200</v>
      </c>
      <c r="H122" s="14">
        <f t="shared" si="1"/>
        <v>-7.6556998500295625E-3</v>
      </c>
    </row>
    <row r="123" spans="1:8" x14ac:dyDescent="0.25">
      <c r="A123" s="46">
        <v>44736</v>
      </c>
      <c r="B123" s="14">
        <v>161.729996</v>
      </c>
      <c r="C123" s="14">
        <v>170.25</v>
      </c>
      <c r="D123" s="14">
        <v>161.300003</v>
      </c>
      <c r="E123" s="14">
        <v>170.16000399999999</v>
      </c>
      <c r="F123" s="14">
        <v>169.97966</v>
      </c>
      <c r="G123" s="14">
        <v>68736000</v>
      </c>
      <c r="H123" s="14">
        <f t="shared" si="1"/>
        <v>4.5705043760129627E-2</v>
      </c>
    </row>
    <row r="124" spans="1:8" x14ac:dyDescent="0.25">
      <c r="A124" s="46">
        <v>44739</v>
      </c>
      <c r="B124" s="14">
        <v>171.320007</v>
      </c>
      <c r="C124" s="14">
        <v>171.75</v>
      </c>
      <c r="D124" s="14">
        <v>168.009995</v>
      </c>
      <c r="E124" s="14">
        <v>169.490005</v>
      </c>
      <c r="F124" s="14">
        <v>169.31036399999999</v>
      </c>
      <c r="G124" s="14">
        <v>29174600</v>
      </c>
      <c r="H124" s="14">
        <f t="shared" si="1"/>
        <v>1.3866484553010242E-2</v>
      </c>
    </row>
    <row r="125" spans="1:8" x14ac:dyDescent="0.25">
      <c r="A125" s="46">
        <v>44740</v>
      </c>
      <c r="B125" s="14">
        <v>169.89999399999999</v>
      </c>
      <c r="C125" s="14">
        <v>171.300003</v>
      </c>
      <c r="D125" s="14">
        <v>160.61000100000001</v>
      </c>
      <c r="E125" s="14">
        <v>160.679993</v>
      </c>
      <c r="F125" s="14">
        <v>160.50968900000001</v>
      </c>
      <c r="G125" s="14">
        <v>27744500</v>
      </c>
      <c r="H125" s="14">
        <f t="shared" si="1"/>
        <v>-4.4044962920211983E-2</v>
      </c>
    </row>
    <row r="126" spans="1:8" x14ac:dyDescent="0.25">
      <c r="A126" s="46">
        <v>44741</v>
      </c>
      <c r="B126" s="14">
        <v>163.570007</v>
      </c>
      <c r="C126" s="14">
        <v>166.33000200000001</v>
      </c>
      <c r="D126" s="14">
        <v>160.320007</v>
      </c>
      <c r="E126" s="14">
        <v>163.94000199999999</v>
      </c>
      <c r="F126" s="14">
        <v>163.76625100000001</v>
      </c>
      <c r="G126" s="14">
        <v>28595200</v>
      </c>
      <c r="H126" s="14">
        <f t="shared" si="1"/>
        <v>-1.8055787198457685E-3</v>
      </c>
    </row>
    <row r="127" spans="1:8" x14ac:dyDescent="0.25">
      <c r="A127" s="46">
        <v>44742</v>
      </c>
      <c r="B127" s="14">
        <v>162.14999399999999</v>
      </c>
      <c r="C127" s="14">
        <v>165.229996</v>
      </c>
      <c r="D127" s="14">
        <v>158.490005</v>
      </c>
      <c r="E127" s="14">
        <v>161.25</v>
      </c>
      <c r="F127" s="14">
        <v>161.07908599999999</v>
      </c>
      <c r="G127" s="14">
        <v>35250600</v>
      </c>
      <c r="H127" s="14">
        <f t="shared" si="1"/>
        <v>-1.1414682635336959E-2</v>
      </c>
    </row>
    <row r="128" spans="1:8" x14ac:dyDescent="0.25">
      <c r="A128" s="46">
        <v>44743</v>
      </c>
      <c r="B128" s="14">
        <v>160.30999800000001</v>
      </c>
      <c r="C128" s="14">
        <v>160.61999499999999</v>
      </c>
      <c r="D128" s="14">
        <v>155</v>
      </c>
      <c r="E128" s="14">
        <v>160.029999</v>
      </c>
      <c r="F128" s="14">
        <v>159.86038199999999</v>
      </c>
      <c r="G128" s="14">
        <v>31423900</v>
      </c>
      <c r="H128" s="14">
        <f t="shared" si="1"/>
        <v>-2.2020347592266121E-2</v>
      </c>
    </row>
    <row r="129" spans="1:8" x14ac:dyDescent="0.25">
      <c r="A129" s="46">
        <v>44747</v>
      </c>
      <c r="B129" s="14">
        <v>158.13999899999999</v>
      </c>
      <c r="C129" s="14">
        <v>168.25</v>
      </c>
      <c r="D129" s="14">
        <v>157.020004</v>
      </c>
      <c r="E129" s="14">
        <v>168.19000199999999</v>
      </c>
      <c r="F129" s="14">
        <v>168.01173399999999</v>
      </c>
      <c r="G129" s="14">
        <v>28618600</v>
      </c>
      <c r="H129" s="14">
        <f t="shared" si="1"/>
        <v>3.2580709677419439E-3</v>
      </c>
    </row>
    <row r="130" spans="1:8" x14ac:dyDescent="0.25">
      <c r="A130" s="46">
        <v>44748</v>
      </c>
      <c r="B130" s="14">
        <v>168.199997</v>
      </c>
      <c r="C130" s="14">
        <v>171.58999600000001</v>
      </c>
      <c r="D130" s="14">
        <v>165.46000699999999</v>
      </c>
      <c r="E130" s="14">
        <v>169.770004</v>
      </c>
      <c r="F130" s="14">
        <v>169.59007299999999</v>
      </c>
      <c r="G130" s="14">
        <v>23085900</v>
      </c>
      <c r="H130" s="14">
        <f t="shared" si="1"/>
        <v>5.3751132244271194E-2</v>
      </c>
    </row>
    <row r="131" spans="1:8" x14ac:dyDescent="0.25">
      <c r="A131" s="46">
        <v>44749</v>
      </c>
      <c r="B131" s="14">
        <v>169.449997</v>
      </c>
      <c r="C131" s="14">
        <v>172.720001</v>
      </c>
      <c r="D131" s="14">
        <v>167.779999</v>
      </c>
      <c r="E131" s="14">
        <v>172.19000199999999</v>
      </c>
      <c r="F131" s="14">
        <v>172.007507</v>
      </c>
      <c r="G131" s="14">
        <v>24083400</v>
      </c>
      <c r="H131" s="14">
        <f t="shared" si="1"/>
        <v>1.4021466830954621E-2</v>
      </c>
    </row>
    <row r="132" spans="1:8" x14ac:dyDescent="0.25">
      <c r="A132" s="46">
        <v>44750</v>
      </c>
      <c r="B132" s="14">
        <v>169.979996</v>
      </c>
      <c r="C132" s="14">
        <v>172.39999399999999</v>
      </c>
      <c r="D132" s="14">
        <v>168.14999399999999</v>
      </c>
      <c r="E132" s="14">
        <v>170.88000500000001</v>
      </c>
      <c r="F132" s="14">
        <v>170.69889800000001</v>
      </c>
      <c r="G132" s="14">
        <v>19249200</v>
      </c>
      <c r="H132" s="14">
        <f t="shared" ref="H132:H195" si="2">(D132/D131-1)/(A132-A131)</f>
        <v>2.2052390166005242E-3</v>
      </c>
    </row>
    <row r="133" spans="1:8" x14ac:dyDescent="0.25">
      <c r="A133" s="46">
        <v>44753</v>
      </c>
      <c r="B133" s="14">
        <v>167.070007</v>
      </c>
      <c r="C133" s="14">
        <v>167.490005</v>
      </c>
      <c r="D133" s="14">
        <v>161.91000399999999</v>
      </c>
      <c r="E133" s="14">
        <v>162.88000500000001</v>
      </c>
      <c r="F133" s="14">
        <v>162.707367</v>
      </c>
      <c r="G133" s="14">
        <v>21885600</v>
      </c>
      <c r="H133" s="14">
        <f t="shared" si="2"/>
        <v>-1.2369888438215884E-2</v>
      </c>
    </row>
    <row r="134" spans="1:8" x14ac:dyDescent="0.25">
      <c r="A134" s="46">
        <v>44754</v>
      </c>
      <c r="B134" s="14">
        <v>164.800003</v>
      </c>
      <c r="C134" s="14">
        <v>165.91000399999999</v>
      </c>
      <c r="D134" s="14">
        <v>162.10000600000001</v>
      </c>
      <c r="E134" s="14">
        <v>163.270004</v>
      </c>
      <c r="F134" s="14">
        <v>163.09695400000001</v>
      </c>
      <c r="G134" s="14">
        <v>16639700</v>
      </c>
      <c r="H134" s="14">
        <f t="shared" si="2"/>
        <v>1.1735037694151629E-3</v>
      </c>
    </row>
    <row r="135" spans="1:8" x14ac:dyDescent="0.25">
      <c r="A135" s="46">
        <v>44755</v>
      </c>
      <c r="B135" s="14">
        <v>160.16000399999999</v>
      </c>
      <c r="C135" s="14">
        <v>164.979996</v>
      </c>
      <c r="D135" s="14">
        <v>159.61000100000001</v>
      </c>
      <c r="E135" s="14">
        <v>163.490005</v>
      </c>
      <c r="F135" s="14">
        <v>163.31672699999999</v>
      </c>
      <c r="G135" s="14">
        <v>16555100</v>
      </c>
      <c r="H135" s="14">
        <f t="shared" si="2"/>
        <v>-1.536091861711586E-2</v>
      </c>
    </row>
    <row r="136" spans="1:8" x14ac:dyDescent="0.25">
      <c r="A136" s="46">
        <v>44756</v>
      </c>
      <c r="B136" s="14">
        <v>161.220001</v>
      </c>
      <c r="C136" s="14">
        <v>162.58999600000001</v>
      </c>
      <c r="D136" s="14">
        <v>157.279999</v>
      </c>
      <c r="E136" s="14">
        <v>158.050003</v>
      </c>
      <c r="F136" s="14">
        <v>157.88249200000001</v>
      </c>
      <c r="G136" s="14">
        <v>23765200</v>
      </c>
      <c r="H136" s="14">
        <f t="shared" si="2"/>
        <v>-1.4598095265972777E-2</v>
      </c>
    </row>
    <row r="137" spans="1:8" x14ac:dyDescent="0.25">
      <c r="A137" s="46">
        <v>44757</v>
      </c>
      <c r="B137" s="14">
        <v>160.53999300000001</v>
      </c>
      <c r="C137" s="14">
        <v>164.979996</v>
      </c>
      <c r="D137" s="14">
        <v>159.820007</v>
      </c>
      <c r="E137" s="14">
        <v>164.699997</v>
      </c>
      <c r="F137" s="14">
        <v>164.52543600000001</v>
      </c>
      <c r="G137" s="14">
        <v>23342800</v>
      </c>
      <c r="H137" s="14">
        <f t="shared" si="2"/>
        <v>1.6149593185081246E-2</v>
      </c>
    </row>
    <row r="138" spans="1:8" x14ac:dyDescent="0.25">
      <c r="A138" s="46">
        <v>44760</v>
      </c>
      <c r="B138" s="14">
        <v>166.75</v>
      </c>
      <c r="C138" s="14">
        <v>171.69000199999999</v>
      </c>
      <c r="D138" s="14">
        <v>165.63999899999999</v>
      </c>
      <c r="E138" s="14">
        <v>167.229996</v>
      </c>
      <c r="F138" s="14">
        <v>167.05275</v>
      </c>
      <c r="G138" s="14">
        <v>23574300</v>
      </c>
      <c r="H138" s="14">
        <f t="shared" si="2"/>
        <v>1.2138638770885132E-2</v>
      </c>
    </row>
    <row r="139" spans="1:8" x14ac:dyDescent="0.25">
      <c r="A139" s="46">
        <v>44761</v>
      </c>
      <c r="B139" s="14">
        <v>170.36999499999999</v>
      </c>
      <c r="C139" s="14">
        <v>176.490005</v>
      </c>
      <c r="D139" s="14">
        <v>169.509995</v>
      </c>
      <c r="E139" s="14">
        <v>175.779999</v>
      </c>
      <c r="F139" s="14">
        <v>175.59368900000001</v>
      </c>
      <c r="G139" s="14">
        <v>25933700</v>
      </c>
      <c r="H139" s="14">
        <f t="shared" si="2"/>
        <v>2.3363897750325435E-2</v>
      </c>
    </row>
    <row r="140" spans="1:8" x14ac:dyDescent="0.25">
      <c r="A140" s="46">
        <v>44762</v>
      </c>
      <c r="B140" s="14">
        <v>177.490005</v>
      </c>
      <c r="C140" s="14">
        <v>183.60000600000001</v>
      </c>
      <c r="D140" s="14">
        <v>176.699997</v>
      </c>
      <c r="E140" s="14">
        <v>183.08999600000001</v>
      </c>
      <c r="F140" s="14">
        <v>182.89593500000001</v>
      </c>
      <c r="G140" s="14">
        <v>24784300</v>
      </c>
      <c r="H140" s="14">
        <f t="shared" si="2"/>
        <v>4.2416389664809984E-2</v>
      </c>
    </row>
    <row r="141" spans="1:8" x14ac:dyDescent="0.25">
      <c r="A141" s="46">
        <v>44763</v>
      </c>
      <c r="B141" s="14">
        <v>180.63000500000001</v>
      </c>
      <c r="C141" s="14">
        <v>183.85000600000001</v>
      </c>
      <c r="D141" s="14">
        <v>178.86999499999999</v>
      </c>
      <c r="E141" s="14">
        <v>183.16999799999999</v>
      </c>
      <c r="F141" s="14">
        <v>182.97586100000001</v>
      </c>
      <c r="G141" s="14">
        <v>27195800</v>
      </c>
      <c r="H141" s="14">
        <f t="shared" si="2"/>
        <v>1.22806906442674E-2</v>
      </c>
    </row>
    <row r="142" spans="1:8" x14ac:dyDescent="0.25">
      <c r="A142" s="46">
        <v>44764</v>
      </c>
      <c r="B142" s="14">
        <v>173.070007</v>
      </c>
      <c r="C142" s="14">
        <v>175.60000600000001</v>
      </c>
      <c r="D142" s="14">
        <v>168.41000399999999</v>
      </c>
      <c r="E142" s="14">
        <v>169.270004</v>
      </c>
      <c r="F142" s="14">
        <v>169.09059099999999</v>
      </c>
      <c r="G142" s="14">
        <v>42583900</v>
      </c>
      <c r="H142" s="14">
        <f t="shared" si="2"/>
        <v>-5.8478175727572412E-2</v>
      </c>
    </row>
    <row r="143" spans="1:8" x14ac:dyDescent="0.25">
      <c r="A143" s="46">
        <v>44767</v>
      </c>
      <c r="B143" s="14">
        <v>169</v>
      </c>
      <c r="C143" s="14">
        <v>170.570007</v>
      </c>
      <c r="D143" s="14">
        <v>164.80999800000001</v>
      </c>
      <c r="E143" s="14">
        <v>166.64999399999999</v>
      </c>
      <c r="F143" s="14">
        <v>166.47335799999999</v>
      </c>
      <c r="G143" s="14">
        <v>26166300</v>
      </c>
      <c r="H143" s="14">
        <f t="shared" si="2"/>
        <v>-7.125479315349903E-3</v>
      </c>
    </row>
    <row r="144" spans="1:8" x14ac:dyDescent="0.25">
      <c r="A144" s="46">
        <v>44768</v>
      </c>
      <c r="B144" s="14">
        <v>165.94000199999999</v>
      </c>
      <c r="C144" s="14">
        <v>166</v>
      </c>
      <c r="D144" s="14">
        <v>157.949997</v>
      </c>
      <c r="E144" s="14">
        <v>159.14999399999999</v>
      </c>
      <c r="F144" s="14">
        <v>158.98130800000001</v>
      </c>
      <c r="G144" s="14">
        <v>28468400</v>
      </c>
      <c r="H144" s="14">
        <f t="shared" si="2"/>
        <v>-4.1623694455721116E-2</v>
      </c>
    </row>
    <row r="145" spans="1:8" x14ac:dyDescent="0.25">
      <c r="A145" s="46">
        <v>44769</v>
      </c>
      <c r="B145" s="14">
        <v>162.58999600000001</v>
      </c>
      <c r="C145" s="14">
        <v>170.86999499999999</v>
      </c>
      <c r="D145" s="14">
        <v>162.020004</v>
      </c>
      <c r="E145" s="14">
        <v>169.58000200000001</v>
      </c>
      <c r="F145" s="14">
        <v>169.40026900000001</v>
      </c>
      <c r="G145" s="14">
        <v>43846600</v>
      </c>
      <c r="H145" s="14">
        <f t="shared" si="2"/>
        <v>2.5767692797107111E-2</v>
      </c>
    </row>
    <row r="146" spans="1:8" x14ac:dyDescent="0.25">
      <c r="A146" s="46">
        <v>44770</v>
      </c>
      <c r="B146" s="14">
        <v>161.05999800000001</v>
      </c>
      <c r="C146" s="14">
        <v>161.509995</v>
      </c>
      <c r="D146" s="14">
        <v>154.85000600000001</v>
      </c>
      <c r="E146" s="14">
        <v>160.720001</v>
      </c>
      <c r="F146" s="14">
        <v>160.54965200000001</v>
      </c>
      <c r="G146" s="14">
        <v>73214300</v>
      </c>
      <c r="H146" s="14">
        <f t="shared" si="2"/>
        <v>-4.4253782390969443E-2</v>
      </c>
    </row>
    <row r="147" spans="1:8" x14ac:dyDescent="0.25">
      <c r="A147" s="46">
        <v>44771</v>
      </c>
      <c r="B147" s="14">
        <v>157.69000199999999</v>
      </c>
      <c r="C147" s="14">
        <v>160.13999899999999</v>
      </c>
      <c r="D147" s="14">
        <v>155.16999799999999</v>
      </c>
      <c r="E147" s="14">
        <v>159.10000600000001</v>
      </c>
      <c r="F147" s="14">
        <v>158.93138099999999</v>
      </c>
      <c r="G147" s="14">
        <v>42065400</v>
      </c>
      <c r="H147" s="14">
        <f t="shared" si="2"/>
        <v>2.0664642402401512E-3</v>
      </c>
    </row>
    <row r="148" spans="1:8" x14ac:dyDescent="0.25">
      <c r="A148" s="46">
        <v>44774</v>
      </c>
      <c r="B148" s="14">
        <v>157.25</v>
      </c>
      <c r="C148" s="14">
        <v>165.19000199999999</v>
      </c>
      <c r="D148" s="14">
        <v>155.229996</v>
      </c>
      <c r="E148" s="14">
        <v>159.929993</v>
      </c>
      <c r="F148" s="14">
        <v>159.76048299999999</v>
      </c>
      <c r="G148" s="14">
        <v>40596700</v>
      </c>
      <c r="H148" s="14">
        <f t="shared" si="2"/>
        <v>1.2888659915644141E-4</v>
      </c>
    </row>
    <row r="149" spans="1:8" x14ac:dyDescent="0.25">
      <c r="A149" s="46">
        <v>44775</v>
      </c>
      <c r="B149" s="14">
        <v>158.30999800000001</v>
      </c>
      <c r="C149" s="14">
        <v>162.240005</v>
      </c>
      <c r="D149" s="14">
        <v>158.009995</v>
      </c>
      <c r="E149" s="14">
        <v>160.19000199999999</v>
      </c>
      <c r="F149" s="14">
        <v>160.020218</v>
      </c>
      <c r="G149" s="14">
        <v>27374500</v>
      </c>
      <c r="H149" s="14">
        <f t="shared" si="2"/>
        <v>1.7908903379730834E-2</v>
      </c>
    </row>
    <row r="150" spans="1:8" x14ac:dyDescent="0.25">
      <c r="A150" s="46">
        <v>44776</v>
      </c>
      <c r="B150" s="14">
        <v>162.69000199999999</v>
      </c>
      <c r="C150" s="14">
        <v>169.53999300000001</v>
      </c>
      <c r="D150" s="14">
        <v>161.570007</v>
      </c>
      <c r="E150" s="14">
        <v>168.800003</v>
      </c>
      <c r="F150" s="14">
        <v>168.621094</v>
      </c>
      <c r="G150" s="14">
        <v>31721900</v>
      </c>
      <c r="H150" s="14">
        <f t="shared" si="2"/>
        <v>2.2530296263853389E-2</v>
      </c>
    </row>
    <row r="151" spans="1:8" x14ac:dyDescent="0.25">
      <c r="A151" s="46">
        <v>44777</v>
      </c>
      <c r="B151" s="14">
        <v>168.300003</v>
      </c>
      <c r="C151" s="14">
        <v>172.14999399999999</v>
      </c>
      <c r="D151" s="14">
        <v>166.800003</v>
      </c>
      <c r="E151" s="14">
        <v>170.570007</v>
      </c>
      <c r="F151" s="14">
        <v>170.38922099999999</v>
      </c>
      <c r="G151" s="14">
        <v>23938200</v>
      </c>
      <c r="H151" s="14">
        <f t="shared" si="2"/>
        <v>3.2369844484812171E-2</v>
      </c>
    </row>
    <row r="152" spans="1:8" x14ac:dyDescent="0.25">
      <c r="A152" s="46">
        <v>44778</v>
      </c>
      <c r="B152" s="14">
        <v>166.990005</v>
      </c>
      <c r="C152" s="14">
        <v>171.61000100000001</v>
      </c>
      <c r="D152" s="14">
        <v>165.800003</v>
      </c>
      <c r="E152" s="14">
        <v>167.11000100000001</v>
      </c>
      <c r="F152" s="14">
        <v>166.93287699999999</v>
      </c>
      <c r="G152" s="14">
        <v>25832700</v>
      </c>
      <c r="H152" s="14">
        <f t="shared" si="2"/>
        <v>-5.9952037291030047E-3</v>
      </c>
    </row>
    <row r="153" spans="1:8" x14ac:dyDescent="0.25">
      <c r="A153" s="46">
        <v>44781</v>
      </c>
      <c r="B153" s="14">
        <v>168</v>
      </c>
      <c r="C153" s="14">
        <v>177.509995</v>
      </c>
      <c r="D153" s="14">
        <v>167.13000500000001</v>
      </c>
      <c r="E153" s="14">
        <v>170.25</v>
      </c>
      <c r="F153" s="14">
        <v>170.06954999999999</v>
      </c>
      <c r="G153" s="14">
        <v>27299100</v>
      </c>
      <c r="H153" s="14">
        <f t="shared" si="2"/>
        <v>2.673908274899143E-3</v>
      </c>
    </row>
    <row r="154" spans="1:8" x14ac:dyDescent="0.25">
      <c r="A154" s="46">
        <v>44782</v>
      </c>
      <c r="B154" s="14">
        <v>168.949997</v>
      </c>
      <c r="C154" s="14">
        <v>169.529999</v>
      </c>
      <c r="D154" s="14">
        <v>166.60000600000001</v>
      </c>
      <c r="E154" s="14">
        <v>168.529999</v>
      </c>
      <c r="F154" s="14">
        <v>168.35137900000001</v>
      </c>
      <c r="G154" s="14">
        <v>18655100</v>
      </c>
      <c r="H154" s="14">
        <f t="shared" si="2"/>
        <v>-3.1711780299414905E-3</v>
      </c>
    </row>
    <row r="155" spans="1:8" x14ac:dyDescent="0.25">
      <c r="A155" s="46">
        <v>44783</v>
      </c>
      <c r="B155" s="14">
        <v>175.990005</v>
      </c>
      <c r="C155" s="14">
        <v>180.479996</v>
      </c>
      <c r="D155" s="14">
        <v>173.949997</v>
      </c>
      <c r="E155" s="14">
        <v>178.33999600000001</v>
      </c>
      <c r="F155" s="14">
        <v>178.15097</v>
      </c>
      <c r="G155" s="14">
        <v>30262100</v>
      </c>
      <c r="H155" s="14">
        <f t="shared" si="2"/>
        <v>4.4117591448346039E-2</v>
      </c>
    </row>
    <row r="156" spans="1:8" x14ac:dyDescent="0.25">
      <c r="A156" s="46">
        <v>44784</v>
      </c>
      <c r="B156" s="14">
        <v>179.71000699999999</v>
      </c>
      <c r="C156" s="14">
        <v>183.10000600000001</v>
      </c>
      <c r="D156" s="14">
        <v>176.36999499999999</v>
      </c>
      <c r="E156" s="14">
        <v>177.490005</v>
      </c>
      <c r="F156" s="14">
        <v>177.30188000000001</v>
      </c>
      <c r="G156" s="14">
        <v>24079100</v>
      </c>
      <c r="H156" s="14">
        <f t="shared" si="2"/>
        <v>1.3912032433090582E-2</v>
      </c>
    </row>
    <row r="157" spans="1:8" x14ac:dyDescent="0.25">
      <c r="A157" s="46">
        <v>44785</v>
      </c>
      <c r="B157" s="14">
        <v>180.80999800000001</v>
      </c>
      <c r="C157" s="14">
        <v>181.46000699999999</v>
      </c>
      <c r="D157" s="14">
        <v>178.91000399999999</v>
      </c>
      <c r="E157" s="14">
        <v>180.5</v>
      </c>
      <c r="F157" s="14">
        <v>180.308685</v>
      </c>
      <c r="G157" s="14">
        <v>21274000</v>
      </c>
      <c r="H157" s="14">
        <f t="shared" si="2"/>
        <v>1.4401593649758793E-2</v>
      </c>
    </row>
    <row r="158" spans="1:8" x14ac:dyDescent="0.25">
      <c r="A158" s="46">
        <v>44788</v>
      </c>
      <c r="B158" s="14">
        <v>178.96000699999999</v>
      </c>
      <c r="C158" s="14">
        <v>181.44000199999999</v>
      </c>
      <c r="D158" s="14">
        <v>178.199997</v>
      </c>
      <c r="E158" s="14">
        <v>180.88999899999999</v>
      </c>
      <c r="F158" s="14">
        <v>180.698273</v>
      </c>
      <c r="G158" s="14">
        <v>15878700</v>
      </c>
      <c r="H158" s="14">
        <f t="shared" si="2"/>
        <v>-1.3228382690103624E-3</v>
      </c>
    </row>
    <row r="159" spans="1:8" x14ac:dyDescent="0.25">
      <c r="A159" s="46">
        <v>44789</v>
      </c>
      <c r="B159" s="14">
        <v>179.44000199999999</v>
      </c>
      <c r="C159" s="14">
        <v>180.990005</v>
      </c>
      <c r="D159" s="14">
        <v>177.03999300000001</v>
      </c>
      <c r="E159" s="14">
        <v>179.470001</v>
      </c>
      <c r="F159" s="14">
        <v>179.279785</v>
      </c>
      <c r="G159" s="14">
        <v>21156700</v>
      </c>
      <c r="H159" s="14">
        <f t="shared" si="2"/>
        <v>-6.5095623991507923E-3</v>
      </c>
    </row>
    <row r="160" spans="1:8" x14ac:dyDescent="0.25">
      <c r="A160" s="46">
        <v>44790</v>
      </c>
      <c r="B160" s="14">
        <v>176.759995</v>
      </c>
      <c r="C160" s="14">
        <v>178.13999899999999</v>
      </c>
      <c r="D160" s="14">
        <v>174.16999799999999</v>
      </c>
      <c r="E160" s="14">
        <v>174.85000600000001</v>
      </c>
      <c r="F160" s="14">
        <v>174.66468800000001</v>
      </c>
      <c r="G160" s="14">
        <v>20118100</v>
      </c>
      <c r="H160" s="14">
        <f t="shared" si="2"/>
        <v>-1.6210998155654077E-2</v>
      </c>
    </row>
    <row r="161" spans="1:8" x14ac:dyDescent="0.25">
      <c r="A161" s="46">
        <v>44791</v>
      </c>
      <c r="B161" s="14">
        <v>174.33999600000001</v>
      </c>
      <c r="C161" s="14">
        <v>175.759995</v>
      </c>
      <c r="D161" s="14">
        <v>171.86000100000001</v>
      </c>
      <c r="E161" s="14">
        <v>174.66000399999999</v>
      </c>
      <c r="F161" s="14">
        <v>174.474884</v>
      </c>
      <c r="G161" s="14">
        <v>18844500</v>
      </c>
      <c r="H161" s="14">
        <f t="shared" si="2"/>
        <v>-1.3262886986999844E-2</v>
      </c>
    </row>
    <row r="162" spans="1:8" x14ac:dyDescent="0.25">
      <c r="A162" s="46">
        <v>44792</v>
      </c>
      <c r="B162" s="14">
        <v>170.199997</v>
      </c>
      <c r="C162" s="14">
        <v>172.320007</v>
      </c>
      <c r="D162" s="14">
        <v>167.050003</v>
      </c>
      <c r="E162" s="14">
        <v>167.96000699999999</v>
      </c>
      <c r="F162" s="14">
        <v>167.781982</v>
      </c>
      <c r="G162" s="14">
        <v>26240800</v>
      </c>
      <c r="H162" s="14">
        <f t="shared" si="2"/>
        <v>-2.7987885325335249E-2</v>
      </c>
    </row>
    <row r="163" spans="1:8" x14ac:dyDescent="0.25">
      <c r="A163" s="46">
        <v>44795</v>
      </c>
      <c r="B163" s="14">
        <v>165.490005</v>
      </c>
      <c r="C163" s="14">
        <v>165.490005</v>
      </c>
      <c r="D163" s="14">
        <v>162.259995</v>
      </c>
      <c r="E163" s="14">
        <v>163.050003</v>
      </c>
      <c r="F163" s="14">
        <v>162.877182</v>
      </c>
      <c r="G163" s="14">
        <v>19499700</v>
      </c>
      <c r="H163" s="14">
        <f t="shared" si="2"/>
        <v>-9.5580323535422815E-3</v>
      </c>
    </row>
    <row r="164" spans="1:8" x14ac:dyDescent="0.25">
      <c r="A164" s="46">
        <v>44796</v>
      </c>
      <c r="B164" s="14">
        <v>162.479996</v>
      </c>
      <c r="C164" s="14">
        <v>165.050003</v>
      </c>
      <c r="D164" s="14">
        <v>160.699997</v>
      </c>
      <c r="E164" s="14">
        <v>161.11000100000001</v>
      </c>
      <c r="F164" s="14">
        <v>160.93924000000001</v>
      </c>
      <c r="G164" s="14">
        <v>18111800</v>
      </c>
      <c r="H164" s="14">
        <f t="shared" si="2"/>
        <v>-9.614187403370833E-3</v>
      </c>
    </row>
    <row r="165" spans="1:8" x14ac:dyDescent="0.25">
      <c r="A165" s="46">
        <v>44797</v>
      </c>
      <c r="B165" s="14">
        <v>160.60000600000001</v>
      </c>
      <c r="C165" s="14">
        <v>165.46000699999999</v>
      </c>
      <c r="D165" s="14">
        <v>159.770004</v>
      </c>
      <c r="E165" s="14">
        <v>163.259995</v>
      </c>
      <c r="F165" s="14">
        <v>163.08696</v>
      </c>
      <c r="G165" s="14">
        <v>20891500</v>
      </c>
      <c r="H165" s="14">
        <f t="shared" si="2"/>
        <v>-5.7871376313715084E-3</v>
      </c>
    </row>
    <row r="166" spans="1:8" x14ac:dyDescent="0.25">
      <c r="A166" s="46">
        <v>44798</v>
      </c>
      <c r="B166" s="14">
        <v>165.179993</v>
      </c>
      <c r="C166" s="14">
        <v>168.88000500000001</v>
      </c>
      <c r="D166" s="14">
        <v>164.020004</v>
      </c>
      <c r="E166" s="14">
        <v>168.779999</v>
      </c>
      <c r="F166" s="14">
        <v>168.60110499999999</v>
      </c>
      <c r="G166" s="14">
        <v>15550500</v>
      </c>
      <c r="H166" s="14">
        <f t="shared" si="2"/>
        <v>2.6600737895706716E-2</v>
      </c>
    </row>
    <row r="167" spans="1:8" x14ac:dyDescent="0.25">
      <c r="A167" s="46">
        <v>44799</v>
      </c>
      <c r="B167" s="14">
        <v>168.479996</v>
      </c>
      <c r="C167" s="14">
        <v>170.91999799999999</v>
      </c>
      <c r="D167" s="14">
        <v>161.66999799999999</v>
      </c>
      <c r="E167" s="14">
        <v>161.779999</v>
      </c>
      <c r="F167" s="14">
        <v>161.60853599999999</v>
      </c>
      <c r="G167" s="14">
        <v>24023600</v>
      </c>
      <c r="H167" s="14">
        <f t="shared" si="2"/>
        <v>-1.4327557265515045E-2</v>
      </c>
    </row>
    <row r="168" spans="1:8" x14ac:dyDescent="0.25">
      <c r="A168" s="46">
        <v>44802</v>
      </c>
      <c r="B168" s="14">
        <v>160.66000399999999</v>
      </c>
      <c r="C168" s="14">
        <v>163.050003</v>
      </c>
      <c r="D168" s="14">
        <v>159.009995</v>
      </c>
      <c r="E168" s="14">
        <v>159.16999799999999</v>
      </c>
      <c r="F168" s="14">
        <v>159.00129699999999</v>
      </c>
      <c r="G168" s="14">
        <v>20052700</v>
      </c>
      <c r="H168" s="14">
        <f t="shared" si="2"/>
        <v>-5.4844292548742457E-3</v>
      </c>
    </row>
    <row r="169" spans="1:8" x14ac:dyDescent="0.25">
      <c r="A169" s="46">
        <v>44803</v>
      </c>
      <c r="B169" s="14">
        <v>160.35000600000001</v>
      </c>
      <c r="C169" s="14">
        <v>161.66000399999999</v>
      </c>
      <c r="D169" s="14">
        <v>155.91000399999999</v>
      </c>
      <c r="E169" s="14">
        <v>157.16000399999999</v>
      </c>
      <c r="F169" s="14">
        <v>156.993439</v>
      </c>
      <c r="G169" s="14">
        <v>19567900</v>
      </c>
      <c r="H169" s="14">
        <f t="shared" si="2"/>
        <v>-1.9495573218526352E-2</v>
      </c>
    </row>
    <row r="170" spans="1:8" x14ac:dyDescent="0.25">
      <c r="A170" s="46">
        <v>44804</v>
      </c>
      <c r="B170" s="14">
        <v>167.070007</v>
      </c>
      <c r="C170" s="14">
        <v>167.83999600000001</v>
      </c>
      <c r="D170" s="14">
        <v>162.13999899999999</v>
      </c>
      <c r="E170" s="14">
        <v>162.929993</v>
      </c>
      <c r="F170" s="14">
        <v>162.75730899999999</v>
      </c>
      <c r="G170" s="14">
        <v>40953000</v>
      </c>
      <c r="H170" s="14">
        <f t="shared" si="2"/>
        <v>3.9958917581709441E-2</v>
      </c>
    </row>
    <row r="171" spans="1:8" x14ac:dyDescent="0.25">
      <c r="A171" s="46">
        <v>44805</v>
      </c>
      <c r="B171" s="14">
        <v>163.58000200000001</v>
      </c>
      <c r="C171" s="14">
        <v>167.36000100000001</v>
      </c>
      <c r="D171" s="14">
        <v>160.35000600000001</v>
      </c>
      <c r="E171" s="14">
        <v>165.36000100000001</v>
      </c>
      <c r="F171" s="14">
        <v>165.18473800000001</v>
      </c>
      <c r="G171" s="14">
        <v>30145700</v>
      </c>
      <c r="H171" s="14">
        <f t="shared" si="2"/>
        <v>-1.1039799007276252E-2</v>
      </c>
    </row>
    <row r="172" spans="1:8" x14ac:dyDescent="0.25">
      <c r="A172" s="46">
        <v>44806</v>
      </c>
      <c r="B172" s="14">
        <v>167.449997</v>
      </c>
      <c r="C172" s="14">
        <v>167.929993</v>
      </c>
      <c r="D172" s="14">
        <v>159.220001</v>
      </c>
      <c r="E172" s="14">
        <v>160.320007</v>
      </c>
      <c r="F172" s="14">
        <v>160.15008499999999</v>
      </c>
      <c r="G172" s="14">
        <v>22634200</v>
      </c>
      <c r="H172" s="14">
        <f t="shared" si="2"/>
        <v>-7.0471154207503162E-3</v>
      </c>
    </row>
    <row r="173" spans="1:8" x14ac:dyDescent="0.25">
      <c r="A173" s="46">
        <v>44810</v>
      </c>
      <c r="B173" s="14">
        <v>160.10000600000001</v>
      </c>
      <c r="C173" s="14">
        <v>161.69000199999999</v>
      </c>
      <c r="D173" s="14">
        <v>157.69000199999999</v>
      </c>
      <c r="E173" s="14">
        <v>158.53999300000001</v>
      </c>
      <c r="F173" s="14">
        <v>158.37196399999999</v>
      </c>
      <c r="G173" s="14">
        <v>19339800</v>
      </c>
      <c r="H173" s="14">
        <f t="shared" si="2"/>
        <v>-2.4023348046581239E-3</v>
      </c>
    </row>
    <row r="174" spans="1:8" x14ac:dyDescent="0.25">
      <c r="A174" s="46">
        <v>44811</v>
      </c>
      <c r="B174" s="14">
        <v>157.759995</v>
      </c>
      <c r="C174" s="14">
        <v>160.96000699999999</v>
      </c>
      <c r="D174" s="14">
        <v>156.80999800000001</v>
      </c>
      <c r="E174" s="14">
        <v>160.38999899999999</v>
      </c>
      <c r="F174" s="14">
        <v>160.220001</v>
      </c>
      <c r="G174" s="14">
        <v>16831200</v>
      </c>
      <c r="H174" s="14">
        <f t="shared" si="2"/>
        <v>-5.5805947671938583E-3</v>
      </c>
    </row>
    <row r="175" spans="1:8" x14ac:dyDescent="0.25">
      <c r="A175" s="46">
        <v>44812</v>
      </c>
      <c r="B175" s="14">
        <v>158.71000699999999</v>
      </c>
      <c r="C175" s="14">
        <v>162.229996</v>
      </c>
      <c r="D175" s="14">
        <v>157.740005</v>
      </c>
      <c r="E175" s="14">
        <v>162.05999800000001</v>
      </c>
      <c r="F175" s="14">
        <v>161.888229</v>
      </c>
      <c r="G175" s="14">
        <v>22530800</v>
      </c>
      <c r="H175" s="14">
        <f t="shared" si="2"/>
        <v>5.9307889283946036E-3</v>
      </c>
    </row>
    <row r="176" spans="1:8" x14ac:dyDescent="0.25">
      <c r="A176" s="46">
        <v>44813</v>
      </c>
      <c r="B176" s="14">
        <v>163.25</v>
      </c>
      <c r="C176" s="14">
        <v>169.53999300000001</v>
      </c>
      <c r="D176" s="14">
        <v>163.020004</v>
      </c>
      <c r="E176" s="14">
        <v>169.14999399999999</v>
      </c>
      <c r="F176" s="14">
        <v>168.97071800000001</v>
      </c>
      <c r="G176" s="14">
        <v>22086800</v>
      </c>
      <c r="H176" s="14">
        <f t="shared" si="2"/>
        <v>3.34727959467227E-2</v>
      </c>
    </row>
    <row r="177" spans="1:8" x14ac:dyDescent="0.25">
      <c r="A177" s="46">
        <v>44816</v>
      </c>
      <c r="B177" s="14">
        <v>167.38999899999999</v>
      </c>
      <c r="C177" s="14">
        <v>171.38999899999999</v>
      </c>
      <c r="D177" s="14">
        <v>167.279999</v>
      </c>
      <c r="E177" s="14">
        <v>168.96000699999999</v>
      </c>
      <c r="F177" s="14">
        <v>168.78093000000001</v>
      </c>
      <c r="G177" s="14">
        <v>23220400</v>
      </c>
      <c r="H177" s="14">
        <f t="shared" si="2"/>
        <v>8.7105772205313681E-3</v>
      </c>
    </row>
    <row r="178" spans="1:8" x14ac:dyDescent="0.25">
      <c r="A178" s="46">
        <v>44817</v>
      </c>
      <c r="B178" s="14">
        <v>161.53999300000001</v>
      </c>
      <c r="C178" s="14">
        <v>161.63000500000001</v>
      </c>
      <c r="D178" s="14">
        <v>152.66999799999999</v>
      </c>
      <c r="E178" s="14">
        <v>153.13000500000001</v>
      </c>
      <c r="F178" s="14">
        <v>152.96769699999999</v>
      </c>
      <c r="G178" s="14">
        <v>44444100</v>
      </c>
      <c r="H178" s="14">
        <f t="shared" si="2"/>
        <v>-8.7338600474286321E-2</v>
      </c>
    </row>
    <row r="179" spans="1:8" x14ac:dyDescent="0.25">
      <c r="A179" s="46">
        <v>44818</v>
      </c>
      <c r="B179" s="14">
        <v>153.33000200000001</v>
      </c>
      <c r="C179" s="14">
        <v>153.53999300000001</v>
      </c>
      <c r="D179" s="14">
        <v>149.050003</v>
      </c>
      <c r="E179" s="14">
        <v>151.470001</v>
      </c>
      <c r="F179" s="14">
        <v>151.30946399999999</v>
      </c>
      <c r="G179" s="14">
        <v>43064200</v>
      </c>
      <c r="H179" s="14">
        <f t="shared" si="2"/>
        <v>-2.3711240239879916E-2</v>
      </c>
    </row>
    <row r="180" spans="1:8" x14ac:dyDescent="0.25">
      <c r="A180" s="46">
        <v>44819</v>
      </c>
      <c r="B180" s="14">
        <v>149.800003</v>
      </c>
      <c r="C180" s="14">
        <v>154.199997</v>
      </c>
      <c r="D180" s="14">
        <v>148.699997</v>
      </c>
      <c r="E180" s="14">
        <v>149.550003</v>
      </c>
      <c r="F180" s="14">
        <v>149.39149499999999</v>
      </c>
      <c r="G180" s="14">
        <v>34606300</v>
      </c>
      <c r="H180" s="14">
        <f t="shared" si="2"/>
        <v>-2.3482455079186781E-3</v>
      </c>
    </row>
    <row r="181" spans="1:8" x14ac:dyDescent="0.25">
      <c r="A181" s="46">
        <v>44820</v>
      </c>
      <c r="B181" s="14">
        <v>148.050003</v>
      </c>
      <c r="C181" s="14">
        <v>148.58000200000001</v>
      </c>
      <c r="D181" s="14">
        <v>144.28999300000001</v>
      </c>
      <c r="E181" s="14">
        <v>146.28999300000001</v>
      </c>
      <c r="F181" s="14">
        <v>146.13494900000001</v>
      </c>
      <c r="G181" s="14">
        <v>40122800</v>
      </c>
      <c r="H181" s="14">
        <f t="shared" si="2"/>
        <v>-2.9657055070417937E-2</v>
      </c>
    </row>
    <row r="182" spans="1:8" x14ac:dyDescent="0.25">
      <c r="A182" s="46">
        <v>44823</v>
      </c>
      <c r="B182" s="14">
        <v>145.240005</v>
      </c>
      <c r="C182" s="14">
        <v>148.58000200000001</v>
      </c>
      <c r="D182" s="14">
        <v>145.10000600000001</v>
      </c>
      <c r="E182" s="14">
        <v>148.020004</v>
      </c>
      <c r="F182" s="14">
        <v>147.863113</v>
      </c>
      <c r="G182" s="14">
        <v>22169500</v>
      </c>
      <c r="H182" s="14">
        <f t="shared" si="2"/>
        <v>1.8712616704703589E-3</v>
      </c>
    </row>
    <row r="183" spans="1:8" x14ac:dyDescent="0.25">
      <c r="A183" s="46">
        <v>44824</v>
      </c>
      <c r="B183" s="14">
        <v>145.779999</v>
      </c>
      <c r="C183" s="14">
        <v>148.83999600000001</v>
      </c>
      <c r="D183" s="14">
        <v>145.220001</v>
      </c>
      <c r="E183" s="14">
        <v>146.08999600000001</v>
      </c>
      <c r="F183" s="14">
        <v>145.93514999999999</v>
      </c>
      <c r="G183" s="14">
        <v>23217400</v>
      </c>
      <c r="H183" s="14">
        <f t="shared" si="2"/>
        <v>8.2698135794689875E-4</v>
      </c>
    </row>
    <row r="184" spans="1:8" x14ac:dyDescent="0.25">
      <c r="A184" s="46">
        <v>44825</v>
      </c>
      <c r="B184" s="14">
        <v>146.38999899999999</v>
      </c>
      <c r="C184" s="14">
        <v>149.60000600000001</v>
      </c>
      <c r="D184" s="14">
        <v>142</v>
      </c>
      <c r="E184" s="14">
        <v>142.11999499999999</v>
      </c>
      <c r="F184" s="14">
        <v>141.96935999999999</v>
      </c>
      <c r="G184" s="14">
        <v>38338600</v>
      </c>
      <c r="H184" s="14">
        <f t="shared" si="2"/>
        <v>-2.2173261106092412E-2</v>
      </c>
    </row>
    <row r="185" spans="1:8" x14ac:dyDescent="0.25">
      <c r="A185" s="46">
        <v>44826</v>
      </c>
      <c r="B185" s="14">
        <v>141.550003</v>
      </c>
      <c r="C185" s="14">
        <v>144.58000200000001</v>
      </c>
      <c r="D185" s="14">
        <v>140.86999499999999</v>
      </c>
      <c r="E185" s="14">
        <v>142.820007</v>
      </c>
      <c r="F185" s="14">
        <v>142.66864000000001</v>
      </c>
      <c r="G185" s="14">
        <v>34418500</v>
      </c>
      <c r="H185" s="14">
        <f t="shared" si="2"/>
        <v>-7.9577816901409415E-3</v>
      </c>
    </row>
    <row r="186" spans="1:8" x14ac:dyDescent="0.25">
      <c r="A186" s="46">
        <v>44827</v>
      </c>
      <c r="B186" s="14">
        <v>141.41999799999999</v>
      </c>
      <c r="C186" s="14">
        <v>142.61999499999999</v>
      </c>
      <c r="D186" s="14">
        <v>138.88999899999999</v>
      </c>
      <c r="E186" s="14">
        <v>140.41000399999999</v>
      </c>
      <c r="F186" s="14">
        <v>140.26118500000001</v>
      </c>
      <c r="G186" s="14">
        <v>31710700</v>
      </c>
      <c r="H186" s="14">
        <f t="shared" si="2"/>
        <v>-1.4055484278252428E-2</v>
      </c>
    </row>
    <row r="187" spans="1:8" x14ac:dyDescent="0.25">
      <c r="A187" s="46">
        <v>44830</v>
      </c>
      <c r="B187" s="14">
        <v>140.11999499999999</v>
      </c>
      <c r="C187" s="14">
        <v>142.240005</v>
      </c>
      <c r="D187" s="14">
        <v>136.19000199999999</v>
      </c>
      <c r="E187" s="14">
        <v>136.36999499999999</v>
      </c>
      <c r="F187" s="14">
        <v>136.22546399999999</v>
      </c>
      <c r="G187" s="14">
        <v>30497000</v>
      </c>
      <c r="H187" s="14">
        <f t="shared" si="2"/>
        <v>-6.4799410071274917E-3</v>
      </c>
    </row>
    <row r="188" spans="1:8" x14ac:dyDescent="0.25">
      <c r="A188" s="46">
        <v>44831</v>
      </c>
      <c r="B188" s="14">
        <v>137.91999799999999</v>
      </c>
      <c r="C188" s="14">
        <v>139.41999799999999</v>
      </c>
      <c r="D188" s="14">
        <v>134.11999499999999</v>
      </c>
      <c r="E188" s="14">
        <v>134.39999399999999</v>
      </c>
      <c r="F188" s="14">
        <v>134.25753800000001</v>
      </c>
      <c r="G188" s="14">
        <v>30826500</v>
      </c>
      <c r="H188" s="14">
        <f t="shared" si="2"/>
        <v>-1.5199405019466927E-2</v>
      </c>
    </row>
    <row r="189" spans="1:8" x14ac:dyDescent="0.25">
      <c r="A189" s="46">
        <v>44832</v>
      </c>
      <c r="B189" s="14">
        <v>134.61999499999999</v>
      </c>
      <c r="C189" s="14">
        <v>142.029999</v>
      </c>
      <c r="D189" s="14">
        <v>134.270004</v>
      </c>
      <c r="E189" s="14">
        <v>141.61000100000001</v>
      </c>
      <c r="F189" s="14">
        <v>141.459915</v>
      </c>
      <c r="G189" s="14">
        <v>32658500</v>
      </c>
      <c r="H189" s="14">
        <f t="shared" si="2"/>
        <v>1.11846857733644E-3</v>
      </c>
    </row>
    <row r="190" spans="1:8" x14ac:dyDescent="0.25">
      <c r="A190" s="46">
        <v>44833</v>
      </c>
      <c r="B190" s="14">
        <v>139.36000100000001</v>
      </c>
      <c r="C190" s="14">
        <v>139.83999600000001</v>
      </c>
      <c r="D190" s="14">
        <v>135.199997</v>
      </c>
      <c r="E190" s="14">
        <v>136.41000399999999</v>
      </c>
      <c r="F190" s="14">
        <v>136.26542699999999</v>
      </c>
      <c r="G190" s="14">
        <v>38985400</v>
      </c>
      <c r="H190" s="14">
        <f t="shared" si="2"/>
        <v>6.9262901042290714E-3</v>
      </c>
    </row>
    <row r="191" spans="1:8" x14ac:dyDescent="0.25">
      <c r="A191" s="46">
        <v>44834</v>
      </c>
      <c r="B191" s="14">
        <v>136.050003</v>
      </c>
      <c r="C191" s="14">
        <v>140.990005</v>
      </c>
      <c r="D191" s="14">
        <v>135.5</v>
      </c>
      <c r="E191" s="14">
        <v>135.679993</v>
      </c>
      <c r="F191" s="14">
        <v>135.53619399999999</v>
      </c>
      <c r="G191" s="14">
        <v>33166400</v>
      </c>
      <c r="H191" s="14">
        <f t="shared" si="2"/>
        <v>2.2189571498290039E-3</v>
      </c>
    </row>
    <row r="192" spans="1:8" x14ac:dyDescent="0.25">
      <c r="A192" s="46">
        <v>44837</v>
      </c>
      <c r="B192" s="14">
        <v>137.13999899999999</v>
      </c>
      <c r="C192" s="14">
        <v>139.61999499999999</v>
      </c>
      <c r="D192" s="14">
        <v>136.10000600000001</v>
      </c>
      <c r="E192" s="14">
        <v>138.61000100000001</v>
      </c>
      <c r="F192" s="14">
        <v>138.463089</v>
      </c>
      <c r="G192" s="14">
        <v>27723100</v>
      </c>
      <c r="H192" s="14">
        <f t="shared" si="2"/>
        <v>1.4760295202952041E-3</v>
      </c>
    </row>
    <row r="193" spans="1:8" x14ac:dyDescent="0.25">
      <c r="A193" s="46">
        <v>44838</v>
      </c>
      <c r="B193" s="14">
        <v>140.490005</v>
      </c>
      <c r="C193" s="14">
        <v>142.38999899999999</v>
      </c>
      <c r="D193" s="14">
        <v>139.33999600000001</v>
      </c>
      <c r="E193" s="14">
        <v>140.279999</v>
      </c>
      <c r="F193" s="14">
        <v>140.131317</v>
      </c>
      <c r="G193" s="14">
        <v>34670700</v>
      </c>
      <c r="H193" s="14">
        <f t="shared" si="2"/>
        <v>2.380595045675471E-2</v>
      </c>
    </row>
    <row r="194" spans="1:8" x14ac:dyDescent="0.25">
      <c r="A194" s="46">
        <v>44839</v>
      </c>
      <c r="B194" s="14">
        <v>138.240005</v>
      </c>
      <c r="C194" s="14">
        <v>140.21000699999999</v>
      </c>
      <c r="D194" s="14">
        <v>134.779999</v>
      </c>
      <c r="E194" s="14">
        <v>138.979996</v>
      </c>
      <c r="F194" s="14">
        <v>138.83268699999999</v>
      </c>
      <c r="G194" s="14">
        <v>27979300</v>
      </c>
      <c r="H194" s="14">
        <f t="shared" si="2"/>
        <v>-3.2725686313354041E-2</v>
      </c>
    </row>
    <row r="195" spans="1:8" x14ac:dyDescent="0.25">
      <c r="A195" s="46">
        <v>44840</v>
      </c>
      <c r="B195" s="14">
        <v>137.720001</v>
      </c>
      <c r="C195" s="14">
        <v>141.449997</v>
      </c>
      <c r="D195" s="14">
        <v>136.60000600000001</v>
      </c>
      <c r="E195" s="14">
        <v>139.070007</v>
      </c>
      <c r="F195" s="14">
        <v>138.922607</v>
      </c>
      <c r="G195" s="14">
        <v>36231100</v>
      </c>
      <c r="H195" s="14">
        <f t="shared" si="2"/>
        <v>1.3503539200946379E-2</v>
      </c>
    </row>
    <row r="196" spans="1:8" x14ac:dyDescent="0.25">
      <c r="A196" s="46">
        <v>44841</v>
      </c>
      <c r="B196" s="14">
        <v>136.759995</v>
      </c>
      <c r="C196" s="14">
        <v>138.28999300000001</v>
      </c>
      <c r="D196" s="14">
        <v>132.44000199999999</v>
      </c>
      <c r="E196" s="14">
        <v>133.449997</v>
      </c>
      <c r="F196" s="14">
        <v>133.308548</v>
      </c>
      <c r="G196" s="14">
        <v>33214800</v>
      </c>
      <c r="H196" s="14">
        <f t="shared" ref="H196:H259" si="3">(D196/D195-1)/(A196-A195)</f>
        <v>-3.0453907886358489E-2</v>
      </c>
    </row>
    <row r="197" spans="1:8" x14ac:dyDescent="0.25">
      <c r="A197" s="46">
        <v>44844</v>
      </c>
      <c r="B197" s="14">
        <v>133.550003</v>
      </c>
      <c r="C197" s="14">
        <v>136.11000100000001</v>
      </c>
      <c r="D197" s="14">
        <v>131.86999499999999</v>
      </c>
      <c r="E197" s="14">
        <v>133.78999300000001</v>
      </c>
      <c r="F197" s="14">
        <v>133.64819299999999</v>
      </c>
      <c r="G197" s="14">
        <v>24024000</v>
      </c>
      <c r="H197" s="14">
        <f t="shared" si="3"/>
        <v>-1.4346294961044743E-3</v>
      </c>
    </row>
    <row r="198" spans="1:8" x14ac:dyDescent="0.25">
      <c r="A198" s="46">
        <v>44845</v>
      </c>
      <c r="B198" s="14">
        <v>131.61999499999999</v>
      </c>
      <c r="C198" s="14">
        <v>132.66000399999999</v>
      </c>
      <c r="D198" s="14">
        <v>126.989998</v>
      </c>
      <c r="E198" s="14">
        <v>128.53999300000001</v>
      </c>
      <c r="F198" s="14">
        <v>128.40374800000001</v>
      </c>
      <c r="G198" s="14">
        <v>38481400</v>
      </c>
      <c r="H198" s="14">
        <f t="shared" si="3"/>
        <v>-3.7006121066433528E-2</v>
      </c>
    </row>
    <row r="199" spans="1:8" x14ac:dyDescent="0.25">
      <c r="A199" s="46">
        <v>44846</v>
      </c>
      <c r="B199" s="14">
        <v>128.320007</v>
      </c>
      <c r="C199" s="14">
        <v>129.66999799999999</v>
      </c>
      <c r="D199" s="14">
        <v>126.25</v>
      </c>
      <c r="E199" s="14">
        <v>127.5</v>
      </c>
      <c r="F199" s="14">
        <v>127.364861</v>
      </c>
      <c r="G199" s="14">
        <v>34605200</v>
      </c>
      <c r="H199" s="14">
        <f t="shared" si="3"/>
        <v>-5.8272148330925644E-3</v>
      </c>
    </row>
    <row r="200" spans="1:8" x14ac:dyDescent="0.25">
      <c r="A200" s="46">
        <v>44847</v>
      </c>
      <c r="B200" s="14">
        <v>123.529999</v>
      </c>
      <c r="C200" s="14">
        <v>131.13999899999999</v>
      </c>
      <c r="D200" s="14">
        <v>122.529999</v>
      </c>
      <c r="E200" s="14">
        <v>130.28999300000001</v>
      </c>
      <c r="F200" s="14">
        <v>130.15190100000001</v>
      </c>
      <c r="G200" s="14">
        <v>34325700</v>
      </c>
      <c r="H200" s="14">
        <f t="shared" si="3"/>
        <v>-2.9465354455445514E-2</v>
      </c>
    </row>
    <row r="201" spans="1:8" x14ac:dyDescent="0.25">
      <c r="A201" s="46">
        <v>44848</v>
      </c>
      <c r="B201" s="14">
        <v>131</v>
      </c>
      <c r="C201" s="14">
        <v>131.78999300000001</v>
      </c>
      <c r="D201" s="14">
        <v>126.519997</v>
      </c>
      <c r="E201" s="14">
        <v>126.760002</v>
      </c>
      <c r="F201" s="14">
        <v>126.625648</v>
      </c>
      <c r="G201" s="14">
        <v>23559400</v>
      </c>
      <c r="H201" s="14">
        <f t="shared" si="3"/>
        <v>3.2563437791262917E-2</v>
      </c>
    </row>
    <row r="202" spans="1:8" x14ac:dyDescent="0.25">
      <c r="A202" s="46">
        <v>44851</v>
      </c>
      <c r="B202" s="14">
        <v>130.300003</v>
      </c>
      <c r="C202" s="14">
        <v>134.78999300000001</v>
      </c>
      <c r="D202" s="14">
        <v>130.179993</v>
      </c>
      <c r="E202" s="14">
        <v>134.03999300000001</v>
      </c>
      <c r="F202" s="14">
        <v>133.897919</v>
      </c>
      <c r="G202" s="14">
        <v>29612200</v>
      </c>
      <c r="H202" s="14">
        <f t="shared" si="3"/>
        <v>9.6427339202882489E-3</v>
      </c>
    </row>
    <row r="203" spans="1:8" x14ac:dyDescent="0.25">
      <c r="A203" s="46">
        <v>44852</v>
      </c>
      <c r="B203" s="14">
        <v>137.08999600000001</v>
      </c>
      <c r="C203" s="14">
        <v>137.83999600000001</v>
      </c>
      <c r="D203" s="14">
        <v>131.39999399999999</v>
      </c>
      <c r="E203" s="14">
        <v>132.800003</v>
      </c>
      <c r="F203" s="14">
        <v>132.659256</v>
      </c>
      <c r="G203" s="14">
        <v>25445000</v>
      </c>
      <c r="H203" s="14">
        <f t="shared" si="3"/>
        <v>9.3716474543057426E-3</v>
      </c>
    </row>
    <row r="204" spans="1:8" x14ac:dyDescent="0.25">
      <c r="A204" s="46">
        <v>44853</v>
      </c>
      <c r="B204" s="14">
        <v>132.88999899999999</v>
      </c>
      <c r="C204" s="14">
        <v>137</v>
      </c>
      <c r="D204" s="14">
        <v>132.220001</v>
      </c>
      <c r="E204" s="14">
        <v>133.229996</v>
      </c>
      <c r="F204" s="14">
        <v>133.08879099999999</v>
      </c>
      <c r="G204" s="14">
        <v>30691000</v>
      </c>
      <c r="H204" s="14">
        <f t="shared" si="3"/>
        <v>6.2405406198116076E-3</v>
      </c>
    </row>
    <row r="205" spans="1:8" x14ac:dyDescent="0.25">
      <c r="A205" s="46">
        <v>44854</v>
      </c>
      <c r="B205" s="14">
        <v>132.929993</v>
      </c>
      <c r="C205" s="14">
        <v>136.770004</v>
      </c>
      <c r="D205" s="14">
        <v>131.30999800000001</v>
      </c>
      <c r="E205" s="14">
        <v>131.529999</v>
      </c>
      <c r="F205" s="14">
        <v>131.39059399999999</v>
      </c>
      <c r="G205" s="14">
        <v>26356300</v>
      </c>
      <c r="H205" s="14">
        <f t="shared" si="3"/>
        <v>-6.8824912503213653E-3</v>
      </c>
    </row>
    <row r="206" spans="1:8" x14ac:dyDescent="0.25">
      <c r="A206" s="46">
        <v>44855</v>
      </c>
      <c r="B206" s="14">
        <v>126.30999799999999</v>
      </c>
      <c r="C206" s="14">
        <v>130.11999499999999</v>
      </c>
      <c r="D206" s="14">
        <v>125.44000200000001</v>
      </c>
      <c r="E206" s="14">
        <v>130.009995</v>
      </c>
      <c r="F206" s="14">
        <v>129.87219200000001</v>
      </c>
      <c r="G206" s="14">
        <v>46348600</v>
      </c>
      <c r="H206" s="14">
        <f t="shared" si="3"/>
        <v>-4.4703343914451965E-2</v>
      </c>
    </row>
    <row r="207" spans="1:8" x14ac:dyDescent="0.25">
      <c r="A207" s="46">
        <v>44858</v>
      </c>
      <c r="B207" s="14">
        <v>127.25</v>
      </c>
      <c r="C207" s="14">
        <v>133.479996</v>
      </c>
      <c r="D207" s="14">
        <v>124.57</v>
      </c>
      <c r="E207" s="14">
        <v>129.720001</v>
      </c>
      <c r="F207" s="14">
        <v>129.58251999999999</v>
      </c>
      <c r="G207" s="14">
        <v>63563400</v>
      </c>
      <c r="H207" s="14">
        <f t="shared" si="3"/>
        <v>-2.3118675226637317E-3</v>
      </c>
    </row>
    <row r="208" spans="1:8" x14ac:dyDescent="0.25">
      <c r="A208" s="46">
        <v>44859</v>
      </c>
      <c r="B208" s="14">
        <v>130.88000500000001</v>
      </c>
      <c r="C208" s="14">
        <v>138.35000600000001</v>
      </c>
      <c r="D208" s="14">
        <v>130.58999600000001</v>
      </c>
      <c r="E208" s="14">
        <v>137.509995</v>
      </c>
      <c r="F208" s="14">
        <v>137.36424299999999</v>
      </c>
      <c r="G208" s="14">
        <v>38433200</v>
      </c>
      <c r="H208" s="14">
        <f t="shared" si="3"/>
        <v>4.8326210162960681E-2</v>
      </c>
    </row>
    <row r="209" spans="1:8" x14ac:dyDescent="0.25">
      <c r="A209" s="46">
        <v>44860</v>
      </c>
      <c r="B209" s="14">
        <v>131.679993</v>
      </c>
      <c r="C209" s="14">
        <v>135.550003</v>
      </c>
      <c r="D209" s="14">
        <v>128.529999</v>
      </c>
      <c r="E209" s="14">
        <v>129.820007</v>
      </c>
      <c r="F209" s="14">
        <v>129.68241900000001</v>
      </c>
      <c r="G209" s="14">
        <v>82791500</v>
      </c>
      <c r="H209" s="14">
        <f t="shared" si="3"/>
        <v>-1.57745391155385E-2</v>
      </c>
    </row>
    <row r="210" spans="1:8" x14ac:dyDescent="0.25">
      <c r="A210" s="46">
        <v>44861</v>
      </c>
      <c r="B210" s="14">
        <v>97.980002999999996</v>
      </c>
      <c r="C210" s="14">
        <v>102.5</v>
      </c>
      <c r="D210" s="14">
        <v>96.379997000000003</v>
      </c>
      <c r="E210" s="14">
        <v>97.940002000000007</v>
      </c>
      <c r="F210" s="14">
        <v>97.836196999999999</v>
      </c>
      <c r="G210" s="14">
        <v>232316600</v>
      </c>
      <c r="H210" s="14">
        <f t="shared" si="3"/>
        <v>-0.25013617248997255</v>
      </c>
    </row>
    <row r="211" spans="1:8" x14ac:dyDescent="0.25">
      <c r="A211" s="46">
        <v>44862</v>
      </c>
      <c r="B211" s="14">
        <v>99.580001999999993</v>
      </c>
      <c r="C211" s="14">
        <v>100.849998</v>
      </c>
      <c r="D211" s="14">
        <v>97.510002</v>
      </c>
      <c r="E211" s="14">
        <v>99.199996999999996</v>
      </c>
      <c r="F211" s="14">
        <v>99.094855999999993</v>
      </c>
      <c r="G211" s="14">
        <v>95928300</v>
      </c>
      <c r="H211" s="14">
        <f t="shared" si="3"/>
        <v>1.1724476397317218E-2</v>
      </c>
    </row>
    <row r="212" spans="1:8" x14ac:dyDescent="0.25">
      <c r="A212" s="46">
        <v>44865</v>
      </c>
      <c r="B212" s="14">
        <v>98.220000999999996</v>
      </c>
      <c r="C212" s="14">
        <v>99.32</v>
      </c>
      <c r="D212" s="14">
        <v>92.599997999999999</v>
      </c>
      <c r="E212" s="14">
        <v>93.160004000000001</v>
      </c>
      <c r="F212" s="14">
        <v>93.061263999999994</v>
      </c>
      <c r="G212" s="14">
        <v>121361400</v>
      </c>
      <c r="H212" s="14">
        <f t="shared" si="3"/>
        <v>-1.6784616618098307E-2</v>
      </c>
    </row>
    <row r="213" spans="1:8" x14ac:dyDescent="0.25">
      <c r="A213" s="46">
        <v>44866</v>
      </c>
      <c r="B213" s="14">
        <v>94.330001999999993</v>
      </c>
      <c r="C213" s="14">
        <v>97.489998</v>
      </c>
      <c r="D213" s="14">
        <v>93.550003000000004</v>
      </c>
      <c r="E213" s="14">
        <v>95.199996999999996</v>
      </c>
      <c r="F213" s="14">
        <v>95.099097999999998</v>
      </c>
      <c r="G213" s="14">
        <v>110189600</v>
      </c>
      <c r="H213" s="14">
        <f t="shared" si="3"/>
        <v>1.0259233482920793E-2</v>
      </c>
    </row>
    <row r="214" spans="1:8" x14ac:dyDescent="0.25">
      <c r="A214" s="46">
        <v>44867</v>
      </c>
      <c r="B214" s="14">
        <v>94.209998999999996</v>
      </c>
      <c r="C214" s="14">
        <v>95.199996999999996</v>
      </c>
      <c r="D214" s="14">
        <v>90.480002999999996</v>
      </c>
      <c r="E214" s="14">
        <v>90.540001000000004</v>
      </c>
      <c r="F214" s="14">
        <v>90.444038000000006</v>
      </c>
      <c r="G214" s="14">
        <v>71821100</v>
      </c>
      <c r="H214" s="14">
        <f t="shared" si="3"/>
        <v>-3.2816674522180511E-2</v>
      </c>
    </row>
    <row r="215" spans="1:8" x14ac:dyDescent="0.25">
      <c r="A215" s="46">
        <v>44868</v>
      </c>
      <c r="B215" s="14">
        <v>90.080001999999993</v>
      </c>
      <c r="C215" s="14">
        <v>90.459998999999996</v>
      </c>
      <c r="D215" s="14">
        <v>88.410004000000001</v>
      </c>
      <c r="E215" s="14">
        <v>88.910004000000001</v>
      </c>
      <c r="F215" s="14">
        <v>88.815764999999999</v>
      </c>
      <c r="G215" s="14">
        <v>60664000</v>
      </c>
      <c r="H215" s="14">
        <f t="shared" si="3"/>
        <v>-2.2877972274160885E-2</v>
      </c>
    </row>
    <row r="216" spans="1:8" x14ac:dyDescent="0.25">
      <c r="A216" s="46">
        <v>44869</v>
      </c>
      <c r="B216" s="14">
        <v>90.349997999999999</v>
      </c>
      <c r="C216" s="14">
        <v>91.389999000000003</v>
      </c>
      <c r="D216" s="14">
        <v>88.089995999999999</v>
      </c>
      <c r="E216" s="14">
        <v>90.790001000000004</v>
      </c>
      <c r="F216" s="14">
        <v>90.693770999999998</v>
      </c>
      <c r="G216" s="14">
        <v>55638100</v>
      </c>
      <c r="H216" s="14">
        <f t="shared" si="3"/>
        <v>-3.619590380292248E-3</v>
      </c>
    </row>
    <row r="217" spans="1:8" x14ac:dyDescent="0.25">
      <c r="A217" s="46">
        <v>44872</v>
      </c>
      <c r="B217" s="14">
        <v>94.779999000000004</v>
      </c>
      <c r="C217" s="14">
        <v>96.879997000000003</v>
      </c>
      <c r="D217" s="14">
        <v>93.099997999999999</v>
      </c>
      <c r="E217" s="14">
        <v>96.720000999999996</v>
      </c>
      <c r="F217" s="14">
        <v>96.617485000000002</v>
      </c>
      <c r="G217" s="14">
        <v>81987300</v>
      </c>
      <c r="H217" s="14">
        <f t="shared" si="3"/>
        <v>1.895789241115035E-2</v>
      </c>
    </row>
    <row r="218" spans="1:8" x14ac:dyDescent="0.25">
      <c r="A218" s="46">
        <v>44873</v>
      </c>
      <c r="B218" s="14">
        <v>95.919998000000007</v>
      </c>
      <c r="C218" s="14">
        <v>97.800003000000004</v>
      </c>
      <c r="D218" s="14">
        <v>94.790001000000004</v>
      </c>
      <c r="E218" s="14">
        <v>96.470000999999996</v>
      </c>
      <c r="F218" s="14">
        <v>96.367751999999996</v>
      </c>
      <c r="G218" s="14">
        <v>52088300</v>
      </c>
      <c r="H218" s="14">
        <f t="shared" si="3"/>
        <v>1.8152556780935747E-2</v>
      </c>
    </row>
    <row r="219" spans="1:8" x14ac:dyDescent="0.25">
      <c r="A219" s="46">
        <v>44874</v>
      </c>
      <c r="B219" s="14">
        <v>101.720001</v>
      </c>
      <c r="C219" s="14">
        <v>104.900002</v>
      </c>
      <c r="D219" s="14">
        <v>100.739998</v>
      </c>
      <c r="E219" s="14">
        <v>101.470001</v>
      </c>
      <c r="F219" s="14">
        <v>101.36245700000001</v>
      </c>
      <c r="G219" s="14">
        <v>107677300</v>
      </c>
      <c r="H219" s="14">
        <f t="shared" si="3"/>
        <v>6.2770302112350462E-2</v>
      </c>
    </row>
    <row r="220" spans="1:8" x14ac:dyDescent="0.25">
      <c r="A220" s="46">
        <v>44875</v>
      </c>
      <c r="B220" s="14">
        <v>107.120003</v>
      </c>
      <c r="C220" s="14">
        <v>112.75</v>
      </c>
      <c r="D220" s="14">
        <v>104.610001</v>
      </c>
      <c r="E220" s="14">
        <v>111.870003</v>
      </c>
      <c r="F220" s="14">
        <v>111.751434</v>
      </c>
      <c r="G220" s="14">
        <v>80671000</v>
      </c>
      <c r="H220" s="14">
        <f t="shared" si="3"/>
        <v>3.8415754187328899E-2</v>
      </c>
    </row>
    <row r="221" spans="1:8" x14ac:dyDescent="0.25">
      <c r="A221" s="46">
        <v>44876</v>
      </c>
      <c r="B221" s="14">
        <v>109.230003</v>
      </c>
      <c r="C221" s="14">
        <v>114.900002</v>
      </c>
      <c r="D221" s="14">
        <v>108.80999799999999</v>
      </c>
      <c r="E221" s="14">
        <v>113.019997</v>
      </c>
      <c r="F221" s="14">
        <v>112.90020800000001</v>
      </c>
      <c r="G221" s="14">
        <v>59961700</v>
      </c>
      <c r="H221" s="14">
        <f t="shared" si="3"/>
        <v>4.0149096260882366E-2</v>
      </c>
    </row>
    <row r="222" spans="1:8" x14ac:dyDescent="0.25">
      <c r="A222" s="46">
        <v>44879</v>
      </c>
      <c r="B222" s="14">
        <v>110.989998</v>
      </c>
      <c r="C222" s="14">
        <v>116.269997</v>
      </c>
      <c r="D222" s="14">
        <v>110.800003</v>
      </c>
      <c r="E222" s="14">
        <v>114.220001</v>
      </c>
      <c r="F222" s="14">
        <v>114.098938</v>
      </c>
      <c r="G222" s="14">
        <v>53395000</v>
      </c>
      <c r="H222" s="14">
        <f t="shared" si="3"/>
        <v>6.0962688373544793E-3</v>
      </c>
    </row>
    <row r="223" spans="1:8" x14ac:dyDescent="0.25">
      <c r="A223" s="46">
        <v>44880</v>
      </c>
      <c r="B223" s="14">
        <v>116.07</v>
      </c>
      <c r="C223" s="14">
        <v>118.739998</v>
      </c>
      <c r="D223" s="14">
        <v>114.410004</v>
      </c>
      <c r="E223" s="14">
        <v>117.08000199999999</v>
      </c>
      <c r="F223" s="14">
        <v>116.95591</v>
      </c>
      <c r="G223" s="14">
        <v>50670500</v>
      </c>
      <c r="H223" s="14">
        <f t="shared" si="3"/>
        <v>3.2581235579930423E-2</v>
      </c>
    </row>
    <row r="224" spans="1:8" x14ac:dyDescent="0.25">
      <c r="A224" s="46">
        <v>44881</v>
      </c>
      <c r="B224" s="14">
        <v>114.5</v>
      </c>
      <c r="C224" s="14">
        <v>116.08000199999999</v>
      </c>
      <c r="D224" s="14">
        <v>112.660004</v>
      </c>
      <c r="E224" s="14">
        <v>113.230003</v>
      </c>
      <c r="F224" s="14">
        <v>113.109993</v>
      </c>
      <c r="G224" s="14">
        <v>33287800</v>
      </c>
      <c r="H224" s="14">
        <f t="shared" si="3"/>
        <v>-1.52958652112275E-2</v>
      </c>
    </row>
    <row r="225" spans="1:8" x14ac:dyDescent="0.25">
      <c r="A225" s="46">
        <v>44882</v>
      </c>
      <c r="B225" s="14">
        <v>110.410004</v>
      </c>
      <c r="C225" s="14">
        <v>112.33000199999999</v>
      </c>
      <c r="D225" s="14">
        <v>109.800003</v>
      </c>
      <c r="E225" s="14">
        <v>111.449997</v>
      </c>
      <c r="F225" s="14">
        <v>111.33187100000001</v>
      </c>
      <c r="G225" s="14">
        <v>35093800</v>
      </c>
      <c r="H225" s="14">
        <f t="shared" si="3"/>
        <v>-2.5386125496675849E-2</v>
      </c>
    </row>
    <row r="226" spans="1:8" x14ac:dyDescent="0.25">
      <c r="A226" s="46">
        <v>44883</v>
      </c>
      <c r="B226" s="14">
        <v>113.800003</v>
      </c>
      <c r="C226" s="14">
        <v>114.32</v>
      </c>
      <c r="D226" s="14">
        <v>110.620003</v>
      </c>
      <c r="E226" s="14">
        <v>112.050003</v>
      </c>
      <c r="F226" s="14">
        <v>111.93124400000001</v>
      </c>
      <c r="G226" s="14">
        <v>33357700</v>
      </c>
      <c r="H226" s="14">
        <f t="shared" si="3"/>
        <v>7.4681236575193655E-3</v>
      </c>
    </row>
    <row r="227" spans="1:8" x14ac:dyDescent="0.25">
      <c r="A227" s="46">
        <v>44886</v>
      </c>
      <c r="B227" s="14">
        <v>111.519997</v>
      </c>
      <c r="C227" s="14">
        <v>112.370003</v>
      </c>
      <c r="D227" s="14">
        <v>109.19000200000001</v>
      </c>
      <c r="E227" s="14">
        <v>109.860001</v>
      </c>
      <c r="F227" s="14">
        <v>109.743561</v>
      </c>
      <c r="G227" s="14">
        <v>24351100</v>
      </c>
      <c r="H227" s="14">
        <f t="shared" si="3"/>
        <v>-4.3090488797039583E-3</v>
      </c>
    </row>
    <row r="228" spans="1:8" x14ac:dyDescent="0.25">
      <c r="A228" s="46">
        <v>44887</v>
      </c>
      <c r="B228" s="14">
        <v>109.860001</v>
      </c>
      <c r="C228" s="14">
        <v>111.620003</v>
      </c>
      <c r="D228" s="14">
        <v>108.32</v>
      </c>
      <c r="E228" s="14">
        <v>111.44000200000001</v>
      </c>
      <c r="F228" s="14">
        <v>111.32189200000001</v>
      </c>
      <c r="G228" s="14">
        <v>29029000</v>
      </c>
      <c r="H228" s="14">
        <f t="shared" si="3"/>
        <v>-7.9677807863764993E-3</v>
      </c>
    </row>
    <row r="229" spans="1:8" x14ac:dyDescent="0.25">
      <c r="A229" s="46">
        <v>44888</v>
      </c>
      <c r="B229" s="14">
        <v>111.720001</v>
      </c>
      <c r="C229" s="14">
        <v>112.66999800000001</v>
      </c>
      <c r="D229" s="14">
        <v>110.730003</v>
      </c>
      <c r="E229" s="14">
        <v>112.239998</v>
      </c>
      <c r="F229" s="14">
        <v>112.121033</v>
      </c>
      <c r="G229" s="14">
        <v>21343100</v>
      </c>
      <c r="H229" s="14">
        <f t="shared" si="3"/>
        <v>2.2248919867060568E-2</v>
      </c>
    </row>
    <row r="230" spans="1:8" x14ac:dyDescent="0.25">
      <c r="A230" s="46">
        <v>44890</v>
      </c>
      <c r="B230" s="14">
        <v>111.300003</v>
      </c>
      <c r="C230" s="14">
        <v>112.730003</v>
      </c>
      <c r="D230" s="14">
        <v>111.019997</v>
      </c>
      <c r="E230" s="14">
        <v>111.410004</v>
      </c>
      <c r="F230" s="14">
        <v>111.29192399999999</v>
      </c>
      <c r="G230" s="14">
        <v>12007600</v>
      </c>
      <c r="H230" s="14">
        <f t="shared" si="3"/>
        <v>1.3094644276312462E-3</v>
      </c>
    </row>
    <row r="231" spans="1:8" x14ac:dyDescent="0.25">
      <c r="A231" s="46">
        <v>44893</v>
      </c>
      <c r="B231" s="14">
        <v>110.779999</v>
      </c>
      <c r="C231" s="14">
        <v>112.040001</v>
      </c>
      <c r="D231" s="14">
        <v>108.379997</v>
      </c>
      <c r="E231" s="14">
        <v>108.779999</v>
      </c>
      <c r="F231" s="14">
        <v>108.664703</v>
      </c>
      <c r="G231" s="14">
        <v>23309400</v>
      </c>
      <c r="H231" s="14">
        <f t="shared" si="3"/>
        <v>-7.9264999439695449E-3</v>
      </c>
    </row>
    <row r="232" spans="1:8" x14ac:dyDescent="0.25">
      <c r="A232" s="46">
        <v>44894</v>
      </c>
      <c r="B232" s="14">
        <v>109.540001</v>
      </c>
      <c r="C232" s="14">
        <v>110.94000200000001</v>
      </c>
      <c r="D232" s="14">
        <v>108.540001</v>
      </c>
      <c r="E232" s="14">
        <v>109.459999</v>
      </c>
      <c r="F232" s="14">
        <v>109.343987</v>
      </c>
      <c r="G232" s="14">
        <v>23899200</v>
      </c>
      <c r="H232" s="14">
        <f t="shared" si="3"/>
        <v>1.4763240858919335E-3</v>
      </c>
    </row>
    <row r="233" spans="1:8" x14ac:dyDescent="0.25">
      <c r="A233" s="46">
        <v>44895</v>
      </c>
      <c r="B233" s="14">
        <v>109.510002</v>
      </c>
      <c r="C233" s="14">
        <v>118.160004</v>
      </c>
      <c r="D233" s="14">
        <v>109.379997</v>
      </c>
      <c r="E233" s="14">
        <v>118.099998</v>
      </c>
      <c r="F233" s="14">
        <v>117.974823</v>
      </c>
      <c r="G233" s="14">
        <v>43348600</v>
      </c>
      <c r="H233" s="14">
        <f t="shared" si="3"/>
        <v>7.7390454418735377E-3</v>
      </c>
    </row>
    <row r="234" spans="1:8" x14ac:dyDescent="0.25">
      <c r="A234" s="46">
        <v>44896</v>
      </c>
      <c r="B234" s="14">
        <v>119.199997</v>
      </c>
      <c r="C234" s="14">
        <v>121.199997</v>
      </c>
      <c r="D234" s="14">
        <v>118.400002</v>
      </c>
      <c r="E234" s="14">
        <v>120.44000200000001</v>
      </c>
      <c r="F234" s="14">
        <v>120.312347</v>
      </c>
      <c r="G234" s="14">
        <v>36551400</v>
      </c>
      <c r="H234" s="14">
        <f t="shared" si="3"/>
        <v>8.2464849583054889E-2</v>
      </c>
    </row>
    <row r="235" spans="1:8" x14ac:dyDescent="0.25">
      <c r="A235" s="46">
        <v>44897</v>
      </c>
      <c r="B235" s="14">
        <v>117.83000199999999</v>
      </c>
      <c r="C235" s="14">
        <v>124.040001</v>
      </c>
      <c r="D235" s="14">
        <v>117.610001</v>
      </c>
      <c r="E235" s="14">
        <v>123.489998</v>
      </c>
      <c r="F235" s="14">
        <v>123.359116</v>
      </c>
      <c r="G235" s="14">
        <v>39950500</v>
      </c>
      <c r="H235" s="14">
        <f t="shared" si="3"/>
        <v>-6.6723056305354467E-3</v>
      </c>
    </row>
    <row r="236" spans="1:8" x14ac:dyDescent="0.25">
      <c r="A236" s="46">
        <v>44900</v>
      </c>
      <c r="B236" s="14">
        <v>121.75</v>
      </c>
      <c r="C236" s="14">
        <v>124.66999800000001</v>
      </c>
      <c r="D236" s="14">
        <v>121.349998</v>
      </c>
      <c r="E236" s="14">
        <v>122.43</v>
      </c>
      <c r="F236" s="14">
        <v>122.30024</v>
      </c>
      <c r="G236" s="14">
        <v>35474900</v>
      </c>
      <c r="H236" s="14">
        <f t="shared" si="3"/>
        <v>1.0599997075645554E-2</v>
      </c>
    </row>
    <row r="237" spans="1:8" x14ac:dyDescent="0.25">
      <c r="A237" s="46">
        <v>44901</v>
      </c>
      <c r="B237" s="14">
        <v>119.910004</v>
      </c>
      <c r="C237" s="14">
        <v>120.550003</v>
      </c>
      <c r="D237" s="14">
        <v>113.739998</v>
      </c>
      <c r="E237" s="14">
        <v>114.120003</v>
      </c>
      <c r="F237" s="14">
        <v>113.99904600000001</v>
      </c>
      <c r="G237" s="14">
        <v>43689200</v>
      </c>
      <c r="H237" s="14">
        <f t="shared" si="3"/>
        <v>-6.2711167082178276E-2</v>
      </c>
    </row>
    <row r="238" spans="1:8" x14ac:dyDescent="0.25">
      <c r="A238" s="46">
        <v>44902</v>
      </c>
      <c r="B238" s="14">
        <v>113.760002</v>
      </c>
      <c r="C238" s="14">
        <v>115.879997</v>
      </c>
      <c r="D238" s="14">
        <v>112.879997</v>
      </c>
      <c r="E238" s="14">
        <v>113.93</v>
      </c>
      <c r="F238" s="14">
        <v>113.80925000000001</v>
      </c>
      <c r="G238" s="14">
        <v>29461100</v>
      </c>
      <c r="H238" s="14">
        <f t="shared" si="3"/>
        <v>-7.5611131978391422E-3</v>
      </c>
    </row>
    <row r="239" spans="1:8" x14ac:dyDescent="0.25">
      <c r="A239" s="46">
        <v>44903</v>
      </c>
      <c r="B239" s="14">
        <v>116.389999</v>
      </c>
      <c r="C239" s="14">
        <v>117.339996</v>
      </c>
      <c r="D239" s="14">
        <v>114.589996</v>
      </c>
      <c r="E239" s="14">
        <v>115.33000199999999</v>
      </c>
      <c r="F239" s="14">
        <v>115.207764</v>
      </c>
      <c r="G239" s="14">
        <v>30619400</v>
      </c>
      <c r="H239" s="14">
        <f t="shared" si="3"/>
        <v>1.5148822160227393E-2</v>
      </c>
    </row>
    <row r="240" spans="1:8" x14ac:dyDescent="0.25">
      <c r="A240" s="46">
        <v>44904</v>
      </c>
      <c r="B240" s="14">
        <v>115.300003</v>
      </c>
      <c r="C240" s="14">
        <v>117.540001</v>
      </c>
      <c r="D240" s="14">
        <v>113.870003</v>
      </c>
      <c r="E240" s="14">
        <v>115.900002</v>
      </c>
      <c r="F240" s="14">
        <v>115.77716100000001</v>
      </c>
      <c r="G240" s="14">
        <v>26033400</v>
      </c>
      <c r="H240" s="14">
        <f t="shared" si="3"/>
        <v>-6.2832099234910732E-3</v>
      </c>
    </row>
    <row r="241" spans="1:8" x14ac:dyDescent="0.25">
      <c r="A241" s="46">
        <v>44907</v>
      </c>
      <c r="B241" s="14">
        <v>115.18</v>
      </c>
      <c r="C241" s="14">
        <v>115.720001</v>
      </c>
      <c r="D241" s="14">
        <v>113.139999</v>
      </c>
      <c r="E241" s="14">
        <v>114.709999</v>
      </c>
      <c r="F241" s="14">
        <v>114.58841700000001</v>
      </c>
      <c r="G241" s="14">
        <v>24747100</v>
      </c>
      <c r="H241" s="14">
        <f t="shared" si="3"/>
        <v>-2.1369514380944108E-3</v>
      </c>
    </row>
    <row r="242" spans="1:8" x14ac:dyDescent="0.25">
      <c r="A242" s="46">
        <v>44908</v>
      </c>
      <c r="B242" s="14">
        <v>122.129997</v>
      </c>
      <c r="C242" s="14">
        <v>123.300003</v>
      </c>
      <c r="D242" s="14">
        <v>118.639999</v>
      </c>
      <c r="E242" s="14">
        <v>120.150002</v>
      </c>
      <c r="F242" s="14">
        <v>120.022659</v>
      </c>
      <c r="G242" s="14">
        <v>44701100</v>
      </c>
      <c r="H242" s="14">
        <f t="shared" si="3"/>
        <v>4.8612339125087001E-2</v>
      </c>
    </row>
    <row r="243" spans="1:8" x14ac:dyDescent="0.25">
      <c r="A243" s="46">
        <v>44909</v>
      </c>
      <c r="B243" s="14">
        <v>119.389999</v>
      </c>
      <c r="C243" s="14">
        <v>124.139999</v>
      </c>
      <c r="D243" s="14">
        <v>119.389999</v>
      </c>
      <c r="E243" s="14">
        <v>121.589996</v>
      </c>
      <c r="F243" s="14">
        <v>121.46112100000001</v>
      </c>
      <c r="G243" s="14">
        <v>36922000</v>
      </c>
      <c r="H243" s="14">
        <f t="shared" si="3"/>
        <v>6.3216453668377692E-3</v>
      </c>
    </row>
    <row r="244" spans="1:8" x14ac:dyDescent="0.25">
      <c r="A244" s="46">
        <v>44910</v>
      </c>
      <c r="B244" s="14">
        <v>118.33000199999999</v>
      </c>
      <c r="C244" s="14">
        <v>118.629997</v>
      </c>
      <c r="D244" s="14">
        <v>114.010002</v>
      </c>
      <c r="E244" s="14">
        <v>116.150002</v>
      </c>
      <c r="F244" s="14">
        <v>116.026894</v>
      </c>
      <c r="G244" s="14">
        <v>34531000</v>
      </c>
      <c r="H244" s="14">
        <f t="shared" si="3"/>
        <v>-4.5062375785764108E-2</v>
      </c>
    </row>
    <row r="245" spans="1:8" x14ac:dyDescent="0.25">
      <c r="A245" s="46">
        <v>44911</v>
      </c>
      <c r="B245" s="14">
        <v>120.230003</v>
      </c>
      <c r="C245" s="14">
        <v>123.30999799999999</v>
      </c>
      <c r="D245" s="14">
        <v>118.82</v>
      </c>
      <c r="E245" s="14">
        <v>119.43</v>
      </c>
      <c r="F245" s="14">
        <v>119.303421</v>
      </c>
      <c r="G245" s="14">
        <v>67064000</v>
      </c>
      <c r="H245" s="14">
        <f t="shared" si="3"/>
        <v>4.218926335954265E-2</v>
      </c>
    </row>
    <row r="246" spans="1:8" x14ac:dyDescent="0.25">
      <c r="A246" s="46">
        <v>44914</v>
      </c>
      <c r="B246" s="14">
        <v>116.83000199999999</v>
      </c>
      <c r="C246" s="14">
        <v>117.800003</v>
      </c>
      <c r="D246" s="14">
        <v>114.33000199999999</v>
      </c>
      <c r="E246" s="14">
        <v>114.480003</v>
      </c>
      <c r="F246" s="14">
        <v>114.358665</v>
      </c>
      <c r="G246" s="14">
        <v>29769900</v>
      </c>
      <c r="H246" s="14">
        <f t="shared" si="3"/>
        <v>-1.2596078101329752E-2</v>
      </c>
    </row>
    <row r="247" spans="1:8" x14ac:dyDescent="0.25">
      <c r="A247" s="46">
        <v>44915</v>
      </c>
      <c r="B247" s="14">
        <v>113.260002</v>
      </c>
      <c r="C247" s="14">
        <v>117.33000199999999</v>
      </c>
      <c r="D247" s="14">
        <v>112.459999</v>
      </c>
      <c r="E247" s="14">
        <v>117.089996</v>
      </c>
      <c r="F247" s="14">
        <v>116.965897</v>
      </c>
      <c r="G247" s="14">
        <v>28742500</v>
      </c>
      <c r="H247" s="14">
        <f t="shared" si="3"/>
        <v>-1.6356187940939626E-2</v>
      </c>
    </row>
    <row r="248" spans="1:8" x14ac:dyDescent="0.25">
      <c r="A248" s="46">
        <v>44916</v>
      </c>
      <c r="B248" s="14">
        <v>116.699997</v>
      </c>
      <c r="C248" s="14">
        <v>120.339996</v>
      </c>
      <c r="D248" s="14">
        <v>115.620003</v>
      </c>
      <c r="E248" s="14">
        <v>119.760002</v>
      </c>
      <c r="F248" s="14">
        <v>119.633072</v>
      </c>
      <c r="G248" s="14">
        <v>20392800</v>
      </c>
      <c r="H248" s="14">
        <f t="shared" si="3"/>
        <v>2.8098915419695114E-2</v>
      </c>
    </row>
    <row r="249" spans="1:8" x14ac:dyDescent="0.25">
      <c r="A249" s="46">
        <v>44917</v>
      </c>
      <c r="B249" s="14">
        <v>117.199997</v>
      </c>
      <c r="C249" s="14">
        <v>118.620003</v>
      </c>
      <c r="D249" s="14">
        <v>114.379997</v>
      </c>
      <c r="E249" s="14">
        <v>117.120003</v>
      </c>
      <c r="F249" s="14">
        <v>116.99586499999999</v>
      </c>
      <c r="G249" s="14">
        <v>23618100</v>
      </c>
      <c r="H249" s="14">
        <f t="shared" si="3"/>
        <v>-1.0724839714802537E-2</v>
      </c>
    </row>
    <row r="250" spans="1:8" x14ac:dyDescent="0.25">
      <c r="A250" s="46">
        <v>44918</v>
      </c>
      <c r="B250" s="14">
        <v>116.029999</v>
      </c>
      <c r="C250" s="14">
        <v>118.18</v>
      </c>
      <c r="D250" s="14">
        <v>115.540001</v>
      </c>
      <c r="E250" s="14">
        <v>118.040001</v>
      </c>
      <c r="F250" s="14">
        <v>117.914894</v>
      </c>
      <c r="G250" s="14">
        <v>17796600</v>
      </c>
      <c r="H250" s="14">
        <f t="shared" si="3"/>
        <v>1.0141668389797243E-2</v>
      </c>
    </row>
    <row r="251" spans="1:8" x14ac:dyDescent="0.25">
      <c r="A251" s="46">
        <v>44922</v>
      </c>
      <c r="B251" s="14">
        <v>117.93</v>
      </c>
      <c r="C251" s="14">
        <v>118.599998</v>
      </c>
      <c r="D251" s="14">
        <v>116.050003</v>
      </c>
      <c r="E251" s="14">
        <v>116.879997</v>
      </c>
      <c r="F251" s="14">
        <v>116.756119</v>
      </c>
      <c r="G251" s="14">
        <v>21392300</v>
      </c>
      <c r="H251" s="14">
        <f t="shared" si="3"/>
        <v>1.1035182525227505E-3</v>
      </c>
    </row>
    <row r="252" spans="1:8" x14ac:dyDescent="0.25">
      <c r="A252" s="46">
        <v>44923</v>
      </c>
      <c r="B252" s="14">
        <v>116.25</v>
      </c>
      <c r="C252" s="14">
        <v>118.150002</v>
      </c>
      <c r="D252" s="14">
        <v>115.510002</v>
      </c>
      <c r="E252" s="14">
        <v>115.620003</v>
      </c>
      <c r="F252" s="14">
        <v>115.49745900000001</v>
      </c>
      <c r="G252" s="14">
        <v>19612500</v>
      </c>
      <c r="H252" s="14">
        <f t="shared" si="3"/>
        <v>-4.6531752351613997E-3</v>
      </c>
    </row>
    <row r="253" spans="1:8" x14ac:dyDescent="0.25">
      <c r="A253" s="46">
        <v>44924</v>
      </c>
      <c r="B253" s="14">
        <v>116.400002</v>
      </c>
      <c r="C253" s="14">
        <v>121.029999</v>
      </c>
      <c r="D253" s="14">
        <v>115.769997</v>
      </c>
      <c r="E253" s="14">
        <v>120.260002</v>
      </c>
      <c r="F253" s="14">
        <v>120.132538</v>
      </c>
      <c r="G253" s="14">
        <v>22366200</v>
      </c>
      <c r="H253" s="14">
        <f t="shared" si="3"/>
        <v>2.250844043791167E-3</v>
      </c>
    </row>
    <row r="254" spans="1:8" x14ac:dyDescent="0.25">
      <c r="A254" s="46">
        <v>44925</v>
      </c>
      <c r="B254" s="14">
        <v>118.160004</v>
      </c>
      <c r="C254" s="14">
        <v>120.41999800000001</v>
      </c>
      <c r="D254" s="14">
        <v>117.739998</v>
      </c>
      <c r="E254" s="14">
        <v>120.339996</v>
      </c>
      <c r="F254" s="14">
        <v>120.21244799999999</v>
      </c>
      <c r="G254" s="14">
        <v>19583800</v>
      </c>
      <c r="H254" s="14">
        <f t="shared" si="3"/>
        <v>1.7016507308020401E-2</v>
      </c>
    </row>
    <row r="255" spans="1:8" x14ac:dyDescent="0.25">
      <c r="A255" s="46">
        <v>44929</v>
      </c>
      <c r="B255" s="14">
        <v>122.82</v>
      </c>
      <c r="C255" s="14">
        <v>126.370003</v>
      </c>
      <c r="D255" s="14">
        <v>122.279999</v>
      </c>
      <c r="E255" s="14">
        <v>124.739998</v>
      </c>
      <c r="F255" s="14">
        <v>124.607788</v>
      </c>
      <c r="G255" s="14">
        <v>35528500</v>
      </c>
      <c r="H255" s="14">
        <f t="shared" si="3"/>
        <v>9.6398867783232256E-3</v>
      </c>
    </row>
    <row r="256" spans="1:8" x14ac:dyDescent="0.25">
      <c r="A256" s="46">
        <v>44930</v>
      </c>
      <c r="B256" s="14">
        <v>127.379997</v>
      </c>
      <c r="C256" s="14">
        <v>129.050003</v>
      </c>
      <c r="D256" s="14">
        <v>125.849998</v>
      </c>
      <c r="E256" s="14">
        <v>127.370003</v>
      </c>
      <c r="F256" s="14">
        <v>127.23500799999999</v>
      </c>
      <c r="G256" s="14">
        <v>32397100</v>
      </c>
      <c r="H256" s="14">
        <f t="shared" si="3"/>
        <v>2.9195281560314701E-2</v>
      </c>
    </row>
    <row r="257" spans="1:8" x14ac:dyDescent="0.25">
      <c r="A257" s="46">
        <v>44931</v>
      </c>
      <c r="B257" s="14">
        <v>126.129997</v>
      </c>
      <c r="C257" s="14">
        <v>128.520004</v>
      </c>
      <c r="D257" s="14">
        <v>124.540001</v>
      </c>
      <c r="E257" s="14">
        <v>126.94000200000001</v>
      </c>
      <c r="F257" s="14">
        <v>126.805458</v>
      </c>
      <c r="G257" s="14">
        <v>25447100</v>
      </c>
      <c r="H257" s="14">
        <f t="shared" si="3"/>
        <v>-1.0409193649728921E-2</v>
      </c>
    </row>
    <row r="258" spans="1:8" x14ac:dyDescent="0.25">
      <c r="A258" s="46">
        <v>44932</v>
      </c>
      <c r="B258" s="14">
        <v>128.970001</v>
      </c>
      <c r="C258" s="14">
        <v>130.33000200000001</v>
      </c>
      <c r="D258" s="14">
        <v>126.040001</v>
      </c>
      <c r="E258" s="14">
        <v>130.020004</v>
      </c>
      <c r="F258" s="14">
        <v>129.88220200000001</v>
      </c>
      <c r="G258" s="14">
        <v>27584500</v>
      </c>
      <c r="H258" s="14">
        <f t="shared" si="3"/>
        <v>1.2044323012330826E-2</v>
      </c>
    </row>
    <row r="259" spans="1:8" x14ac:dyDescent="0.25">
      <c r="A259" s="46">
        <v>44935</v>
      </c>
      <c r="B259" s="14">
        <v>131.16000399999999</v>
      </c>
      <c r="C259" s="14">
        <v>132.949997</v>
      </c>
      <c r="D259" s="14">
        <v>129.279999</v>
      </c>
      <c r="E259" s="14">
        <v>129.470001</v>
      </c>
      <c r="F259" s="14">
        <v>129.33277899999999</v>
      </c>
      <c r="G259" s="14">
        <v>26649100</v>
      </c>
      <c r="H259" s="14">
        <f t="shared" si="3"/>
        <v>8.5687029892465016E-3</v>
      </c>
    </row>
    <row r="260" spans="1:8" x14ac:dyDescent="0.25">
      <c r="A260" s="46">
        <v>44936</v>
      </c>
      <c r="B260" s="14">
        <v>127.269997</v>
      </c>
      <c r="C260" s="14">
        <v>133.44000199999999</v>
      </c>
      <c r="D260" s="14">
        <v>127.150002</v>
      </c>
      <c r="E260" s="14">
        <v>132.990005</v>
      </c>
      <c r="F260" s="14">
        <v>132.84904499999999</v>
      </c>
      <c r="G260" s="14">
        <v>28684400</v>
      </c>
      <c r="H260" s="14">
        <f t="shared" ref="H260:H323" si="4">(D260/D259-1)/(A260-A259)</f>
        <v>-1.6475843258631273E-2</v>
      </c>
    </row>
    <row r="261" spans="1:8" x14ac:dyDescent="0.25">
      <c r="A261" s="46">
        <v>44937</v>
      </c>
      <c r="B261" s="14">
        <v>130.96000699999999</v>
      </c>
      <c r="C261" s="14">
        <v>133.85000600000001</v>
      </c>
      <c r="D261" s="14">
        <v>130.33999600000001</v>
      </c>
      <c r="E261" s="14">
        <v>132.88999899999999</v>
      </c>
      <c r="F261" s="14">
        <v>132.749146</v>
      </c>
      <c r="G261" s="14">
        <v>25423000</v>
      </c>
      <c r="H261" s="14">
        <f t="shared" si="4"/>
        <v>2.5088430592395961E-2</v>
      </c>
    </row>
    <row r="262" spans="1:8" x14ac:dyDescent="0.25">
      <c r="A262" s="46">
        <v>44938</v>
      </c>
      <c r="B262" s="14">
        <v>133.44000199999999</v>
      </c>
      <c r="C262" s="14">
        <v>137.679993</v>
      </c>
      <c r="D262" s="14">
        <v>131.759995</v>
      </c>
      <c r="E262" s="14">
        <v>136.71000699999999</v>
      </c>
      <c r="F262" s="14">
        <v>136.56510900000001</v>
      </c>
      <c r="G262" s="14">
        <v>30757700</v>
      </c>
      <c r="H262" s="14">
        <f t="shared" si="4"/>
        <v>1.0894576059370165E-2</v>
      </c>
    </row>
    <row r="263" spans="1:8" x14ac:dyDescent="0.25">
      <c r="A263" s="46">
        <v>44939</v>
      </c>
      <c r="B263" s="14">
        <v>134.970001</v>
      </c>
      <c r="C263" s="14">
        <v>137.38999899999999</v>
      </c>
      <c r="D263" s="14">
        <v>134.83999600000001</v>
      </c>
      <c r="E263" s="14">
        <v>136.979996</v>
      </c>
      <c r="F263" s="14">
        <v>136.83480800000001</v>
      </c>
      <c r="G263" s="14">
        <v>22423800</v>
      </c>
      <c r="H263" s="14">
        <f t="shared" si="4"/>
        <v>2.3375843327863022E-2</v>
      </c>
    </row>
    <row r="264" spans="1:8" x14ac:dyDescent="0.25">
      <c r="A264" s="46">
        <v>44943</v>
      </c>
      <c r="B264" s="14">
        <v>136.179993</v>
      </c>
      <c r="C264" s="14">
        <v>136.75</v>
      </c>
      <c r="D264" s="14">
        <v>134.25</v>
      </c>
      <c r="E264" s="14">
        <v>135.36000100000001</v>
      </c>
      <c r="F264" s="14">
        <v>135.21653699999999</v>
      </c>
      <c r="G264" s="14">
        <v>21147600</v>
      </c>
      <c r="H264" s="14">
        <f t="shared" si="4"/>
        <v>-1.0938816699460896E-3</v>
      </c>
    </row>
    <row r="265" spans="1:8" x14ac:dyDescent="0.25">
      <c r="A265" s="46">
        <v>44944</v>
      </c>
      <c r="B265" s="14">
        <v>135.80999800000001</v>
      </c>
      <c r="C265" s="14">
        <v>137.25</v>
      </c>
      <c r="D265" s="14">
        <v>132.800003</v>
      </c>
      <c r="E265" s="14">
        <v>133.020004</v>
      </c>
      <c r="F265" s="14">
        <v>132.87901299999999</v>
      </c>
      <c r="G265" s="14">
        <v>20215500</v>
      </c>
      <c r="H265" s="14">
        <f t="shared" si="4"/>
        <v>-1.0800722532588458E-2</v>
      </c>
    </row>
    <row r="266" spans="1:8" x14ac:dyDescent="0.25">
      <c r="A266" s="46">
        <v>44945</v>
      </c>
      <c r="B266" s="14">
        <v>132.490005</v>
      </c>
      <c r="C266" s="14">
        <v>137.449997</v>
      </c>
      <c r="D266" s="14">
        <v>132.13999899999999</v>
      </c>
      <c r="E266" s="14">
        <v>136.14999399999999</v>
      </c>
      <c r="F266" s="14">
        <v>136.00569200000001</v>
      </c>
      <c r="G266" s="14">
        <v>28625200</v>
      </c>
      <c r="H266" s="14">
        <f t="shared" si="4"/>
        <v>-4.9699095262822901E-3</v>
      </c>
    </row>
    <row r="267" spans="1:8" x14ac:dyDescent="0.25">
      <c r="A267" s="46">
        <v>44946</v>
      </c>
      <c r="B267" s="14">
        <v>135.88999899999999</v>
      </c>
      <c r="C267" s="14">
        <v>139.94000199999999</v>
      </c>
      <c r="D267" s="14">
        <v>134.61000100000001</v>
      </c>
      <c r="E267" s="14">
        <v>139.36999499999999</v>
      </c>
      <c r="F267" s="14">
        <v>139.222275</v>
      </c>
      <c r="G267" s="14">
        <v>28688600</v>
      </c>
      <c r="H267" s="14">
        <f t="shared" si="4"/>
        <v>1.8692311326565347E-2</v>
      </c>
    </row>
    <row r="268" spans="1:8" x14ac:dyDescent="0.25">
      <c r="A268" s="46">
        <v>44949</v>
      </c>
      <c r="B268" s="14">
        <v>139.28999300000001</v>
      </c>
      <c r="C268" s="14">
        <v>143.759995</v>
      </c>
      <c r="D268" s="14">
        <v>138.66000399999999</v>
      </c>
      <c r="E268" s="14">
        <v>143.270004</v>
      </c>
      <c r="F268" s="14">
        <v>143.11814899999999</v>
      </c>
      <c r="G268" s="14">
        <v>27470100</v>
      </c>
      <c r="H268" s="14">
        <f t="shared" si="4"/>
        <v>1.0028979941839452E-2</v>
      </c>
    </row>
    <row r="269" spans="1:8" x14ac:dyDescent="0.25">
      <c r="A269" s="46">
        <v>44950</v>
      </c>
      <c r="B269" s="14">
        <v>141.69000199999999</v>
      </c>
      <c r="C269" s="14">
        <v>145</v>
      </c>
      <c r="D269" s="14">
        <v>141.36000100000001</v>
      </c>
      <c r="E269" s="14">
        <v>143.13999899999999</v>
      </c>
      <c r="F269" s="14">
        <v>142.988281</v>
      </c>
      <c r="G269" s="14">
        <v>21970200</v>
      </c>
      <c r="H269" s="14">
        <f t="shared" si="4"/>
        <v>1.9472067806950433E-2</v>
      </c>
    </row>
    <row r="270" spans="1:8" x14ac:dyDescent="0.25">
      <c r="A270" s="46">
        <v>44951</v>
      </c>
      <c r="B270" s="14">
        <v>141.220001</v>
      </c>
      <c r="C270" s="14">
        <v>143.16999799999999</v>
      </c>
      <c r="D270" s="14">
        <v>140.30999800000001</v>
      </c>
      <c r="E270" s="14">
        <v>141.5</v>
      </c>
      <c r="F270" s="14">
        <v>141.350021</v>
      </c>
      <c r="G270" s="14">
        <v>26622000</v>
      </c>
      <c r="H270" s="14">
        <f t="shared" si="4"/>
        <v>-7.4278649729211388E-3</v>
      </c>
    </row>
    <row r="271" spans="1:8" x14ac:dyDescent="0.25">
      <c r="A271" s="46">
        <v>44952</v>
      </c>
      <c r="B271" s="14">
        <v>144.39999399999999</v>
      </c>
      <c r="C271" s="14">
        <v>147.509995</v>
      </c>
      <c r="D271" s="14">
        <v>143.300003</v>
      </c>
      <c r="E271" s="14">
        <v>147.300003</v>
      </c>
      <c r="F271" s="14">
        <v>147.14387500000001</v>
      </c>
      <c r="G271" s="14">
        <v>25482100</v>
      </c>
      <c r="H271" s="14">
        <f t="shared" si="4"/>
        <v>2.1309992463972582E-2</v>
      </c>
    </row>
    <row r="272" spans="1:8" x14ac:dyDescent="0.25">
      <c r="A272" s="46">
        <v>44953</v>
      </c>
      <c r="B272" s="14">
        <v>148.240005</v>
      </c>
      <c r="C272" s="14">
        <v>153.19000199999999</v>
      </c>
      <c r="D272" s="14">
        <v>147.38999899999999</v>
      </c>
      <c r="E272" s="14">
        <v>151.740005</v>
      </c>
      <c r="F272" s="14">
        <v>151.57917800000001</v>
      </c>
      <c r="G272" s="14">
        <v>35771900</v>
      </c>
      <c r="H272" s="14">
        <f t="shared" si="4"/>
        <v>2.8541492773032084E-2</v>
      </c>
    </row>
    <row r="273" spans="1:8" x14ac:dyDescent="0.25">
      <c r="A273" s="46">
        <v>44956</v>
      </c>
      <c r="B273" s="14">
        <v>149.41000399999999</v>
      </c>
      <c r="C273" s="14">
        <v>151.11999499999999</v>
      </c>
      <c r="D273" s="14">
        <v>146.949997</v>
      </c>
      <c r="E273" s="14">
        <v>147.05999800000001</v>
      </c>
      <c r="F273" s="14">
        <v>146.90412900000001</v>
      </c>
      <c r="G273" s="14">
        <v>28040100</v>
      </c>
      <c r="H273" s="14">
        <f t="shared" si="4"/>
        <v>-9.9509691518033061E-4</v>
      </c>
    </row>
    <row r="274" spans="1:8" x14ac:dyDescent="0.25">
      <c r="A274" s="46">
        <v>44957</v>
      </c>
      <c r="B274" s="14">
        <v>147.949997</v>
      </c>
      <c r="C274" s="14">
        <v>149.88000500000001</v>
      </c>
      <c r="D274" s="14">
        <v>147.520004</v>
      </c>
      <c r="E274" s="14">
        <v>148.970001</v>
      </c>
      <c r="F274" s="14">
        <v>148.81210300000001</v>
      </c>
      <c r="G274" s="14">
        <v>29842100</v>
      </c>
      <c r="H274" s="14">
        <f t="shared" si="4"/>
        <v>3.8789180785081534E-3</v>
      </c>
    </row>
    <row r="275" spans="1:8" x14ac:dyDescent="0.25">
      <c r="A275" s="46">
        <v>44958</v>
      </c>
      <c r="B275" s="14">
        <v>148.029999</v>
      </c>
      <c r="C275" s="14">
        <v>153.58000200000001</v>
      </c>
      <c r="D275" s="14">
        <v>147.05999800000001</v>
      </c>
      <c r="E275" s="14">
        <v>153.11999499999999</v>
      </c>
      <c r="F275" s="14">
        <v>152.95770300000001</v>
      </c>
      <c r="G275" s="14">
        <v>55661000</v>
      </c>
      <c r="H275" s="14">
        <f t="shared" si="4"/>
        <v>-3.1182618460340317E-3</v>
      </c>
    </row>
    <row r="276" spans="1:8" x14ac:dyDescent="0.25">
      <c r="A276" s="46">
        <v>44959</v>
      </c>
      <c r="B276" s="14">
        <v>183.38000500000001</v>
      </c>
      <c r="C276" s="14">
        <v>197.16000399999999</v>
      </c>
      <c r="D276" s="14">
        <v>180.16000399999999</v>
      </c>
      <c r="E276" s="14">
        <v>188.770004</v>
      </c>
      <c r="F276" s="14">
        <v>188.569931</v>
      </c>
      <c r="G276" s="14">
        <v>150475700</v>
      </c>
      <c r="H276" s="14">
        <f t="shared" si="4"/>
        <v>0.22507824323511816</v>
      </c>
    </row>
    <row r="277" spans="1:8" x14ac:dyDescent="0.25">
      <c r="A277" s="46">
        <v>44960</v>
      </c>
      <c r="B277" s="14">
        <v>183.470001</v>
      </c>
      <c r="C277" s="14">
        <v>196.770004</v>
      </c>
      <c r="D277" s="14">
        <v>182.88999899999999</v>
      </c>
      <c r="E277" s="14">
        <v>186.529999</v>
      </c>
      <c r="F277" s="14">
        <v>186.332291</v>
      </c>
      <c r="G277" s="14">
        <v>76809700</v>
      </c>
      <c r="H277" s="14">
        <f t="shared" si="4"/>
        <v>1.5153169068535366E-2</v>
      </c>
    </row>
    <row r="278" spans="1:8" x14ac:dyDescent="0.25">
      <c r="A278" s="46">
        <v>44963</v>
      </c>
      <c r="B278" s="14">
        <v>186.529999</v>
      </c>
      <c r="C278" s="14">
        <v>190.699997</v>
      </c>
      <c r="D278" s="14">
        <v>185.520004</v>
      </c>
      <c r="E278" s="14">
        <v>186.05999800000001</v>
      </c>
      <c r="F278" s="14">
        <v>185.86279300000001</v>
      </c>
      <c r="G278" s="14">
        <v>42483800</v>
      </c>
      <c r="H278" s="14">
        <f t="shared" si="4"/>
        <v>4.7934186567157866E-3</v>
      </c>
    </row>
    <row r="279" spans="1:8" x14ac:dyDescent="0.25">
      <c r="A279" s="46">
        <v>44964</v>
      </c>
      <c r="B279" s="14">
        <v>185.58000200000001</v>
      </c>
      <c r="C279" s="14">
        <v>193.779999</v>
      </c>
      <c r="D279" s="14">
        <v>184.39999399999999</v>
      </c>
      <c r="E279" s="14">
        <v>191.61999499999999</v>
      </c>
      <c r="F279" s="14">
        <v>191.416901</v>
      </c>
      <c r="G279" s="14">
        <v>47080700</v>
      </c>
      <c r="H279" s="14">
        <f t="shared" si="4"/>
        <v>-6.0371387227869944E-3</v>
      </c>
    </row>
    <row r="280" spans="1:8" x14ac:dyDescent="0.25">
      <c r="A280" s="46">
        <v>44965</v>
      </c>
      <c r="B280" s="14">
        <v>190</v>
      </c>
      <c r="C280" s="14">
        <v>190.83000200000001</v>
      </c>
      <c r="D280" s="14">
        <v>182.91999799999999</v>
      </c>
      <c r="E280" s="14">
        <v>183.429993</v>
      </c>
      <c r="F280" s="14">
        <v>183.23558</v>
      </c>
      <c r="G280" s="14">
        <v>36139100</v>
      </c>
      <c r="H280" s="14">
        <f t="shared" si="4"/>
        <v>-8.0260089379395883E-3</v>
      </c>
    </row>
    <row r="281" spans="1:8" x14ac:dyDescent="0.25">
      <c r="A281" s="46">
        <v>44966</v>
      </c>
      <c r="B281" s="14">
        <v>186.13000500000001</v>
      </c>
      <c r="C281" s="14">
        <v>186.64999399999999</v>
      </c>
      <c r="D281" s="14">
        <v>177.270004</v>
      </c>
      <c r="E281" s="14">
        <v>177.91999799999999</v>
      </c>
      <c r="F281" s="14">
        <v>177.73142999999999</v>
      </c>
      <c r="G281" s="14">
        <v>37118800</v>
      </c>
      <c r="H281" s="14">
        <f t="shared" si="4"/>
        <v>-3.0887787348434115E-2</v>
      </c>
    </row>
    <row r="282" spans="1:8" x14ac:dyDescent="0.25">
      <c r="A282" s="46">
        <v>44967</v>
      </c>
      <c r="B282" s="14">
        <v>176.35000600000001</v>
      </c>
      <c r="C282" s="14">
        <v>178.88999899999999</v>
      </c>
      <c r="D282" s="14">
        <v>173.35000600000001</v>
      </c>
      <c r="E282" s="14">
        <v>174.14999399999999</v>
      </c>
      <c r="F282" s="14">
        <v>173.965408</v>
      </c>
      <c r="G282" s="14">
        <v>33433600</v>
      </c>
      <c r="H282" s="14">
        <f t="shared" si="4"/>
        <v>-2.2113148934097104E-2</v>
      </c>
    </row>
    <row r="283" spans="1:8" x14ac:dyDescent="0.25">
      <c r="A283" s="46">
        <v>44970</v>
      </c>
      <c r="B283" s="14">
        <v>178.220001</v>
      </c>
      <c r="C283" s="14">
        <v>181</v>
      </c>
      <c r="D283" s="14">
        <v>175.820007</v>
      </c>
      <c r="E283" s="14">
        <v>179.429993</v>
      </c>
      <c r="F283" s="14">
        <v>179.239822</v>
      </c>
      <c r="G283" s="14">
        <v>31463200</v>
      </c>
      <c r="H283" s="14">
        <f t="shared" si="4"/>
        <v>4.7495450716434906E-3</v>
      </c>
    </row>
    <row r="284" spans="1:8" x14ac:dyDescent="0.25">
      <c r="A284" s="46">
        <v>44971</v>
      </c>
      <c r="B284" s="14">
        <v>177.16000399999999</v>
      </c>
      <c r="C284" s="14">
        <v>181.509995</v>
      </c>
      <c r="D284" s="14">
        <v>175.88000500000001</v>
      </c>
      <c r="E284" s="14">
        <v>179.479996</v>
      </c>
      <c r="F284" s="14">
        <v>179.28976399999999</v>
      </c>
      <c r="G284" s="14">
        <v>24034600</v>
      </c>
      <c r="H284" s="14">
        <f t="shared" si="4"/>
        <v>3.4124671602375756E-4</v>
      </c>
    </row>
    <row r="285" spans="1:8" x14ac:dyDescent="0.25">
      <c r="A285" s="46">
        <v>44972</v>
      </c>
      <c r="B285" s="14">
        <v>176.41999799999999</v>
      </c>
      <c r="C285" s="14">
        <v>178.19000199999999</v>
      </c>
      <c r="D285" s="14">
        <v>175.33000200000001</v>
      </c>
      <c r="E285" s="14">
        <v>177.16000399999999</v>
      </c>
      <c r="F285" s="14">
        <v>176.972229</v>
      </c>
      <c r="G285" s="14">
        <v>25308900</v>
      </c>
      <c r="H285" s="14">
        <f t="shared" si="4"/>
        <v>-3.1271491037312416E-3</v>
      </c>
    </row>
    <row r="286" spans="1:8" x14ac:dyDescent="0.25">
      <c r="A286" s="46">
        <v>44973</v>
      </c>
      <c r="B286" s="14">
        <v>172.75</v>
      </c>
      <c r="C286" s="14">
        <v>175.85000600000001</v>
      </c>
      <c r="D286" s="14">
        <v>171.78999300000001</v>
      </c>
      <c r="E286" s="14">
        <v>172.44000199999999</v>
      </c>
      <c r="F286" s="14">
        <v>172.25723300000001</v>
      </c>
      <c r="G286" s="14">
        <v>25827500</v>
      </c>
      <c r="H286" s="14">
        <f t="shared" si="4"/>
        <v>-2.0190549019670878E-2</v>
      </c>
    </row>
    <row r="287" spans="1:8" x14ac:dyDescent="0.25">
      <c r="A287" s="46">
        <v>44974</v>
      </c>
      <c r="B287" s="14">
        <v>170.220001</v>
      </c>
      <c r="C287" s="14">
        <v>173.179993</v>
      </c>
      <c r="D287" s="14">
        <v>169.699997</v>
      </c>
      <c r="E287" s="14">
        <v>172.88000500000001</v>
      </c>
      <c r="F287" s="14">
        <v>172.696777</v>
      </c>
      <c r="G287" s="14">
        <v>24171300</v>
      </c>
      <c r="H287" s="14">
        <f t="shared" si="4"/>
        <v>-1.2165993859723945E-2</v>
      </c>
    </row>
    <row r="288" spans="1:8" x14ac:dyDescent="0.25">
      <c r="A288" s="46">
        <v>44978</v>
      </c>
      <c r="B288" s="14">
        <v>174.30999800000001</v>
      </c>
      <c r="C288" s="14">
        <v>178.16999799999999</v>
      </c>
      <c r="D288" s="14">
        <v>171.88000500000001</v>
      </c>
      <c r="E288" s="14">
        <v>172.08000200000001</v>
      </c>
      <c r="F288" s="14">
        <v>171.897614</v>
      </c>
      <c r="G288" s="14">
        <v>34592600</v>
      </c>
      <c r="H288" s="14">
        <f t="shared" si="4"/>
        <v>3.2115616360323673E-3</v>
      </c>
    </row>
    <row r="289" spans="1:8" x14ac:dyDescent="0.25">
      <c r="A289" s="46">
        <v>44979</v>
      </c>
      <c r="B289" s="14">
        <v>171.070007</v>
      </c>
      <c r="C289" s="14">
        <v>172.759995</v>
      </c>
      <c r="D289" s="14">
        <v>169.69000199999999</v>
      </c>
      <c r="E289" s="14">
        <v>171.11999499999999</v>
      </c>
      <c r="F289" s="14">
        <v>170.93862899999999</v>
      </c>
      <c r="G289" s="14">
        <v>22433200</v>
      </c>
      <c r="H289" s="14">
        <f t="shared" si="4"/>
        <v>-1.2741464604914432E-2</v>
      </c>
    </row>
    <row r="290" spans="1:8" x14ac:dyDescent="0.25">
      <c r="A290" s="46">
        <v>44980</v>
      </c>
      <c r="B290" s="14">
        <v>172</v>
      </c>
      <c r="C290" s="14">
        <v>173.69000199999999</v>
      </c>
      <c r="D290" s="14">
        <v>169.38000500000001</v>
      </c>
      <c r="E290" s="14">
        <v>172.03999300000001</v>
      </c>
      <c r="F290" s="14">
        <v>171.857651</v>
      </c>
      <c r="G290" s="14">
        <v>20017800</v>
      </c>
      <c r="H290" s="14">
        <f t="shared" si="4"/>
        <v>-1.8268430452371698E-3</v>
      </c>
    </row>
    <row r="291" spans="1:8" x14ac:dyDescent="0.25">
      <c r="A291" s="46">
        <v>44981</v>
      </c>
      <c r="B291" s="14">
        <v>168.63999899999999</v>
      </c>
      <c r="C291" s="14">
        <v>170.720001</v>
      </c>
      <c r="D291" s="14">
        <v>167.66000399999999</v>
      </c>
      <c r="E291" s="14">
        <v>170.38999899999999</v>
      </c>
      <c r="F291" s="14">
        <v>170.20941199999999</v>
      </c>
      <c r="G291" s="14">
        <v>19791300</v>
      </c>
      <c r="H291" s="14">
        <f t="shared" si="4"/>
        <v>-1.0154687384736016E-2</v>
      </c>
    </row>
    <row r="292" spans="1:8" x14ac:dyDescent="0.25">
      <c r="A292" s="46">
        <v>44984</v>
      </c>
      <c r="B292" s="14">
        <v>171.88000500000001</v>
      </c>
      <c r="C292" s="14">
        <v>173.11999499999999</v>
      </c>
      <c r="D292" s="14">
        <v>169.05999800000001</v>
      </c>
      <c r="E292" s="14">
        <v>169.53999300000001</v>
      </c>
      <c r="F292" s="14">
        <v>169.36030600000001</v>
      </c>
      <c r="G292" s="14">
        <v>19277000</v>
      </c>
      <c r="H292" s="14">
        <f t="shared" si="4"/>
        <v>2.7833988758981429E-3</v>
      </c>
    </row>
    <row r="293" spans="1:8" x14ac:dyDescent="0.25">
      <c r="A293" s="46">
        <v>44985</v>
      </c>
      <c r="B293" s="14">
        <v>171.89999399999999</v>
      </c>
      <c r="C293" s="14">
        <v>177.550003</v>
      </c>
      <c r="D293" s="14">
        <v>171.86999499999999</v>
      </c>
      <c r="E293" s="14">
        <v>174.94000199999999</v>
      </c>
      <c r="F293" s="14">
        <v>174.754593</v>
      </c>
      <c r="G293" s="14">
        <v>46051100</v>
      </c>
      <c r="H293" s="14">
        <f t="shared" si="4"/>
        <v>1.6621300326763233E-2</v>
      </c>
    </row>
    <row r="294" spans="1:8" x14ac:dyDescent="0.25">
      <c r="A294" s="46">
        <v>44986</v>
      </c>
      <c r="B294" s="14">
        <v>174.58999600000001</v>
      </c>
      <c r="C294" s="14">
        <v>177.85000600000001</v>
      </c>
      <c r="D294" s="14">
        <v>173.050003</v>
      </c>
      <c r="E294" s="14">
        <v>173.41999799999999</v>
      </c>
      <c r="F294" s="14">
        <v>173.23619099999999</v>
      </c>
      <c r="G294" s="14">
        <v>30998400</v>
      </c>
      <c r="H294" s="14">
        <f t="shared" si="4"/>
        <v>6.8657010201229607E-3</v>
      </c>
    </row>
    <row r="295" spans="1:8" x14ac:dyDescent="0.25">
      <c r="A295" s="46">
        <v>44987</v>
      </c>
      <c r="B295" s="14">
        <v>172.38000500000001</v>
      </c>
      <c r="C295" s="14">
        <v>175.009995</v>
      </c>
      <c r="D295" s="14">
        <v>171.429993</v>
      </c>
      <c r="E295" s="14">
        <v>174.529999</v>
      </c>
      <c r="F295" s="14">
        <v>174.34501599999999</v>
      </c>
      <c r="G295" s="14">
        <v>17352000</v>
      </c>
      <c r="H295" s="14">
        <f t="shared" si="4"/>
        <v>-9.3615138509994811E-3</v>
      </c>
    </row>
    <row r="296" spans="1:8" x14ac:dyDescent="0.25">
      <c r="A296" s="46">
        <v>44988</v>
      </c>
      <c r="B296" s="14">
        <v>178.91999799999999</v>
      </c>
      <c r="C296" s="14">
        <v>186.61999499999999</v>
      </c>
      <c r="D296" s="14">
        <v>177.050003</v>
      </c>
      <c r="E296" s="14">
        <v>185.25</v>
      </c>
      <c r="F296" s="14">
        <v>185.05365</v>
      </c>
      <c r="G296" s="14">
        <v>45877700</v>
      </c>
      <c r="H296" s="14">
        <f t="shared" si="4"/>
        <v>3.2783119812645589E-2</v>
      </c>
    </row>
    <row r="297" spans="1:8" x14ac:dyDescent="0.25">
      <c r="A297" s="46">
        <v>44991</v>
      </c>
      <c r="B297" s="14">
        <v>188</v>
      </c>
      <c r="C297" s="14">
        <v>189.66000399999999</v>
      </c>
      <c r="D297" s="14">
        <v>184.63999899999999</v>
      </c>
      <c r="E297" s="14">
        <v>184.89999399999999</v>
      </c>
      <c r="F297" s="14">
        <v>184.704025</v>
      </c>
      <c r="G297" s="14">
        <v>33209400</v>
      </c>
      <c r="H297" s="14">
        <f t="shared" si="4"/>
        <v>1.428974088561108E-2</v>
      </c>
    </row>
    <row r="298" spans="1:8" x14ac:dyDescent="0.25">
      <c r="A298" s="46">
        <v>44992</v>
      </c>
      <c r="B298" s="14">
        <v>189</v>
      </c>
      <c r="C298" s="14">
        <v>190.36000100000001</v>
      </c>
      <c r="D298" s="14">
        <v>184.009995</v>
      </c>
      <c r="E298" s="14">
        <v>184.509995</v>
      </c>
      <c r="F298" s="14">
        <v>184.314438</v>
      </c>
      <c r="G298" s="14">
        <v>36701500</v>
      </c>
      <c r="H298" s="14">
        <f t="shared" si="4"/>
        <v>-3.4120667429162754E-3</v>
      </c>
    </row>
    <row r="299" spans="1:8" x14ac:dyDescent="0.25">
      <c r="A299" s="46">
        <v>44993</v>
      </c>
      <c r="B299" s="14">
        <v>182.86999499999999</v>
      </c>
      <c r="C299" s="14">
        <v>185.259995</v>
      </c>
      <c r="D299" s="14">
        <v>181.33999600000001</v>
      </c>
      <c r="E299" s="14">
        <v>184.970001</v>
      </c>
      <c r="F299" s="14">
        <v>184.773956</v>
      </c>
      <c r="G299" s="14">
        <v>19432400</v>
      </c>
      <c r="H299" s="14">
        <f t="shared" si="4"/>
        <v>-1.4510075933646949E-2</v>
      </c>
    </row>
    <row r="300" spans="1:8" x14ac:dyDescent="0.25">
      <c r="A300" s="46">
        <v>44994</v>
      </c>
      <c r="B300" s="14">
        <v>186.35000600000001</v>
      </c>
      <c r="C300" s="14">
        <v>188.929993</v>
      </c>
      <c r="D300" s="14">
        <v>180.300003</v>
      </c>
      <c r="E300" s="14">
        <v>181.69000199999999</v>
      </c>
      <c r="F300" s="14">
        <v>181.49743699999999</v>
      </c>
      <c r="G300" s="14">
        <v>26582800</v>
      </c>
      <c r="H300" s="14">
        <f t="shared" si="4"/>
        <v>-5.7350447939792382E-3</v>
      </c>
    </row>
    <row r="301" spans="1:8" x14ac:dyDescent="0.25">
      <c r="A301" s="46">
        <v>44995</v>
      </c>
      <c r="B301" s="14">
        <v>181.009995</v>
      </c>
      <c r="C301" s="14">
        <v>184.770004</v>
      </c>
      <c r="D301" s="14">
        <v>178.800003</v>
      </c>
      <c r="E301" s="14">
        <v>179.509995</v>
      </c>
      <c r="F301" s="14">
        <v>179.31973300000001</v>
      </c>
      <c r="G301" s="14">
        <v>25665000</v>
      </c>
      <c r="H301" s="14">
        <f t="shared" si="4"/>
        <v>-8.3194674156494841E-3</v>
      </c>
    </row>
    <row r="302" spans="1:8" x14ac:dyDescent="0.25">
      <c r="A302" s="46">
        <v>44998</v>
      </c>
      <c r="B302" s="14">
        <v>177.96000699999999</v>
      </c>
      <c r="C302" s="14">
        <v>183.779999</v>
      </c>
      <c r="D302" s="14">
        <v>174.820007</v>
      </c>
      <c r="E302" s="14">
        <v>180.89999399999999</v>
      </c>
      <c r="F302" s="14">
        <v>180.70826700000001</v>
      </c>
      <c r="G302" s="14">
        <v>24728000</v>
      </c>
      <c r="H302" s="14">
        <f t="shared" si="4"/>
        <v>-7.4198283617105494E-3</v>
      </c>
    </row>
    <row r="303" spans="1:8" x14ac:dyDescent="0.25">
      <c r="A303" s="46">
        <v>44999</v>
      </c>
      <c r="B303" s="14">
        <v>187.58000200000001</v>
      </c>
      <c r="C303" s="14">
        <v>194.320007</v>
      </c>
      <c r="D303" s="14">
        <v>186.55999800000001</v>
      </c>
      <c r="E303" s="14">
        <v>194.020004</v>
      </c>
      <c r="F303" s="14">
        <v>193.81436199999999</v>
      </c>
      <c r="G303" s="14">
        <v>41642600</v>
      </c>
      <c r="H303" s="14">
        <f t="shared" si="4"/>
        <v>6.715473361123947E-2</v>
      </c>
    </row>
    <row r="304" spans="1:8" x14ac:dyDescent="0.25">
      <c r="A304" s="46">
        <v>45000</v>
      </c>
      <c r="B304" s="14">
        <v>192.949997</v>
      </c>
      <c r="C304" s="14">
        <v>197.779999</v>
      </c>
      <c r="D304" s="14">
        <v>190.83999600000001</v>
      </c>
      <c r="E304" s="14">
        <v>197.75</v>
      </c>
      <c r="F304" s="14">
        <v>197.54040499999999</v>
      </c>
      <c r="G304" s="14">
        <v>42123600</v>
      </c>
      <c r="H304" s="14">
        <f t="shared" si="4"/>
        <v>2.2941670486081422E-2</v>
      </c>
    </row>
    <row r="305" spans="1:8" x14ac:dyDescent="0.25">
      <c r="A305" s="46">
        <v>45001</v>
      </c>
      <c r="B305" s="14">
        <v>198.259995</v>
      </c>
      <c r="C305" s="14">
        <v>205.759995</v>
      </c>
      <c r="D305" s="14">
        <v>196.08999600000001</v>
      </c>
      <c r="E305" s="14">
        <v>204.929993</v>
      </c>
      <c r="F305" s="14">
        <v>204.712784</v>
      </c>
      <c r="G305" s="14">
        <v>50447100</v>
      </c>
      <c r="H305" s="14">
        <f t="shared" si="4"/>
        <v>2.7509956560678228E-2</v>
      </c>
    </row>
    <row r="306" spans="1:8" x14ac:dyDescent="0.25">
      <c r="A306" s="46">
        <v>45002</v>
      </c>
      <c r="B306" s="14">
        <v>200.55999800000001</v>
      </c>
      <c r="C306" s="14">
        <v>201.89999399999999</v>
      </c>
      <c r="D306" s="14">
        <v>195.429993</v>
      </c>
      <c r="E306" s="14">
        <v>195.61000100000001</v>
      </c>
      <c r="F306" s="14">
        <v>195.40267900000001</v>
      </c>
      <c r="G306" s="14">
        <v>50141100</v>
      </c>
      <c r="H306" s="14">
        <f t="shared" si="4"/>
        <v>-3.3658167854724308E-3</v>
      </c>
    </row>
    <row r="307" spans="1:8" x14ac:dyDescent="0.25">
      <c r="A307" s="46">
        <v>45005</v>
      </c>
      <c r="B307" s="14">
        <v>198.479996</v>
      </c>
      <c r="C307" s="14">
        <v>199.36000100000001</v>
      </c>
      <c r="D307" s="14">
        <v>193.63999899999999</v>
      </c>
      <c r="E307" s="14">
        <v>197.80999800000001</v>
      </c>
      <c r="F307" s="14">
        <v>197.60034200000001</v>
      </c>
      <c r="G307" s="14">
        <v>25186300</v>
      </c>
      <c r="H307" s="14">
        <f t="shared" si="4"/>
        <v>-3.0530864659380486E-3</v>
      </c>
    </row>
    <row r="308" spans="1:8" x14ac:dyDescent="0.25">
      <c r="A308" s="46">
        <v>45006</v>
      </c>
      <c r="B308" s="14">
        <v>203.199997</v>
      </c>
      <c r="C308" s="14">
        <v>203.550003</v>
      </c>
      <c r="D308" s="14">
        <v>197.949997</v>
      </c>
      <c r="E308" s="14">
        <v>202.16000399999999</v>
      </c>
      <c r="F308" s="14">
        <v>201.94574</v>
      </c>
      <c r="G308" s="14">
        <v>31827000</v>
      </c>
      <c r="H308" s="14">
        <f t="shared" si="4"/>
        <v>2.2257787762124615E-2</v>
      </c>
    </row>
    <row r="309" spans="1:8" x14ac:dyDescent="0.25">
      <c r="A309" s="46">
        <v>45007</v>
      </c>
      <c r="B309" s="14">
        <v>202.5</v>
      </c>
      <c r="C309" s="14">
        <v>207.36999499999999</v>
      </c>
      <c r="D309" s="14">
        <v>199.66999799999999</v>
      </c>
      <c r="E309" s="14">
        <v>199.80999800000001</v>
      </c>
      <c r="F309" s="14">
        <v>199.598221</v>
      </c>
      <c r="G309" s="14">
        <v>28477800</v>
      </c>
      <c r="H309" s="14">
        <f t="shared" si="4"/>
        <v>8.6890680781368523E-3</v>
      </c>
    </row>
    <row r="310" spans="1:8" x14ac:dyDescent="0.25">
      <c r="A310" s="46">
        <v>45008</v>
      </c>
      <c r="B310" s="14">
        <v>202.83999600000001</v>
      </c>
      <c r="C310" s="14">
        <v>207.88000500000001</v>
      </c>
      <c r="D310" s="14">
        <v>202.14999399999999</v>
      </c>
      <c r="E310" s="14">
        <v>204.279999</v>
      </c>
      <c r="F310" s="14">
        <v>204.063492</v>
      </c>
      <c r="G310" s="14">
        <v>27389700</v>
      </c>
      <c r="H310" s="14">
        <f t="shared" si="4"/>
        <v>1.2420473906149976E-2</v>
      </c>
    </row>
    <row r="311" spans="1:8" x14ac:dyDescent="0.25">
      <c r="A311" s="46">
        <v>45009</v>
      </c>
      <c r="B311" s="14">
        <v>205.179993</v>
      </c>
      <c r="C311" s="14">
        <v>207.58000200000001</v>
      </c>
      <c r="D311" s="14">
        <v>203.550003</v>
      </c>
      <c r="E311" s="14">
        <v>206.009995</v>
      </c>
      <c r="F311" s="14">
        <v>205.791641</v>
      </c>
      <c r="G311" s="14">
        <v>27716400</v>
      </c>
      <c r="H311" s="14">
        <f t="shared" si="4"/>
        <v>6.925595060863543E-3</v>
      </c>
    </row>
    <row r="312" spans="1:8" x14ac:dyDescent="0.25">
      <c r="A312" s="46">
        <v>45012</v>
      </c>
      <c r="B312" s="14">
        <v>204.80999800000001</v>
      </c>
      <c r="C312" s="14">
        <v>205.86000100000001</v>
      </c>
      <c r="D312" s="14">
        <v>201.36000100000001</v>
      </c>
      <c r="E312" s="14">
        <v>202.83999600000001</v>
      </c>
      <c r="F312" s="14">
        <v>202.62501499999999</v>
      </c>
      <c r="G312" s="14">
        <v>18527200</v>
      </c>
      <c r="H312" s="14">
        <f t="shared" si="4"/>
        <v>-3.5863456443508968E-3</v>
      </c>
    </row>
    <row r="313" spans="1:8" x14ac:dyDescent="0.25">
      <c r="A313" s="46">
        <v>45013</v>
      </c>
      <c r="B313" s="14">
        <v>200.14999399999999</v>
      </c>
      <c r="C313" s="14">
        <v>201.029999</v>
      </c>
      <c r="D313" s="14">
        <v>197.89999399999999</v>
      </c>
      <c r="E313" s="14">
        <v>200.679993</v>
      </c>
      <c r="F313" s="14">
        <v>200.46729999999999</v>
      </c>
      <c r="G313" s="14">
        <v>19127300</v>
      </c>
      <c r="H313" s="14">
        <f t="shared" si="4"/>
        <v>-1.7183189227338191E-2</v>
      </c>
    </row>
    <row r="314" spans="1:8" x14ac:dyDescent="0.25">
      <c r="A314" s="46">
        <v>45014</v>
      </c>
      <c r="B314" s="14">
        <v>203.55999800000001</v>
      </c>
      <c r="C314" s="14">
        <v>205.720001</v>
      </c>
      <c r="D314" s="14">
        <v>202.53999300000001</v>
      </c>
      <c r="E314" s="14">
        <v>205.35000600000001</v>
      </c>
      <c r="F314" s="14">
        <v>205.13235499999999</v>
      </c>
      <c r="G314" s="14">
        <v>18851100</v>
      </c>
      <c r="H314" s="14">
        <f t="shared" si="4"/>
        <v>2.3446180599682176E-2</v>
      </c>
    </row>
    <row r="315" spans="1:8" x14ac:dyDescent="0.25">
      <c r="A315" s="46">
        <v>45015</v>
      </c>
      <c r="B315" s="14">
        <v>203.38000500000001</v>
      </c>
      <c r="C315" s="14">
        <v>208.08999600000001</v>
      </c>
      <c r="D315" s="14">
        <v>202.820007</v>
      </c>
      <c r="E315" s="14">
        <v>207.83999600000001</v>
      </c>
      <c r="F315" s="14">
        <v>207.61970500000001</v>
      </c>
      <c r="G315" s="14">
        <v>22608300</v>
      </c>
      <c r="H315" s="14">
        <f t="shared" si="4"/>
        <v>1.3825121441570776E-3</v>
      </c>
    </row>
    <row r="316" spans="1:8" x14ac:dyDescent="0.25">
      <c r="A316" s="46">
        <v>45016</v>
      </c>
      <c r="B316" s="14">
        <v>207.240005</v>
      </c>
      <c r="C316" s="14">
        <v>212.16999799999999</v>
      </c>
      <c r="D316" s="14">
        <v>206.770004</v>
      </c>
      <c r="E316" s="14">
        <v>211.94000199999999</v>
      </c>
      <c r="F316" s="14">
        <v>211.715363</v>
      </c>
      <c r="G316" s="14">
        <v>25440300</v>
      </c>
      <c r="H316" s="14">
        <f t="shared" si="4"/>
        <v>1.9475381440056783E-2</v>
      </c>
    </row>
    <row r="317" spans="1:8" x14ac:dyDescent="0.25">
      <c r="A317" s="46">
        <v>45019</v>
      </c>
      <c r="B317" s="14">
        <v>208.83999600000001</v>
      </c>
      <c r="C317" s="14">
        <v>213.490005</v>
      </c>
      <c r="D317" s="14">
        <v>208.199997</v>
      </c>
      <c r="E317" s="14">
        <v>213.070007</v>
      </c>
      <c r="F317" s="14">
        <v>212.844177</v>
      </c>
      <c r="G317" s="14">
        <v>17924600</v>
      </c>
      <c r="H317" s="14">
        <f t="shared" si="4"/>
        <v>2.3052876341450959E-3</v>
      </c>
    </row>
    <row r="318" spans="1:8" x14ac:dyDescent="0.25">
      <c r="A318" s="46">
        <v>45020</v>
      </c>
      <c r="B318" s="14">
        <v>213.38999899999999</v>
      </c>
      <c r="C318" s="14">
        <v>216.240005</v>
      </c>
      <c r="D318" s="14">
        <v>212.53999300000001</v>
      </c>
      <c r="E318" s="14">
        <v>214.720001</v>
      </c>
      <c r="F318" s="14">
        <v>214.49241599999999</v>
      </c>
      <c r="G318" s="14">
        <v>21026400</v>
      </c>
      <c r="H318" s="14">
        <f t="shared" si="4"/>
        <v>2.0845322106320729E-2</v>
      </c>
    </row>
    <row r="319" spans="1:8" x14ac:dyDescent="0.25">
      <c r="A319" s="46">
        <v>45021</v>
      </c>
      <c r="B319" s="14">
        <v>214.14999399999999</v>
      </c>
      <c r="C319" s="14">
        <v>215.19000199999999</v>
      </c>
      <c r="D319" s="14">
        <v>209.94000199999999</v>
      </c>
      <c r="E319" s="14">
        <v>211.479996</v>
      </c>
      <c r="F319" s="14">
        <v>211.255844</v>
      </c>
      <c r="G319" s="14">
        <v>19396600</v>
      </c>
      <c r="H319" s="14">
        <f t="shared" si="4"/>
        <v>-1.2232949494827672E-2</v>
      </c>
    </row>
    <row r="320" spans="1:8" x14ac:dyDescent="0.25">
      <c r="A320" s="46">
        <v>45022</v>
      </c>
      <c r="B320" s="14">
        <v>209.25</v>
      </c>
      <c r="C320" s="14">
        <v>216.94000199999999</v>
      </c>
      <c r="D320" s="14">
        <v>208.64999399999999</v>
      </c>
      <c r="E320" s="14">
        <v>216.10000600000001</v>
      </c>
      <c r="F320" s="14">
        <v>215.87095600000001</v>
      </c>
      <c r="G320" s="14">
        <v>26104400</v>
      </c>
      <c r="H320" s="14">
        <f t="shared" si="4"/>
        <v>-6.1446507940873252E-3</v>
      </c>
    </row>
    <row r="321" spans="1:8" x14ac:dyDescent="0.25">
      <c r="A321" s="46">
        <v>45026</v>
      </c>
      <c r="B321" s="14">
        <v>214.71000699999999</v>
      </c>
      <c r="C321" s="14">
        <v>215.66000399999999</v>
      </c>
      <c r="D321" s="14">
        <v>210.66000399999999</v>
      </c>
      <c r="E321" s="14">
        <v>214.75</v>
      </c>
      <c r="F321" s="14">
        <v>214.52238500000001</v>
      </c>
      <c r="G321" s="14">
        <v>16106100</v>
      </c>
      <c r="H321" s="14">
        <f t="shared" si="4"/>
        <v>2.4083513752701236E-3</v>
      </c>
    </row>
    <row r="322" spans="1:8" x14ac:dyDescent="0.25">
      <c r="A322" s="46">
        <v>45027</v>
      </c>
      <c r="B322" s="14">
        <v>215.479996</v>
      </c>
      <c r="C322" s="14">
        <v>216.020004</v>
      </c>
      <c r="D322" s="14">
        <v>213.41000399999999</v>
      </c>
      <c r="E322" s="14">
        <v>213.85000600000001</v>
      </c>
      <c r="F322" s="14">
        <v>213.62335200000001</v>
      </c>
      <c r="G322" s="14">
        <v>16710100</v>
      </c>
      <c r="H322" s="14">
        <f t="shared" si="4"/>
        <v>1.3054210328411475E-2</v>
      </c>
    </row>
    <row r="323" spans="1:8" x14ac:dyDescent="0.25">
      <c r="A323" s="46">
        <v>45028</v>
      </c>
      <c r="B323" s="14">
        <v>214.83999600000001</v>
      </c>
      <c r="C323" s="14">
        <v>216.83999600000001</v>
      </c>
      <c r="D323" s="14">
        <v>212.58000200000001</v>
      </c>
      <c r="E323" s="14">
        <v>214</v>
      </c>
      <c r="F323" s="14">
        <v>213.773178</v>
      </c>
      <c r="G323" s="14">
        <v>18972200</v>
      </c>
      <c r="H323" s="14">
        <f t="shared" si="4"/>
        <v>-3.8892366076708207E-3</v>
      </c>
    </row>
    <row r="324" spans="1:8" x14ac:dyDescent="0.25">
      <c r="A324" s="46">
        <v>45029</v>
      </c>
      <c r="B324" s="14">
        <v>215.729996</v>
      </c>
      <c r="C324" s="14">
        <v>221.14999399999999</v>
      </c>
      <c r="D324" s="14">
        <v>215.69000199999999</v>
      </c>
      <c r="E324" s="14">
        <v>220.35000600000001</v>
      </c>
      <c r="F324" s="14">
        <v>220.116455</v>
      </c>
      <c r="G324" s="14">
        <v>23310400</v>
      </c>
      <c r="H324" s="14">
        <f t="shared" ref="H324:H387" si="5">(D324/D323-1)/(A324-A323)</f>
        <v>1.4629786295702329E-2</v>
      </c>
    </row>
    <row r="325" spans="1:8" x14ac:dyDescent="0.25">
      <c r="A325" s="46">
        <v>45030</v>
      </c>
      <c r="B325" s="14">
        <v>217.88000500000001</v>
      </c>
      <c r="C325" s="14">
        <v>222.11000100000001</v>
      </c>
      <c r="D325" s="14">
        <v>217.550003</v>
      </c>
      <c r="E325" s="14">
        <v>221.490005</v>
      </c>
      <c r="F325" s="14">
        <v>221.25524899999999</v>
      </c>
      <c r="G325" s="14">
        <v>21591200</v>
      </c>
      <c r="H325" s="14">
        <f t="shared" si="5"/>
        <v>8.6234919688117362E-3</v>
      </c>
    </row>
    <row r="326" spans="1:8" x14ac:dyDescent="0.25">
      <c r="A326" s="46">
        <v>45033</v>
      </c>
      <c r="B326" s="14">
        <v>219.78999300000001</v>
      </c>
      <c r="C326" s="14">
        <v>220.979996</v>
      </c>
      <c r="D326" s="14">
        <v>217.13000500000001</v>
      </c>
      <c r="E326" s="14">
        <v>218.86000100000001</v>
      </c>
      <c r="F326" s="14">
        <v>218.62803600000001</v>
      </c>
      <c r="G326" s="14">
        <v>15481900</v>
      </c>
      <c r="H326" s="14">
        <f t="shared" si="5"/>
        <v>-6.435271496334124E-4</v>
      </c>
    </row>
    <row r="327" spans="1:8" x14ac:dyDescent="0.25">
      <c r="A327" s="46">
        <v>45034</v>
      </c>
      <c r="B327" s="14">
        <v>219.91000399999999</v>
      </c>
      <c r="C327" s="14">
        <v>220.44000199999999</v>
      </c>
      <c r="D327" s="14">
        <v>216.21000699999999</v>
      </c>
      <c r="E327" s="14">
        <v>217.88999899999999</v>
      </c>
      <c r="F327" s="14">
        <v>217.65905799999999</v>
      </c>
      <c r="G327" s="14">
        <v>12281000</v>
      </c>
      <c r="H327" s="14">
        <f t="shared" si="5"/>
        <v>-4.2370836771270515E-3</v>
      </c>
    </row>
    <row r="328" spans="1:8" x14ac:dyDescent="0.25">
      <c r="A328" s="46">
        <v>45035</v>
      </c>
      <c r="B328" s="14">
        <v>213.470001</v>
      </c>
      <c r="C328" s="14">
        <v>217.33000200000001</v>
      </c>
      <c r="D328" s="14">
        <v>212.929993</v>
      </c>
      <c r="E328" s="14">
        <v>215.699997</v>
      </c>
      <c r="F328" s="14">
        <v>215.47137499999999</v>
      </c>
      <c r="G328" s="14">
        <v>15898100</v>
      </c>
      <c r="H328" s="14">
        <f t="shared" si="5"/>
        <v>-1.5170500410741861E-2</v>
      </c>
    </row>
    <row r="329" spans="1:8" x14ac:dyDescent="0.25">
      <c r="A329" s="46">
        <v>45036</v>
      </c>
      <c r="B329" s="14">
        <v>213.479996</v>
      </c>
      <c r="C329" s="14">
        <v>216.75</v>
      </c>
      <c r="D329" s="14">
        <v>212.770004</v>
      </c>
      <c r="E329" s="14">
        <v>213.070007</v>
      </c>
      <c r="F329" s="14">
        <v>212.844177</v>
      </c>
      <c r="G329" s="14">
        <v>16475400</v>
      </c>
      <c r="H329" s="14">
        <f t="shared" si="5"/>
        <v>-7.5136901920624943E-4</v>
      </c>
    </row>
    <row r="330" spans="1:8" x14ac:dyDescent="0.25">
      <c r="A330" s="46">
        <v>45037</v>
      </c>
      <c r="B330" s="14">
        <v>210.21000699999999</v>
      </c>
      <c r="C330" s="14">
        <v>213.41000399999999</v>
      </c>
      <c r="D330" s="14">
        <v>209.58000200000001</v>
      </c>
      <c r="E330" s="14">
        <v>212.88999899999999</v>
      </c>
      <c r="F330" s="14">
        <v>212.66435200000001</v>
      </c>
      <c r="G330" s="14">
        <v>17717200</v>
      </c>
      <c r="H330" s="14">
        <f t="shared" si="5"/>
        <v>-1.4992724256375878E-2</v>
      </c>
    </row>
    <row r="331" spans="1:8" x14ac:dyDescent="0.25">
      <c r="A331" s="46">
        <v>45040</v>
      </c>
      <c r="B331" s="14">
        <v>213.679993</v>
      </c>
      <c r="C331" s="14">
        <v>213.91999799999999</v>
      </c>
      <c r="D331" s="14">
        <v>210.71000699999999</v>
      </c>
      <c r="E331" s="14">
        <v>212.78999300000001</v>
      </c>
      <c r="F331" s="14">
        <v>212.56445299999999</v>
      </c>
      <c r="G331" s="14">
        <v>15750900</v>
      </c>
      <c r="H331" s="14">
        <f t="shared" si="5"/>
        <v>1.7972532194809876E-3</v>
      </c>
    </row>
    <row r="332" spans="1:8" x14ac:dyDescent="0.25">
      <c r="A332" s="46">
        <v>45041</v>
      </c>
      <c r="B332" s="14">
        <v>210.820007</v>
      </c>
      <c r="C332" s="14">
        <v>211.259995</v>
      </c>
      <c r="D332" s="14">
        <v>207.13000500000001</v>
      </c>
      <c r="E332" s="14">
        <v>207.550003</v>
      </c>
      <c r="F332" s="14">
        <v>207.330017</v>
      </c>
      <c r="G332" s="14">
        <v>19198200</v>
      </c>
      <c r="H332" s="14">
        <f t="shared" si="5"/>
        <v>-1.6990184998664892E-2</v>
      </c>
    </row>
    <row r="333" spans="1:8" x14ac:dyDescent="0.25">
      <c r="A333" s="46">
        <v>45042</v>
      </c>
      <c r="B333" s="14">
        <v>212.5</v>
      </c>
      <c r="C333" s="14">
        <v>214.11000100000001</v>
      </c>
      <c r="D333" s="14">
        <v>208.88000500000001</v>
      </c>
      <c r="E333" s="14">
        <v>209.39999399999999</v>
      </c>
      <c r="F333" s="14">
        <v>209.178055</v>
      </c>
      <c r="G333" s="14">
        <v>41992700</v>
      </c>
      <c r="H333" s="14">
        <f t="shared" si="5"/>
        <v>8.4488000664124652E-3</v>
      </c>
    </row>
    <row r="334" spans="1:8" x14ac:dyDescent="0.25">
      <c r="A334" s="46">
        <v>45043</v>
      </c>
      <c r="B334" s="14">
        <v>239.88999899999999</v>
      </c>
      <c r="C334" s="14">
        <v>241.69000199999999</v>
      </c>
      <c r="D334" s="14">
        <v>236.770004</v>
      </c>
      <c r="E334" s="14">
        <v>238.55999800000001</v>
      </c>
      <c r="F334" s="14">
        <v>238.30714399999999</v>
      </c>
      <c r="G334" s="14">
        <v>71196500</v>
      </c>
      <c r="H334" s="14">
        <f t="shared" si="5"/>
        <v>0.13352163123511973</v>
      </c>
    </row>
    <row r="335" spans="1:8" x14ac:dyDescent="0.25">
      <c r="A335" s="46">
        <v>45044</v>
      </c>
      <c r="B335" s="14">
        <v>239.009995</v>
      </c>
      <c r="C335" s="14">
        <v>240.429993</v>
      </c>
      <c r="D335" s="14">
        <v>235.75</v>
      </c>
      <c r="E335" s="14">
        <v>240.320007</v>
      </c>
      <c r="F335" s="14">
        <v>240.065292</v>
      </c>
      <c r="G335" s="14">
        <v>39554000</v>
      </c>
      <c r="H335" s="14">
        <f t="shared" si="5"/>
        <v>-4.3079950279512058E-3</v>
      </c>
    </row>
    <row r="336" spans="1:8" x14ac:dyDescent="0.25">
      <c r="A336" s="46">
        <v>45047</v>
      </c>
      <c r="B336" s="14">
        <v>238.61999499999999</v>
      </c>
      <c r="C336" s="14">
        <v>244</v>
      </c>
      <c r="D336" s="14">
        <v>236.46000699999999</v>
      </c>
      <c r="E336" s="14">
        <v>243.179993</v>
      </c>
      <c r="F336" s="14">
        <v>242.92224100000001</v>
      </c>
      <c r="G336" s="14">
        <v>29143900</v>
      </c>
      <c r="H336" s="14">
        <f t="shared" si="5"/>
        <v>1.0038981972428178E-3</v>
      </c>
    </row>
    <row r="337" spans="1:8" x14ac:dyDescent="0.25">
      <c r="A337" s="46">
        <v>45048</v>
      </c>
      <c r="B337" s="14">
        <v>243.179993</v>
      </c>
      <c r="C337" s="14">
        <v>244.91999799999999</v>
      </c>
      <c r="D337" s="14">
        <v>238.990005</v>
      </c>
      <c r="E337" s="14">
        <v>239.240005</v>
      </c>
      <c r="F337" s="14">
        <v>238.986435</v>
      </c>
      <c r="G337" s="14">
        <v>24350100</v>
      </c>
      <c r="H337" s="14">
        <f t="shared" si="5"/>
        <v>1.0699475281670034E-2</v>
      </c>
    </row>
    <row r="338" spans="1:8" x14ac:dyDescent="0.25">
      <c r="A338" s="46">
        <v>45049</v>
      </c>
      <c r="B338" s="14">
        <v>239.470001</v>
      </c>
      <c r="C338" s="14">
        <v>241.75</v>
      </c>
      <c r="D338" s="14">
        <v>232.75</v>
      </c>
      <c r="E338" s="14">
        <v>237.029999</v>
      </c>
      <c r="F338" s="14">
        <v>236.77877799999999</v>
      </c>
      <c r="G338" s="14">
        <v>34463900</v>
      </c>
      <c r="H338" s="14">
        <f t="shared" si="5"/>
        <v>-2.6109899449560658E-2</v>
      </c>
    </row>
    <row r="339" spans="1:8" x14ac:dyDescent="0.25">
      <c r="A339" s="46">
        <v>45050</v>
      </c>
      <c r="B339" s="14">
        <v>236.05999800000001</v>
      </c>
      <c r="C339" s="14">
        <v>238.199997</v>
      </c>
      <c r="D339" s="14">
        <v>232.929993</v>
      </c>
      <c r="E339" s="14">
        <v>233.520004</v>
      </c>
      <c r="F339" s="14">
        <v>233.272491</v>
      </c>
      <c r="G339" s="14">
        <v>17889400</v>
      </c>
      <c r="H339" s="14">
        <f t="shared" si="5"/>
        <v>7.7333190118156203E-4</v>
      </c>
    </row>
    <row r="340" spans="1:8" x14ac:dyDescent="0.25">
      <c r="A340" s="46">
        <v>45051</v>
      </c>
      <c r="B340" s="14">
        <v>232.240005</v>
      </c>
      <c r="C340" s="14">
        <v>234.679993</v>
      </c>
      <c r="D340" s="14">
        <v>229.85000600000001</v>
      </c>
      <c r="E340" s="14">
        <v>232.779999</v>
      </c>
      <c r="F340" s="14">
        <v>232.53327899999999</v>
      </c>
      <c r="G340" s="14">
        <v>26978900</v>
      </c>
      <c r="H340" s="14">
        <f t="shared" si="5"/>
        <v>-1.3222801238825355E-2</v>
      </c>
    </row>
    <row r="341" spans="1:8" x14ac:dyDescent="0.25">
      <c r="A341" s="46">
        <v>45054</v>
      </c>
      <c r="B341" s="14">
        <v>231.41999799999999</v>
      </c>
      <c r="C341" s="14">
        <v>235.61999499999999</v>
      </c>
      <c r="D341" s="14">
        <v>230.270004</v>
      </c>
      <c r="E341" s="14">
        <v>233.270004</v>
      </c>
      <c r="F341" s="14">
        <v>233.02276599999999</v>
      </c>
      <c r="G341" s="14">
        <v>16400500</v>
      </c>
      <c r="H341" s="14">
        <f t="shared" si="5"/>
        <v>6.0908997032319923E-4</v>
      </c>
    </row>
    <row r="342" spans="1:8" x14ac:dyDescent="0.25">
      <c r="A342" s="46">
        <v>45055</v>
      </c>
      <c r="B342" s="14">
        <v>231.46000699999999</v>
      </c>
      <c r="C342" s="14">
        <v>235.88000500000001</v>
      </c>
      <c r="D342" s="14">
        <v>231.08000200000001</v>
      </c>
      <c r="E342" s="14">
        <v>233.36999499999999</v>
      </c>
      <c r="F342" s="14">
        <v>233.12264999999999</v>
      </c>
      <c r="G342" s="14">
        <v>16865600</v>
      </c>
      <c r="H342" s="14">
        <f t="shared" si="5"/>
        <v>3.5176010158926019E-3</v>
      </c>
    </row>
    <row r="343" spans="1:8" x14ac:dyDescent="0.25">
      <c r="A343" s="46">
        <v>45056</v>
      </c>
      <c r="B343" s="14">
        <v>236.16999799999999</v>
      </c>
      <c r="C343" s="14">
        <v>236.75</v>
      </c>
      <c r="D343" s="14">
        <v>230.720001</v>
      </c>
      <c r="E343" s="14">
        <v>233.08000200000001</v>
      </c>
      <c r="F343" s="14">
        <v>232.83296200000001</v>
      </c>
      <c r="G343" s="14">
        <v>19119000</v>
      </c>
      <c r="H343" s="14">
        <f t="shared" si="5"/>
        <v>-1.5579063392946457E-3</v>
      </c>
    </row>
    <row r="344" spans="1:8" x14ac:dyDescent="0.25">
      <c r="A344" s="46">
        <v>45057</v>
      </c>
      <c r="B344" s="14">
        <v>233.050003</v>
      </c>
      <c r="C344" s="14">
        <v>238.21000699999999</v>
      </c>
      <c r="D344" s="14">
        <v>232.300003</v>
      </c>
      <c r="E344" s="14">
        <v>235.78999300000001</v>
      </c>
      <c r="F344" s="14">
        <v>235.540085</v>
      </c>
      <c r="G344" s="14">
        <v>20449000</v>
      </c>
      <c r="H344" s="14">
        <f t="shared" si="5"/>
        <v>6.8481362393890688E-3</v>
      </c>
    </row>
    <row r="345" spans="1:8" x14ac:dyDescent="0.25">
      <c r="A345" s="46">
        <v>45058</v>
      </c>
      <c r="B345" s="14">
        <v>236.740005</v>
      </c>
      <c r="C345" s="14">
        <v>236.96000699999999</v>
      </c>
      <c r="D345" s="14">
        <v>231.449997</v>
      </c>
      <c r="E345" s="14">
        <v>233.80999800000001</v>
      </c>
      <c r="F345" s="14">
        <v>233.56218000000001</v>
      </c>
      <c r="G345" s="14">
        <v>16155300</v>
      </c>
      <c r="H345" s="14">
        <f t="shared" si="5"/>
        <v>-3.6590873397449597E-3</v>
      </c>
    </row>
    <row r="346" spans="1:8" x14ac:dyDescent="0.25">
      <c r="A346" s="46">
        <v>45061</v>
      </c>
      <c r="B346" s="14">
        <v>236.91999799999999</v>
      </c>
      <c r="C346" s="14">
        <v>240.259995</v>
      </c>
      <c r="D346" s="14">
        <v>235.33000200000001</v>
      </c>
      <c r="E346" s="14">
        <v>238.86000100000001</v>
      </c>
      <c r="F346" s="14">
        <v>238.606842</v>
      </c>
      <c r="G346" s="14">
        <v>20653200</v>
      </c>
      <c r="H346" s="14">
        <f t="shared" si="5"/>
        <v>5.5879672359641459E-3</v>
      </c>
    </row>
    <row r="347" spans="1:8" x14ac:dyDescent="0.25">
      <c r="A347" s="46">
        <v>45062</v>
      </c>
      <c r="B347" s="14">
        <v>235.78999300000001</v>
      </c>
      <c r="C347" s="14">
        <v>239.63999899999999</v>
      </c>
      <c r="D347" s="14">
        <v>235.520004</v>
      </c>
      <c r="E347" s="14">
        <v>238.820007</v>
      </c>
      <c r="F347" s="14">
        <v>238.566879</v>
      </c>
      <c r="G347" s="14">
        <v>18163800</v>
      </c>
      <c r="H347" s="14">
        <f t="shared" si="5"/>
        <v>8.0738536686864038E-4</v>
      </c>
    </row>
    <row r="348" spans="1:8" x14ac:dyDescent="0.25">
      <c r="A348" s="46">
        <v>45063</v>
      </c>
      <c r="B348" s="14">
        <v>238.449997</v>
      </c>
      <c r="C348" s="14">
        <v>243.83999600000001</v>
      </c>
      <c r="D348" s="14">
        <v>238.13999899999999</v>
      </c>
      <c r="E348" s="14">
        <v>242.490005</v>
      </c>
      <c r="F348" s="14">
        <v>242.23298600000001</v>
      </c>
      <c r="G348" s="14">
        <v>21193100</v>
      </c>
      <c r="H348" s="14">
        <f t="shared" si="5"/>
        <v>1.1124299233622681E-2</v>
      </c>
    </row>
    <row r="349" spans="1:8" x14ac:dyDescent="0.25">
      <c r="A349" s="46">
        <v>45064</v>
      </c>
      <c r="B349" s="14">
        <v>241.300003</v>
      </c>
      <c r="C349" s="14">
        <v>247.08999600000001</v>
      </c>
      <c r="D349" s="14">
        <v>241.19000199999999</v>
      </c>
      <c r="E349" s="14">
        <v>246.85000600000001</v>
      </c>
      <c r="F349" s="14">
        <v>246.588379</v>
      </c>
      <c r="G349" s="14">
        <v>22943300</v>
      </c>
      <c r="H349" s="14">
        <f t="shared" si="5"/>
        <v>1.280760482408505E-2</v>
      </c>
    </row>
    <row r="350" spans="1:8" x14ac:dyDescent="0.25">
      <c r="A350" s="46">
        <v>45065</v>
      </c>
      <c r="B350" s="14">
        <v>247.470001</v>
      </c>
      <c r="C350" s="14">
        <v>248.69000199999999</v>
      </c>
      <c r="D350" s="14">
        <v>243.41000399999999</v>
      </c>
      <c r="E350" s="14">
        <v>245.63999899999999</v>
      </c>
      <c r="F350" s="14">
        <v>245.37965399999999</v>
      </c>
      <c r="G350" s="14">
        <v>21599800</v>
      </c>
      <c r="H350" s="14">
        <f t="shared" si="5"/>
        <v>9.2043699224315656E-3</v>
      </c>
    </row>
    <row r="351" spans="1:8" x14ac:dyDescent="0.25">
      <c r="A351" s="46">
        <v>45068</v>
      </c>
      <c r="B351" s="14">
        <v>245.41000399999999</v>
      </c>
      <c r="C351" s="14">
        <v>253.570007</v>
      </c>
      <c r="D351" s="14">
        <v>245.11999499999999</v>
      </c>
      <c r="E351" s="14">
        <v>248.320007</v>
      </c>
      <c r="F351" s="14">
        <v>248.05680799999999</v>
      </c>
      <c r="G351" s="14">
        <v>27738500</v>
      </c>
      <c r="H351" s="14">
        <f t="shared" si="5"/>
        <v>2.3417155853627434E-3</v>
      </c>
    </row>
    <row r="352" spans="1:8" x14ac:dyDescent="0.25">
      <c r="A352" s="46">
        <v>45069</v>
      </c>
      <c r="B352" s="14">
        <v>246.80999800000001</v>
      </c>
      <c r="C352" s="14">
        <v>251.61000100000001</v>
      </c>
      <c r="D352" s="14">
        <v>246.64999399999999</v>
      </c>
      <c r="E352" s="14">
        <v>246.740005</v>
      </c>
      <c r="F352" s="14">
        <v>246.47848500000001</v>
      </c>
      <c r="G352" s="14">
        <v>17748100</v>
      </c>
      <c r="H352" s="14">
        <f t="shared" si="5"/>
        <v>6.2418367787580031E-3</v>
      </c>
    </row>
    <row r="353" spans="1:8" x14ac:dyDescent="0.25">
      <c r="A353" s="46">
        <v>45070</v>
      </c>
      <c r="B353" s="14">
        <v>245.279999</v>
      </c>
      <c r="C353" s="14">
        <v>249.58999600000001</v>
      </c>
      <c r="D353" s="14">
        <v>244.949997</v>
      </c>
      <c r="E353" s="14">
        <v>249.21000699999999</v>
      </c>
      <c r="F353" s="14">
        <v>248.945877</v>
      </c>
      <c r="G353" s="14">
        <v>17724300</v>
      </c>
      <c r="H353" s="14">
        <f t="shared" si="5"/>
        <v>-6.892345596408167E-3</v>
      </c>
    </row>
    <row r="354" spans="1:8" x14ac:dyDescent="0.25">
      <c r="A354" s="46">
        <v>45071</v>
      </c>
      <c r="B354" s="14">
        <v>253.39999399999999</v>
      </c>
      <c r="C354" s="14">
        <v>255.61999499999999</v>
      </c>
      <c r="D354" s="14">
        <v>249.16999799999999</v>
      </c>
      <c r="E354" s="14">
        <v>252.69000199999999</v>
      </c>
      <c r="F354" s="14">
        <v>252.42218</v>
      </c>
      <c r="G354" s="14">
        <v>22371400</v>
      </c>
      <c r="H354" s="14">
        <f t="shared" si="5"/>
        <v>1.7228010008916161E-2</v>
      </c>
    </row>
    <row r="355" spans="1:8" x14ac:dyDescent="0.25">
      <c r="A355" s="46">
        <v>45072</v>
      </c>
      <c r="B355" s="14">
        <v>252.929993</v>
      </c>
      <c r="C355" s="14">
        <v>262.30999800000001</v>
      </c>
      <c r="D355" s="14">
        <v>252.71000699999999</v>
      </c>
      <c r="E355" s="14">
        <v>262.040009</v>
      </c>
      <c r="F355" s="14">
        <v>261.76226800000001</v>
      </c>
      <c r="G355" s="14">
        <v>25727200</v>
      </c>
      <c r="H355" s="14">
        <f t="shared" si="5"/>
        <v>1.4207204031040588E-2</v>
      </c>
    </row>
    <row r="356" spans="1:8" x14ac:dyDescent="0.25">
      <c r="A356" s="46">
        <v>45076</v>
      </c>
      <c r="B356" s="14">
        <v>265.25</v>
      </c>
      <c r="C356" s="14">
        <v>268.64999399999999</v>
      </c>
      <c r="D356" s="14">
        <v>261.290009</v>
      </c>
      <c r="E356" s="14">
        <v>262.51998900000001</v>
      </c>
      <c r="F356" s="14">
        <v>262.24176</v>
      </c>
      <c r="G356" s="14">
        <v>23816500</v>
      </c>
      <c r="H356" s="14">
        <f t="shared" si="5"/>
        <v>8.4879919298170292E-3</v>
      </c>
    </row>
    <row r="357" spans="1:8" x14ac:dyDescent="0.25">
      <c r="A357" s="46">
        <v>45077</v>
      </c>
      <c r="B357" s="14">
        <v>260</v>
      </c>
      <c r="C357" s="14">
        <v>265</v>
      </c>
      <c r="D357" s="14">
        <v>258.45001200000002</v>
      </c>
      <c r="E357" s="14">
        <v>264.72000100000002</v>
      </c>
      <c r="F357" s="14">
        <v>264.43942299999998</v>
      </c>
      <c r="G357" s="14">
        <v>25473700</v>
      </c>
      <c r="H357" s="14">
        <f t="shared" si="5"/>
        <v>-1.0869137365294268E-2</v>
      </c>
    </row>
    <row r="358" spans="1:8" x14ac:dyDescent="0.25">
      <c r="A358" s="46">
        <v>45078</v>
      </c>
      <c r="B358" s="14">
        <v>265.89999399999999</v>
      </c>
      <c r="C358" s="14">
        <v>274</v>
      </c>
      <c r="D358" s="14">
        <v>265.89001500000001</v>
      </c>
      <c r="E358" s="14">
        <v>272.60998499999999</v>
      </c>
      <c r="F358" s="14">
        <v>272.32104500000003</v>
      </c>
      <c r="G358" s="14">
        <v>25609500</v>
      </c>
      <c r="H358" s="14">
        <f t="shared" si="5"/>
        <v>2.87870096906786E-2</v>
      </c>
    </row>
    <row r="359" spans="1:8" x14ac:dyDescent="0.25">
      <c r="A359" s="46">
        <v>45079</v>
      </c>
      <c r="B359" s="14">
        <v>272.66000400000001</v>
      </c>
      <c r="C359" s="14">
        <v>275.35000600000001</v>
      </c>
      <c r="D359" s="14">
        <v>271.11999500000002</v>
      </c>
      <c r="E359" s="14">
        <v>272.60998499999999</v>
      </c>
      <c r="F359" s="14">
        <v>272.32104500000003</v>
      </c>
      <c r="G359" s="14">
        <v>19405300</v>
      </c>
      <c r="H359" s="14">
        <f t="shared" si="5"/>
        <v>1.9669711929573674E-2</v>
      </c>
    </row>
    <row r="360" spans="1:8" x14ac:dyDescent="0.25">
      <c r="A360" s="46">
        <v>45082</v>
      </c>
      <c r="B360" s="14">
        <v>270.29998799999998</v>
      </c>
      <c r="C360" s="14">
        <v>275.57000699999998</v>
      </c>
      <c r="D360" s="14">
        <v>269.55999800000001</v>
      </c>
      <c r="E360" s="14">
        <v>271.39001500000001</v>
      </c>
      <c r="F360" s="14">
        <v>271.10235599999999</v>
      </c>
      <c r="G360" s="14">
        <v>20742900</v>
      </c>
      <c r="H360" s="14">
        <f t="shared" si="5"/>
        <v>-1.9179662495936538E-3</v>
      </c>
    </row>
    <row r="361" spans="1:8" x14ac:dyDescent="0.25">
      <c r="A361" s="46">
        <v>45083</v>
      </c>
      <c r="B361" s="14">
        <v>270.14001500000001</v>
      </c>
      <c r="C361" s="14">
        <v>276.57000699999998</v>
      </c>
      <c r="D361" s="14">
        <v>269.69000199999999</v>
      </c>
      <c r="E361" s="14">
        <v>271.11999500000002</v>
      </c>
      <c r="F361" s="14">
        <v>270.83264200000002</v>
      </c>
      <c r="G361" s="14">
        <v>19419000</v>
      </c>
      <c r="H361" s="14">
        <f t="shared" si="5"/>
        <v>4.8228224129887032E-4</v>
      </c>
    </row>
    <row r="362" spans="1:8" x14ac:dyDescent="0.25">
      <c r="A362" s="46">
        <v>45084</v>
      </c>
      <c r="B362" s="14">
        <v>271.67001299999998</v>
      </c>
      <c r="C362" s="14">
        <v>274.25</v>
      </c>
      <c r="D362" s="14">
        <v>262.79998799999998</v>
      </c>
      <c r="E362" s="14">
        <v>263.60000600000001</v>
      </c>
      <c r="F362" s="14">
        <v>263.32061800000002</v>
      </c>
      <c r="G362" s="14">
        <v>26163600</v>
      </c>
      <c r="H362" s="14">
        <f t="shared" si="5"/>
        <v>-2.5547902958597657E-2</v>
      </c>
    </row>
    <row r="363" spans="1:8" x14ac:dyDescent="0.25">
      <c r="A363" s="46">
        <v>45085</v>
      </c>
      <c r="B363" s="14">
        <v>260.61999500000002</v>
      </c>
      <c r="C363" s="14">
        <v>267.64999399999999</v>
      </c>
      <c r="D363" s="14">
        <v>258.88000499999998</v>
      </c>
      <c r="E363" s="14">
        <v>264.57998700000002</v>
      </c>
      <c r="F363" s="14">
        <v>264.29956099999998</v>
      </c>
      <c r="G363" s="14">
        <v>20899400</v>
      </c>
      <c r="H363" s="14">
        <f t="shared" si="5"/>
        <v>-1.4916222142293267E-2</v>
      </c>
    </row>
    <row r="364" spans="1:8" x14ac:dyDescent="0.25">
      <c r="A364" s="46">
        <v>45086</v>
      </c>
      <c r="B364" s="14">
        <v>262.48001099999999</v>
      </c>
      <c r="C364" s="14">
        <v>267.95001200000002</v>
      </c>
      <c r="D364" s="14">
        <v>261.70001200000002</v>
      </c>
      <c r="E364" s="14">
        <v>264.95001200000002</v>
      </c>
      <c r="F364" s="14">
        <v>264.66918900000002</v>
      </c>
      <c r="G364" s="14">
        <v>16938500</v>
      </c>
      <c r="H364" s="14">
        <f t="shared" si="5"/>
        <v>1.0893104703084466E-2</v>
      </c>
    </row>
    <row r="365" spans="1:8" x14ac:dyDescent="0.25">
      <c r="A365" s="46">
        <v>45089</v>
      </c>
      <c r="B365" s="14">
        <v>267.17001299999998</v>
      </c>
      <c r="C365" s="14">
        <v>271.75</v>
      </c>
      <c r="D365" s="14">
        <v>265.32998700000002</v>
      </c>
      <c r="E365" s="14">
        <v>271.04998799999998</v>
      </c>
      <c r="F365" s="14">
        <v>270.76269500000001</v>
      </c>
      <c r="G365" s="14">
        <v>15442500</v>
      </c>
      <c r="H365" s="14">
        <f t="shared" si="5"/>
        <v>4.6235827710496098E-3</v>
      </c>
    </row>
    <row r="366" spans="1:8" x14ac:dyDescent="0.25">
      <c r="A366" s="46">
        <v>45090</v>
      </c>
      <c r="B366" s="14">
        <v>274.88000499999998</v>
      </c>
      <c r="C366" s="14">
        <v>275.72000100000002</v>
      </c>
      <c r="D366" s="14">
        <v>269.08999599999999</v>
      </c>
      <c r="E366" s="14">
        <v>271.32000699999998</v>
      </c>
      <c r="F366" s="14">
        <v>271.03244000000001</v>
      </c>
      <c r="G366" s="14">
        <v>16164000</v>
      </c>
      <c r="H366" s="14">
        <f t="shared" si="5"/>
        <v>1.4171066913744479E-2</v>
      </c>
    </row>
    <row r="367" spans="1:8" x14ac:dyDescent="0.25">
      <c r="A367" s="46">
        <v>45091</v>
      </c>
      <c r="B367" s="14">
        <v>271.89001500000001</v>
      </c>
      <c r="C367" s="14">
        <v>274.98998999999998</v>
      </c>
      <c r="D367" s="14">
        <v>268.32000699999998</v>
      </c>
      <c r="E367" s="14">
        <v>273.35000600000001</v>
      </c>
      <c r="F367" s="14">
        <v>273.060272</v>
      </c>
      <c r="G367" s="14">
        <v>19175100</v>
      </c>
      <c r="H367" s="14">
        <f t="shared" si="5"/>
        <v>-2.8614553177220836E-3</v>
      </c>
    </row>
    <row r="368" spans="1:8" x14ac:dyDescent="0.25">
      <c r="A368" s="46">
        <v>45092</v>
      </c>
      <c r="B368" s="14">
        <v>272.29998799999998</v>
      </c>
      <c r="C368" s="14">
        <v>283.98998999999998</v>
      </c>
      <c r="D368" s="14">
        <v>271.42001299999998</v>
      </c>
      <c r="E368" s="14">
        <v>281.82998700000002</v>
      </c>
      <c r="F368" s="14">
        <v>281.53128099999998</v>
      </c>
      <c r="G368" s="14">
        <v>25973500</v>
      </c>
      <c r="H368" s="14">
        <f t="shared" si="5"/>
        <v>1.1553391171460481E-2</v>
      </c>
    </row>
    <row r="369" spans="1:8" x14ac:dyDescent="0.25">
      <c r="A369" s="46">
        <v>45093</v>
      </c>
      <c r="B369" s="14">
        <v>284.75</v>
      </c>
      <c r="C369" s="14">
        <v>287.85000600000001</v>
      </c>
      <c r="D369" s="14">
        <v>280.13000499999998</v>
      </c>
      <c r="E369" s="14">
        <v>281</v>
      </c>
      <c r="F369" s="14">
        <v>280.702179</v>
      </c>
      <c r="G369" s="14">
        <v>43102500</v>
      </c>
      <c r="H369" s="14">
        <f t="shared" si="5"/>
        <v>3.2090456056385275E-2</v>
      </c>
    </row>
    <row r="370" spans="1:8" x14ac:dyDescent="0.25">
      <c r="A370" s="46">
        <v>45097</v>
      </c>
      <c r="B370" s="14">
        <v>278.73001099999999</v>
      </c>
      <c r="C370" s="14">
        <v>284.79998799999998</v>
      </c>
      <c r="D370" s="14">
        <v>276.22000100000002</v>
      </c>
      <c r="E370" s="14">
        <v>284.32998700000002</v>
      </c>
      <c r="F370" s="14">
        <v>284.02862499999998</v>
      </c>
      <c r="G370" s="14">
        <v>20701600</v>
      </c>
      <c r="H370" s="14">
        <f t="shared" si="5"/>
        <v>-3.4894548336583675E-3</v>
      </c>
    </row>
    <row r="371" spans="1:8" x14ac:dyDescent="0.25">
      <c r="A371" s="46">
        <v>45098</v>
      </c>
      <c r="B371" s="14">
        <v>283.52999899999998</v>
      </c>
      <c r="C371" s="14">
        <v>284</v>
      </c>
      <c r="D371" s="14">
        <v>278.35998499999999</v>
      </c>
      <c r="E371" s="14">
        <v>281.64001500000001</v>
      </c>
      <c r="F371" s="14">
        <v>281.341522</v>
      </c>
      <c r="G371" s="14">
        <v>20556200</v>
      </c>
      <c r="H371" s="14">
        <f t="shared" si="5"/>
        <v>7.7473897337361208E-3</v>
      </c>
    </row>
    <row r="372" spans="1:8" x14ac:dyDescent="0.25">
      <c r="A372" s="46">
        <v>45099</v>
      </c>
      <c r="B372" s="14">
        <v>279.07998700000002</v>
      </c>
      <c r="C372" s="14">
        <v>285.26001000000002</v>
      </c>
      <c r="D372" s="14">
        <v>277.790009</v>
      </c>
      <c r="E372" s="14">
        <v>284.88000499999998</v>
      </c>
      <c r="F372" s="14">
        <v>284.57806399999998</v>
      </c>
      <c r="G372" s="14">
        <v>17563100</v>
      </c>
      <c r="H372" s="14">
        <f t="shared" si="5"/>
        <v>-2.0476218950794545E-3</v>
      </c>
    </row>
    <row r="373" spans="1:8" x14ac:dyDescent="0.25">
      <c r="A373" s="46">
        <v>45100</v>
      </c>
      <c r="B373" s="14">
        <v>281.51001000000002</v>
      </c>
      <c r="C373" s="14">
        <v>289.67001299999998</v>
      </c>
      <c r="D373" s="14">
        <v>278.95001200000002</v>
      </c>
      <c r="E373" s="14">
        <v>288.73001099999999</v>
      </c>
      <c r="F373" s="14">
        <v>288.42398100000003</v>
      </c>
      <c r="G373" s="14">
        <v>50988400</v>
      </c>
      <c r="H373" s="14">
        <f t="shared" si="5"/>
        <v>4.1758269283185268E-3</v>
      </c>
    </row>
    <row r="374" spans="1:8" x14ac:dyDescent="0.25">
      <c r="A374" s="46">
        <v>45103</v>
      </c>
      <c r="B374" s="14">
        <v>288.70001200000002</v>
      </c>
      <c r="C374" s="14">
        <v>289.790009</v>
      </c>
      <c r="D374" s="14">
        <v>277.60000600000001</v>
      </c>
      <c r="E374" s="14">
        <v>278.47000100000002</v>
      </c>
      <c r="F374" s="14">
        <v>278.17486600000001</v>
      </c>
      <c r="G374" s="14">
        <v>24232700</v>
      </c>
      <c r="H374" s="14">
        <f t="shared" si="5"/>
        <v>-1.6131994287205871E-3</v>
      </c>
    </row>
    <row r="375" spans="1:8" x14ac:dyDescent="0.25">
      <c r="A375" s="46">
        <v>45104</v>
      </c>
      <c r="B375" s="14">
        <v>282.01001000000002</v>
      </c>
      <c r="C375" s="14">
        <v>289.35000600000001</v>
      </c>
      <c r="D375" s="14">
        <v>280.64999399999999</v>
      </c>
      <c r="E375" s="14">
        <v>287.04998799999998</v>
      </c>
      <c r="F375" s="14">
        <v>286.74575800000002</v>
      </c>
      <c r="G375" s="14">
        <v>26108300</v>
      </c>
      <c r="H375" s="14">
        <f t="shared" si="5"/>
        <v>1.0986988235151429E-2</v>
      </c>
    </row>
    <row r="376" spans="1:8" x14ac:dyDescent="0.25">
      <c r="A376" s="46">
        <v>45105</v>
      </c>
      <c r="B376" s="14">
        <v>284.82000699999998</v>
      </c>
      <c r="C376" s="14">
        <v>289.54998799999998</v>
      </c>
      <c r="D376" s="14">
        <v>284.05999800000001</v>
      </c>
      <c r="E376" s="14">
        <v>285.290009</v>
      </c>
      <c r="F376" s="14">
        <v>284.98764</v>
      </c>
      <c r="G376" s="14">
        <v>16722100</v>
      </c>
      <c r="H376" s="14">
        <f t="shared" si="5"/>
        <v>1.2150379735978323E-2</v>
      </c>
    </row>
    <row r="377" spans="1:8" x14ac:dyDescent="0.25">
      <c r="A377" s="46">
        <v>45106</v>
      </c>
      <c r="B377" s="14">
        <v>284.5</v>
      </c>
      <c r="C377" s="14">
        <v>286.57000699999998</v>
      </c>
      <c r="D377" s="14">
        <v>280.69000199999999</v>
      </c>
      <c r="E377" s="14">
        <v>281.52999899999998</v>
      </c>
      <c r="F377" s="14">
        <v>281.23159800000002</v>
      </c>
      <c r="G377" s="14">
        <v>15395700</v>
      </c>
      <c r="H377" s="14">
        <f t="shared" si="5"/>
        <v>-1.1863676771553089E-2</v>
      </c>
    </row>
    <row r="378" spans="1:8" x14ac:dyDescent="0.25">
      <c r="A378" s="46">
        <v>45107</v>
      </c>
      <c r="B378" s="14">
        <v>284.76001000000002</v>
      </c>
      <c r="C378" s="14">
        <v>289.04998799999998</v>
      </c>
      <c r="D378" s="14">
        <v>284.42001299999998</v>
      </c>
      <c r="E378" s="14">
        <v>286.98001099999999</v>
      </c>
      <c r="F378" s="14">
        <v>286.67584199999999</v>
      </c>
      <c r="G378" s="14">
        <v>19676000</v>
      </c>
      <c r="H378" s="14">
        <f t="shared" si="5"/>
        <v>1.328872055799124E-2</v>
      </c>
    </row>
    <row r="379" spans="1:8" x14ac:dyDescent="0.25">
      <c r="A379" s="46">
        <v>45110</v>
      </c>
      <c r="B379" s="14">
        <v>286.70001200000002</v>
      </c>
      <c r="C379" s="14">
        <v>289.39999399999999</v>
      </c>
      <c r="D379" s="14">
        <v>284.85000600000001</v>
      </c>
      <c r="E379" s="14">
        <v>286.01998900000001</v>
      </c>
      <c r="F379" s="14">
        <v>285.71682700000002</v>
      </c>
      <c r="G379" s="14">
        <v>8629300</v>
      </c>
      <c r="H379" s="14">
        <f t="shared" si="5"/>
        <v>5.0394133130149399E-4</v>
      </c>
    </row>
    <row r="380" spans="1:8" x14ac:dyDescent="0.25">
      <c r="A380" s="46">
        <v>45112</v>
      </c>
      <c r="B380" s="14">
        <v>287.64999399999999</v>
      </c>
      <c r="C380" s="14">
        <v>298.11999500000002</v>
      </c>
      <c r="D380" s="14">
        <v>286.35998499999999</v>
      </c>
      <c r="E380" s="14">
        <v>294.36999500000002</v>
      </c>
      <c r="F380" s="14">
        <v>294.05798299999998</v>
      </c>
      <c r="G380" s="14">
        <v>33865500</v>
      </c>
      <c r="H380" s="14">
        <f t="shared" si="5"/>
        <v>2.6504808990595041E-3</v>
      </c>
    </row>
    <row r="381" spans="1:8" x14ac:dyDescent="0.25">
      <c r="A381" s="46">
        <v>45113</v>
      </c>
      <c r="B381" s="14">
        <v>295.89001500000001</v>
      </c>
      <c r="C381" s="14">
        <v>298.11999500000002</v>
      </c>
      <c r="D381" s="14">
        <v>291.30999800000001</v>
      </c>
      <c r="E381" s="14">
        <v>291.98998999999998</v>
      </c>
      <c r="F381" s="14">
        <v>291.68051100000002</v>
      </c>
      <c r="G381" s="14">
        <v>47600500</v>
      </c>
      <c r="H381" s="14">
        <f t="shared" si="5"/>
        <v>1.7285980092504927E-2</v>
      </c>
    </row>
    <row r="382" spans="1:8" x14ac:dyDescent="0.25">
      <c r="A382" s="46">
        <v>45114</v>
      </c>
      <c r="B382" s="14">
        <v>292.17999300000002</v>
      </c>
      <c r="C382" s="14">
        <v>296.20001200000002</v>
      </c>
      <c r="D382" s="14">
        <v>288.66000400000001</v>
      </c>
      <c r="E382" s="14">
        <v>290.52999899999998</v>
      </c>
      <c r="F382" s="14">
        <v>290.22207600000002</v>
      </c>
      <c r="G382" s="14">
        <v>25546200</v>
      </c>
      <c r="H382" s="14">
        <f t="shared" si="5"/>
        <v>-9.0968178853922943E-3</v>
      </c>
    </row>
    <row r="383" spans="1:8" x14ac:dyDescent="0.25">
      <c r="A383" s="46">
        <v>45117</v>
      </c>
      <c r="B383" s="14">
        <v>295.54998799999998</v>
      </c>
      <c r="C383" s="14">
        <v>298.13000499999998</v>
      </c>
      <c r="D383" s="14">
        <v>287.04998799999998</v>
      </c>
      <c r="E383" s="14">
        <v>294.10000600000001</v>
      </c>
      <c r="F383" s="14">
        <v>293.78829999999999</v>
      </c>
      <c r="G383" s="14">
        <v>37058300</v>
      </c>
      <c r="H383" s="14">
        <f t="shared" si="5"/>
        <v>-1.8591837891057672E-3</v>
      </c>
    </row>
    <row r="384" spans="1:8" x14ac:dyDescent="0.25">
      <c r="A384" s="46">
        <v>45118</v>
      </c>
      <c r="B384" s="14">
        <v>293.89999399999999</v>
      </c>
      <c r="C384" s="14">
        <v>300.17999300000002</v>
      </c>
      <c r="D384" s="14">
        <v>291.89999399999999</v>
      </c>
      <c r="E384" s="14">
        <v>298.290009</v>
      </c>
      <c r="F384" s="14">
        <v>297.97384599999998</v>
      </c>
      <c r="G384" s="14">
        <v>27585900</v>
      </c>
      <c r="H384" s="14">
        <f t="shared" si="5"/>
        <v>1.689603275649687E-2</v>
      </c>
    </row>
    <row r="385" spans="1:8" x14ac:dyDescent="0.25">
      <c r="A385" s="46">
        <v>45119</v>
      </c>
      <c r="B385" s="14">
        <v>301.75</v>
      </c>
      <c r="C385" s="14">
        <v>309.45001200000002</v>
      </c>
      <c r="D385" s="14">
        <v>300.10000600000001</v>
      </c>
      <c r="E385" s="14">
        <v>309.33999599999999</v>
      </c>
      <c r="F385" s="14">
        <v>309.01211499999999</v>
      </c>
      <c r="G385" s="14">
        <v>36677100</v>
      </c>
      <c r="H385" s="14">
        <f t="shared" si="5"/>
        <v>2.8091853951871082E-2</v>
      </c>
    </row>
    <row r="386" spans="1:8" x14ac:dyDescent="0.25">
      <c r="A386" s="46">
        <v>45120</v>
      </c>
      <c r="B386" s="14">
        <v>313.61999500000002</v>
      </c>
      <c r="C386" s="14">
        <v>316.23998999999998</v>
      </c>
      <c r="D386" s="14">
        <v>310.290009</v>
      </c>
      <c r="E386" s="14">
        <v>313.41000400000001</v>
      </c>
      <c r="F386" s="14">
        <v>313.07781999999997</v>
      </c>
      <c r="G386" s="14">
        <v>30281000</v>
      </c>
      <c r="H386" s="14">
        <f t="shared" si="5"/>
        <v>3.3955357535047748E-2</v>
      </c>
    </row>
    <row r="387" spans="1:8" x14ac:dyDescent="0.25">
      <c r="A387" s="46">
        <v>45121</v>
      </c>
      <c r="B387" s="14">
        <v>311.790009</v>
      </c>
      <c r="C387" s="14">
        <v>314.88000499999998</v>
      </c>
      <c r="D387" s="14">
        <v>307.35998499999999</v>
      </c>
      <c r="E387" s="14">
        <v>308.86999500000002</v>
      </c>
      <c r="F387" s="14">
        <v>308.54263300000002</v>
      </c>
      <c r="G387" s="14">
        <v>22576000</v>
      </c>
      <c r="H387" s="14">
        <f t="shared" si="5"/>
        <v>-9.442856408567124E-3</v>
      </c>
    </row>
    <row r="388" spans="1:8" x14ac:dyDescent="0.25">
      <c r="A388" s="46">
        <v>45124</v>
      </c>
      <c r="B388" s="14">
        <v>307.540009</v>
      </c>
      <c r="C388" s="14">
        <v>311.709991</v>
      </c>
      <c r="D388" s="14">
        <v>304.709991</v>
      </c>
      <c r="E388" s="14">
        <v>310.61999500000002</v>
      </c>
      <c r="F388" s="14">
        <v>310.29077100000001</v>
      </c>
      <c r="G388" s="14">
        <v>25323100</v>
      </c>
      <c r="H388" s="14">
        <f t="shared" ref="H388:H451" si="6">(D388/D387-1)/(A388-A387)</f>
        <v>-2.8739308187216706E-3</v>
      </c>
    </row>
    <row r="389" spans="1:8" x14ac:dyDescent="0.25">
      <c r="A389" s="46">
        <v>45125</v>
      </c>
      <c r="B389" s="14">
        <v>310.88000499999998</v>
      </c>
      <c r="C389" s="14">
        <v>314.20001200000002</v>
      </c>
      <c r="D389" s="14">
        <v>307.61999500000002</v>
      </c>
      <c r="E389" s="14">
        <v>312.04998799999998</v>
      </c>
      <c r="F389" s="14">
        <v>311.71923800000002</v>
      </c>
      <c r="G389" s="14">
        <v>20764600</v>
      </c>
      <c r="H389" s="14">
        <f t="shared" si="6"/>
        <v>9.5500774045838011E-3</v>
      </c>
    </row>
    <row r="390" spans="1:8" x14ac:dyDescent="0.25">
      <c r="A390" s="46">
        <v>45126</v>
      </c>
      <c r="B390" s="14">
        <v>313.02999899999998</v>
      </c>
      <c r="C390" s="14">
        <v>318.67999300000002</v>
      </c>
      <c r="D390" s="14">
        <v>310.51998900000001</v>
      </c>
      <c r="E390" s="14">
        <v>316.01001000000002</v>
      </c>
      <c r="F390" s="14">
        <v>315.67507899999998</v>
      </c>
      <c r="G390" s="14">
        <v>21763700</v>
      </c>
      <c r="H390" s="14">
        <f t="shared" si="6"/>
        <v>9.4271960442622316E-3</v>
      </c>
    </row>
    <row r="391" spans="1:8" x14ac:dyDescent="0.25">
      <c r="A391" s="46">
        <v>45127</v>
      </c>
      <c r="B391" s="14">
        <v>313.5</v>
      </c>
      <c r="C391" s="14">
        <v>315.540009</v>
      </c>
      <c r="D391" s="14">
        <v>302.22000100000002</v>
      </c>
      <c r="E391" s="14">
        <v>302.51998900000001</v>
      </c>
      <c r="F391" s="14">
        <v>302.199341</v>
      </c>
      <c r="G391" s="14">
        <v>23836900</v>
      </c>
      <c r="H391" s="14">
        <f t="shared" si="6"/>
        <v>-2.6729319509282812E-2</v>
      </c>
    </row>
    <row r="392" spans="1:8" x14ac:dyDescent="0.25">
      <c r="A392" s="46">
        <v>45128</v>
      </c>
      <c r="B392" s="14">
        <v>304.57000699999998</v>
      </c>
      <c r="C392" s="14">
        <v>305.459991</v>
      </c>
      <c r="D392" s="14">
        <v>291.20001200000002</v>
      </c>
      <c r="E392" s="14">
        <v>294.26001000000002</v>
      </c>
      <c r="F392" s="14">
        <v>293.94812000000002</v>
      </c>
      <c r="G392" s="14">
        <v>42089700</v>
      </c>
      <c r="H392" s="14">
        <f t="shared" si="6"/>
        <v>-3.6463466890134799E-2</v>
      </c>
    </row>
    <row r="393" spans="1:8" x14ac:dyDescent="0.25">
      <c r="A393" s="46">
        <v>45131</v>
      </c>
      <c r="B393" s="14">
        <v>295.77999899999998</v>
      </c>
      <c r="C393" s="14">
        <v>297.51998900000001</v>
      </c>
      <c r="D393" s="14">
        <v>288.29998799999998</v>
      </c>
      <c r="E393" s="14">
        <v>291.60998499999999</v>
      </c>
      <c r="F393" s="14">
        <v>291.30090300000001</v>
      </c>
      <c r="G393" s="14">
        <v>24915700</v>
      </c>
      <c r="H393" s="14">
        <f t="shared" si="6"/>
        <v>-3.3196244053268855E-3</v>
      </c>
    </row>
    <row r="394" spans="1:8" x14ac:dyDescent="0.25">
      <c r="A394" s="46">
        <v>45132</v>
      </c>
      <c r="B394" s="14">
        <v>295.19000199999999</v>
      </c>
      <c r="C394" s="14">
        <v>298.29998799999998</v>
      </c>
      <c r="D394" s="14">
        <v>291.85998499999999</v>
      </c>
      <c r="E394" s="14">
        <v>294.47000100000002</v>
      </c>
      <c r="F394" s="14">
        <v>294.15789799999999</v>
      </c>
      <c r="G394" s="14">
        <v>19585600</v>
      </c>
      <c r="H394" s="14">
        <f t="shared" si="6"/>
        <v>1.2348238460557992E-2</v>
      </c>
    </row>
    <row r="395" spans="1:8" x14ac:dyDescent="0.25">
      <c r="A395" s="46">
        <v>45133</v>
      </c>
      <c r="B395" s="14">
        <v>301.19000199999999</v>
      </c>
      <c r="C395" s="14">
        <v>301.76998900000001</v>
      </c>
      <c r="D395" s="14">
        <v>291.89999399999999</v>
      </c>
      <c r="E395" s="14">
        <v>298.57000699999998</v>
      </c>
      <c r="F395" s="14">
        <v>298.25357100000002</v>
      </c>
      <c r="G395" s="14">
        <v>47256900</v>
      </c>
      <c r="H395" s="14">
        <f t="shared" si="6"/>
        <v>1.3708285498603701E-4</v>
      </c>
    </row>
    <row r="396" spans="1:8" x14ac:dyDescent="0.25">
      <c r="A396" s="46">
        <v>45134</v>
      </c>
      <c r="B396" s="14">
        <v>325.11999500000002</v>
      </c>
      <c r="C396" s="14">
        <v>325.35000600000001</v>
      </c>
      <c r="D396" s="14">
        <v>309.83999599999999</v>
      </c>
      <c r="E396" s="14">
        <v>311.709991</v>
      </c>
      <c r="F396" s="14">
        <v>311.37960800000002</v>
      </c>
      <c r="G396" s="14">
        <v>64229200</v>
      </c>
      <c r="H396" s="14">
        <f t="shared" si="6"/>
        <v>6.1459412020405946E-2</v>
      </c>
    </row>
    <row r="397" spans="1:8" x14ac:dyDescent="0.25">
      <c r="A397" s="46">
        <v>45135</v>
      </c>
      <c r="B397" s="14">
        <v>316.88000499999998</v>
      </c>
      <c r="C397" s="14">
        <v>326.20001200000002</v>
      </c>
      <c r="D397" s="14">
        <v>314.25</v>
      </c>
      <c r="E397" s="14">
        <v>325.48001099999999</v>
      </c>
      <c r="F397" s="14">
        <v>325.13504</v>
      </c>
      <c r="G397" s="14">
        <v>39220300</v>
      </c>
      <c r="H397" s="14">
        <f t="shared" si="6"/>
        <v>1.4233165688525284E-2</v>
      </c>
    </row>
    <row r="398" spans="1:8" x14ac:dyDescent="0.25">
      <c r="A398" s="46">
        <v>45138</v>
      </c>
      <c r="B398" s="14">
        <v>323.69000199999999</v>
      </c>
      <c r="C398" s="14">
        <v>325.66000400000001</v>
      </c>
      <c r="D398" s="14">
        <v>317.58999599999999</v>
      </c>
      <c r="E398" s="14">
        <v>318.60000600000001</v>
      </c>
      <c r="F398" s="14">
        <v>318.26232900000002</v>
      </c>
      <c r="G398" s="14">
        <v>25799600</v>
      </c>
      <c r="H398" s="14">
        <f t="shared" si="6"/>
        <v>3.5428225934765281E-3</v>
      </c>
    </row>
    <row r="399" spans="1:8" x14ac:dyDescent="0.25">
      <c r="A399" s="46">
        <v>45139</v>
      </c>
      <c r="B399" s="14">
        <v>317.540009</v>
      </c>
      <c r="C399" s="14">
        <v>324.14001500000001</v>
      </c>
      <c r="D399" s="14">
        <v>314.66000400000001</v>
      </c>
      <c r="E399" s="14">
        <v>322.709991</v>
      </c>
      <c r="F399" s="14">
        <v>322.36795000000001</v>
      </c>
      <c r="G399" s="14">
        <v>22817900</v>
      </c>
      <c r="H399" s="14">
        <f t="shared" si="6"/>
        <v>-9.2257062152548697E-3</v>
      </c>
    </row>
    <row r="400" spans="1:8" x14ac:dyDescent="0.25">
      <c r="A400" s="46">
        <v>45140</v>
      </c>
      <c r="B400" s="14">
        <v>318</v>
      </c>
      <c r="C400" s="14">
        <v>318.39001500000001</v>
      </c>
      <c r="D400" s="14">
        <v>310.64999399999999</v>
      </c>
      <c r="E400" s="14">
        <v>314.30999800000001</v>
      </c>
      <c r="F400" s="14">
        <v>313.97686800000002</v>
      </c>
      <c r="G400" s="14">
        <v>20461100</v>
      </c>
      <c r="H400" s="14">
        <f t="shared" si="6"/>
        <v>-1.2743945684307589E-2</v>
      </c>
    </row>
    <row r="401" spans="1:8" x14ac:dyDescent="0.25">
      <c r="A401" s="46">
        <v>45141</v>
      </c>
      <c r="B401" s="14">
        <v>309.92999300000002</v>
      </c>
      <c r="C401" s="14">
        <v>315.95001200000002</v>
      </c>
      <c r="D401" s="14">
        <v>309.92999300000002</v>
      </c>
      <c r="E401" s="14">
        <v>313.19000199999999</v>
      </c>
      <c r="F401" s="14">
        <v>312.85806300000002</v>
      </c>
      <c r="G401" s="14">
        <v>15180200</v>
      </c>
      <c r="H401" s="14">
        <f t="shared" si="6"/>
        <v>-2.3177241715960362E-3</v>
      </c>
    </row>
    <row r="402" spans="1:8" x14ac:dyDescent="0.25">
      <c r="A402" s="46">
        <v>45142</v>
      </c>
      <c r="B402" s="14">
        <v>314.959991</v>
      </c>
      <c r="C402" s="14">
        <v>318.41000400000001</v>
      </c>
      <c r="D402" s="14">
        <v>310.20001200000002</v>
      </c>
      <c r="E402" s="14">
        <v>310.73001099999999</v>
      </c>
      <c r="F402" s="14">
        <v>310.400665</v>
      </c>
      <c r="G402" s="14">
        <v>17600200</v>
      </c>
      <c r="H402" s="14">
        <f t="shared" si="6"/>
        <v>8.712257803329404E-4</v>
      </c>
    </row>
    <row r="403" spans="1:8" x14ac:dyDescent="0.25">
      <c r="A403" s="46">
        <v>45145</v>
      </c>
      <c r="B403" s="14">
        <v>313.23001099999999</v>
      </c>
      <c r="C403" s="14">
        <v>317.07000699999998</v>
      </c>
      <c r="D403" s="14">
        <v>310.459991</v>
      </c>
      <c r="E403" s="14">
        <v>316.55999800000001</v>
      </c>
      <c r="F403" s="14">
        <v>316.22448700000001</v>
      </c>
      <c r="G403" s="14">
        <v>16236500</v>
      </c>
      <c r="H403" s="14">
        <f t="shared" si="6"/>
        <v>2.7936706419814011E-4</v>
      </c>
    </row>
    <row r="404" spans="1:8" x14ac:dyDescent="0.25">
      <c r="A404" s="46">
        <v>45146</v>
      </c>
      <c r="B404" s="14">
        <v>314.39999399999999</v>
      </c>
      <c r="C404" s="14">
        <v>317.89001500000001</v>
      </c>
      <c r="D404" s="14">
        <v>310.10998499999999</v>
      </c>
      <c r="E404" s="14">
        <v>312.64001500000001</v>
      </c>
      <c r="F404" s="14">
        <v>312.30865499999999</v>
      </c>
      <c r="G404" s="14">
        <v>15183500</v>
      </c>
      <c r="H404" s="14">
        <f t="shared" si="6"/>
        <v>-1.1273787610204256E-3</v>
      </c>
    </row>
    <row r="405" spans="1:8" x14ac:dyDescent="0.25">
      <c r="A405" s="46">
        <v>45147</v>
      </c>
      <c r="B405" s="14">
        <v>312.88000499999998</v>
      </c>
      <c r="C405" s="14">
        <v>313.63000499999998</v>
      </c>
      <c r="D405" s="14">
        <v>302.85000600000001</v>
      </c>
      <c r="E405" s="14">
        <v>305.209991</v>
      </c>
      <c r="F405" s="14">
        <v>304.886505</v>
      </c>
      <c r="G405" s="14">
        <v>19955800</v>
      </c>
      <c r="H405" s="14">
        <f t="shared" si="6"/>
        <v>-2.3410981107235163E-2</v>
      </c>
    </row>
    <row r="406" spans="1:8" x14ac:dyDescent="0.25">
      <c r="A406" s="46">
        <v>45148</v>
      </c>
      <c r="B406" s="14">
        <v>307.94000199999999</v>
      </c>
      <c r="C406" s="14">
        <v>312.33999599999999</v>
      </c>
      <c r="D406" s="14">
        <v>303.86999500000002</v>
      </c>
      <c r="E406" s="14">
        <v>305.73998999999998</v>
      </c>
      <c r="F406" s="14">
        <v>305.415955</v>
      </c>
      <c r="G406" s="14">
        <v>14358900</v>
      </c>
      <c r="H406" s="14">
        <f t="shared" si="6"/>
        <v>3.3679675740208026E-3</v>
      </c>
    </row>
    <row r="407" spans="1:8" x14ac:dyDescent="0.25">
      <c r="A407" s="46">
        <v>45149</v>
      </c>
      <c r="B407" s="14">
        <v>302.57000699999998</v>
      </c>
      <c r="C407" s="14">
        <v>304.72000100000002</v>
      </c>
      <c r="D407" s="14">
        <v>300.35998499999999</v>
      </c>
      <c r="E407" s="14">
        <v>301.64001500000001</v>
      </c>
      <c r="F407" s="14">
        <v>301.320313</v>
      </c>
      <c r="G407" s="14">
        <v>13967800</v>
      </c>
      <c r="H407" s="14">
        <f t="shared" si="6"/>
        <v>-1.155102529948715E-2</v>
      </c>
    </row>
    <row r="408" spans="1:8" x14ac:dyDescent="0.25">
      <c r="A408" s="46">
        <v>45152</v>
      </c>
      <c r="B408" s="14">
        <v>300.98001099999999</v>
      </c>
      <c r="C408" s="14">
        <v>306.209991</v>
      </c>
      <c r="D408" s="14">
        <v>298.25</v>
      </c>
      <c r="E408" s="14">
        <v>306.19000199999999</v>
      </c>
      <c r="F408" s="14">
        <v>305.86547899999999</v>
      </c>
      <c r="G408" s="14">
        <v>15641900</v>
      </c>
      <c r="H408" s="14">
        <f t="shared" si="6"/>
        <v>-2.3416179533147044E-3</v>
      </c>
    </row>
    <row r="409" spans="1:8" x14ac:dyDescent="0.25">
      <c r="A409" s="46">
        <v>45153</v>
      </c>
      <c r="B409" s="14">
        <v>306.14001500000001</v>
      </c>
      <c r="C409" s="14">
        <v>307.23001099999999</v>
      </c>
      <c r="D409" s="14">
        <v>300.02999899999998</v>
      </c>
      <c r="E409" s="14">
        <v>301.95001200000002</v>
      </c>
      <c r="F409" s="14">
        <v>301.629974</v>
      </c>
      <c r="G409" s="14">
        <v>11623600</v>
      </c>
      <c r="H409" s="14">
        <f t="shared" si="6"/>
        <v>5.9681441743502095E-3</v>
      </c>
    </row>
    <row r="410" spans="1:8" x14ac:dyDescent="0.25">
      <c r="A410" s="46">
        <v>45154</v>
      </c>
      <c r="B410" s="14">
        <v>300.20001200000002</v>
      </c>
      <c r="C410" s="14">
        <v>301.07998700000002</v>
      </c>
      <c r="D410" s="14">
        <v>294.27999899999998</v>
      </c>
      <c r="E410" s="14">
        <v>294.290009</v>
      </c>
      <c r="F410" s="14">
        <v>293.97808800000001</v>
      </c>
      <c r="G410" s="14">
        <v>18547700</v>
      </c>
      <c r="H410" s="14">
        <f t="shared" si="6"/>
        <v>-1.9164750255523666E-2</v>
      </c>
    </row>
    <row r="411" spans="1:8" x14ac:dyDescent="0.25">
      <c r="A411" s="46">
        <v>45155</v>
      </c>
      <c r="B411" s="14">
        <v>293.04998799999998</v>
      </c>
      <c r="C411" s="14">
        <v>296.04998799999998</v>
      </c>
      <c r="D411" s="14">
        <v>284.95001200000002</v>
      </c>
      <c r="E411" s="14">
        <v>285.08999599999999</v>
      </c>
      <c r="F411" s="14">
        <v>284.78784200000001</v>
      </c>
      <c r="G411" s="14">
        <v>23950100</v>
      </c>
      <c r="H411" s="14">
        <f t="shared" si="6"/>
        <v>-3.1704455048608193E-2</v>
      </c>
    </row>
    <row r="412" spans="1:8" x14ac:dyDescent="0.25">
      <c r="A412" s="46">
        <v>45156</v>
      </c>
      <c r="B412" s="14">
        <v>279.02999899999998</v>
      </c>
      <c r="C412" s="14">
        <v>285.69000199999999</v>
      </c>
      <c r="D412" s="14">
        <v>274.38000499999998</v>
      </c>
      <c r="E412" s="14">
        <v>283.25</v>
      </c>
      <c r="F412" s="14">
        <v>282.94979899999998</v>
      </c>
      <c r="G412" s="14">
        <v>34061200</v>
      </c>
      <c r="H412" s="14">
        <f t="shared" si="6"/>
        <v>-3.7094250060954681E-2</v>
      </c>
    </row>
    <row r="413" spans="1:8" x14ac:dyDescent="0.25">
      <c r="A413" s="46">
        <v>45159</v>
      </c>
      <c r="B413" s="14">
        <v>283.45001200000002</v>
      </c>
      <c r="C413" s="14">
        <v>290.5</v>
      </c>
      <c r="D413" s="14">
        <v>281.85000600000001</v>
      </c>
      <c r="E413" s="14">
        <v>289.89999399999999</v>
      </c>
      <c r="F413" s="14">
        <v>289.59274299999998</v>
      </c>
      <c r="G413" s="14">
        <v>20181500</v>
      </c>
      <c r="H413" s="14">
        <f t="shared" si="6"/>
        <v>9.0750065163579894E-3</v>
      </c>
    </row>
    <row r="414" spans="1:8" x14ac:dyDescent="0.25">
      <c r="A414" s="46">
        <v>45160</v>
      </c>
      <c r="B414" s="14">
        <v>292.54998799999998</v>
      </c>
      <c r="C414" s="14">
        <v>292.89999399999999</v>
      </c>
      <c r="D414" s="14">
        <v>286.75</v>
      </c>
      <c r="E414" s="14">
        <v>287.60000600000001</v>
      </c>
      <c r="F414" s="14">
        <v>287.29519699999997</v>
      </c>
      <c r="G414" s="14">
        <v>12999900</v>
      </c>
      <c r="H414" s="14">
        <f t="shared" si="6"/>
        <v>1.7385112278478942E-2</v>
      </c>
    </row>
    <row r="415" spans="1:8" x14ac:dyDescent="0.25">
      <c r="A415" s="46">
        <v>45161</v>
      </c>
      <c r="B415" s="14">
        <v>288.5</v>
      </c>
      <c r="C415" s="14">
        <v>297.39999399999999</v>
      </c>
      <c r="D415" s="14">
        <v>287.67001299999998</v>
      </c>
      <c r="E415" s="14">
        <v>294.23998999999998</v>
      </c>
      <c r="F415" s="14">
        <v>293.92813100000001</v>
      </c>
      <c r="G415" s="14">
        <v>18287000</v>
      </c>
      <c r="H415" s="14">
        <f t="shared" si="6"/>
        <v>3.2084149956408403E-3</v>
      </c>
    </row>
    <row r="416" spans="1:8" x14ac:dyDescent="0.25">
      <c r="A416" s="46">
        <v>45162</v>
      </c>
      <c r="B416" s="14">
        <v>298.5</v>
      </c>
      <c r="C416" s="14">
        <v>299.459991</v>
      </c>
      <c r="D416" s="14">
        <v>286.64001500000001</v>
      </c>
      <c r="E416" s="14">
        <v>286.75</v>
      </c>
      <c r="F416" s="14">
        <v>286.44607500000001</v>
      </c>
      <c r="G416" s="14">
        <v>18360900</v>
      </c>
      <c r="H416" s="14">
        <f t="shared" si="6"/>
        <v>-3.5804844212246056E-3</v>
      </c>
    </row>
    <row r="417" spans="1:8" x14ac:dyDescent="0.25">
      <c r="A417" s="46">
        <v>45163</v>
      </c>
      <c r="B417" s="14">
        <v>286.13000499999998</v>
      </c>
      <c r="C417" s="14">
        <v>288.39001500000001</v>
      </c>
      <c r="D417" s="14">
        <v>276.02999899999998</v>
      </c>
      <c r="E417" s="14">
        <v>285.5</v>
      </c>
      <c r="F417" s="14">
        <v>285.19738799999999</v>
      </c>
      <c r="G417" s="14">
        <v>23701400</v>
      </c>
      <c r="H417" s="14">
        <f t="shared" si="6"/>
        <v>-3.7015125051539033E-2</v>
      </c>
    </row>
    <row r="418" spans="1:8" x14ac:dyDescent="0.25">
      <c r="A418" s="46">
        <v>45166</v>
      </c>
      <c r="B418" s="14">
        <v>288</v>
      </c>
      <c r="C418" s="14">
        <v>291.45001200000002</v>
      </c>
      <c r="D418" s="14">
        <v>285.79998799999998</v>
      </c>
      <c r="E418" s="14">
        <v>290.26001000000002</v>
      </c>
      <c r="F418" s="14">
        <v>289.95236199999999</v>
      </c>
      <c r="G418" s="14">
        <v>14239300</v>
      </c>
      <c r="H418" s="14">
        <f t="shared" si="6"/>
        <v>1.1798221250582275E-2</v>
      </c>
    </row>
    <row r="419" spans="1:8" x14ac:dyDescent="0.25">
      <c r="A419" s="46">
        <v>45167</v>
      </c>
      <c r="B419" s="14">
        <v>288.57998700000002</v>
      </c>
      <c r="C419" s="14">
        <v>299.14999399999999</v>
      </c>
      <c r="D419" s="14">
        <v>288.17999300000002</v>
      </c>
      <c r="E419" s="14">
        <v>297.98998999999998</v>
      </c>
      <c r="F419" s="14">
        <v>297.67416400000002</v>
      </c>
      <c r="G419" s="14">
        <v>20844500</v>
      </c>
      <c r="H419" s="14">
        <f t="shared" si="6"/>
        <v>8.3275195938778968E-3</v>
      </c>
    </row>
    <row r="420" spans="1:8" x14ac:dyDescent="0.25">
      <c r="A420" s="46">
        <v>45168</v>
      </c>
      <c r="B420" s="14">
        <v>297.17001299999998</v>
      </c>
      <c r="C420" s="14">
        <v>298.290009</v>
      </c>
      <c r="D420" s="14">
        <v>293.42999300000002</v>
      </c>
      <c r="E420" s="14">
        <v>295.10000600000001</v>
      </c>
      <c r="F420" s="14">
        <v>294.78723100000002</v>
      </c>
      <c r="G420" s="14">
        <v>17717000</v>
      </c>
      <c r="H420" s="14">
        <f t="shared" si="6"/>
        <v>1.8217780996337307E-2</v>
      </c>
    </row>
    <row r="421" spans="1:8" x14ac:dyDescent="0.25">
      <c r="A421" s="46">
        <v>45169</v>
      </c>
      <c r="B421" s="14">
        <v>295.79998799999998</v>
      </c>
      <c r="C421" s="14">
        <v>301.10000600000001</v>
      </c>
      <c r="D421" s="14">
        <v>295.66000400000001</v>
      </c>
      <c r="E421" s="14">
        <v>295.89001500000001</v>
      </c>
      <c r="F421" s="14">
        <v>295.57641599999999</v>
      </c>
      <c r="G421" s="14">
        <v>17229900</v>
      </c>
      <c r="H421" s="14">
        <f t="shared" si="6"/>
        <v>7.599805927132941E-3</v>
      </c>
    </row>
    <row r="422" spans="1:8" x14ac:dyDescent="0.25">
      <c r="A422" s="46">
        <v>45170</v>
      </c>
      <c r="B422" s="14">
        <v>299.36999500000002</v>
      </c>
      <c r="C422" s="14">
        <v>301.73998999999998</v>
      </c>
      <c r="D422" s="14">
        <v>294.47000100000002</v>
      </c>
      <c r="E422" s="14">
        <v>296.38000499999998</v>
      </c>
      <c r="F422" s="14">
        <v>296.06588699999998</v>
      </c>
      <c r="G422" s="14">
        <v>12819800</v>
      </c>
      <c r="H422" s="14">
        <f t="shared" si="6"/>
        <v>-4.0249035510395714E-3</v>
      </c>
    </row>
    <row r="423" spans="1:8" x14ac:dyDescent="0.25">
      <c r="A423" s="46">
        <v>45174</v>
      </c>
      <c r="B423" s="14">
        <v>297.01998900000001</v>
      </c>
      <c r="C423" s="14">
        <v>301.39001500000001</v>
      </c>
      <c r="D423" s="14">
        <v>295.51001000000002</v>
      </c>
      <c r="E423" s="14">
        <v>300.14999399999999</v>
      </c>
      <c r="F423" s="14">
        <v>299.83187900000001</v>
      </c>
      <c r="G423" s="14">
        <v>14956000</v>
      </c>
      <c r="H423" s="14">
        <f t="shared" si="6"/>
        <v>8.8294987305004291E-4</v>
      </c>
    </row>
    <row r="424" spans="1:8" x14ac:dyDescent="0.25">
      <c r="A424" s="46">
        <v>45175</v>
      </c>
      <c r="B424" s="14">
        <v>301.709991</v>
      </c>
      <c r="C424" s="14">
        <v>303.29998799999998</v>
      </c>
      <c r="D424" s="14">
        <v>295.66000400000001</v>
      </c>
      <c r="E424" s="14">
        <v>299.17001299999998</v>
      </c>
      <c r="F424" s="14">
        <v>298.852936</v>
      </c>
      <c r="G424" s="14">
        <v>15418100</v>
      </c>
      <c r="H424" s="14">
        <f t="shared" si="6"/>
        <v>5.0757671457546394E-4</v>
      </c>
    </row>
    <row r="425" spans="1:8" x14ac:dyDescent="0.25">
      <c r="A425" s="46">
        <v>45176</v>
      </c>
      <c r="B425" s="14">
        <v>298</v>
      </c>
      <c r="C425" s="14">
        <v>307.04998799999998</v>
      </c>
      <c r="D425" s="14">
        <v>292.22000100000002</v>
      </c>
      <c r="E425" s="14">
        <v>298.67001299999998</v>
      </c>
      <c r="F425" s="14">
        <v>298.353455</v>
      </c>
      <c r="G425" s="14">
        <v>33748700</v>
      </c>
      <c r="H425" s="14">
        <f t="shared" si="6"/>
        <v>-1.1634996122099728E-2</v>
      </c>
    </row>
    <row r="426" spans="1:8" x14ac:dyDescent="0.25">
      <c r="A426" s="46">
        <v>45177</v>
      </c>
      <c r="B426" s="14">
        <v>299.22000100000002</v>
      </c>
      <c r="C426" s="14">
        <v>305.25</v>
      </c>
      <c r="D426" s="14">
        <v>296.77999899999998</v>
      </c>
      <c r="E426" s="14">
        <v>297.89001500000001</v>
      </c>
      <c r="F426" s="14">
        <v>297.57427999999999</v>
      </c>
      <c r="G426" s="14">
        <v>17548000</v>
      </c>
      <c r="H426" s="14">
        <f t="shared" si="6"/>
        <v>1.5604674506862315E-2</v>
      </c>
    </row>
    <row r="427" spans="1:8" x14ac:dyDescent="0.25">
      <c r="A427" s="46">
        <v>45180</v>
      </c>
      <c r="B427" s="14">
        <v>301.41000400000001</v>
      </c>
      <c r="C427" s="14">
        <v>309.040009</v>
      </c>
      <c r="D427" s="14">
        <v>301.27999899999998</v>
      </c>
      <c r="E427" s="14">
        <v>307.55999800000001</v>
      </c>
      <c r="F427" s="14">
        <v>307.23400900000001</v>
      </c>
      <c r="G427" s="14">
        <v>19489300</v>
      </c>
      <c r="H427" s="14">
        <f t="shared" si="6"/>
        <v>5.0542489556379966E-3</v>
      </c>
    </row>
    <row r="428" spans="1:8" x14ac:dyDescent="0.25">
      <c r="A428" s="46">
        <v>45181</v>
      </c>
      <c r="B428" s="14">
        <v>306.32998700000002</v>
      </c>
      <c r="C428" s="14">
        <v>308.66000400000001</v>
      </c>
      <c r="D428" s="14">
        <v>300.23001099999999</v>
      </c>
      <c r="E428" s="14">
        <v>301.66000400000001</v>
      </c>
      <c r="F428" s="14">
        <v>301.34027099999997</v>
      </c>
      <c r="G428" s="14">
        <v>13480400</v>
      </c>
      <c r="H428" s="14">
        <f t="shared" si="6"/>
        <v>-3.4850902930333438E-3</v>
      </c>
    </row>
    <row r="429" spans="1:8" x14ac:dyDescent="0.25">
      <c r="A429" s="46">
        <v>45182</v>
      </c>
      <c r="B429" s="14">
        <v>302.35998499999999</v>
      </c>
      <c r="C429" s="14">
        <v>307.17999300000002</v>
      </c>
      <c r="D429" s="14">
        <v>301.32000699999998</v>
      </c>
      <c r="E429" s="14">
        <v>305.05999800000001</v>
      </c>
      <c r="F429" s="14">
        <v>304.73666400000002</v>
      </c>
      <c r="G429" s="14">
        <v>13210900</v>
      </c>
      <c r="H429" s="14">
        <f t="shared" si="6"/>
        <v>3.6305364555977437E-3</v>
      </c>
    </row>
    <row r="430" spans="1:8" x14ac:dyDescent="0.25">
      <c r="A430" s="46">
        <v>45183</v>
      </c>
      <c r="B430" s="14">
        <v>306.73998999999998</v>
      </c>
      <c r="C430" s="14">
        <v>312.86999500000002</v>
      </c>
      <c r="D430" s="14">
        <v>305.02999899999998</v>
      </c>
      <c r="E430" s="14">
        <v>311.72000100000002</v>
      </c>
      <c r="F430" s="14">
        <v>311.38961799999998</v>
      </c>
      <c r="G430" s="14">
        <v>19343100</v>
      </c>
      <c r="H430" s="14">
        <f t="shared" si="6"/>
        <v>1.2312464867292983E-2</v>
      </c>
    </row>
    <row r="431" spans="1:8" x14ac:dyDescent="0.25">
      <c r="A431" s="46">
        <v>45184</v>
      </c>
      <c r="B431" s="14">
        <v>311.60998499999999</v>
      </c>
      <c r="C431" s="14">
        <v>312</v>
      </c>
      <c r="D431" s="14">
        <v>298.75</v>
      </c>
      <c r="E431" s="14">
        <v>300.30999800000001</v>
      </c>
      <c r="F431" s="14">
        <v>299.99169899999998</v>
      </c>
      <c r="G431" s="14">
        <v>28106400</v>
      </c>
      <c r="H431" s="14">
        <f t="shared" si="6"/>
        <v>-2.0588135660715712E-2</v>
      </c>
    </row>
    <row r="432" spans="1:8" x14ac:dyDescent="0.25">
      <c r="A432" s="46">
        <v>45187</v>
      </c>
      <c r="B432" s="14">
        <v>298.19000199999999</v>
      </c>
      <c r="C432" s="14">
        <v>303.60000600000001</v>
      </c>
      <c r="D432" s="14">
        <v>297.79998799999998</v>
      </c>
      <c r="E432" s="14">
        <v>302.54998799999998</v>
      </c>
      <c r="F432" s="14">
        <v>302.229309</v>
      </c>
      <c r="G432" s="14">
        <v>14234200</v>
      </c>
      <c r="H432" s="14">
        <f t="shared" si="6"/>
        <v>-1.0599854951185799E-3</v>
      </c>
    </row>
    <row r="433" spans="1:8" x14ac:dyDescent="0.25">
      <c r="A433" s="46">
        <v>45188</v>
      </c>
      <c r="B433" s="14">
        <v>302.48001099999999</v>
      </c>
      <c r="C433" s="14">
        <v>306.17001299999998</v>
      </c>
      <c r="D433" s="14">
        <v>299.80999800000001</v>
      </c>
      <c r="E433" s="14">
        <v>305.07000699999998</v>
      </c>
      <c r="F433" s="14">
        <v>304.74667399999998</v>
      </c>
      <c r="G433" s="14">
        <v>15924400</v>
      </c>
      <c r="H433" s="14">
        <f t="shared" si="6"/>
        <v>6.7495301578051059E-3</v>
      </c>
    </row>
    <row r="434" spans="1:8" x14ac:dyDescent="0.25">
      <c r="A434" s="46">
        <v>45189</v>
      </c>
      <c r="B434" s="14">
        <v>305.04998799999998</v>
      </c>
      <c r="C434" s="14">
        <v>308.05999800000001</v>
      </c>
      <c r="D434" s="14">
        <v>299.42999300000002</v>
      </c>
      <c r="E434" s="14">
        <v>299.67001299999998</v>
      </c>
      <c r="F434" s="14">
        <v>299.35238600000002</v>
      </c>
      <c r="G434" s="14">
        <v>19379500</v>
      </c>
      <c r="H434" s="14">
        <f t="shared" si="6"/>
        <v>-1.2674860829691159E-3</v>
      </c>
    </row>
    <row r="435" spans="1:8" x14ac:dyDescent="0.25">
      <c r="A435" s="46">
        <v>45190</v>
      </c>
      <c r="B435" s="14">
        <v>295.70001200000002</v>
      </c>
      <c r="C435" s="14">
        <v>300.26001000000002</v>
      </c>
      <c r="D435" s="14">
        <v>293.26998900000001</v>
      </c>
      <c r="E435" s="14">
        <v>295.73001099999999</v>
      </c>
      <c r="F435" s="14">
        <v>295.41656499999999</v>
      </c>
      <c r="G435" s="14">
        <v>21300500</v>
      </c>
      <c r="H435" s="14">
        <f t="shared" si="6"/>
        <v>-2.0572434772758386E-2</v>
      </c>
    </row>
    <row r="436" spans="1:8" x14ac:dyDescent="0.25">
      <c r="A436" s="46">
        <v>45191</v>
      </c>
      <c r="B436" s="14">
        <v>299.29998799999998</v>
      </c>
      <c r="C436" s="14">
        <v>305.38000499999998</v>
      </c>
      <c r="D436" s="14">
        <v>298.26998900000001</v>
      </c>
      <c r="E436" s="14">
        <v>299.07998700000002</v>
      </c>
      <c r="F436" s="14">
        <v>298.76299999999998</v>
      </c>
      <c r="G436" s="14">
        <v>25369600</v>
      </c>
      <c r="H436" s="14">
        <f t="shared" si="6"/>
        <v>1.7049136248305397E-2</v>
      </c>
    </row>
    <row r="437" spans="1:8" x14ac:dyDescent="0.25">
      <c r="A437" s="46">
        <v>45194</v>
      </c>
      <c r="B437" s="14">
        <v>295.64001500000001</v>
      </c>
      <c r="C437" s="14">
        <v>300.95001200000002</v>
      </c>
      <c r="D437" s="14">
        <v>293.70001200000002</v>
      </c>
      <c r="E437" s="14">
        <v>300.82998700000002</v>
      </c>
      <c r="F437" s="14">
        <v>300.51113900000001</v>
      </c>
      <c r="G437" s="14">
        <v>18987000</v>
      </c>
      <c r="H437" s="14">
        <f t="shared" si="6"/>
        <v>-5.1072039522778168E-3</v>
      </c>
    </row>
    <row r="438" spans="1:8" x14ac:dyDescent="0.25">
      <c r="A438" s="46">
        <v>45195</v>
      </c>
      <c r="B438" s="14">
        <v>297.66000400000001</v>
      </c>
      <c r="C438" s="14">
        <v>300.29998799999998</v>
      </c>
      <c r="D438" s="14">
        <v>296.01001000000002</v>
      </c>
      <c r="E438" s="14">
        <v>298.959991</v>
      </c>
      <c r="F438" s="14">
        <v>298.64312699999999</v>
      </c>
      <c r="G438" s="14">
        <v>19417200</v>
      </c>
      <c r="H438" s="14">
        <f t="shared" si="6"/>
        <v>7.86516140830118E-3</v>
      </c>
    </row>
    <row r="439" spans="1:8" x14ac:dyDescent="0.25">
      <c r="A439" s="46">
        <v>45196</v>
      </c>
      <c r="B439" s="14">
        <v>300.45001200000002</v>
      </c>
      <c r="C439" s="14">
        <v>301.29998799999998</v>
      </c>
      <c r="D439" s="14">
        <v>286.790009</v>
      </c>
      <c r="E439" s="14">
        <v>297.73998999999998</v>
      </c>
      <c r="F439" s="14">
        <v>297.42440800000003</v>
      </c>
      <c r="G439" s="14">
        <v>36429800</v>
      </c>
      <c r="H439" s="14">
        <f t="shared" si="6"/>
        <v>-3.1147598691003808E-2</v>
      </c>
    </row>
    <row r="440" spans="1:8" x14ac:dyDescent="0.25">
      <c r="A440" s="46">
        <v>45197</v>
      </c>
      <c r="B440" s="14">
        <v>298.94000199999999</v>
      </c>
      <c r="C440" s="14">
        <v>306.32998700000002</v>
      </c>
      <c r="D440" s="14">
        <v>296.70001200000002</v>
      </c>
      <c r="E440" s="14">
        <v>303.959991</v>
      </c>
      <c r="F440" s="14">
        <v>303.63781699999998</v>
      </c>
      <c r="G440" s="14">
        <v>22167100</v>
      </c>
      <c r="H440" s="14">
        <f t="shared" si="6"/>
        <v>3.4554910174712683E-2</v>
      </c>
    </row>
    <row r="441" spans="1:8" x14ac:dyDescent="0.25">
      <c r="A441" s="46">
        <v>45198</v>
      </c>
      <c r="B441" s="14">
        <v>307.38000499999998</v>
      </c>
      <c r="C441" s="14">
        <v>310.64001500000001</v>
      </c>
      <c r="D441" s="14">
        <v>299.35998499999999</v>
      </c>
      <c r="E441" s="14">
        <v>300.209991</v>
      </c>
      <c r="F441" s="14">
        <v>299.89181500000001</v>
      </c>
      <c r="G441" s="14">
        <v>25356600</v>
      </c>
      <c r="H441" s="14">
        <f t="shared" si="6"/>
        <v>8.9651934358532248E-3</v>
      </c>
    </row>
    <row r="442" spans="1:8" x14ac:dyDescent="0.25">
      <c r="A442" s="46">
        <v>45201</v>
      </c>
      <c r="B442" s="14">
        <v>302.73998999999998</v>
      </c>
      <c r="C442" s="14">
        <v>307.17999300000002</v>
      </c>
      <c r="D442" s="14">
        <v>301.63000499999998</v>
      </c>
      <c r="E442" s="14">
        <v>306.82000699999998</v>
      </c>
      <c r="F442" s="14">
        <v>306.49481200000002</v>
      </c>
      <c r="G442" s="14">
        <v>16265600</v>
      </c>
      <c r="H442" s="14">
        <f t="shared" si="6"/>
        <v>2.5276368628002199E-3</v>
      </c>
    </row>
    <row r="443" spans="1:8" x14ac:dyDescent="0.25">
      <c r="A443" s="46">
        <v>45202</v>
      </c>
      <c r="B443" s="14">
        <v>304.26001000000002</v>
      </c>
      <c r="C443" s="14">
        <v>306.76998900000001</v>
      </c>
      <c r="D443" s="14">
        <v>299.64001500000001</v>
      </c>
      <c r="E443" s="14">
        <v>300.94000199999999</v>
      </c>
      <c r="F443" s="14">
        <v>300.62103300000001</v>
      </c>
      <c r="G443" s="14">
        <v>17362300</v>
      </c>
      <c r="H443" s="14">
        <f t="shared" si="6"/>
        <v>-6.5974537248042475E-3</v>
      </c>
    </row>
    <row r="444" spans="1:8" x14ac:dyDescent="0.25">
      <c r="A444" s="46">
        <v>45203</v>
      </c>
      <c r="B444" s="14">
        <v>298.73001099999999</v>
      </c>
      <c r="C444" s="14">
        <v>306.89999399999999</v>
      </c>
      <c r="D444" s="14">
        <v>298.5</v>
      </c>
      <c r="E444" s="14">
        <v>305.57998700000002</v>
      </c>
      <c r="F444" s="14">
        <v>305.25610399999999</v>
      </c>
      <c r="G444" s="14">
        <v>16880500</v>
      </c>
      <c r="H444" s="14">
        <f t="shared" si="6"/>
        <v>-3.8046153481871015E-3</v>
      </c>
    </row>
    <row r="445" spans="1:8" x14ac:dyDescent="0.25">
      <c r="A445" s="46">
        <v>45204</v>
      </c>
      <c r="B445" s="14">
        <v>304.63000499999998</v>
      </c>
      <c r="C445" s="14">
        <v>306.209991</v>
      </c>
      <c r="D445" s="14">
        <v>299.5</v>
      </c>
      <c r="E445" s="14">
        <v>304.790009</v>
      </c>
      <c r="F445" s="14">
        <v>304.46697999999998</v>
      </c>
      <c r="G445" s="14">
        <v>19130000</v>
      </c>
      <c r="H445" s="14">
        <f t="shared" si="6"/>
        <v>3.3500837520938909E-3</v>
      </c>
    </row>
    <row r="446" spans="1:8" x14ac:dyDescent="0.25">
      <c r="A446" s="46">
        <v>45205</v>
      </c>
      <c r="B446" s="14">
        <v>301.44000199999999</v>
      </c>
      <c r="C446" s="14">
        <v>316.30999800000001</v>
      </c>
      <c r="D446" s="14">
        <v>300.91000400000001</v>
      </c>
      <c r="E446" s="14">
        <v>315.42999300000002</v>
      </c>
      <c r="F446" s="14">
        <v>315.09567299999998</v>
      </c>
      <c r="G446" s="14">
        <v>21784000</v>
      </c>
      <c r="H446" s="14">
        <f t="shared" si="6"/>
        <v>4.7078597662770783E-3</v>
      </c>
    </row>
    <row r="447" spans="1:8" x14ac:dyDescent="0.25">
      <c r="A447" s="46">
        <v>45208</v>
      </c>
      <c r="B447" s="14">
        <v>312.5</v>
      </c>
      <c r="C447" s="14">
        <v>320.32998700000002</v>
      </c>
      <c r="D447" s="14">
        <v>311.82000699999998</v>
      </c>
      <c r="E447" s="14">
        <v>318.35998499999999</v>
      </c>
      <c r="F447" s="14">
        <v>318.02255200000002</v>
      </c>
      <c r="G447" s="14">
        <v>22503700</v>
      </c>
      <c r="H447" s="14">
        <f t="shared" si="6"/>
        <v>1.208556584468575E-2</v>
      </c>
    </row>
    <row r="448" spans="1:8" x14ac:dyDescent="0.25">
      <c r="A448" s="46">
        <v>45209</v>
      </c>
      <c r="B448" s="14">
        <v>319.11999500000002</v>
      </c>
      <c r="C448" s="14">
        <v>324.66000400000001</v>
      </c>
      <c r="D448" s="14">
        <v>318.16000400000001</v>
      </c>
      <c r="E448" s="14">
        <v>321.83999599999999</v>
      </c>
      <c r="F448" s="14">
        <v>321.49887100000001</v>
      </c>
      <c r="G448" s="14">
        <v>19038000</v>
      </c>
      <c r="H448" s="14">
        <f t="shared" si="6"/>
        <v>2.0332232883312207E-2</v>
      </c>
    </row>
    <row r="449" spans="1:8" x14ac:dyDescent="0.25">
      <c r="A449" s="46">
        <v>45210</v>
      </c>
      <c r="B449" s="14">
        <v>323.01001000000002</v>
      </c>
      <c r="C449" s="14">
        <v>328.83999599999999</v>
      </c>
      <c r="D449" s="14">
        <v>322.95001200000002</v>
      </c>
      <c r="E449" s="14">
        <v>327.82000699999998</v>
      </c>
      <c r="F449" s="14">
        <v>327.47256499999997</v>
      </c>
      <c r="G449" s="14">
        <v>22036300</v>
      </c>
      <c r="H449" s="14">
        <f t="shared" si="6"/>
        <v>1.5055343034255264E-2</v>
      </c>
    </row>
    <row r="450" spans="1:8" x14ac:dyDescent="0.25">
      <c r="A450" s="46">
        <v>45211</v>
      </c>
      <c r="B450" s="14">
        <v>328</v>
      </c>
      <c r="C450" s="14">
        <v>330.540009</v>
      </c>
      <c r="D450" s="14">
        <v>322.69000199999999</v>
      </c>
      <c r="E450" s="14">
        <v>324.16000400000001</v>
      </c>
      <c r="F450" s="14">
        <v>323.81643700000001</v>
      </c>
      <c r="G450" s="14">
        <v>20530500</v>
      </c>
      <c r="H450" s="14">
        <f t="shared" si="6"/>
        <v>-8.0510912010745006E-4</v>
      </c>
    </row>
    <row r="451" spans="1:8" x14ac:dyDescent="0.25">
      <c r="A451" s="46">
        <v>45212</v>
      </c>
      <c r="B451" s="14">
        <v>323.52999899999998</v>
      </c>
      <c r="C451" s="14">
        <v>325.04998799999998</v>
      </c>
      <c r="D451" s="14">
        <v>312.36999500000002</v>
      </c>
      <c r="E451" s="14">
        <v>314.69000199999999</v>
      </c>
      <c r="F451" s="14">
        <v>314.35647599999999</v>
      </c>
      <c r="G451" s="14">
        <v>21341000</v>
      </c>
      <c r="H451" s="14">
        <f t="shared" si="6"/>
        <v>-3.1981179881736654E-2</v>
      </c>
    </row>
    <row r="452" spans="1:8" x14ac:dyDescent="0.25">
      <c r="A452" s="46">
        <v>45215</v>
      </c>
      <c r="B452" s="14">
        <v>318.64001500000001</v>
      </c>
      <c r="C452" s="14">
        <v>321.82000699999998</v>
      </c>
      <c r="D452" s="14">
        <v>315.51998900000001</v>
      </c>
      <c r="E452" s="14">
        <v>321.14999399999999</v>
      </c>
      <c r="F452" s="14">
        <v>320.80960099999999</v>
      </c>
      <c r="G452" s="14">
        <v>16536100</v>
      </c>
      <c r="H452" s="14">
        <f t="shared" ref="H452:H515" si="7">(D452/D451-1)/(A452-A451)</f>
        <v>3.3613919928513112E-3</v>
      </c>
    </row>
    <row r="453" spans="1:8" x14ac:dyDescent="0.25">
      <c r="A453" s="46">
        <v>45216</v>
      </c>
      <c r="B453" s="14">
        <v>318.17999300000002</v>
      </c>
      <c r="C453" s="14">
        <v>324.39999399999999</v>
      </c>
      <c r="D453" s="14">
        <v>317.29998799999998</v>
      </c>
      <c r="E453" s="14">
        <v>324</v>
      </c>
      <c r="F453" s="14">
        <v>323.656586</v>
      </c>
      <c r="G453" s="14">
        <v>16387800</v>
      </c>
      <c r="H453" s="14">
        <f t="shared" si="7"/>
        <v>5.6414777575310993E-3</v>
      </c>
    </row>
    <row r="454" spans="1:8" x14ac:dyDescent="0.25">
      <c r="A454" s="46">
        <v>45217</v>
      </c>
      <c r="B454" s="14">
        <v>321.39001500000001</v>
      </c>
      <c r="C454" s="14">
        <v>325.94000199999999</v>
      </c>
      <c r="D454" s="14">
        <v>315.55999800000001</v>
      </c>
      <c r="E454" s="14">
        <v>316.97000100000002</v>
      </c>
      <c r="F454" s="14">
        <v>316.63403299999999</v>
      </c>
      <c r="G454" s="14">
        <v>16851000</v>
      </c>
      <c r="H454" s="14">
        <f t="shared" si="7"/>
        <v>-5.4837379949727039E-3</v>
      </c>
    </row>
    <row r="455" spans="1:8" x14ac:dyDescent="0.25">
      <c r="A455" s="46">
        <v>45218</v>
      </c>
      <c r="B455" s="14">
        <v>319.88000499999998</v>
      </c>
      <c r="C455" s="14">
        <v>321.89001500000001</v>
      </c>
      <c r="D455" s="14">
        <v>311.75</v>
      </c>
      <c r="E455" s="14">
        <v>312.80999800000001</v>
      </c>
      <c r="F455" s="14">
        <v>312.478455</v>
      </c>
      <c r="G455" s="14">
        <v>18709200</v>
      </c>
      <c r="H455" s="14">
        <f t="shared" si="7"/>
        <v>-1.2073767347406283E-2</v>
      </c>
    </row>
    <row r="456" spans="1:8" x14ac:dyDescent="0.25">
      <c r="A456" s="46">
        <v>45219</v>
      </c>
      <c r="B456" s="14">
        <v>314.14001500000001</v>
      </c>
      <c r="C456" s="14">
        <v>315.29998799999998</v>
      </c>
      <c r="D456" s="14">
        <v>306.47000100000002</v>
      </c>
      <c r="E456" s="14">
        <v>308.64999399999999</v>
      </c>
      <c r="F456" s="14">
        <v>308.32284499999997</v>
      </c>
      <c r="G456" s="14">
        <v>22287400</v>
      </c>
      <c r="H456" s="14">
        <f t="shared" si="7"/>
        <v>-1.6936644747393648E-2</v>
      </c>
    </row>
    <row r="457" spans="1:8" x14ac:dyDescent="0.25">
      <c r="A457" s="46">
        <v>45222</v>
      </c>
      <c r="B457" s="14">
        <v>309.5</v>
      </c>
      <c r="C457" s="14">
        <v>317.35998499999999</v>
      </c>
      <c r="D457" s="14">
        <v>307.26001000000002</v>
      </c>
      <c r="E457" s="14">
        <v>314.01001000000002</v>
      </c>
      <c r="F457" s="14">
        <v>313.67718500000001</v>
      </c>
      <c r="G457" s="14">
        <v>17796800</v>
      </c>
      <c r="H457" s="14">
        <f t="shared" si="7"/>
        <v>8.5925647689522044E-4</v>
      </c>
    </row>
    <row r="458" spans="1:8" x14ac:dyDescent="0.25">
      <c r="A458" s="46">
        <v>45223</v>
      </c>
      <c r="B458" s="14">
        <v>316.77999899999998</v>
      </c>
      <c r="C458" s="14">
        <v>318.35000600000001</v>
      </c>
      <c r="D458" s="14">
        <v>310.63000499999998</v>
      </c>
      <c r="E458" s="14">
        <v>312.54998799999998</v>
      </c>
      <c r="F458" s="14">
        <v>312.21871900000002</v>
      </c>
      <c r="G458" s="14">
        <v>19525500</v>
      </c>
      <c r="H458" s="14">
        <f t="shared" si="7"/>
        <v>1.0967893283606811E-2</v>
      </c>
    </row>
    <row r="459" spans="1:8" x14ac:dyDescent="0.25">
      <c r="A459" s="46">
        <v>45224</v>
      </c>
      <c r="B459" s="14">
        <v>310</v>
      </c>
      <c r="C459" s="14">
        <v>310.88000499999998</v>
      </c>
      <c r="D459" s="14">
        <v>298.83999599999999</v>
      </c>
      <c r="E459" s="14">
        <v>299.52999899999998</v>
      </c>
      <c r="F459" s="14">
        <v>299.21252399999997</v>
      </c>
      <c r="G459" s="14">
        <v>42192500</v>
      </c>
      <c r="H459" s="14">
        <f t="shared" si="7"/>
        <v>-3.7955151821215671E-2</v>
      </c>
    </row>
    <row r="460" spans="1:8" x14ac:dyDescent="0.25">
      <c r="A460" s="46">
        <v>45225</v>
      </c>
      <c r="B460" s="14">
        <v>295</v>
      </c>
      <c r="C460" s="14">
        <v>295</v>
      </c>
      <c r="D460" s="14">
        <v>279.39999399999999</v>
      </c>
      <c r="E460" s="14">
        <v>288.35000600000001</v>
      </c>
      <c r="F460" s="14">
        <v>288.04437300000001</v>
      </c>
      <c r="G460" s="14">
        <v>66684100</v>
      </c>
      <c r="H460" s="14">
        <f t="shared" si="7"/>
        <v>-6.5051540155956933E-2</v>
      </c>
    </row>
    <row r="461" spans="1:8" x14ac:dyDescent="0.25">
      <c r="A461" s="46">
        <v>45226</v>
      </c>
      <c r="B461" s="14">
        <v>294.48001099999999</v>
      </c>
      <c r="C461" s="14">
        <v>299.30999800000001</v>
      </c>
      <c r="D461" s="14">
        <v>292.97000100000002</v>
      </c>
      <c r="E461" s="14">
        <v>296.73001099999999</v>
      </c>
      <c r="F461" s="14">
        <v>296.41549700000002</v>
      </c>
      <c r="G461" s="14">
        <v>29596300</v>
      </c>
      <c r="H461" s="14">
        <f t="shared" si="7"/>
        <v>4.8568386869757951E-2</v>
      </c>
    </row>
    <row r="462" spans="1:8" x14ac:dyDescent="0.25">
      <c r="A462" s="46">
        <v>45229</v>
      </c>
      <c r="B462" s="14">
        <v>299.08999599999999</v>
      </c>
      <c r="C462" s="14">
        <v>309.39999399999999</v>
      </c>
      <c r="D462" s="14">
        <v>299.04998799999998</v>
      </c>
      <c r="E462" s="14">
        <v>302.66000400000001</v>
      </c>
      <c r="F462" s="14">
        <v>302.339203</v>
      </c>
      <c r="G462" s="14">
        <v>28435100</v>
      </c>
      <c r="H462" s="14">
        <f t="shared" si="7"/>
        <v>6.9176445588820341E-3</v>
      </c>
    </row>
    <row r="463" spans="1:8" x14ac:dyDescent="0.25">
      <c r="A463" s="46">
        <v>45230</v>
      </c>
      <c r="B463" s="14">
        <v>303.30999800000001</v>
      </c>
      <c r="C463" s="14">
        <v>303.67999300000002</v>
      </c>
      <c r="D463" s="14">
        <v>296.85998499999999</v>
      </c>
      <c r="E463" s="14">
        <v>301.26998900000001</v>
      </c>
      <c r="F463" s="14">
        <v>300.95068400000002</v>
      </c>
      <c r="G463" s="14">
        <v>19434200</v>
      </c>
      <c r="H463" s="14">
        <f t="shared" si="7"/>
        <v>-7.3232004276154727E-3</v>
      </c>
    </row>
    <row r="464" spans="1:8" x14ac:dyDescent="0.25">
      <c r="A464" s="46">
        <v>45231</v>
      </c>
      <c r="B464" s="14">
        <v>301.85000600000001</v>
      </c>
      <c r="C464" s="14">
        <v>312.73998999999998</v>
      </c>
      <c r="D464" s="14">
        <v>301.85000600000001</v>
      </c>
      <c r="E464" s="14">
        <v>311.85000600000001</v>
      </c>
      <c r="F464" s="14">
        <v>311.51947000000001</v>
      </c>
      <c r="G464" s="14">
        <v>20434600</v>
      </c>
      <c r="H464" s="14">
        <f t="shared" si="7"/>
        <v>1.6809341952907619E-2</v>
      </c>
    </row>
    <row r="465" spans="1:8" x14ac:dyDescent="0.25">
      <c r="A465" s="46">
        <v>45232</v>
      </c>
      <c r="B465" s="14">
        <v>317.29998799999998</v>
      </c>
      <c r="C465" s="14">
        <v>318.82000699999998</v>
      </c>
      <c r="D465" s="14">
        <v>308.32998700000002</v>
      </c>
      <c r="E465" s="14">
        <v>310.86999500000002</v>
      </c>
      <c r="F465" s="14">
        <v>310.54049700000002</v>
      </c>
      <c r="G465" s="14">
        <v>21631800</v>
      </c>
      <c r="H465" s="14">
        <f t="shared" si="7"/>
        <v>2.14675529938535E-2</v>
      </c>
    </row>
    <row r="466" spans="1:8" x14ac:dyDescent="0.25">
      <c r="A466" s="46">
        <v>45233</v>
      </c>
      <c r="B466" s="14">
        <v>312.54998799999998</v>
      </c>
      <c r="C466" s="14">
        <v>315.54998799999998</v>
      </c>
      <c r="D466" s="14">
        <v>311.01998900000001</v>
      </c>
      <c r="E466" s="14">
        <v>314.60000600000001</v>
      </c>
      <c r="F466" s="14">
        <v>314.266571</v>
      </c>
      <c r="G466" s="14">
        <v>16754100</v>
      </c>
      <c r="H466" s="14">
        <f t="shared" si="7"/>
        <v>8.7244254967648871E-3</v>
      </c>
    </row>
    <row r="467" spans="1:8" x14ac:dyDescent="0.25">
      <c r="A467" s="46">
        <v>45236</v>
      </c>
      <c r="B467" s="14">
        <v>315.98001099999999</v>
      </c>
      <c r="C467" s="14">
        <v>318.32998700000002</v>
      </c>
      <c r="D467" s="14">
        <v>314.45001200000002</v>
      </c>
      <c r="E467" s="14">
        <v>315.79998799999998</v>
      </c>
      <c r="F467" s="14">
        <v>315.46527099999997</v>
      </c>
      <c r="G467" s="14">
        <v>12887700</v>
      </c>
      <c r="H467" s="14">
        <f t="shared" si="7"/>
        <v>3.6761013453704785E-3</v>
      </c>
    </row>
    <row r="468" spans="1:8" x14ac:dyDescent="0.25">
      <c r="A468" s="46">
        <v>45237</v>
      </c>
      <c r="B468" s="14">
        <v>317.05999800000001</v>
      </c>
      <c r="C468" s="14">
        <v>321</v>
      </c>
      <c r="D468" s="14">
        <v>315.11999500000002</v>
      </c>
      <c r="E468" s="14">
        <v>318.82000699999998</v>
      </c>
      <c r="F468" s="14">
        <v>318.48208599999998</v>
      </c>
      <c r="G468" s="14">
        <v>14055600</v>
      </c>
      <c r="H468" s="14">
        <f t="shared" si="7"/>
        <v>2.1306502605571431E-3</v>
      </c>
    </row>
    <row r="469" spans="1:8" x14ac:dyDescent="0.25">
      <c r="A469" s="46">
        <v>45238</v>
      </c>
      <c r="B469" s="14">
        <v>318.14001500000001</v>
      </c>
      <c r="C469" s="14">
        <v>321.32998700000002</v>
      </c>
      <c r="D469" s="14">
        <v>314.88000499999998</v>
      </c>
      <c r="E469" s="14">
        <v>319.77999899999998</v>
      </c>
      <c r="F469" s="14">
        <v>319.44107100000002</v>
      </c>
      <c r="G469" s="14">
        <v>13609700</v>
      </c>
      <c r="H469" s="14">
        <f t="shared" si="7"/>
        <v>-7.615829011422548E-4</v>
      </c>
    </row>
    <row r="470" spans="1:8" x14ac:dyDescent="0.25">
      <c r="A470" s="46">
        <v>45239</v>
      </c>
      <c r="B470" s="14">
        <v>319.42001299999998</v>
      </c>
      <c r="C470" s="14">
        <v>324.17999300000002</v>
      </c>
      <c r="D470" s="14">
        <v>318.79998799999998</v>
      </c>
      <c r="E470" s="14">
        <v>320.54998799999998</v>
      </c>
      <c r="F470" s="14">
        <v>320.21023600000001</v>
      </c>
      <c r="G470" s="14">
        <v>16103100</v>
      </c>
      <c r="H470" s="14">
        <f t="shared" si="7"/>
        <v>1.244913280536819E-2</v>
      </c>
    </row>
    <row r="471" spans="1:8" x14ac:dyDescent="0.25">
      <c r="A471" s="46">
        <v>45240</v>
      </c>
      <c r="B471" s="14">
        <v>319.94000199999999</v>
      </c>
      <c r="C471" s="14">
        <v>329.10000600000001</v>
      </c>
      <c r="D471" s="14">
        <v>319.459991</v>
      </c>
      <c r="E471" s="14">
        <v>328.76998900000001</v>
      </c>
      <c r="F471" s="14">
        <v>328.421539</v>
      </c>
      <c r="G471" s="14">
        <v>19096200</v>
      </c>
      <c r="H471" s="14">
        <f t="shared" si="7"/>
        <v>2.0702729762964722E-3</v>
      </c>
    </row>
    <row r="472" spans="1:8" x14ac:dyDescent="0.25">
      <c r="A472" s="46">
        <v>45243</v>
      </c>
      <c r="B472" s="14">
        <v>326.20001200000002</v>
      </c>
      <c r="C472" s="14">
        <v>332.32998700000002</v>
      </c>
      <c r="D472" s="14">
        <v>325.70001200000002</v>
      </c>
      <c r="E472" s="14">
        <v>329.19000199999999</v>
      </c>
      <c r="F472" s="14">
        <v>328.841095</v>
      </c>
      <c r="G472" s="14">
        <v>16908900</v>
      </c>
      <c r="H472" s="14">
        <f t="shared" si="7"/>
        <v>6.5110093864618373E-3</v>
      </c>
    </row>
    <row r="473" spans="1:8" x14ac:dyDescent="0.25">
      <c r="A473" s="46">
        <v>45244</v>
      </c>
      <c r="B473" s="14">
        <v>334.540009</v>
      </c>
      <c r="C473" s="14">
        <v>338.10000600000001</v>
      </c>
      <c r="D473" s="14">
        <v>333.32998700000002</v>
      </c>
      <c r="E473" s="14">
        <v>336.30999800000001</v>
      </c>
      <c r="F473" s="14">
        <v>335.953552</v>
      </c>
      <c r="G473" s="14">
        <v>17179400</v>
      </c>
      <c r="H473" s="14">
        <f t="shared" si="7"/>
        <v>2.342638845220546E-2</v>
      </c>
    </row>
    <row r="474" spans="1:8" x14ac:dyDescent="0.25">
      <c r="A474" s="46">
        <v>45245</v>
      </c>
      <c r="B474" s="14">
        <v>337.92999300000002</v>
      </c>
      <c r="C474" s="14">
        <v>338.39999399999999</v>
      </c>
      <c r="D474" s="14">
        <v>330.01998900000001</v>
      </c>
      <c r="E474" s="14">
        <v>332.709991</v>
      </c>
      <c r="F474" s="14">
        <v>332.35736100000003</v>
      </c>
      <c r="G474" s="14">
        <v>14531200</v>
      </c>
      <c r="H474" s="14">
        <f t="shared" si="7"/>
        <v>-9.9300936882105173E-3</v>
      </c>
    </row>
    <row r="475" spans="1:8" x14ac:dyDescent="0.25">
      <c r="A475" s="46">
        <v>45246</v>
      </c>
      <c r="B475" s="14">
        <v>329.36999500000002</v>
      </c>
      <c r="C475" s="14">
        <v>334.57998700000002</v>
      </c>
      <c r="D475" s="14">
        <v>326.38000499999998</v>
      </c>
      <c r="E475" s="14">
        <v>334.19000199999999</v>
      </c>
      <c r="F475" s="14">
        <v>333.83578499999999</v>
      </c>
      <c r="G475" s="14">
        <v>18932600</v>
      </c>
      <c r="H475" s="14">
        <f t="shared" si="7"/>
        <v>-1.1029586453322415E-2</v>
      </c>
    </row>
    <row r="476" spans="1:8" x14ac:dyDescent="0.25">
      <c r="A476" s="46">
        <v>45247</v>
      </c>
      <c r="B476" s="14">
        <v>330.26001000000002</v>
      </c>
      <c r="C476" s="14">
        <v>335.5</v>
      </c>
      <c r="D476" s="14">
        <v>329.35000600000001</v>
      </c>
      <c r="E476" s="14">
        <v>335.040009</v>
      </c>
      <c r="F476" s="14">
        <v>334.68490600000001</v>
      </c>
      <c r="G476" s="14">
        <v>14494400</v>
      </c>
      <c r="H476" s="14">
        <f t="shared" si="7"/>
        <v>9.0998252175404915E-3</v>
      </c>
    </row>
    <row r="477" spans="1:8" x14ac:dyDescent="0.25">
      <c r="A477" s="46">
        <v>45250</v>
      </c>
      <c r="B477" s="14">
        <v>334.89001500000001</v>
      </c>
      <c r="C477" s="14">
        <v>341.86999500000002</v>
      </c>
      <c r="D477" s="14">
        <v>334.19000199999999</v>
      </c>
      <c r="E477" s="14">
        <v>339.97000100000002</v>
      </c>
      <c r="F477" s="14">
        <v>339.60968000000003</v>
      </c>
      <c r="G477" s="14">
        <v>16960500</v>
      </c>
      <c r="H477" s="14">
        <f t="shared" si="7"/>
        <v>4.8985333857864966E-3</v>
      </c>
    </row>
    <row r="478" spans="1:8" x14ac:dyDescent="0.25">
      <c r="A478" s="46">
        <v>45251</v>
      </c>
      <c r="B478" s="14">
        <v>338.32998700000002</v>
      </c>
      <c r="C478" s="14">
        <v>339.89999399999999</v>
      </c>
      <c r="D478" s="14">
        <v>335.89999399999999</v>
      </c>
      <c r="E478" s="14">
        <v>336.98001099999999</v>
      </c>
      <c r="F478" s="14">
        <v>336.62286399999999</v>
      </c>
      <c r="G478" s="14">
        <v>12027900</v>
      </c>
      <c r="H478" s="14">
        <f t="shared" si="7"/>
        <v>5.1168257271800854E-3</v>
      </c>
    </row>
    <row r="479" spans="1:8" x14ac:dyDescent="0.25">
      <c r="A479" s="46">
        <v>45252</v>
      </c>
      <c r="B479" s="14">
        <v>339.209991</v>
      </c>
      <c r="C479" s="14">
        <v>342.92001299999998</v>
      </c>
      <c r="D479" s="14">
        <v>338.57998700000002</v>
      </c>
      <c r="E479" s="14">
        <v>341.48998999999998</v>
      </c>
      <c r="F479" s="14">
        <v>341.12805200000003</v>
      </c>
      <c r="G479" s="14">
        <v>10702700</v>
      </c>
      <c r="H479" s="14">
        <f t="shared" si="7"/>
        <v>7.9785443521027677E-3</v>
      </c>
    </row>
    <row r="480" spans="1:8" x14ac:dyDescent="0.25">
      <c r="A480" s="46">
        <v>45254</v>
      </c>
      <c r="B480" s="14">
        <v>340.13000499999998</v>
      </c>
      <c r="C480" s="14">
        <v>341.85998499999999</v>
      </c>
      <c r="D480" s="14">
        <v>336.76998900000001</v>
      </c>
      <c r="E480" s="14">
        <v>338.23001099999999</v>
      </c>
      <c r="F480" s="14">
        <v>337.87152099999997</v>
      </c>
      <c r="G480" s="14">
        <v>5467500</v>
      </c>
      <c r="H480" s="14">
        <f t="shared" si="7"/>
        <v>-2.6729252606416121E-3</v>
      </c>
    </row>
    <row r="481" spans="1:8" x14ac:dyDescent="0.25">
      <c r="A481" s="46">
        <v>45257</v>
      </c>
      <c r="B481" s="14">
        <v>336.17999300000002</v>
      </c>
      <c r="C481" s="14">
        <v>339.89999399999999</v>
      </c>
      <c r="D481" s="14">
        <v>334.20001200000002</v>
      </c>
      <c r="E481" s="14">
        <v>334.70001200000002</v>
      </c>
      <c r="F481" s="14">
        <v>334.34527600000001</v>
      </c>
      <c r="G481" s="14">
        <v>15684500</v>
      </c>
      <c r="H481" s="14">
        <f t="shared" si="7"/>
        <v>-2.5437510110201491E-3</v>
      </c>
    </row>
    <row r="482" spans="1:8" x14ac:dyDescent="0.25">
      <c r="A482" s="46">
        <v>45258</v>
      </c>
      <c r="B482" s="14">
        <v>333.39999399999999</v>
      </c>
      <c r="C482" s="14">
        <v>339.38000499999998</v>
      </c>
      <c r="D482" s="14">
        <v>333.39999399999999</v>
      </c>
      <c r="E482" s="14">
        <v>338.98998999999998</v>
      </c>
      <c r="F482" s="14">
        <v>338.63070699999997</v>
      </c>
      <c r="G482" s="14">
        <v>12637200</v>
      </c>
      <c r="H482" s="14">
        <f t="shared" si="7"/>
        <v>-2.3938299559367326E-3</v>
      </c>
    </row>
    <row r="483" spans="1:8" x14ac:dyDescent="0.25">
      <c r="A483" s="46">
        <v>45259</v>
      </c>
      <c r="B483" s="14">
        <v>339.69000199999999</v>
      </c>
      <c r="C483" s="14">
        <v>339.89999399999999</v>
      </c>
      <c r="D483" s="14">
        <v>330.77999899999998</v>
      </c>
      <c r="E483" s="14">
        <v>332.20001200000002</v>
      </c>
      <c r="F483" s="14">
        <v>331.84793100000002</v>
      </c>
      <c r="G483" s="14">
        <v>16024500</v>
      </c>
      <c r="H483" s="14">
        <f t="shared" si="7"/>
        <v>-7.8584134587597054E-3</v>
      </c>
    </row>
    <row r="484" spans="1:8" x14ac:dyDescent="0.25">
      <c r="A484" s="46">
        <v>45260</v>
      </c>
      <c r="B484" s="14">
        <v>331.89001500000001</v>
      </c>
      <c r="C484" s="14">
        <v>333.5</v>
      </c>
      <c r="D484" s="14">
        <v>322.39999399999999</v>
      </c>
      <c r="E484" s="14">
        <v>327.14999399999999</v>
      </c>
      <c r="F484" s="14">
        <v>326.80325299999998</v>
      </c>
      <c r="G484" s="14">
        <v>23146400</v>
      </c>
      <c r="H484" s="14">
        <f t="shared" si="7"/>
        <v>-2.533407408348165E-2</v>
      </c>
    </row>
    <row r="485" spans="1:8" x14ac:dyDescent="0.25">
      <c r="A485" s="46">
        <v>45261</v>
      </c>
      <c r="B485" s="14">
        <v>325.48001099999999</v>
      </c>
      <c r="C485" s="14">
        <v>326.85998499999999</v>
      </c>
      <c r="D485" s="14">
        <v>320.76001000000002</v>
      </c>
      <c r="E485" s="14">
        <v>324.82000699999998</v>
      </c>
      <c r="F485" s="14">
        <v>324.47573899999998</v>
      </c>
      <c r="G485" s="14">
        <v>15264700</v>
      </c>
      <c r="H485" s="14">
        <f t="shared" si="7"/>
        <v>-5.0867991021115166E-3</v>
      </c>
    </row>
    <row r="486" spans="1:8" x14ac:dyDescent="0.25">
      <c r="A486" s="46">
        <v>45264</v>
      </c>
      <c r="B486" s="14">
        <v>317.290009</v>
      </c>
      <c r="C486" s="14">
        <v>320.85998499999999</v>
      </c>
      <c r="D486" s="14">
        <v>313.66000400000001</v>
      </c>
      <c r="E486" s="14">
        <v>320.01998900000001</v>
      </c>
      <c r="F486" s="14">
        <v>319.68081699999999</v>
      </c>
      <c r="G486" s="14">
        <v>19037100</v>
      </c>
      <c r="H486" s="14">
        <f t="shared" si="7"/>
        <v>-7.3783158526110242E-3</v>
      </c>
    </row>
    <row r="487" spans="1:8" x14ac:dyDescent="0.25">
      <c r="A487" s="46">
        <v>45265</v>
      </c>
      <c r="B487" s="14">
        <v>318.98001099999999</v>
      </c>
      <c r="C487" s="14">
        <v>321.88000499999998</v>
      </c>
      <c r="D487" s="14">
        <v>315.39001500000001</v>
      </c>
      <c r="E487" s="14">
        <v>318.290009</v>
      </c>
      <c r="F487" s="14">
        <v>317.95266700000002</v>
      </c>
      <c r="G487" s="14">
        <v>16952100</v>
      </c>
      <c r="H487" s="14">
        <f t="shared" si="7"/>
        <v>5.5155613656117097E-3</v>
      </c>
    </row>
    <row r="488" spans="1:8" x14ac:dyDescent="0.25">
      <c r="A488" s="46">
        <v>45266</v>
      </c>
      <c r="B488" s="14">
        <v>321.92999300000002</v>
      </c>
      <c r="C488" s="14">
        <v>322.25</v>
      </c>
      <c r="D488" s="14">
        <v>317.040009</v>
      </c>
      <c r="E488" s="14">
        <v>317.45001200000002</v>
      </c>
      <c r="F488" s="14">
        <v>317.11355600000002</v>
      </c>
      <c r="G488" s="14">
        <v>11294300</v>
      </c>
      <c r="H488" s="14">
        <f t="shared" si="7"/>
        <v>5.2315987238846784E-3</v>
      </c>
    </row>
    <row r="489" spans="1:8" x14ac:dyDescent="0.25">
      <c r="A489" s="46">
        <v>45267</v>
      </c>
      <c r="B489" s="14">
        <v>317.76998900000001</v>
      </c>
      <c r="C489" s="14">
        <v>328.23998999999998</v>
      </c>
      <c r="D489" s="14">
        <v>317.76998900000001</v>
      </c>
      <c r="E489" s="14">
        <v>326.58999599999999</v>
      </c>
      <c r="F489" s="14">
        <v>326.24383499999999</v>
      </c>
      <c r="G489" s="14">
        <v>15905100</v>
      </c>
      <c r="H489" s="14">
        <f t="shared" si="7"/>
        <v>2.3024854254278804E-3</v>
      </c>
    </row>
    <row r="490" spans="1:8" x14ac:dyDescent="0.25">
      <c r="A490" s="46">
        <v>45268</v>
      </c>
      <c r="B490" s="14">
        <v>323.08999599999999</v>
      </c>
      <c r="C490" s="14">
        <v>333.17001299999998</v>
      </c>
      <c r="D490" s="14">
        <v>323</v>
      </c>
      <c r="E490" s="14">
        <v>332.75</v>
      </c>
      <c r="F490" s="14">
        <v>332.39730800000001</v>
      </c>
      <c r="G490" s="14">
        <v>14077500</v>
      </c>
      <c r="H490" s="14">
        <f t="shared" si="7"/>
        <v>1.6458479973072482E-2</v>
      </c>
    </row>
    <row r="491" spans="1:8" x14ac:dyDescent="0.25">
      <c r="A491" s="46">
        <v>45271</v>
      </c>
      <c r="B491" s="14">
        <v>329.39999399999999</v>
      </c>
      <c r="C491" s="14">
        <v>329.89001500000001</v>
      </c>
      <c r="D491" s="14">
        <v>320</v>
      </c>
      <c r="E491" s="14">
        <v>325.27999899999998</v>
      </c>
      <c r="F491" s="14">
        <v>324.93524200000002</v>
      </c>
      <c r="G491" s="14">
        <v>25802500</v>
      </c>
      <c r="H491" s="14">
        <f t="shared" si="7"/>
        <v>-3.0959752321981413E-3</v>
      </c>
    </row>
    <row r="492" spans="1:8" x14ac:dyDescent="0.25">
      <c r="A492" s="46">
        <v>45272</v>
      </c>
      <c r="B492" s="14">
        <v>324.60000600000001</v>
      </c>
      <c r="C492" s="14">
        <v>334.47000100000002</v>
      </c>
      <c r="D492" s="14">
        <v>324.55999800000001</v>
      </c>
      <c r="E492" s="14">
        <v>334.22000100000002</v>
      </c>
      <c r="F492" s="14">
        <v>333.86575299999998</v>
      </c>
      <c r="G492" s="14">
        <v>18485500</v>
      </c>
      <c r="H492" s="14">
        <f t="shared" si="7"/>
        <v>1.4249993750000023E-2</v>
      </c>
    </row>
    <row r="493" spans="1:8" x14ac:dyDescent="0.25">
      <c r="A493" s="46">
        <v>45273</v>
      </c>
      <c r="B493" s="14">
        <v>333.92999300000002</v>
      </c>
      <c r="C493" s="14">
        <v>338.36999500000002</v>
      </c>
      <c r="D493" s="14">
        <v>332.64001500000001</v>
      </c>
      <c r="E493" s="14">
        <v>334.73998999999998</v>
      </c>
      <c r="F493" s="14">
        <v>334.38519300000002</v>
      </c>
      <c r="G493" s="14">
        <v>16353300</v>
      </c>
      <c r="H493" s="14">
        <f t="shared" si="7"/>
        <v>2.489529532225343E-2</v>
      </c>
    </row>
    <row r="494" spans="1:8" x14ac:dyDescent="0.25">
      <c r="A494" s="46">
        <v>45274</v>
      </c>
      <c r="B494" s="14">
        <v>333.85000600000001</v>
      </c>
      <c r="C494" s="14">
        <v>334.70001200000002</v>
      </c>
      <c r="D494" s="14">
        <v>328.64001500000001</v>
      </c>
      <c r="E494" s="14">
        <v>333.17001299999998</v>
      </c>
      <c r="F494" s="14">
        <v>332.81689499999999</v>
      </c>
      <c r="G494" s="14">
        <v>19607300</v>
      </c>
      <c r="H494" s="14">
        <f t="shared" si="7"/>
        <v>-1.2025011482758585E-2</v>
      </c>
    </row>
    <row r="495" spans="1:8" x14ac:dyDescent="0.25">
      <c r="A495" s="46">
        <v>45275</v>
      </c>
      <c r="B495" s="14">
        <v>331.98998999999998</v>
      </c>
      <c r="C495" s="14">
        <v>338.66000400000001</v>
      </c>
      <c r="D495" s="14">
        <v>331.22000100000002</v>
      </c>
      <c r="E495" s="14">
        <v>334.92001299999998</v>
      </c>
      <c r="F495" s="14">
        <v>334.56503300000003</v>
      </c>
      <c r="G495" s="14">
        <v>30001600</v>
      </c>
      <c r="H495" s="14">
        <f t="shared" si="7"/>
        <v>7.850492582286428E-3</v>
      </c>
    </row>
    <row r="496" spans="1:8" x14ac:dyDescent="0.25">
      <c r="A496" s="46">
        <v>45278</v>
      </c>
      <c r="B496" s="14">
        <v>337.48001099999999</v>
      </c>
      <c r="C496" s="14">
        <v>347.55999800000001</v>
      </c>
      <c r="D496" s="14">
        <v>337.01998900000001</v>
      </c>
      <c r="E496" s="14">
        <v>344.61999500000002</v>
      </c>
      <c r="F496" s="14">
        <v>344.25473</v>
      </c>
      <c r="G496" s="14">
        <v>18993900</v>
      </c>
      <c r="H496" s="14">
        <f t="shared" si="7"/>
        <v>5.8369945277952544E-3</v>
      </c>
    </row>
    <row r="497" spans="1:8" x14ac:dyDescent="0.25">
      <c r="A497" s="46">
        <v>45279</v>
      </c>
      <c r="B497" s="14">
        <v>345.57998700000002</v>
      </c>
      <c r="C497" s="14">
        <v>353.60000600000001</v>
      </c>
      <c r="D497" s="14">
        <v>345.11999500000002</v>
      </c>
      <c r="E497" s="14">
        <v>350.35998499999999</v>
      </c>
      <c r="F497" s="14">
        <v>349.98864700000001</v>
      </c>
      <c r="G497" s="14">
        <v>17729400</v>
      </c>
      <c r="H497" s="14">
        <f t="shared" si="7"/>
        <v>2.4034200535209216E-2</v>
      </c>
    </row>
    <row r="498" spans="1:8" x14ac:dyDescent="0.25">
      <c r="A498" s="46">
        <v>45280</v>
      </c>
      <c r="B498" s="14">
        <v>348.64999399999999</v>
      </c>
      <c r="C498" s="14">
        <v>354.959991</v>
      </c>
      <c r="D498" s="14">
        <v>347.790009</v>
      </c>
      <c r="E498" s="14">
        <v>349.27999899999998</v>
      </c>
      <c r="F498" s="14">
        <v>348.90978999999999</v>
      </c>
      <c r="G498" s="14">
        <v>16369900</v>
      </c>
      <c r="H498" s="14">
        <f t="shared" si="7"/>
        <v>7.7364801769888025E-3</v>
      </c>
    </row>
    <row r="499" spans="1:8" x14ac:dyDescent="0.25">
      <c r="A499" s="46">
        <v>45281</v>
      </c>
      <c r="B499" s="14">
        <v>352.98001099999999</v>
      </c>
      <c r="C499" s="14">
        <v>356.41000400000001</v>
      </c>
      <c r="D499" s="14">
        <v>349.209991</v>
      </c>
      <c r="E499" s="14">
        <v>354.08999599999999</v>
      </c>
      <c r="F499" s="14">
        <v>353.71469100000002</v>
      </c>
      <c r="G499" s="14">
        <v>15289600</v>
      </c>
      <c r="H499" s="14">
        <f t="shared" si="7"/>
        <v>4.0828717422989325E-3</v>
      </c>
    </row>
    <row r="500" spans="1:8" x14ac:dyDescent="0.25">
      <c r="A500" s="46">
        <v>45282</v>
      </c>
      <c r="B500" s="14">
        <v>355.57998700000002</v>
      </c>
      <c r="C500" s="14">
        <v>357.20001200000002</v>
      </c>
      <c r="D500" s="14">
        <v>351.22000100000002</v>
      </c>
      <c r="E500" s="14">
        <v>353.39001500000001</v>
      </c>
      <c r="F500" s="14">
        <v>353.01547199999999</v>
      </c>
      <c r="G500" s="14">
        <v>11764200</v>
      </c>
      <c r="H500" s="14">
        <f t="shared" si="7"/>
        <v>5.7558777005324302E-3</v>
      </c>
    </row>
    <row r="501" spans="1:8" x14ac:dyDescent="0.25">
      <c r="A501" s="46">
        <v>45286</v>
      </c>
      <c r="B501" s="14">
        <v>354.98998999999998</v>
      </c>
      <c r="C501" s="14">
        <v>356.98001099999999</v>
      </c>
      <c r="D501" s="14">
        <v>353.45001200000002</v>
      </c>
      <c r="E501" s="14">
        <v>354.82998700000002</v>
      </c>
      <c r="F501" s="14">
        <v>354.45391799999999</v>
      </c>
      <c r="G501" s="14">
        <v>9898600</v>
      </c>
      <c r="H501" s="14">
        <f t="shared" si="7"/>
        <v>1.5873320096027044E-3</v>
      </c>
    </row>
    <row r="502" spans="1:8" x14ac:dyDescent="0.25">
      <c r="A502" s="46">
        <v>45287</v>
      </c>
      <c r="B502" s="14">
        <v>356.07000699999998</v>
      </c>
      <c r="C502" s="14">
        <v>359</v>
      </c>
      <c r="D502" s="14">
        <v>355.30999800000001</v>
      </c>
      <c r="E502" s="14">
        <v>357.82998700000002</v>
      </c>
      <c r="F502" s="14">
        <v>357.450714</v>
      </c>
      <c r="G502" s="14">
        <v>13207900</v>
      </c>
      <c r="H502" s="14">
        <f t="shared" si="7"/>
        <v>5.2623735658552384E-3</v>
      </c>
    </row>
    <row r="503" spans="1:8" x14ac:dyDescent="0.25">
      <c r="A503" s="46">
        <v>45288</v>
      </c>
      <c r="B503" s="14">
        <v>359.70001200000002</v>
      </c>
      <c r="C503" s="14">
        <v>361.89999399999999</v>
      </c>
      <c r="D503" s="14">
        <v>357.80999800000001</v>
      </c>
      <c r="E503" s="14">
        <v>358.32000699999998</v>
      </c>
      <c r="F503" s="14">
        <v>357.94021600000002</v>
      </c>
      <c r="G503" s="14">
        <v>11798800</v>
      </c>
      <c r="H503" s="14">
        <f t="shared" si="7"/>
        <v>7.0361093525996843E-3</v>
      </c>
    </row>
    <row r="504" spans="1:8" x14ac:dyDescent="0.25">
      <c r="A504" s="46">
        <v>45289</v>
      </c>
      <c r="B504" s="14">
        <v>358.98998999999998</v>
      </c>
      <c r="C504" s="14">
        <v>360</v>
      </c>
      <c r="D504" s="14">
        <v>351.82000699999998</v>
      </c>
      <c r="E504" s="14">
        <v>353.959991</v>
      </c>
      <c r="F504" s="14">
        <v>353.58483899999999</v>
      </c>
      <c r="G504" s="14">
        <v>14980500</v>
      </c>
      <c r="H504" s="14">
        <f t="shared" si="7"/>
        <v>-1.6740703260058276E-2</v>
      </c>
    </row>
    <row r="505" spans="1:8" x14ac:dyDescent="0.25">
      <c r="A505" s="46">
        <v>45293</v>
      </c>
      <c r="B505" s="14">
        <v>351.32000699999998</v>
      </c>
      <c r="C505" s="14">
        <v>353.16000400000001</v>
      </c>
      <c r="D505" s="14">
        <v>340.01001000000002</v>
      </c>
      <c r="E505" s="14">
        <v>346.290009</v>
      </c>
      <c r="F505" s="14">
        <v>345.92297400000001</v>
      </c>
      <c r="G505" s="14">
        <v>19042200</v>
      </c>
      <c r="H505" s="14">
        <f t="shared" si="7"/>
        <v>-8.3920731944047422E-3</v>
      </c>
    </row>
    <row r="506" spans="1:8" x14ac:dyDescent="0.25">
      <c r="A506" s="46">
        <v>45294</v>
      </c>
      <c r="B506" s="14">
        <v>344.98001099999999</v>
      </c>
      <c r="C506" s="14">
        <v>347.95001200000002</v>
      </c>
      <c r="D506" s="14">
        <v>343.17999300000002</v>
      </c>
      <c r="E506" s="14">
        <v>344.47000100000002</v>
      </c>
      <c r="F506" s="14">
        <v>344.10488900000001</v>
      </c>
      <c r="G506" s="14">
        <v>15451100</v>
      </c>
      <c r="H506" s="14">
        <f t="shared" si="7"/>
        <v>9.3232049256433136E-3</v>
      </c>
    </row>
    <row r="507" spans="1:8" x14ac:dyDescent="0.25">
      <c r="A507" s="46">
        <v>45295</v>
      </c>
      <c r="B507" s="14">
        <v>344.5</v>
      </c>
      <c r="C507" s="14">
        <v>348.14999399999999</v>
      </c>
      <c r="D507" s="14">
        <v>343.39999399999999</v>
      </c>
      <c r="E507" s="14">
        <v>347.11999500000002</v>
      </c>
      <c r="F507" s="14">
        <v>346.75207499999999</v>
      </c>
      <c r="G507" s="14">
        <v>12099900</v>
      </c>
      <c r="H507" s="14">
        <f t="shared" si="7"/>
        <v>6.4106592600809975E-4</v>
      </c>
    </row>
    <row r="508" spans="1:8" x14ac:dyDescent="0.25">
      <c r="A508" s="46">
        <v>45296</v>
      </c>
      <c r="B508" s="14">
        <v>346.98998999999998</v>
      </c>
      <c r="C508" s="14">
        <v>353.5</v>
      </c>
      <c r="D508" s="14">
        <v>346.26001000000002</v>
      </c>
      <c r="E508" s="14">
        <v>351.95001200000002</v>
      </c>
      <c r="F508" s="14">
        <v>351.57699600000001</v>
      </c>
      <c r="G508" s="14">
        <v>13920700</v>
      </c>
      <c r="H508" s="14">
        <f t="shared" si="7"/>
        <v>8.3285266452277629E-3</v>
      </c>
    </row>
    <row r="509" spans="1:8" x14ac:dyDescent="0.25">
      <c r="A509" s="46">
        <v>45299</v>
      </c>
      <c r="B509" s="14">
        <v>354.70001200000002</v>
      </c>
      <c r="C509" s="14">
        <v>358.98001099999999</v>
      </c>
      <c r="D509" s="14">
        <v>352.04998799999998</v>
      </c>
      <c r="E509" s="14">
        <v>358.66000400000001</v>
      </c>
      <c r="F509" s="14">
        <v>358.279877</v>
      </c>
      <c r="G509" s="14">
        <v>13890200</v>
      </c>
      <c r="H509" s="14">
        <f t="shared" si="7"/>
        <v>5.5738249030451064E-3</v>
      </c>
    </row>
    <row r="510" spans="1:8" x14ac:dyDescent="0.25">
      <c r="A510" s="46">
        <v>45300</v>
      </c>
      <c r="B510" s="14">
        <v>356.39999399999999</v>
      </c>
      <c r="C510" s="14">
        <v>360.64001500000001</v>
      </c>
      <c r="D510" s="14">
        <v>355.35998499999999</v>
      </c>
      <c r="E510" s="14">
        <v>357.42999300000002</v>
      </c>
      <c r="F510" s="14">
        <v>357.05114700000001</v>
      </c>
      <c r="G510" s="14">
        <v>13463900</v>
      </c>
      <c r="H510" s="14">
        <f t="shared" si="7"/>
        <v>9.402065368057988E-3</v>
      </c>
    </row>
    <row r="511" spans="1:8" x14ac:dyDescent="0.25">
      <c r="A511" s="46">
        <v>45301</v>
      </c>
      <c r="B511" s="14">
        <v>360.17001299999998</v>
      </c>
      <c r="C511" s="14">
        <v>372.94000199999999</v>
      </c>
      <c r="D511" s="14">
        <v>359.07998700000002</v>
      </c>
      <c r="E511" s="14">
        <v>370.47000100000002</v>
      </c>
      <c r="F511" s="14">
        <v>370.07733200000001</v>
      </c>
      <c r="G511" s="14">
        <v>22117200</v>
      </c>
      <c r="H511" s="14">
        <f t="shared" si="7"/>
        <v>1.0468263611616235E-2</v>
      </c>
    </row>
    <row r="512" spans="1:8" x14ac:dyDescent="0.25">
      <c r="A512" s="46">
        <v>45302</v>
      </c>
      <c r="B512" s="14">
        <v>372.13000499999998</v>
      </c>
      <c r="C512" s="14">
        <v>372.77999899999998</v>
      </c>
      <c r="D512" s="14">
        <v>362.92999300000002</v>
      </c>
      <c r="E512" s="14">
        <v>369.67001299999998</v>
      </c>
      <c r="F512" s="14">
        <v>369.27819799999997</v>
      </c>
      <c r="G512" s="14">
        <v>17205400</v>
      </c>
      <c r="H512" s="14">
        <f t="shared" si="7"/>
        <v>1.0721861811808564E-2</v>
      </c>
    </row>
    <row r="513" spans="1:8" x14ac:dyDescent="0.25">
      <c r="A513" s="46">
        <v>45303</v>
      </c>
      <c r="B513" s="14">
        <v>370.16000400000001</v>
      </c>
      <c r="C513" s="14">
        <v>377.05999800000001</v>
      </c>
      <c r="D513" s="14">
        <v>369.540009</v>
      </c>
      <c r="E513" s="14">
        <v>374.48998999999998</v>
      </c>
      <c r="F513" s="14">
        <v>374.09307899999999</v>
      </c>
      <c r="G513" s="14">
        <v>19295700</v>
      </c>
      <c r="H513" s="14">
        <f t="shared" si="7"/>
        <v>1.8212922953435795E-2</v>
      </c>
    </row>
    <row r="514" spans="1:8" x14ac:dyDescent="0.25">
      <c r="A514" s="46">
        <v>45307</v>
      </c>
      <c r="B514" s="14">
        <v>373.64999399999999</v>
      </c>
      <c r="C514" s="14">
        <v>375.60998499999999</v>
      </c>
      <c r="D514" s="14">
        <v>367.23001099999999</v>
      </c>
      <c r="E514" s="14">
        <v>367.459991</v>
      </c>
      <c r="F514" s="14">
        <v>367.07052599999997</v>
      </c>
      <c r="G514" s="14">
        <v>15306900</v>
      </c>
      <c r="H514" s="14">
        <f t="shared" si="7"/>
        <v>-1.5627523026877366E-3</v>
      </c>
    </row>
    <row r="515" spans="1:8" x14ac:dyDescent="0.25">
      <c r="A515" s="46">
        <v>45308</v>
      </c>
      <c r="B515" s="14">
        <v>366.29998799999998</v>
      </c>
      <c r="C515" s="14">
        <v>368.540009</v>
      </c>
      <c r="D515" s="14">
        <v>358.60998499999999</v>
      </c>
      <c r="E515" s="14">
        <v>368.36999500000002</v>
      </c>
      <c r="F515" s="14">
        <v>367.97955300000001</v>
      </c>
      <c r="G515" s="14">
        <v>12724800</v>
      </c>
      <c r="H515" s="14">
        <f t="shared" si="7"/>
        <v>-2.3473097899942563E-2</v>
      </c>
    </row>
    <row r="516" spans="1:8" x14ac:dyDescent="0.25">
      <c r="A516" s="46">
        <v>45309</v>
      </c>
      <c r="B516" s="14">
        <v>371.48998999999998</v>
      </c>
      <c r="C516" s="14">
        <v>376.85000600000001</v>
      </c>
      <c r="D516" s="14">
        <v>370.95001200000002</v>
      </c>
      <c r="E516" s="14">
        <v>376.13000499999998</v>
      </c>
      <c r="F516" s="14">
        <v>375.73135400000001</v>
      </c>
      <c r="G516" s="14">
        <v>16354300</v>
      </c>
      <c r="H516" s="14">
        <f t="shared" ref="H516:H570" si="8">(D516/D515-1)/(A516-A515)</f>
        <v>3.4410717816460101E-2</v>
      </c>
    </row>
    <row r="517" spans="1:8" x14ac:dyDescent="0.25">
      <c r="A517" s="46">
        <v>45310</v>
      </c>
      <c r="B517" s="14">
        <v>379</v>
      </c>
      <c r="C517" s="14">
        <v>384.35998499999999</v>
      </c>
      <c r="D517" s="14">
        <v>377.97000100000002</v>
      </c>
      <c r="E517" s="14">
        <v>383.45001200000002</v>
      </c>
      <c r="F517" s="14">
        <v>383.04361</v>
      </c>
      <c r="G517" s="14">
        <v>21470100</v>
      </c>
      <c r="H517" s="14">
        <f t="shared" si="8"/>
        <v>1.8924353074289746E-2</v>
      </c>
    </row>
    <row r="518" spans="1:8" x14ac:dyDescent="0.25">
      <c r="A518" s="46">
        <v>45313</v>
      </c>
      <c r="B518" s="14">
        <v>387.95001200000002</v>
      </c>
      <c r="C518" s="14">
        <v>390.35000600000001</v>
      </c>
      <c r="D518" s="14">
        <v>381.16000400000001</v>
      </c>
      <c r="E518" s="14">
        <v>381.77999899999998</v>
      </c>
      <c r="F518" s="14">
        <v>381.37536599999999</v>
      </c>
      <c r="G518" s="14">
        <v>17680500</v>
      </c>
      <c r="H518" s="14">
        <f t="shared" si="8"/>
        <v>2.8132770604017607E-3</v>
      </c>
    </row>
    <row r="519" spans="1:8" x14ac:dyDescent="0.25">
      <c r="A519" s="46">
        <v>45314</v>
      </c>
      <c r="B519" s="14">
        <v>384.61999500000002</v>
      </c>
      <c r="C519" s="14">
        <v>388.38000499999998</v>
      </c>
      <c r="D519" s="14">
        <v>382.07998700000002</v>
      </c>
      <c r="E519" s="14">
        <v>385.20001200000002</v>
      </c>
      <c r="F519" s="14">
        <v>384.79174799999998</v>
      </c>
      <c r="G519" s="14">
        <v>15506100</v>
      </c>
      <c r="H519" s="14">
        <f t="shared" si="8"/>
        <v>2.41363991590271E-3</v>
      </c>
    </row>
    <row r="520" spans="1:8" x14ac:dyDescent="0.25">
      <c r="A520" s="46">
        <v>45315</v>
      </c>
      <c r="B520" s="14">
        <v>390</v>
      </c>
      <c r="C520" s="14">
        <v>396.14999399999999</v>
      </c>
      <c r="D520" s="14">
        <v>387.80999800000001</v>
      </c>
      <c r="E520" s="14">
        <v>390.70001200000002</v>
      </c>
      <c r="F520" s="14">
        <v>390.28591899999998</v>
      </c>
      <c r="G520" s="14">
        <v>15698500</v>
      </c>
      <c r="H520" s="14">
        <f t="shared" si="8"/>
        <v>1.4996888596523039E-2</v>
      </c>
    </row>
    <row r="521" spans="1:8" x14ac:dyDescent="0.25">
      <c r="A521" s="46">
        <v>45316</v>
      </c>
      <c r="B521" s="14">
        <v>390.17001299999998</v>
      </c>
      <c r="C521" s="14">
        <v>395.48998999999998</v>
      </c>
      <c r="D521" s="14">
        <v>385.66000400000001</v>
      </c>
      <c r="E521" s="14">
        <v>393.17999300000002</v>
      </c>
      <c r="F521" s="14">
        <v>392.76327500000002</v>
      </c>
      <c r="G521" s="14">
        <v>15091100</v>
      </c>
      <c r="H521" s="14">
        <f t="shared" si="8"/>
        <v>-5.5439364923232093E-3</v>
      </c>
    </row>
    <row r="522" spans="1:8" x14ac:dyDescent="0.25">
      <c r="A522" s="46">
        <v>45317</v>
      </c>
      <c r="B522" s="14">
        <v>394.35000600000001</v>
      </c>
      <c r="C522" s="14">
        <v>396.790009</v>
      </c>
      <c r="D522" s="14">
        <v>391.58999599999999</v>
      </c>
      <c r="E522" s="14">
        <v>394.14001500000001</v>
      </c>
      <c r="F522" s="14">
        <v>393.72226000000001</v>
      </c>
      <c r="G522" s="14">
        <v>13163700</v>
      </c>
      <c r="H522" s="14">
        <f t="shared" si="8"/>
        <v>1.5376217234079448E-2</v>
      </c>
    </row>
    <row r="523" spans="1:8" x14ac:dyDescent="0.25">
      <c r="A523" s="46">
        <v>45320</v>
      </c>
      <c r="B523" s="14">
        <v>394.98998999999998</v>
      </c>
      <c r="C523" s="14">
        <v>402.92999300000002</v>
      </c>
      <c r="D523" s="14">
        <v>393.10000600000001</v>
      </c>
      <c r="E523" s="14">
        <v>401.01998900000001</v>
      </c>
      <c r="F523" s="14">
        <v>400.59494000000001</v>
      </c>
      <c r="G523" s="14">
        <v>18742400</v>
      </c>
      <c r="H523" s="14">
        <f t="shared" si="8"/>
        <v>1.2853665104015644E-3</v>
      </c>
    </row>
    <row r="524" spans="1:8" x14ac:dyDescent="0.25">
      <c r="A524" s="46">
        <v>45321</v>
      </c>
      <c r="B524" s="14">
        <v>403.58999599999999</v>
      </c>
      <c r="C524" s="14">
        <v>406.35998499999999</v>
      </c>
      <c r="D524" s="14">
        <v>399.57000699999998</v>
      </c>
      <c r="E524" s="14">
        <v>400.05999800000001</v>
      </c>
      <c r="F524" s="14">
        <v>399.635986</v>
      </c>
      <c r="G524" s="14">
        <v>18614700</v>
      </c>
      <c r="H524" s="14">
        <f t="shared" si="8"/>
        <v>1.6458918598948102E-2</v>
      </c>
    </row>
    <row r="525" spans="1:8" x14ac:dyDescent="0.25">
      <c r="A525" s="46">
        <v>45322</v>
      </c>
      <c r="B525" s="14">
        <v>389</v>
      </c>
      <c r="C525" s="14">
        <v>398</v>
      </c>
      <c r="D525" s="14">
        <v>387.10000600000001</v>
      </c>
      <c r="E525" s="14">
        <v>390.14001500000001</v>
      </c>
      <c r="F525" s="14">
        <v>389.72650099999998</v>
      </c>
      <c r="G525" s="14">
        <v>20180800</v>
      </c>
      <c r="H525" s="14">
        <f t="shared" si="8"/>
        <v>-3.1208551146332586E-2</v>
      </c>
    </row>
    <row r="526" spans="1:8" x14ac:dyDescent="0.25">
      <c r="A526" s="46">
        <v>45323</v>
      </c>
      <c r="B526" s="14">
        <v>393.94000199999999</v>
      </c>
      <c r="C526" s="14">
        <v>400.5</v>
      </c>
      <c r="D526" s="14">
        <v>393.04998799999998</v>
      </c>
      <c r="E526" s="14">
        <v>394.77999899999998</v>
      </c>
      <c r="F526" s="14">
        <v>394.36157200000002</v>
      </c>
      <c r="G526" s="14">
        <v>29727100</v>
      </c>
      <c r="H526" s="14">
        <f t="shared" si="8"/>
        <v>1.5370658506267176E-2</v>
      </c>
    </row>
    <row r="527" spans="1:8" x14ac:dyDescent="0.25">
      <c r="A527" s="46">
        <v>45324</v>
      </c>
      <c r="B527" s="14">
        <v>459.60000600000001</v>
      </c>
      <c r="C527" s="14">
        <v>485.959991</v>
      </c>
      <c r="D527" s="14">
        <v>453.01001000000002</v>
      </c>
      <c r="E527" s="14">
        <v>474.98998999999998</v>
      </c>
      <c r="F527" s="14">
        <v>474.48654199999999</v>
      </c>
      <c r="G527" s="14">
        <v>84615500</v>
      </c>
      <c r="H527" s="14">
        <f t="shared" si="8"/>
        <v>0.15255062671570419</v>
      </c>
    </row>
    <row r="528" spans="1:8" x14ac:dyDescent="0.25">
      <c r="A528" s="46">
        <v>45327</v>
      </c>
      <c r="B528" s="14">
        <v>469.88000499999998</v>
      </c>
      <c r="C528" s="14">
        <v>471.89999399999999</v>
      </c>
      <c r="D528" s="14">
        <v>459.22000100000002</v>
      </c>
      <c r="E528" s="14">
        <v>459.41000400000001</v>
      </c>
      <c r="F528" s="14">
        <v>458.92306500000001</v>
      </c>
      <c r="G528" s="14">
        <v>40832400</v>
      </c>
      <c r="H528" s="14">
        <f t="shared" si="8"/>
        <v>4.5694288300605441E-3</v>
      </c>
    </row>
    <row r="529" spans="1:8" x14ac:dyDescent="0.25">
      <c r="A529" s="46">
        <v>45328</v>
      </c>
      <c r="B529" s="14">
        <v>464</v>
      </c>
      <c r="C529" s="14">
        <v>467.11999500000002</v>
      </c>
      <c r="D529" s="14">
        <v>453</v>
      </c>
      <c r="E529" s="14">
        <v>454.72000100000002</v>
      </c>
      <c r="F529" s="14">
        <v>454.23803700000002</v>
      </c>
      <c r="G529" s="14">
        <v>21655200</v>
      </c>
      <c r="H529" s="14">
        <f t="shared" si="8"/>
        <v>-1.3544708389127913E-2</v>
      </c>
    </row>
    <row r="530" spans="1:8" x14ac:dyDescent="0.25">
      <c r="A530" s="46">
        <v>45329</v>
      </c>
      <c r="B530" s="14">
        <v>458</v>
      </c>
      <c r="C530" s="14">
        <v>471.51998900000001</v>
      </c>
      <c r="D530" s="14">
        <v>456.17999300000002</v>
      </c>
      <c r="E530" s="14">
        <v>469.58999599999999</v>
      </c>
      <c r="F530" s="14">
        <v>469.092285</v>
      </c>
      <c r="G530" s="14">
        <v>23066000</v>
      </c>
      <c r="H530" s="14">
        <f t="shared" si="8"/>
        <v>7.0198520971302969E-3</v>
      </c>
    </row>
    <row r="531" spans="1:8" x14ac:dyDescent="0.25">
      <c r="A531" s="46">
        <v>45330</v>
      </c>
      <c r="B531" s="14">
        <v>468.32000699999998</v>
      </c>
      <c r="C531" s="14">
        <v>470.58999599999999</v>
      </c>
      <c r="D531" s="14">
        <v>465.02999899999998</v>
      </c>
      <c r="E531" s="14">
        <v>470</v>
      </c>
      <c r="F531" s="14">
        <v>469.50186200000002</v>
      </c>
      <c r="G531" s="14">
        <v>18815100</v>
      </c>
      <c r="H531" s="14">
        <f t="shared" si="8"/>
        <v>1.9400250199048008E-2</v>
      </c>
    </row>
    <row r="532" spans="1:8" x14ac:dyDescent="0.25">
      <c r="A532" s="46">
        <v>45331</v>
      </c>
      <c r="B532" s="14">
        <v>472.95001200000002</v>
      </c>
      <c r="C532" s="14">
        <v>473.58999599999999</v>
      </c>
      <c r="D532" s="14">
        <v>467.47000100000002</v>
      </c>
      <c r="E532" s="14">
        <v>468.10998499999999</v>
      </c>
      <c r="F532" s="14">
        <v>467.613831</v>
      </c>
      <c r="G532" s="14">
        <v>18413100</v>
      </c>
      <c r="H532" s="14">
        <f t="shared" si="8"/>
        <v>5.2469776256307554E-3</v>
      </c>
    </row>
    <row r="533" spans="1:8" x14ac:dyDescent="0.25">
      <c r="A533" s="46">
        <v>45334</v>
      </c>
      <c r="B533" s="14">
        <v>468.19000199999999</v>
      </c>
      <c r="C533" s="14">
        <v>479.14999399999999</v>
      </c>
      <c r="D533" s="14">
        <v>466.57998700000002</v>
      </c>
      <c r="E533" s="14">
        <v>468.89999399999999</v>
      </c>
      <c r="F533" s="14">
        <v>468.40301499999998</v>
      </c>
      <c r="G533" s="14">
        <v>19382000</v>
      </c>
      <c r="H533" s="14">
        <f t="shared" si="8"/>
        <v>-6.3463181102252353E-4</v>
      </c>
    </row>
    <row r="534" spans="1:8" x14ac:dyDescent="0.25">
      <c r="A534" s="46">
        <v>45335</v>
      </c>
      <c r="B534" s="14">
        <v>456.86999500000002</v>
      </c>
      <c r="C534" s="14">
        <v>467.89001500000001</v>
      </c>
      <c r="D534" s="14">
        <v>455.08999599999999</v>
      </c>
      <c r="E534" s="14">
        <v>460.11999500000002</v>
      </c>
      <c r="F534" s="14">
        <v>459.63232399999998</v>
      </c>
      <c r="G534" s="14">
        <v>20916600</v>
      </c>
      <c r="H534" s="14">
        <f t="shared" si="8"/>
        <v>-2.4625983368635196E-2</v>
      </c>
    </row>
    <row r="535" spans="1:8" x14ac:dyDescent="0.25">
      <c r="A535" s="46">
        <v>45336</v>
      </c>
      <c r="B535" s="14">
        <v>467.92999300000002</v>
      </c>
      <c r="C535" s="14">
        <v>474.10998499999999</v>
      </c>
      <c r="D535" s="14">
        <v>466.08999599999999</v>
      </c>
      <c r="E535" s="14">
        <v>473.27999899999998</v>
      </c>
      <c r="F535" s="14">
        <v>472.77838100000002</v>
      </c>
      <c r="G535" s="14">
        <v>16858400</v>
      </c>
      <c r="H535" s="14">
        <f t="shared" si="8"/>
        <v>2.4171043302828377E-2</v>
      </c>
    </row>
    <row r="536" spans="1:8" x14ac:dyDescent="0.25">
      <c r="A536" s="46">
        <v>45337</v>
      </c>
      <c r="B536" s="14">
        <v>475.27999899999998</v>
      </c>
      <c r="C536" s="14">
        <v>488.61999500000002</v>
      </c>
      <c r="D536" s="14">
        <v>472.22000100000002</v>
      </c>
      <c r="E536" s="14">
        <v>484.02999899999998</v>
      </c>
      <c r="F536" s="14">
        <v>483.51696800000002</v>
      </c>
      <c r="G536" s="14">
        <v>24212300</v>
      </c>
      <c r="H536" s="14">
        <f t="shared" si="8"/>
        <v>1.3151977198841314E-2</v>
      </c>
    </row>
    <row r="537" spans="1:8" x14ac:dyDescent="0.25">
      <c r="A537" s="46">
        <v>45338</v>
      </c>
      <c r="B537" s="14">
        <v>478.10998499999999</v>
      </c>
      <c r="C537" s="14">
        <v>478.959991</v>
      </c>
      <c r="D537" s="14">
        <v>469.209991</v>
      </c>
      <c r="E537" s="14">
        <v>473.32000699999998</v>
      </c>
      <c r="F537" s="14">
        <v>472.81832900000001</v>
      </c>
      <c r="G537" s="14">
        <v>23306500</v>
      </c>
      <c r="H537" s="14">
        <f t="shared" si="8"/>
        <v>-6.3741688061197399E-3</v>
      </c>
    </row>
    <row r="538" spans="1:8" x14ac:dyDescent="0.25">
      <c r="A538" s="46">
        <v>45342</v>
      </c>
      <c r="B538" s="14">
        <v>469.72000100000002</v>
      </c>
      <c r="C538" s="14">
        <v>476.17999300000002</v>
      </c>
      <c r="D538" s="14">
        <v>466.55999800000001</v>
      </c>
      <c r="E538" s="14">
        <v>471.75</v>
      </c>
      <c r="F538" s="14">
        <v>471.25</v>
      </c>
      <c r="G538" s="14">
        <v>18015500</v>
      </c>
      <c r="H538" s="14">
        <f t="shared" si="8"/>
        <v>-1.411944039358709E-3</v>
      </c>
    </row>
    <row r="539" spans="1:8" x14ac:dyDescent="0.25">
      <c r="A539" s="46">
        <v>45343</v>
      </c>
      <c r="B539" s="14">
        <v>466.5</v>
      </c>
      <c r="C539" s="14">
        <v>469</v>
      </c>
      <c r="D539" s="14">
        <v>461.790009</v>
      </c>
      <c r="E539" s="14">
        <v>468.02999899999998</v>
      </c>
      <c r="F539" s="14">
        <v>468.02999899999998</v>
      </c>
      <c r="G539" s="14">
        <v>12977100</v>
      </c>
      <c r="H539" s="14">
        <f t="shared" si="8"/>
        <v>-1.0223741899107242E-2</v>
      </c>
    </row>
    <row r="540" spans="1:8" x14ac:dyDescent="0.25">
      <c r="A540" s="46">
        <v>45344</v>
      </c>
      <c r="B540" s="14">
        <v>480.23998999999998</v>
      </c>
      <c r="C540" s="14">
        <v>489.98998999999998</v>
      </c>
      <c r="D540" s="14">
        <v>476.05999800000001</v>
      </c>
      <c r="E540" s="14">
        <v>486.13000499999998</v>
      </c>
      <c r="F540" s="14">
        <v>486.13000499999998</v>
      </c>
      <c r="G540" s="14">
        <v>21625800</v>
      </c>
      <c r="H540" s="14">
        <f t="shared" si="8"/>
        <v>3.0901467597580723E-2</v>
      </c>
    </row>
    <row r="541" spans="1:8" x14ac:dyDescent="0.25">
      <c r="A541" s="46">
        <v>45345</v>
      </c>
      <c r="B541" s="14">
        <v>488.04998799999998</v>
      </c>
      <c r="C541" s="14">
        <v>494.35998499999999</v>
      </c>
      <c r="D541" s="14">
        <v>482.35000600000001</v>
      </c>
      <c r="E541" s="14">
        <v>484.02999899999998</v>
      </c>
      <c r="F541" s="14">
        <v>484.02999899999998</v>
      </c>
      <c r="G541" s="14">
        <v>18374300</v>
      </c>
      <c r="H541" s="14">
        <f t="shared" si="8"/>
        <v>1.3212637118063419E-2</v>
      </c>
    </row>
    <row r="542" spans="1:8" x14ac:dyDescent="0.25">
      <c r="A542" s="46">
        <v>45348</v>
      </c>
      <c r="B542" s="14">
        <v>483.47000100000002</v>
      </c>
      <c r="C542" s="14">
        <v>486.14001500000001</v>
      </c>
      <c r="D542" s="14">
        <v>480.60000600000001</v>
      </c>
      <c r="E542" s="14">
        <v>481.73998999999998</v>
      </c>
      <c r="F542" s="14">
        <v>481.73998999999998</v>
      </c>
      <c r="G542" s="14">
        <v>12101400</v>
      </c>
      <c r="H542" s="14">
        <f t="shared" si="8"/>
        <v>-1.2093569525804722E-3</v>
      </c>
    </row>
    <row r="543" spans="1:8" x14ac:dyDescent="0.25">
      <c r="A543" s="46">
        <v>45349</v>
      </c>
      <c r="B543" s="14">
        <v>479.98001099999999</v>
      </c>
      <c r="C543" s="14">
        <v>487.26998900000001</v>
      </c>
      <c r="D543" s="14">
        <v>479.92001299999998</v>
      </c>
      <c r="E543" s="14">
        <v>487.04998799999998</v>
      </c>
      <c r="F543" s="14">
        <v>487.04998799999998</v>
      </c>
      <c r="G543" s="14">
        <v>10809600</v>
      </c>
      <c r="H543" s="14">
        <f t="shared" si="8"/>
        <v>-1.4148834613206818E-3</v>
      </c>
    </row>
    <row r="544" spans="1:8" x14ac:dyDescent="0.25">
      <c r="A544" s="46">
        <v>45350</v>
      </c>
      <c r="B544" s="14">
        <v>485</v>
      </c>
      <c r="C544" s="14">
        <v>491.04998799999998</v>
      </c>
      <c r="D544" s="14">
        <v>482.75</v>
      </c>
      <c r="E544" s="14">
        <v>484.01998900000001</v>
      </c>
      <c r="F544" s="14">
        <v>484.01998900000001</v>
      </c>
      <c r="G544" s="14">
        <v>12715500</v>
      </c>
      <c r="H544" s="14">
        <f t="shared" si="8"/>
        <v>5.8967888884433606E-3</v>
      </c>
    </row>
    <row r="545" spans="1:8" x14ac:dyDescent="0.25">
      <c r="A545" s="46">
        <v>45351</v>
      </c>
      <c r="B545" s="14">
        <v>488.44000199999999</v>
      </c>
      <c r="C545" s="14">
        <v>491.70001200000002</v>
      </c>
      <c r="D545" s="14">
        <v>482.60998499999999</v>
      </c>
      <c r="E545" s="14">
        <v>490.13000499999998</v>
      </c>
      <c r="F545" s="14">
        <v>490.13000499999998</v>
      </c>
      <c r="G545" s="14">
        <v>17732000</v>
      </c>
      <c r="H545" s="14">
        <f t="shared" si="8"/>
        <v>-2.9003625064738525E-4</v>
      </c>
    </row>
    <row r="546" spans="1:8" x14ac:dyDescent="0.25">
      <c r="A546" s="46">
        <v>45352</v>
      </c>
      <c r="B546" s="14">
        <v>492.10998499999999</v>
      </c>
      <c r="C546" s="14">
        <v>504.25</v>
      </c>
      <c r="D546" s="14">
        <v>491.85000600000001</v>
      </c>
      <c r="E546" s="14">
        <v>502.29998799999998</v>
      </c>
      <c r="F546" s="14">
        <v>502.29998799999998</v>
      </c>
      <c r="G546" s="14">
        <v>16273600</v>
      </c>
      <c r="H546" s="14">
        <f t="shared" si="8"/>
        <v>1.914593830875666E-2</v>
      </c>
    </row>
    <row r="547" spans="1:8" x14ac:dyDescent="0.25">
      <c r="A547" s="46">
        <v>45355</v>
      </c>
      <c r="B547" s="14">
        <v>503</v>
      </c>
      <c r="C547" s="14">
        <v>504.42001299999998</v>
      </c>
      <c r="D547" s="14">
        <v>496.42001299999998</v>
      </c>
      <c r="E547" s="14">
        <v>498.19000199999999</v>
      </c>
      <c r="F547" s="14">
        <v>498.19000199999999</v>
      </c>
      <c r="G547" s="14">
        <v>12324100</v>
      </c>
      <c r="H547" s="14">
        <f t="shared" si="8"/>
        <v>3.0971549213860694E-3</v>
      </c>
    </row>
    <row r="548" spans="1:8" x14ac:dyDescent="0.25">
      <c r="A548" s="46">
        <v>45356</v>
      </c>
      <c r="B548" s="14">
        <v>495</v>
      </c>
      <c r="C548" s="14">
        <v>495.57998700000002</v>
      </c>
      <c r="D548" s="14">
        <v>487.89001500000001</v>
      </c>
      <c r="E548" s="14">
        <v>490.22000100000002</v>
      </c>
      <c r="F548" s="14">
        <v>490.22000100000002</v>
      </c>
      <c r="G548" s="14">
        <v>15325300</v>
      </c>
      <c r="H548" s="14">
        <f t="shared" si="8"/>
        <v>-1.7183026019541248E-2</v>
      </c>
    </row>
    <row r="549" spans="1:8" x14ac:dyDescent="0.25">
      <c r="A549" s="46">
        <v>45357</v>
      </c>
      <c r="B549" s="14">
        <v>497.63000499999998</v>
      </c>
      <c r="C549" s="14">
        <v>502.97000100000002</v>
      </c>
      <c r="D549" s="14">
        <v>494.290009</v>
      </c>
      <c r="E549" s="14">
        <v>496.08999599999999</v>
      </c>
      <c r="F549" s="14">
        <v>496.08999599999999</v>
      </c>
      <c r="G549" s="14">
        <v>11757900</v>
      </c>
      <c r="H549" s="14">
        <f t="shared" si="8"/>
        <v>1.3117698258284793E-2</v>
      </c>
    </row>
    <row r="550" spans="1:8" x14ac:dyDescent="0.25">
      <c r="A550" s="46">
        <v>45358</v>
      </c>
      <c r="B550" s="14">
        <v>503.27999899999998</v>
      </c>
      <c r="C550" s="14">
        <v>519.84997599999997</v>
      </c>
      <c r="D550" s="14">
        <v>501.38000499999998</v>
      </c>
      <c r="E550" s="14">
        <v>512.19000200000005</v>
      </c>
      <c r="F550" s="14">
        <v>512.19000200000005</v>
      </c>
      <c r="G550" s="14">
        <v>18586400</v>
      </c>
      <c r="H550" s="14">
        <f t="shared" si="8"/>
        <v>1.434379791398932E-2</v>
      </c>
    </row>
    <row r="551" spans="1:8" x14ac:dyDescent="0.25">
      <c r="A551" s="46">
        <v>45359</v>
      </c>
      <c r="B551" s="14">
        <v>514.19000200000005</v>
      </c>
      <c r="C551" s="14">
        <v>523.57000700000003</v>
      </c>
      <c r="D551" s="14">
        <v>499.35000600000001</v>
      </c>
      <c r="E551" s="14">
        <v>505.95001200000002</v>
      </c>
      <c r="F551" s="14">
        <v>505.95001200000002</v>
      </c>
      <c r="G551" s="14">
        <v>18575200</v>
      </c>
      <c r="H551" s="14">
        <f t="shared" si="8"/>
        <v>-4.0488232074591401E-3</v>
      </c>
    </row>
    <row r="552" spans="1:8" x14ac:dyDescent="0.25">
      <c r="A552" s="46">
        <v>45362</v>
      </c>
      <c r="B552" s="14">
        <v>497.01001000000002</v>
      </c>
      <c r="C552" s="14">
        <v>497.32000699999998</v>
      </c>
      <c r="D552" s="14">
        <v>476</v>
      </c>
      <c r="E552" s="14">
        <v>483.58999599999999</v>
      </c>
      <c r="F552" s="14">
        <v>483.58999599999999</v>
      </c>
      <c r="G552" s="14">
        <v>20428300</v>
      </c>
      <c r="H552" s="14">
        <f t="shared" si="8"/>
        <v>-1.5586933493164571E-2</v>
      </c>
    </row>
    <row r="553" spans="1:8" x14ac:dyDescent="0.25">
      <c r="A553" s="46">
        <v>45363</v>
      </c>
      <c r="B553" s="14">
        <v>493.26001000000002</v>
      </c>
      <c r="C553" s="14">
        <v>502.30999800000001</v>
      </c>
      <c r="D553" s="14">
        <v>484.73001099999999</v>
      </c>
      <c r="E553" s="14">
        <v>499.75</v>
      </c>
      <c r="F553" s="14">
        <v>499.75</v>
      </c>
      <c r="G553" s="14">
        <v>15448200</v>
      </c>
      <c r="H553" s="14">
        <f t="shared" si="8"/>
        <v>1.8340359243697479E-2</v>
      </c>
    </row>
    <row r="554" spans="1:8" x14ac:dyDescent="0.25">
      <c r="A554" s="46">
        <v>45364</v>
      </c>
      <c r="B554" s="14">
        <v>495.39001500000001</v>
      </c>
      <c r="C554" s="14">
        <v>500.98001099999999</v>
      </c>
      <c r="D554" s="14">
        <v>491.02999899999998</v>
      </c>
      <c r="E554" s="14">
        <v>495.57000699999998</v>
      </c>
      <c r="F554" s="14">
        <v>495.57000699999998</v>
      </c>
      <c r="G554" s="14">
        <v>12090700</v>
      </c>
      <c r="H554" s="14">
        <f t="shared" si="8"/>
        <v>1.2996901072832356E-2</v>
      </c>
    </row>
    <row r="555" spans="1:8" x14ac:dyDescent="0.25">
      <c r="A555" s="46">
        <v>45365</v>
      </c>
      <c r="B555" s="14">
        <v>500.26001000000002</v>
      </c>
      <c r="C555" s="14">
        <v>501.35000600000001</v>
      </c>
      <c r="D555" s="14">
        <v>488.16000400000001</v>
      </c>
      <c r="E555" s="14">
        <v>491.82998700000002</v>
      </c>
      <c r="F555" s="14">
        <v>491.82998700000002</v>
      </c>
      <c r="G555" s="14">
        <v>12620000</v>
      </c>
      <c r="H555" s="14">
        <f t="shared" si="8"/>
        <v>-5.8448465589573395E-3</v>
      </c>
    </row>
    <row r="556" spans="1:8" x14ac:dyDescent="0.25">
      <c r="A556" s="46">
        <v>45366</v>
      </c>
      <c r="B556" s="14">
        <v>489.01001000000002</v>
      </c>
      <c r="C556" s="14">
        <v>491.82998700000002</v>
      </c>
      <c r="D556" s="14">
        <v>481.29998799999998</v>
      </c>
      <c r="E556" s="14">
        <v>484.10000600000001</v>
      </c>
      <c r="F556" s="14">
        <v>484.10000600000001</v>
      </c>
      <c r="G556" s="14">
        <v>29141700</v>
      </c>
      <c r="H556" s="14">
        <f t="shared" si="8"/>
        <v>-1.4052802244732931E-2</v>
      </c>
    </row>
    <row r="557" spans="1:8" x14ac:dyDescent="0.25">
      <c r="A557" s="46">
        <v>45369</v>
      </c>
      <c r="B557" s="14">
        <v>491.91000400000001</v>
      </c>
      <c r="C557" s="14">
        <v>497.42001299999998</v>
      </c>
      <c r="D557" s="14">
        <v>486.80999800000001</v>
      </c>
      <c r="E557" s="14">
        <v>496.98001099999999</v>
      </c>
      <c r="F557" s="14">
        <v>496.98001099999999</v>
      </c>
      <c r="G557" s="14">
        <v>11755300</v>
      </c>
      <c r="H557" s="14">
        <f t="shared" si="8"/>
        <v>3.8160607641652224E-3</v>
      </c>
    </row>
    <row r="558" spans="1:8" x14ac:dyDescent="0.25">
      <c r="A558" s="46">
        <v>45370</v>
      </c>
      <c r="B558" s="14">
        <v>488.17001299999998</v>
      </c>
      <c r="C558" s="14">
        <v>496.63000499999998</v>
      </c>
      <c r="D558" s="14">
        <v>481.27999899999998</v>
      </c>
      <c r="E558" s="14">
        <v>496.23998999999998</v>
      </c>
      <c r="F558" s="14">
        <v>496.23998999999998</v>
      </c>
      <c r="G558" s="14">
        <v>10903100</v>
      </c>
      <c r="H558" s="14">
        <f t="shared" si="8"/>
        <v>-1.1359666035454019E-2</v>
      </c>
    </row>
    <row r="559" spans="1:8" x14ac:dyDescent="0.25">
      <c r="A559" s="46">
        <v>45371</v>
      </c>
      <c r="B559" s="14">
        <v>499.5</v>
      </c>
      <c r="C559" s="14">
        <v>508.20001200000002</v>
      </c>
      <c r="D559" s="14">
        <v>495.17001299999998</v>
      </c>
      <c r="E559" s="14">
        <v>505.51998900000001</v>
      </c>
      <c r="F559" s="14">
        <v>505.51998900000001</v>
      </c>
      <c r="G559" s="14">
        <v>11711100</v>
      </c>
      <c r="H559" s="14">
        <f t="shared" si="8"/>
        <v>2.8860567712891916E-2</v>
      </c>
    </row>
    <row r="560" spans="1:8" x14ac:dyDescent="0.25">
      <c r="A560" s="46">
        <v>45372</v>
      </c>
      <c r="B560" s="14">
        <v>514.71002199999998</v>
      </c>
      <c r="C560" s="14">
        <v>515.03997800000002</v>
      </c>
      <c r="D560" s="14">
        <v>506.01001000000002</v>
      </c>
      <c r="E560" s="14">
        <v>507.76001000000002</v>
      </c>
      <c r="F560" s="14">
        <v>507.76001000000002</v>
      </c>
      <c r="G560" s="14">
        <v>9712500</v>
      </c>
      <c r="H560" s="14">
        <f t="shared" si="8"/>
        <v>2.1891464982553455E-2</v>
      </c>
    </row>
    <row r="561" spans="1:8" x14ac:dyDescent="0.25">
      <c r="A561" s="46">
        <v>45373</v>
      </c>
      <c r="B561" s="14">
        <v>507</v>
      </c>
      <c r="C561" s="14">
        <v>509.97000100000002</v>
      </c>
      <c r="D561" s="14">
        <v>504.33999599999999</v>
      </c>
      <c r="E561" s="14">
        <v>509.57998700000002</v>
      </c>
      <c r="F561" s="14">
        <v>509.57998700000002</v>
      </c>
      <c r="G561" s="14">
        <v>8117000</v>
      </c>
      <c r="H561" s="14">
        <f t="shared" si="8"/>
        <v>-3.3003576352176323E-3</v>
      </c>
    </row>
    <row r="562" spans="1:8" x14ac:dyDescent="0.25">
      <c r="A562" s="46">
        <v>45376</v>
      </c>
      <c r="B562" s="14">
        <v>505.790009</v>
      </c>
      <c r="C562" s="14">
        <v>507.22000100000002</v>
      </c>
      <c r="D562" s="14">
        <v>500.23998999999998</v>
      </c>
      <c r="E562" s="14">
        <v>503.01998900000001</v>
      </c>
      <c r="F562" s="14">
        <v>503.01998900000001</v>
      </c>
      <c r="G562" s="14">
        <v>8380600</v>
      </c>
      <c r="H562" s="14">
        <f t="shared" si="8"/>
        <v>-2.7098161508227379E-3</v>
      </c>
    </row>
    <row r="563" spans="1:8" x14ac:dyDescent="0.25">
      <c r="A563" s="46">
        <v>45377</v>
      </c>
      <c r="B563" s="14">
        <v>505.13000499999998</v>
      </c>
      <c r="C563" s="14">
        <v>510</v>
      </c>
      <c r="D563" s="14">
        <v>495.209991</v>
      </c>
      <c r="E563" s="14">
        <v>495.89001500000001</v>
      </c>
      <c r="F563" s="14">
        <v>495.89001500000001</v>
      </c>
      <c r="G563" s="14">
        <v>11205400</v>
      </c>
      <c r="H563" s="14">
        <f t="shared" si="8"/>
        <v>-1.0055171718678424E-2</v>
      </c>
    </row>
    <row r="564" spans="1:8" x14ac:dyDescent="0.25">
      <c r="A564" s="46">
        <v>45378</v>
      </c>
      <c r="B564" s="14">
        <v>499.29998799999998</v>
      </c>
      <c r="C564" s="14">
        <v>499.89001500000001</v>
      </c>
      <c r="D564" s="14">
        <v>488.07000699999998</v>
      </c>
      <c r="E564" s="14">
        <v>493.85998499999999</v>
      </c>
      <c r="F564" s="14">
        <v>493.85998499999999</v>
      </c>
      <c r="G564" s="14">
        <v>9989700</v>
      </c>
      <c r="H564" s="14">
        <f t="shared" si="8"/>
        <v>-1.4418093596177073E-2</v>
      </c>
    </row>
    <row r="565" spans="1:8" x14ac:dyDescent="0.25">
      <c r="A565" s="46">
        <v>45379</v>
      </c>
      <c r="B565" s="14">
        <v>492.83999599999999</v>
      </c>
      <c r="C565" s="14">
        <v>492.89001500000001</v>
      </c>
      <c r="D565" s="14">
        <v>485.14999399999999</v>
      </c>
      <c r="E565" s="14">
        <v>485.57998700000002</v>
      </c>
      <c r="F565" s="14">
        <v>485.57998700000002</v>
      </c>
      <c r="G565" s="14">
        <v>15212800</v>
      </c>
      <c r="H565" s="14">
        <f t="shared" si="8"/>
        <v>-5.9827749259748764E-3</v>
      </c>
    </row>
    <row r="566" spans="1:8" x14ac:dyDescent="0.25">
      <c r="A566" s="46">
        <v>45383</v>
      </c>
      <c r="B566" s="14">
        <v>487.20001200000002</v>
      </c>
      <c r="C566" s="14">
        <v>497.42999300000002</v>
      </c>
      <c r="D566" s="14">
        <v>481.77999899999998</v>
      </c>
      <c r="E566" s="14">
        <v>491.35000600000001</v>
      </c>
      <c r="F566" s="14">
        <v>491.35000600000001</v>
      </c>
      <c r="G566" s="14">
        <v>9247000</v>
      </c>
      <c r="H566" s="14">
        <f t="shared" si="8"/>
        <v>-1.7365737615571419E-3</v>
      </c>
    </row>
    <row r="567" spans="1:8" x14ac:dyDescent="0.25">
      <c r="A567" s="46">
        <v>45384</v>
      </c>
      <c r="B567" s="14">
        <v>485.10000600000001</v>
      </c>
      <c r="C567" s="14">
        <v>497.52999899999998</v>
      </c>
      <c r="D567" s="14">
        <v>484.64999399999999</v>
      </c>
      <c r="E567" s="14">
        <v>497.36999500000002</v>
      </c>
      <c r="F567" s="14">
        <v>497.36999500000002</v>
      </c>
      <c r="G567" s="14">
        <v>11081000</v>
      </c>
      <c r="H567" s="14">
        <f t="shared" si="8"/>
        <v>5.957065477929957E-3</v>
      </c>
    </row>
    <row r="568" spans="1:8" x14ac:dyDescent="0.25">
      <c r="A568" s="46">
        <v>45385</v>
      </c>
      <c r="B568" s="14">
        <v>498.92999300000002</v>
      </c>
      <c r="C568" s="14">
        <v>507.23998999999998</v>
      </c>
      <c r="D568" s="14">
        <v>498.75</v>
      </c>
      <c r="E568" s="14">
        <v>506.73998999999998</v>
      </c>
      <c r="F568" s="14">
        <v>506.73998999999998</v>
      </c>
      <c r="G568" s="14">
        <v>12099200</v>
      </c>
      <c r="H568" s="14">
        <f t="shared" si="8"/>
        <v>2.9093172752623575E-2</v>
      </c>
    </row>
    <row r="569" spans="1:8" x14ac:dyDescent="0.25">
      <c r="A569" s="46">
        <v>45386</v>
      </c>
      <c r="B569" s="14">
        <v>516.419983</v>
      </c>
      <c r="C569" s="14">
        <v>530</v>
      </c>
      <c r="D569" s="14">
        <v>510.57998700000002</v>
      </c>
      <c r="E569" s="14">
        <v>510.92001299999998</v>
      </c>
      <c r="F569" s="14">
        <v>510.92001299999998</v>
      </c>
      <c r="G569" s="14">
        <v>26476300</v>
      </c>
      <c r="H569" s="14">
        <f t="shared" si="8"/>
        <v>2.3719272180451112E-2</v>
      </c>
    </row>
    <row r="570" spans="1:8" x14ac:dyDescent="0.25">
      <c r="A570" s="46">
        <v>45387</v>
      </c>
      <c r="B570" s="14">
        <v>516.85998500000005</v>
      </c>
      <c r="C570" s="14">
        <v>530.70001200000002</v>
      </c>
      <c r="D570" s="14">
        <v>514.40997300000004</v>
      </c>
      <c r="E570" s="14">
        <v>527.34002699999996</v>
      </c>
      <c r="F570" s="14">
        <v>527.34002699999996</v>
      </c>
      <c r="G570" s="14">
        <v>19242000</v>
      </c>
      <c r="H570" s="14">
        <f t="shared" si="8"/>
        <v>7.5012458332017751E-3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6E396-9DDD-4B90-A1BC-770DF5FC0399}">
  <sheetPr codeName="Arkusz6">
    <tabColor theme="0" tint="-0.14999847407452621"/>
  </sheetPr>
  <dimension ref="A1:H570"/>
  <sheetViews>
    <sheetView workbookViewId="0">
      <selection activeCell="L11" sqref="L11"/>
    </sheetView>
  </sheetViews>
  <sheetFormatPr defaultRowHeight="15" x14ac:dyDescent="0.25"/>
  <cols>
    <col min="1" max="1" width="10.140625" bestFit="1" customWidth="1"/>
    <col min="2" max="5" width="10.5703125" bestFit="1" customWidth="1"/>
    <col min="6" max="6" width="11" bestFit="1" customWidth="1"/>
    <col min="7" max="7" width="9.7109375" bestFit="1" customWidth="1"/>
  </cols>
  <sheetData>
    <row r="1" spans="1:8" x14ac:dyDescent="0.25">
      <c r="A1" s="34" t="s">
        <v>32</v>
      </c>
      <c r="B1" s="34" t="s">
        <v>33</v>
      </c>
      <c r="C1" s="34" t="s">
        <v>34</v>
      </c>
      <c r="D1" s="34" t="s">
        <v>35</v>
      </c>
      <c r="E1" s="34" t="s">
        <v>36</v>
      </c>
      <c r="F1" s="34" t="s">
        <v>37</v>
      </c>
      <c r="G1" s="34" t="s">
        <v>38</v>
      </c>
      <c r="H1" s="34" t="s">
        <v>39</v>
      </c>
    </row>
    <row r="2" spans="1:8" x14ac:dyDescent="0.25">
      <c r="A2" s="46">
        <v>44560</v>
      </c>
      <c r="B2" s="14">
        <v>146.449997</v>
      </c>
      <c r="C2" s="14">
        <v>147.0625</v>
      </c>
      <c r="D2" s="14">
        <v>145.758499</v>
      </c>
      <c r="E2" s="14">
        <v>146.00250199999999</v>
      </c>
      <c r="F2" s="14">
        <v>146.00250199999999</v>
      </c>
      <c r="G2" s="14">
        <v>12978000</v>
      </c>
      <c r="H2" s="14">
        <v>0</v>
      </c>
    </row>
    <row r="3" spans="1:8" x14ac:dyDescent="0.25">
      <c r="A3" s="46">
        <v>44561</v>
      </c>
      <c r="B3" s="14">
        <v>145.544006</v>
      </c>
      <c r="C3" s="14">
        <v>146.365005</v>
      </c>
      <c r="D3" s="14">
        <v>144.677505</v>
      </c>
      <c r="E3" s="14">
        <v>144.67950400000001</v>
      </c>
      <c r="F3" s="14">
        <v>144.67950400000001</v>
      </c>
      <c r="G3" s="14">
        <v>17298000</v>
      </c>
      <c r="H3" s="14">
        <f>(D3/D2-1)/(A3-A2)</f>
        <v>-7.4163359764016779E-3</v>
      </c>
    </row>
    <row r="4" spans="1:8" x14ac:dyDescent="0.25">
      <c r="A4" s="46">
        <v>44564</v>
      </c>
      <c r="B4" s="14">
        <v>144.475494</v>
      </c>
      <c r="C4" s="14">
        <v>145.550003</v>
      </c>
      <c r="D4" s="14">
        <v>143.50250199999999</v>
      </c>
      <c r="E4" s="14">
        <v>145.07449299999999</v>
      </c>
      <c r="F4" s="14">
        <v>145.07449299999999</v>
      </c>
      <c r="G4" s="14">
        <v>25214000</v>
      </c>
      <c r="H4" s="14">
        <f t="shared" ref="H4:H67" si="0">(D4/D3-1)/(A4-A3)</f>
        <v>-2.7071773643502217E-3</v>
      </c>
    </row>
    <row r="5" spans="1:8" x14ac:dyDescent="0.25">
      <c r="A5" s="46">
        <v>44565</v>
      </c>
      <c r="B5" s="14">
        <v>145.55050700000001</v>
      </c>
      <c r="C5" s="14">
        <v>146.61000100000001</v>
      </c>
      <c r="D5" s="14">
        <v>143.816147</v>
      </c>
      <c r="E5" s="14">
        <v>144.416504</v>
      </c>
      <c r="F5" s="14">
        <v>144.416504</v>
      </c>
      <c r="G5" s="14">
        <v>22928000</v>
      </c>
      <c r="H5" s="14">
        <f t="shared" si="0"/>
        <v>2.1856413346716952E-3</v>
      </c>
    </row>
    <row r="6" spans="1:8" x14ac:dyDescent="0.25">
      <c r="A6" s="46">
        <v>44566</v>
      </c>
      <c r="B6" s="14">
        <v>144.18100000000001</v>
      </c>
      <c r="C6" s="14">
        <v>144.29800399999999</v>
      </c>
      <c r="D6" s="14">
        <v>137.52349899999999</v>
      </c>
      <c r="E6" s="14">
        <v>137.653503</v>
      </c>
      <c r="F6" s="14">
        <v>137.653503</v>
      </c>
      <c r="G6" s="14">
        <v>49642000</v>
      </c>
      <c r="H6" s="14">
        <f t="shared" si="0"/>
        <v>-4.3754808700305459E-2</v>
      </c>
    </row>
    <row r="7" spans="1:8" x14ac:dyDescent="0.25">
      <c r="A7" s="46">
        <v>44567</v>
      </c>
      <c r="B7" s="14">
        <v>137.49749800000001</v>
      </c>
      <c r="C7" s="14">
        <v>139.68600499999999</v>
      </c>
      <c r="D7" s="14">
        <v>136.76350400000001</v>
      </c>
      <c r="E7" s="14">
        <v>137.550995</v>
      </c>
      <c r="F7" s="14">
        <v>137.550995</v>
      </c>
      <c r="G7" s="14">
        <v>29050000</v>
      </c>
      <c r="H7" s="14">
        <f t="shared" si="0"/>
        <v>-5.5262919103009622E-3</v>
      </c>
    </row>
    <row r="8" spans="1:8" x14ac:dyDescent="0.25">
      <c r="A8" s="46">
        <v>44568</v>
      </c>
      <c r="B8" s="14">
        <v>137.904999</v>
      </c>
      <c r="C8" s="14">
        <v>138.25474500000001</v>
      </c>
      <c r="D8" s="14">
        <v>135.78900100000001</v>
      </c>
      <c r="E8" s="14">
        <v>137.004501</v>
      </c>
      <c r="F8" s="14">
        <v>137.004501</v>
      </c>
      <c r="G8" s="14">
        <v>19408000</v>
      </c>
      <c r="H8" s="14">
        <f t="shared" si="0"/>
        <v>-7.1254608978137401E-3</v>
      </c>
    </row>
    <row r="9" spans="1:8" x14ac:dyDescent="0.25">
      <c r="A9" s="46">
        <v>44571</v>
      </c>
      <c r="B9" s="14">
        <v>135.09899899999999</v>
      </c>
      <c r="C9" s="14">
        <v>138.63999899999999</v>
      </c>
      <c r="D9" s="14">
        <v>133.140503</v>
      </c>
      <c r="E9" s="14">
        <v>138.574005</v>
      </c>
      <c r="F9" s="14">
        <v>138.574005</v>
      </c>
      <c r="G9" s="14">
        <v>34096000</v>
      </c>
      <c r="H9" s="14">
        <f t="shared" si="0"/>
        <v>-6.5015035103371437E-3</v>
      </c>
    </row>
    <row r="10" spans="1:8" x14ac:dyDescent="0.25">
      <c r="A10" s="46">
        <v>44572</v>
      </c>
      <c r="B10" s="14">
        <v>138.18049600000001</v>
      </c>
      <c r="C10" s="14">
        <v>140.329498</v>
      </c>
      <c r="D10" s="14">
        <v>136.81350699999999</v>
      </c>
      <c r="E10" s="14">
        <v>140.01750200000001</v>
      </c>
      <c r="F10" s="14">
        <v>140.01750200000001</v>
      </c>
      <c r="G10" s="14">
        <v>23502000</v>
      </c>
      <c r="H10" s="14">
        <f t="shared" si="0"/>
        <v>2.7587427696589062E-2</v>
      </c>
    </row>
    <row r="11" spans="1:8" x14ac:dyDescent="0.25">
      <c r="A11" s="46">
        <v>44573</v>
      </c>
      <c r="B11" s="14">
        <v>141.55450400000001</v>
      </c>
      <c r="C11" s="14">
        <v>142.814255</v>
      </c>
      <c r="D11" s="14">
        <v>141.11199999999999</v>
      </c>
      <c r="E11" s="14">
        <v>141.64799500000001</v>
      </c>
      <c r="F11" s="14">
        <v>141.64799500000001</v>
      </c>
      <c r="G11" s="14">
        <v>23642000</v>
      </c>
      <c r="H11" s="14">
        <f t="shared" si="0"/>
        <v>3.1418630325732444E-2</v>
      </c>
    </row>
    <row r="12" spans="1:8" x14ac:dyDescent="0.25">
      <c r="A12" s="46">
        <v>44574</v>
      </c>
      <c r="B12" s="14">
        <v>141.84049999999999</v>
      </c>
      <c r="C12" s="14">
        <v>143.18550099999999</v>
      </c>
      <c r="D12" s="14">
        <v>138.91400100000001</v>
      </c>
      <c r="E12" s="14">
        <v>139.13099700000001</v>
      </c>
      <c r="F12" s="14">
        <v>139.13099700000001</v>
      </c>
      <c r="G12" s="14">
        <v>26566000</v>
      </c>
      <c r="H12" s="14">
        <f t="shared" si="0"/>
        <v>-1.5576272747888087E-2</v>
      </c>
    </row>
    <row r="13" spans="1:8" x14ac:dyDescent="0.25">
      <c r="A13" s="46">
        <v>44575</v>
      </c>
      <c r="B13" s="14">
        <v>137.5</v>
      </c>
      <c r="C13" s="14">
        <v>141.20050000000001</v>
      </c>
      <c r="D13" s="14">
        <v>137.5</v>
      </c>
      <c r="E13" s="14">
        <v>139.78649899999999</v>
      </c>
      <c r="F13" s="14">
        <v>139.78649899999999</v>
      </c>
      <c r="G13" s="14">
        <v>23826000</v>
      </c>
      <c r="H13" s="14">
        <f t="shared" si="0"/>
        <v>-1.0178966769519571E-2</v>
      </c>
    </row>
    <row r="14" spans="1:8" x14ac:dyDescent="0.25">
      <c r="A14" s="46">
        <v>44579</v>
      </c>
      <c r="B14" s="14">
        <v>136.60000600000001</v>
      </c>
      <c r="C14" s="14">
        <v>137.39149499999999</v>
      </c>
      <c r="D14" s="14">
        <v>135.61700400000001</v>
      </c>
      <c r="E14" s="14">
        <v>136.29049699999999</v>
      </c>
      <c r="F14" s="14">
        <v>136.29049699999999</v>
      </c>
      <c r="G14" s="14">
        <v>27382000</v>
      </c>
      <c r="H14" s="14">
        <f t="shared" si="0"/>
        <v>-3.4236290909090694E-3</v>
      </c>
    </row>
    <row r="15" spans="1:8" x14ac:dyDescent="0.25">
      <c r="A15" s="46">
        <v>44580</v>
      </c>
      <c r="B15" s="14">
        <v>136.93850699999999</v>
      </c>
      <c r="C15" s="14">
        <v>138.399506</v>
      </c>
      <c r="D15" s="14">
        <v>135.5</v>
      </c>
      <c r="E15" s="14">
        <v>135.651993</v>
      </c>
      <c r="F15" s="14">
        <v>135.651993</v>
      </c>
      <c r="G15" s="14">
        <v>20796000</v>
      </c>
      <c r="H15" s="14">
        <f t="shared" si="0"/>
        <v>-8.6275316921180512E-4</v>
      </c>
    </row>
    <row r="16" spans="1:8" x14ac:dyDescent="0.25">
      <c r="A16" s="46">
        <v>44581</v>
      </c>
      <c r="B16" s="14">
        <v>136.51400799999999</v>
      </c>
      <c r="C16" s="14">
        <v>137.912003</v>
      </c>
      <c r="D16" s="14">
        <v>133.14450099999999</v>
      </c>
      <c r="E16" s="14">
        <v>133.50649999999999</v>
      </c>
      <c r="F16" s="14">
        <v>133.50649999999999</v>
      </c>
      <c r="G16" s="14">
        <v>21930000</v>
      </c>
      <c r="H16" s="14">
        <f t="shared" si="0"/>
        <v>-1.7383756457564625E-2</v>
      </c>
    </row>
    <row r="17" spans="1:8" x14ac:dyDescent="0.25">
      <c r="A17" s="46">
        <v>44582</v>
      </c>
      <c r="B17" s="14">
        <v>133.01199299999999</v>
      </c>
      <c r="C17" s="14">
        <v>134.76049800000001</v>
      </c>
      <c r="D17" s="14">
        <v>130.00100699999999</v>
      </c>
      <c r="E17" s="14">
        <v>130.091995</v>
      </c>
      <c r="F17" s="14">
        <v>130.091995</v>
      </c>
      <c r="G17" s="14">
        <v>41920000</v>
      </c>
      <c r="H17" s="14">
        <f t="shared" si="0"/>
        <v>-2.3609641978379559E-2</v>
      </c>
    </row>
    <row r="18" spans="1:8" x14ac:dyDescent="0.25">
      <c r="A18" s="46">
        <v>44585</v>
      </c>
      <c r="B18" s="14">
        <v>126.027496</v>
      </c>
      <c r="C18" s="14">
        <v>130.778503</v>
      </c>
      <c r="D18" s="14">
        <v>124.641953</v>
      </c>
      <c r="E18" s="14">
        <v>130.371994</v>
      </c>
      <c r="F18" s="14">
        <v>130.371994</v>
      </c>
      <c r="G18" s="14">
        <v>55148000</v>
      </c>
      <c r="H18" s="14">
        <f t="shared" si="0"/>
        <v>-1.3741057662217412E-2</v>
      </c>
    </row>
    <row r="19" spans="1:8" x14ac:dyDescent="0.25">
      <c r="A19" s="46">
        <v>44586</v>
      </c>
      <c r="B19" s="14">
        <v>128.43550099999999</v>
      </c>
      <c r="C19" s="14">
        <v>129.33850100000001</v>
      </c>
      <c r="D19" s="14">
        <v>126.37799800000001</v>
      </c>
      <c r="E19" s="14">
        <v>126.735497</v>
      </c>
      <c r="F19" s="14">
        <v>126.735497</v>
      </c>
      <c r="G19" s="14">
        <v>36008000</v>
      </c>
      <c r="H19" s="14">
        <f t="shared" si="0"/>
        <v>1.3928255761525232E-2</v>
      </c>
    </row>
    <row r="20" spans="1:8" x14ac:dyDescent="0.25">
      <c r="A20" s="46">
        <v>44587</v>
      </c>
      <c r="B20" s="14">
        <v>130.592499</v>
      </c>
      <c r="C20" s="14">
        <v>132.80749499999999</v>
      </c>
      <c r="D20" s="14">
        <v>127.153503</v>
      </c>
      <c r="E20" s="14">
        <v>129.240005</v>
      </c>
      <c r="F20" s="14">
        <v>129.240005</v>
      </c>
      <c r="G20" s="14">
        <v>39630000</v>
      </c>
      <c r="H20" s="14">
        <f t="shared" si="0"/>
        <v>6.1363925071831193E-3</v>
      </c>
    </row>
    <row r="21" spans="1:8" x14ac:dyDescent="0.25">
      <c r="A21" s="46">
        <v>44588</v>
      </c>
      <c r="B21" s="14">
        <v>131.36099200000001</v>
      </c>
      <c r="C21" s="14">
        <v>132.60995500000001</v>
      </c>
      <c r="D21" s="14">
        <v>128.945007</v>
      </c>
      <c r="E21" s="14">
        <v>129.121002</v>
      </c>
      <c r="F21" s="14">
        <v>129.121002</v>
      </c>
      <c r="G21" s="14">
        <v>30248000</v>
      </c>
      <c r="H21" s="14">
        <f t="shared" si="0"/>
        <v>1.4089301181108738E-2</v>
      </c>
    </row>
    <row r="22" spans="1:8" x14ac:dyDescent="0.25">
      <c r="A22" s="46">
        <v>44589</v>
      </c>
      <c r="B22" s="14">
        <v>130</v>
      </c>
      <c r="C22" s="14">
        <v>133.370499</v>
      </c>
      <c r="D22" s="14">
        <v>128.69450399999999</v>
      </c>
      <c r="E22" s="14">
        <v>133.28950499999999</v>
      </c>
      <c r="F22" s="14">
        <v>133.28950499999999</v>
      </c>
      <c r="G22" s="14">
        <v>30518000</v>
      </c>
      <c r="H22" s="14">
        <f t="shared" si="0"/>
        <v>-1.942711903532679E-3</v>
      </c>
    </row>
    <row r="23" spans="1:8" x14ac:dyDescent="0.25">
      <c r="A23" s="46">
        <v>44592</v>
      </c>
      <c r="B23" s="14">
        <v>134.19799800000001</v>
      </c>
      <c r="C23" s="14">
        <v>135.84350599999999</v>
      </c>
      <c r="D23" s="14">
        <v>132.274002</v>
      </c>
      <c r="E23" s="14">
        <v>135.69850199999999</v>
      </c>
      <c r="F23" s="14">
        <v>135.69850199999999</v>
      </c>
      <c r="G23" s="14">
        <v>34056000</v>
      </c>
      <c r="H23" s="14">
        <f t="shared" si="0"/>
        <v>9.271305012372574E-3</v>
      </c>
    </row>
    <row r="24" spans="1:8" x14ac:dyDescent="0.25">
      <c r="A24" s="46">
        <v>44593</v>
      </c>
      <c r="B24" s="14">
        <v>137.83500699999999</v>
      </c>
      <c r="C24" s="14">
        <v>138.199997</v>
      </c>
      <c r="D24" s="14">
        <v>134.568253</v>
      </c>
      <c r="E24" s="14">
        <v>137.87849399999999</v>
      </c>
      <c r="F24" s="14">
        <v>137.87849399999999</v>
      </c>
      <c r="G24" s="14">
        <v>51204000</v>
      </c>
      <c r="H24" s="14">
        <f t="shared" si="0"/>
        <v>1.734468576825865E-2</v>
      </c>
    </row>
    <row r="25" spans="1:8" x14ac:dyDescent="0.25">
      <c r="A25" s="46">
        <v>44594</v>
      </c>
      <c r="B25" s="14">
        <v>151.863495</v>
      </c>
      <c r="C25" s="14">
        <v>152.10000600000001</v>
      </c>
      <c r="D25" s="14">
        <v>145.55749499999999</v>
      </c>
      <c r="E25" s="14">
        <v>148.03649899999999</v>
      </c>
      <c r="F25" s="14">
        <v>148.03649899999999</v>
      </c>
      <c r="G25" s="14">
        <v>89750000</v>
      </c>
      <c r="H25" s="14">
        <f t="shared" si="0"/>
        <v>8.1662961025435798E-2</v>
      </c>
    </row>
    <row r="26" spans="1:8" x14ac:dyDescent="0.25">
      <c r="A26" s="46">
        <v>44595</v>
      </c>
      <c r="B26" s="14">
        <v>145.29499799999999</v>
      </c>
      <c r="C26" s="14">
        <v>149.117706</v>
      </c>
      <c r="D26" s="14">
        <v>142.20500200000001</v>
      </c>
      <c r="E26" s="14">
        <v>142.650497</v>
      </c>
      <c r="F26" s="14">
        <v>142.650497</v>
      </c>
      <c r="G26" s="14">
        <v>56930000</v>
      </c>
      <c r="H26" s="14">
        <f t="shared" si="0"/>
        <v>-2.3032087767105192E-2</v>
      </c>
    </row>
    <row r="27" spans="1:8" x14ac:dyDescent="0.25">
      <c r="A27" s="46">
        <v>44596</v>
      </c>
      <c r="B27" s="14">
        <v>143.016998</v>
      </c>
      <c r="C27" s="14">
        <v>144.535248</v>
      </c>
      <c r="D27" s="14">
        <v>139.81750500000001</v>
      </c>
      <c r="E27" s="14">
        <v>143.016006</v>
      </c>
      <c r="F27" s="14">
        <v>143.016006</v>
      </c>
      <c r="G27" s="14">
        <v>49224000</v>
      </c>
      <c r="H27" s="14">
        <f t="shared" si="0"/>
        <v>-1.6789121102786519E-2</v>
      </c>
    </row>
    <row r="28" spans="1:8" x14ac:dyDescent="0.25">
      <c r="A28" s="46">
        <v>44599</v>
      </c>
      <c r="B28" s="14">
        <v>143.709</v>
      </c>
      <c r="C28" s="14">
        <v>143.846497</v>
      </c>
      <c r="D28" s="14">
        <v>138.699005</v>
      </c>
      <c r="E28" s="14">
        <v>138.93800400000001</v>
      </c>
      <c r="F28" s="14">
        <v>138.93800400000001</v>
      </c>
      <c r="G28" s="14">
        <v>44610000</v>
      </c>
      <c r="H28" s="14">
        <f t="shared" si="0"/>
        <v>-2.6665712089007552E-3</v>
      </c>
    </row>
    <row r="29" spans="1:8" x14ac:dyDescent="0.25">
      <c r="A29" s="46">
        <v>44600</v>
      </c>
      <c r="B29" s="14">
        <v>138.99125699999999</v>
      </c>
      <c r="C29" s="14">
        <v>139.837097</v>
      </c>
      <c r="D29" s="14">
        <v>136.87300099999999</v>
      </c>
      <c r="E29" s="14">
        <v>139.212997</v>
      </c>
      <c r="F29" s="14">
        <v>139.212997</v>
      </c>
      <c r="G29" s="14">
        <v>34256000</v>
      </c>
      <c r="H29" s="14">
        <f t="shared" si="0"/>
        <v>-1.3165227825534975E-2</v>
      </c>
    </row>
    <row r="30" spans="1:8" x14ac:dyDescent="0.25">
      <c r="A30" s="46">
        <v>44601</v>
      </c>
      <c r="B30" s="14">
        <v>140.84974700000001</v>
      </c>
      <c r="C30" s="14">
        <v>142.17550700000001</v>
      </c>
      <c r="D30" s="14">
        <v>140.37699900000001</v>
      </c>
      <c r="E30" s="14">
        <v>141.453003</v>
      </c>
      <c r="F30" s="14">
        <v>141.453003</v>
      </c>
      <c r="G30" s="14">
        <v>28628000</v>
      </c>
      <c r="H30" s="14">
        <f t="shared" si="0"/>
        <v>2.5600359270270046E-2</v>
      </c>
    </row>
    <row r="31" spans="1:8" x14ac:dyDescent="0.25">
      <c r="A31" s="46">
        <v>44602</v>
      </c>
      <c r="B31" s="14">
        <v>139.5</v>
      </c>
      <c r="C31" s="14">
        <v>141.43100000000001</v>
      </c>
      <c r="D31" s="14">
        <v>138.050003</v>
      </c>
      <c r="E31" s="14">
        <v>138.60249300000001</v>
      </c>
      <c r="F31" s="14">
        <v>138.60249300000001</v>
      </c>
      <c r="G31" s="14">
        <v>33018000</v>
      </c>
      <c r="H31" s="14">
        <f t="shared" si="0"/>
        <v>-1.657676126841845E-2</v>
      </c>
    </row>
    <row r="32" spans="1:8" x14ac:dyDescent="0.25">
      <c r="A32" s="46">
        <v>44603</v>
      </c>
      <c r="B32" s="14">
        <v>138.75</v>
      </c>
      <c r="C32" s="14">
        <v>139.28324900000001</v>
      </c>
      <c r="D32" s="14">
        <v>133.288498</v>
      </c>
      <c r="E32" s="14">
        <v>134.13000500000001</v>
      </c>
      <c r="F32" s="14">
        <v>134.13000500000001</v>
      </c>
      <c r="G32" s="14">
        <v>38808000</v>
      </c>
      <c r="H32" s="14">
        <f t="shared" si="0"/>
        <v>-3.449116187270207E-2</v>
      </c>
    </row>
    <row r="33" spans="1:8" x14ac:dyDescent="0.25">
      <c r="A33" s="46">
        <v>44606</v>
      </c>
      <c r="B33" s="14">
        <v>133.36549400000001</v>
      </c>
      <c r="C33" s="14">
        <v>136.166504</v>
      </c>
      <c r="D33" s="14">
        <v>133.30200199999999</v>
      </c>
      <c r="E33" s="14">
        <v>135.300003</v>
      </c>
      <c r="F33" s="14">
        <v>135.300003</v>
      </c>
      <c r="G33" s="14">
        <v>26792000</v>
      </c>
      <c r="H33" s="14">
        <f t="shared" si="0"/>
        <v>3.3771356124997119E-5</v>
      </c>
    </row>
    <row r="34" spans="1:8" x14ac:dyDescent="0.25">
      <c r="A34" s="46">
        <v>44607</v>
      </c>
      <c r="B34" s="14">
        <v>137.471497</v>
      </c>
      <c r="C34" s="14">
        <v>137.89999399999999</v>
      </c>
      <c r="D34" s="14">
        <v>135.53950499999999</v>
      </c>
      <c r="E34" s="14">
        <v>136.42550700000001</v>
      </c>
      <c r="F34" s="14">
        <v>136.42550700000001</v>
      </c>
      <c r="G34" s="14">
        <v>26578000</v>
      </c>
      <c r="H34" s="14">
        <f t="shared" si="0"/>
        <v>1.678521677416378E-2</v>
      </c>
    </row>
    <row r="35" spans="1:8" x14ac:dyDescent="0.25">
      <c r="A35" s="46">
        <v>44608</v>
      </c>
      <c r="B35" s="14">
        <v>136.43049600000001</v>
      </c>
      <c r="C35" s="14">
        <v>137.945999</v>
      </c>
      <c r="D35" s="14">
        <v>134.823654</v>
      </c>
      <c r="E35" s="14">
        <v>137.487503</v>
      </c>
      <c r="F35" s="14">
        <v>137.487503</v>
      </c>
      <c r="G35" s="14">
        <v>25610000</v>
      </c>
      <c r="H35" s="14">
        <f t="shared" si="0"/>
        <v>-5.2814933919080875E-3</v>
      </c>
    </row>
    <row r="36" spans="1:8" x14ac:dyDescent="0.25">
      <c r="A36" s="46">
        <v>44609</v>
      </c>
      <c r="B36" s="14">
        <v>136.14999399999999</v>
      </c>
      <c r="C36" s="14">
        <v>136.839493</v>
      </c>
      <c r="D36" s="14">
        <v>132.20199600000001</v>
      </c>
      <c r="E36" s="14">
        <v>132.308502</v>
      </c>
      <c r="F36" s="14">
        <v>132.308502</v>
      </c>
      <c r="G36" s="14">
        <v>30968000</v>
      </c>
      <c r="H36" s="14">
        <f t="shared" si="0"/>
        <v>-1.9445089360951462E-2</v>
      </c>
    </row>
    <row r="37" spans="1:8" x14ac:dyDescent="0.25">
      <c r="A37" s="46">
        <v>44610</v>
      </c>
      <c r="B37" s="14">
        <v>133.03750600000001</v>
      </c>
      <c r="C37" s="14">
        <v>133.824005</v>
      </c>
      <c r="D37" s="14">
        <v>130.307053</v>
      </c>
      <c r="E37" s="14">
        <v>130.467499</v>
      </c>
      <c r="F37" s="14">
        <v>130.467499</v>
      </c>
      <c r="G37" s="14">
        <v>31858000</v>
      </c>
      <c r="H37" s="14">
        <f t="shared" si="0"/>
        <v>-1.4333694326370217E-2</v>
      </c>
    </row>
    <row r="38" spans="1:8" x14ac:dyDescent="0.25">
      <c r="A38" s="46">
        <v>44614</v>
      </c>
      <c r="B38" s="14">
        <v>129.98500100000001</v>
      </c>
      <c r="C38" s="14">
        <v>131.900757</v>
      </c>
      <c r="D38" s="14">
        <v>127.74099699999999</v>
      </c>
      <c r="E38" s="14">
        <v>129.40249600000001</v>
      </c>
      <c r="F38" s="14">
        <v>129.40249600000001</v>
      </c>
      <c r="G38" s="14">
        <v>38906000</v>
      </c>
      <c r="H38" s="14">
        <f t="shared" si="0"/>
        <v>-4.9230949916425626E-3</v>
      </c>
    </row>
    <row r="39" spans="1:8" x14ac:dyDescent="0.25">
      <c r="A39" s="46">
        <v>44615</v>
      </c>
      <c r="B39" s="14">
        <v>131.078506</v>
      </c>
      <c r="C39" s="14">
        <v>131.74899300000001</v>
      </c>
      <c r="D39" s="14">
        <v>127.503502</v>
      </c>
      <c r="E39" s="14">
        <v>127.584999</v>
      </c>
      <c r="F39" s="14">
        <v>127.584999</v>
      </c>
      <c r="G39" s="14">
        <v>26432000</v>
      </c>
      <c r="H39" s="14">
        <f t="shared" si="0"/>
        <v>-1.8591916892585214E-3</v>
      </c>
    </row>
    <row r="40" spans="1:8" x14ac:dyDescent="0.25">
      <c r="A40" s="46">
        <v>44616</v>
      </c>
      <c r="B40" s="14">
        <v>125</v>
      </c>
      <c r="C40" s="14">
        <v>133.037003</v>
      </c>
      <c r="D40" s="14">
        <v>124.764503</v>
      </c>
      <c r="E40" s="14">
        <v>132.67349200000001</v>
      </c>
      <c r="F40" s="14">
        <v>132.67349200000001</v>
      </c>
      <c r="G40" s="14">
        <v>43166000</v>
      </c>
      <c r="H40" s="14">
        <f t="shared" si="0"/>
        <v>-2.1481755065833386E-2</v>
      </c>
    </row>
    <row r="41" spans="1:8" x14ac:dyDescent="0.25">
      <c r="A41" s="46">
        <v>44617</v>
      </c>
      <c r="B41" s="14">
        <v>133.525497</v>
      </c>
      <c r="C41" s="14">
        <v>135.38900799999999</v>
      </c>
      <c r="D41" s="14">
        <v>131.76499899999999</v>
      </c>
      <c r="E41" s="14">
        <v>134.51950099999999</v>
      </c>
      <c r="F41" s="14">
        <v>134.51950099999999</v>
      </c>
      <c r="G41" s="14">
        <v>26236000</v>
      </c>
      <c r="H41" s="14">
        <f t="shared" si="0"/>
        <v>5.6109677285373305E-2</v>
      </c>
    </row>
    <row r="42" spans="1:8" x14ac:dyDescent="0.25">
      <c r="A42" s="46">
        <v>44620</v>
      </c>
      <c r="B42" s="14">
        <v>133.28450000000001</v>
      </c>
      <c r="C42" s="14">
        <v>135.640503</v>
      </c>
      <c r="D42" s="14">
        <v>132.825256</v>
      </c>
      <c r="E42" s="14">
        <v>134.891006</v>
      </c>
      <c r="F42" s="14">
        <v>134.891006</v>
      </c>
      <c r="G42" s="14">
        <v>29676000</v>
      </c>
      <c r="H42" s="14">
        <f t="shared" si="0"/>
        <v>2.6821918011778281E-3</v>
      </c>
    </row>
    <row r="43" spans="1:8" x14ac:dyDescent="0.25">
      <c r="A43" s="46">
        <v>44621</v>
      </c>
      <c r="B43" s="14">
        <v>134.479996</v>
      </c>
      <c r="C43" s="14">
        <v>136.11099200000001</v>
      </c>
      <c r="D43" s="14">
        <v>133.37849399999999</v>
      </c>
      <c r="E43" s="14">
        <v>134.16799900000001</v>
      </c>
      <c r="F43" s="14">
        <v>134.16799900000001</v>
      </c>
      <c r="G43" s="14">
        <v>24640000</v>
      </c>
      <c r="H43" s="14">
        <f t="shared" si="0"/>
        <v>4.1651566626756953E-3</v>
      </c>
    </row>
    <row r="44" spans="1:8" x14ac:dyDescent="0.25">
      <c r="A44" s="46">
        <v>44622</v>
      </c>
      <c r="B44" s="14">
        <v>134.60824600000001</v>
      </c>
      <c r="C44" s="14">
        <v>135.61549400000001</v>
      </c>
      <c r="D44" s="14">
        <v>133.43249499999999</v>
      </c>
      <c r="E44" s="14">
        <v>134.75149500000001</v>
      </c>
      <c r="F44" s="14">
        <v>134.75149500000001</v>
      </c>
      <c r="G44" s="14">
        <v>23966000</v>
      </c>
      <c r="H44" s="14">
        <f t="shared" si="0"/>
        <v>4.0487036838188217E-4</v>
      </c>
    </row>
    <row r="45" spans="1:8" x14ac:dyDescent="0.25">
      <c r="A45" s="46">
        <v>44623</v>
      </c>
      <c r="B45" s="14">
        <v>135.9785</v>
      </c>
      <c r="C45" s="14">
        <v>136.71380600000001</v>
      </c>
      <c r="D45" s="14">
        <v>133.43100000000001</v>
      </c>
      <c r="E45" s="14">
        <v>134.307999</v>
      </c>
      <c r="F45" s="14">
        <v>134.307999</v>
      </c>
      <c r="G45" s="14">
        <v>19780000</v>
      </c>
      <c r="H45" s="14">
        <f t="shared" si="0"/>
        <v>-1.1204167320588709E-5</v>
      </c>
    </row>
    <row r="46" spans="1:8" x14ac:dyDescent="0.25">
      <c r="A46" s="46">
        <v>44624</v>
      </c>
      <c r="B46" s="14">
        <v>133.382507</v>
      </c>
      <c r="C46" s="14">
        <v>134.199005</v>
      </c>
      <c r="D46" s="14">
        <v>130.40849299999999</v>
      </c>
      <c r="E46" s="14">
        <v>132.121994</v>
      </c>
      <c r="F46" s="14">
        <v>132.121994</v>
      </c>
      <c r="G46" s="14">
        <v>24446000</v>
      </c>
      <c r="H46" s="14">
        <f t="shared" si="0"/>
        <v>-2.2652209756353625E-2</v>
      </c>
    </row>
    <row r="47" spans="1:8" x14ac:dyDescent="0.25">
      <c r="A47" s="46">
        <v>44627</v>
      </c>
      <c r="B47" s="14">
        <v>131.90400700000001</v>
      </c>
      <c r="C47" s="14">
        <v>131.90400700000001</v>
      </c>
      <c r="D47" s="14">
        <v>126.410004</v>
      </c>
      <c r="E47" s="14">
        <v>126.4645</v>
      </c>
      <c r="F47" s="14">
        <v>126.4645</v>
      </c>
      <c r="G47" s="14">
        <v>39178000</v>
      </c>
      <c r="H47" s="14">
        <f t="shared" si="0"/>
        <v>-1.0220420741053005E-2</v>
      </c>
    </row>
    <row r="48" spans="1:8" x14ac:dyDescent="0.25">
      <c r="A48" s="46">
        <v>44628</v>
      </c>
      <c r="B48" s="14">
        <v>126.25050400000001</v>
      </c>
      <c r="C48" s="14">
        <v>131.24650600000001</v>
      </c>
      <c r="D48" s="14">
        <v>125.860748</v>
      </c>
      <c r="E48" s="14">
        <v>127.278503</v>
      </c>
      <c r="F48" s="14">
        <v>127.278503</v>
      </c>
      <c r="G48" s="14">
        <v>35250000</v>
      </c>
      <c r="H48" s="14">
        <f t="shared" si="0"/>
        <v>-4.3450358564975922E-3</v>
      </c>
    </row>
    <row r="49" spans="1:8" x14ac:dyDescent="0.25">
      <c r="A49" s="46">
        <v>44629</v>
      </c>
      <c r="B49" s="14">
        <v>131.39999399999999</v>
      </c>
      <c r="C49" s="14">
        <v>134.19850199999999</v>
      </c>
      <c r="D49" s="14">
        <v>130.087997</v>
      </c>
      <c r="E49" s="14">
        <v>133.86599699999999</v>
      </c>
      <c r="F49" s="14">
        <v>133.86599699999999</v>
      </c>
      <c r="G49" s="14">
        <v>32258000</v>
      </c>
      <c r="H49" s="14">
        <f t="shared" si="0"/>
        <v>3.3586714421878439E-2</v>
      </c>
    </row>
    <row r="50" spans="1:8" x14ac:dyDescent="0.25">
      <c r="A50" s="46">
        <v>44630</v>
      </c>
      <c r="B50" s="14">
        <v>131.46249399999999</v>
      </c>
      <c r="C50" s="14">
        <v>133.538498</v>
      </c>
      <c r="D50" s="14">
        <v>131.40100100000001</v>
      </c>
      <c r="E50" s="14">
        <v>132.682007</v>
      </c>
      <c r="F50" s="14">
        <v>132.682007</v>
      </c>
      <c r="G50" s="14">
        <v>24266000</v>
      </c>
      <c r="H50" s="14">
        <f t="shared" si="0"/>
        <v>1.009319868304237E-2</v>
      </c>
    </row>
    <row r="51" spans="1:8" x14ac:dyDescent="0.25">
      <c r="A51" s="46">
        <v>44631</v>
      </c>
      <c r="B51" s="14">
        <v>133.99949599999999</v>
      </c>
      <c r="C51" s="14">
        <v>134.199997</v>
      </c>
      <c r="D51" s="14">
        <v>130.296494</v>
      </c>
      <c r="E51" s="14">
        <v>130.475494</v>
      </c>
      <c r="F51" s="14">
        <v>130.475494</v>
      </c>
      <c r="G51" s="14">
        <v>26600000</v>
      </c>
      <c r="H51" s="14">
        <f t="shared" si="0"/>
        <v>-8.405620897819599E-3</v>
      </c>
    </row>
    <row r="52" spans="1:8" x14ac:dyDescent="0.25">
      <c r="A52" s="46">
        <v>44634</v>
      </c>
      <c r="B52" s="14">
        <v>130.57299800000001</v>
      </c>
      <c r="C52" s="14">
        <v>131.02600100000001</v>
      </c>
      <c r="D52" s="14">
        <v>126.41300200000001</v>
      </c>
      <c r="E52" s="14">
        <v>126.74099699999999</v>
      </c>
      <c r="F52" s="14">
        <v>126.74099699999999</v>
      </c>
      <c r="G52" s="14">
        <v>30254000</v>
      </c>
      <c r="H52" s="14">
        <f t="shared" si="0"/>
        <v>-9.9350127819504506E-3</v>
      </c>
    </row>
    <row r="53" spans="1:8" x14ac:dyDescent="0.25">
      <c r="A53" s="46">
        <v>44635</v>
      </c>
      <c r="B53" s="14">
        <v>127.741501</v>
      </c>
      <c r="C53" s="14">
        <v>130.51724200000001</v>
      </c>
      <c r="D53" s="14">
        <v>126.568001</v>
      </c>
      <c r="E53" s="14">
        <v>129.660507</v>
      </c>
      <c r="F53" s="14">
        <v>129.660507</v>
      </c>
      <c r="G53" s="14">
        <v>30292000</v>
      </c>
      <c r="H53" s="14">
        <f t="shared" si="0"/>
        <v>1.2261317866653076E-3</v>
      </c>
    </row>
    <row r="54" spans="1:8" x14ac:dyDescent="0.25">
      <c r="A54" s="46">
        <v>44636</v>
      </c>
      <c r="B54" s="14">
        <v>131</v>
      </c>
      <c r="C54" s="14">
        <v>133.770996</v>
      </c>
      <c r="D54" s="14">
        <v>129.20100400000001</v>
      </c>
      <c r="E54" s="14">
        <v>133.690506</v>
      </c>
      <c r="F54" s="14">
        <v>133.690506</v>
      </c>
      <c r="G54" s="14">
        <v>32058000</v>
      </c>
      <c r="H54" s="14">
        <f t="shared" si="0"/>
        <v>2.0803070121965694E-2</v>
      </c>
    </row>
    <row r="55" spans="1:8" x14ac:dyDescent="0.25">
      <c r="A55" s="46">
        <v>44637</v>
      </c>
      <c r="B55" s="14">
        <v>133.320999</v>
      </c>
      <c r="C55" s="14">
        <v>134.73950199999999</v>
      </c>
      <c r="D55" s="14">
        <v>132.71899400000001</v>
      </c>
      <c r="E55" s="14">
        <v>134.600494</v>
      </c>
      <c r="F55" s="14">
        <v>134.600494</v>
      </c>
      <c r="G55" s="14">
        <v>23994000</v>
      </c>
      <c r="H55" s="14">
        <f t="shared" si="0"/>
        <v>2.7228813175476541E-2</v>
      </c>
    </row>
    <row r="56" spans="1:8" x14ac:dyDescent="0.25">
      <c r="A56" s="46">
        <v>44638</v>
      </c>
      <c r="B56" s="14">
        <v>133.88400300000001</v>
      </c>
      <c r="C56" s="14">
        <v>136.913498</v>
      </c>
      <c r="D56" s="14">
        <v>132.932007</v>
      </c>
      <c r="E56" s="14">
        <v>136.80149800000001</v>
      </c>
      <c r="F56" s="14">
        <v>136.80149800000001</v>
      </c>
      <c r="G56" s="14">
        <v>45900000</v>
      </c>
      <c r="H56" s="14">
        <f t="shared" si="0"/>
        <v>1.6049925755163841E-3</v>
      </c>
    </row>
    <row r="57" spans="1:8" x14ac:dyDescent="0.25">
      <c r="A57" s="46">
        <v>44641</v>
      </c>
      <c r="B57" s="14">
        <v>136.84750399999999</v>
      </c>
      <c r="C57" s="14">
        <v>137.582504</v>
      </c>
      <c r="D57" s="14">
        <v>134.61149599999999</v>
      </c>
      <c r="E57" s="14">
        <v>136.4785</v>
      </c>
      <c r="F57" s="14">
        <v>136.4785</v>
      </c>
      <c r="G57" s="14">
        <v>26632000</v>
      </c>
      <c r="H57" s="14">
        <f t="shared" si="0"/>
        <v>4.2113985886533811E-3</v>
      </c>
    </row>
    <row r="58" spans="1:8" x14ac:dyDescent="0.25">
      <c r="A58" s="46">
        <v>44642</v>
      </c>
      <c r="B58" s="14">
        <v>136.5</v>
      </c>
      <c r="C58" s="14">
        <v>141.5</v>
      </c>
      <c r="D58" s="14">
        <v>136.5</v>
      </c>
      <c r="E58" s="14">
        <v>140.27749600000001</v>
      </c>
      <c r="F58" s="14">
        <v>140.27749600000001</v>
      </c>
      <c r="G58" s="14">
        <v>29776000</v>
      </c>
      <c r="H58" s="14">
        <f t="shared" si="0"/>
        <v>1.4029292119300152E-2</v>
      </c>
    </row>
    <row r="59" spans="1:8" x14ac:dyDescent="0.25">
      <c r="A59" s="46">
        <v>44643</v>
      </c>
      <c r="B59" s="14">
        <v>139.13850400000001</v>
      </c>
      <c r="C59" s="14">
        <v>140.02499399999999</v>
      </c>
      <c r="D59" s="14">
        <v>138.166504</v>
      </c>
      <c r="E59" s="14">
        <v>138.50349399999999</v>
      </c>
      <c r="F59" s="14">
        <v>138.50349399999999</v>
      </c>
      <c r="G59" s="14">
        <v>25302000</v>
      </c>
      <c r="H59" s="14">
        <f t="shared" si="0"/>
        <v>1.2208820512820573E-2</v>
      </c>
    </row>
    <row r="60" spans="1:8" x14ac:dyDescent="0.25">
      <c r="A60" s="46">
        <v>44644</v>
      </c>
      <c r="B60" s="14">
        <v>139.27250699999999</v>
      </c>
      <c r="C60" s="14">
        <v>141.3965</v>
      </c>
      <c r="D60" s="14">
        <v>138.03939800000001</v>
      </c>
      <c r="E60" s="14">
        <v>141.31199599999999</v>
      </c>
      <c r="F60" s="14">
        <v>141.31199599999999</v>
      </c>
      <c r="G60" s="14">
        <v>20544000</v>
      </c>
      <c r="H60" s="14">
        <f t="shared" si="0"/>
        <v>-9.199480070799515E-4</v>
      </c>
    </row>
    <row r="61" spans="1:8" x14ac:dyDescent="0.25">
      <c r="A61" s="46">
        <v>44645</v>
      </c>
      <c r="B61" s="14">
        <v>141.753998</v>
      </c>
      <c r="C61" s="14">
        <v>141.95950300000001</v>
      </c>
      <c r="D61" s="14">
        <v>139.69949299999999</v>
      </c>
      <c r="E61" s="14">
        <v>141.5215</v>
      </c>
      <c r="F61" s="14">
        <v>141.5215</v>
      </c>
      <c r="G61" s="14">
        <v>19270000</v>
      </c>
      <c r="H61" s="14">
        <f t="shared" si="0"/>
        <v>1.2026240508524744E-2</v>
      </c>
    </row>
    <row r="62" spans="1:8" x14ac:dyDescent="0.25">
      <c r="A62" s="46">
        <v>44648</v>
      </c>
      <c r="B62" s="14">
        <v>140.684494</v>
      </c>
      <c r="C62" s="14">
        <v>141.97650100000001</v>
      </c>
      <c r="D62" s="14">
        <v>139.82815600000001</v>
      </c>
      <c r="E62" s="14">
        <v>141.949997</v>
      </c>
      <c r="F62" s="14">
        <v>141.949997</v>
      </c>
      <c r="G62" s="14">
        <v>23774000</v>
      </c>
      <c r="H62" s="14">
        <f t="shared" si="0"/>
        <v>3.0699944391835804E-4</v>
      </c>
    </row>
    <row r="63" spans="1:8" x14ac:dyDescent="0.25">
      <c r="A63" s="46">
        <v>44649</v>
      </c>
      <c r="B63" s="14">
        <v>143.160507</v>
      </c>
      <c r="C63" s="14">
        <v>144.16250600000001</v>
      </c>
      <c r="D63" s="14">
        <v>142.483994</v>
      </c>
      <c r="E63" s="14">
        <v>143.25</v>
      </c>
      <c r="F63" s="14">
        <v>143.25</v>
      </c>
      <c r="G63" s="14">
        <v>28678000</v>
      </c>
      <c r="H63" s="14">
        <f t="shared" si="0"/>
        <v>1.8993585240443256E-2</v>
      </c>
    </row>
    <row r="64" spans="1:8" x14ac:dyDescent="0.25">
      <c r="A64" s="46">
        <v>44650</v>
      </c>
      <c r="B64" s="14">
        <v>142.86999499999999</v>
      </c>
      <c r="C64" s="14">
        <v>143.48049900000001</v>
      </c>
      <c r="D64" s="14">
        <v>142.16799900000001</v>
      </c>
      <c r="E64" s="14">
        <v>142.64450099999999</v>
      </c>
      <c r="F64" s="14">
        <v>142.64450099999999</v>
      </c>
      <c r="G64" s="14">
        <v>21046000</v>
      </c>
      <c r="H64" s="14">
        <f t="shared" si="0"/>
        <v>-2.2177578767197392E-3</v>
      </c>
    </row>
    <row r="65" spans="1:8" x14ac:dyDescent="0.25">
      <c r="A65" s="46">
        <v>44651</v>
      </c>
      <c r="B65" s="14">
        <v>142.44850199999999</v>
      </c>
      <c r="C65" s="14">
        <v>142.64450099999999</v>
      </c>
      <c r="D65" s="14">
        <v>139.61900299999999</v>
      </c>
      <c r="E65" s="14">
        <v>139.649506</v>
      </c>
      <c r="F65" s="14">
        <v>139.649506</v>
      </c>
      <c r="G65" s="14">
        <v>29516000</v>
      </c>
      <c r="H65" s="14">
        <f t="shared" si="0"/>
        <v>-1.7929463859162942E-2</v>
      </c>
    </row>
    <row r="66" spans="1:8" x14ac:dyDescent="0.25">
      <c r="A66" s="46">
        <v>44652</v>
      </c>
      <c r="B66" s="14">
        <v>140.009995</v>
      </c>
      <c r="C66" s="14">
        <v>140.949997</v>
      </c>
      <c r="D66" s="14">
        <v>138.796997</v>
      </c>
      <c r="E66" s="14">
        <v>140.699997</v>
      </c>
      <c r="F66" s="14">
        <v>140.699997</v>
      </c>
      <c r="G66" s="14">
        <v>23480000</v>
      </c>
      <c r="H66" s="14">
        <f t="shared" si="0"/>
        <v>-5.8874936959690816E-3</v>
      </c>
    </row>
    <row r="67" spans="1:8" x14ac:dyDescent="0.25">
      <c r="A67" s="46">
        <v>44655</v>
      </c>
      <c r="B67" s="14">
        <v>140.82449299999999</v>
      </c>
      <c r="C67" s="14">
        <v>144.043747</v>
      </c>
      <c r="D67" s="14">
        <v>140.82449299999999</v>
      </c>
      <c r="E67" s="14">
        <v>143.64250200000001</v>
      </c>
      <c r="F67" s="14">
        <v>143.64250200000001</v>
      </c>
      <c r="G67" s="14">
        <v>19076000</v>
      </c>
      <c r="H67" s="14">
        <f t="shared" si="0"/>
        <v>4.8692119758181702E-3</v>
      </c>
    </row>
    <row r="68" spans="1:8" x14ac:dyDescent="0.25">
      <c r="A68" s="46">
        <v>44656</v>
      </c>
      <c r="B68" s="14">
        <v>143.399506</v>
      </c>
      <c r="C68" s="14">
        <v>143.58999600000001</v>
      </c>
      <c r="D68" s="14">
        <v>140.94349700000001</v>
      </c>
      <c r="E68" s="14">
        <v>141.06300400000001</v>
      </c>
      <c r="F68" s="14">
        <v>141.06300400000001</v>
      </c>
      <c r="G68" s="14">
        <v>19256000</v>
      </c>
      <c r="H68" s="14">
        <f t="shared" ref="H68:H131" si="1">(D68/D67-1)/(A68-A67)</f>
        <v>8.4505186182370906E-4</v>
      </c>
    </row>
    <row r="69" spans="1:8" x14ac:dyDescent="0.25">
      <c r="A69" s="46">
        <v>44657</v>
      </c>
      <c r="B69" s="14">
        <v>139.16149899999999</v>
      </c>
      <c r="C69" s="14">
        <v>139.84849500000001</v>
      </c>
      <c r="D69" s="14">
        <v>136.41810599999999</v>
      </c>
      <c r="E69" s="14">
        <v>137.175995</v>
      </c>
      <c r="F69" s="14">
        <v>137.175995</v>
      </c>
      <c r="G69" s="14">
        <v>23574000</v>
      </c>
      <c r="H69" s="14">
        <f t="shared" si="1"/>
        <v>-3.2107838221156149E-2</v>
      </c>
    </row>
    <row r="70" spans="1:8" x14ac:dyDescent="0.25">
      <c r="A70" s="46">
        <v>44658</v>
      </c>
      <c r="B70" s="14">
        <v>136.61799600000001</v>
      </c>
      <c r="C70" s="14">
        <v>137.70150799999999</v>
      </c>
      <c r="D70" s="14">
        <v>134.85725400000001</v>
      </c>
      <c r="E70" s="14">
        <v>136.46499600000001</v>
      </c>
      <c r="F70" s="14">
        <v>136.46499600000001</v>
      </c>
      <c r="G70" s="14">
        <v>19448000</v>
      </c>
      <c r="H70" s="14">
        <f t="shared" si="1"/>
        <v>-1.1441677690496421E-2</v>
      </c>
    </row>
    <row r="71" spans="1:8" x14ac:dyDescent="0.25">
      <c r="A71" s="46">
        <v>44659</v>
      </c>
      <c r="B71" s="14">
        <v>136.25</v>
      </c>
      <c r="C71" s="14">
        <v>136.25</v>
      </c>
      <c r="D71" s="14">
        <v>133.75250199999999</v>
      </c>
      <c r="E71" s="14">
        <v>134.01049800000001</v>
      </c>
      <c r="F71" s="14">
        <v>134.01049800000001</v>
      </c>
      <c r="G71" s="14">
        <v>16434000</v>
      </c>
      <c r="H71" s="14">
        <f t="shared" si="1"/>
        <v>-8.1920101976866722E-3</v>
      </c>
    </row>
    <row r="72" spans="1:8" x14ac:dyDescent="0.25">
      <c r="A72" s="46">
        <v>44662</v>
      </c>
      <c r="B72" s="14">
        <v>132.89999399999999</v>
      </c>
      <c r="C72" s="14">
        <v>132.93919399999999</v>
      </c>
      <c r="D72" s="14">
        <v>129.617493</v>
      </c>
      <c r="E72" s="14">
        <v>129.796494</v>
      </c>
      <c r="F72" s="14">
        <v>129.796494</v>
      </c>
      <c r="G72" s="14">
        <v>24188000</v>
      </c>
      <c r="H72" s="14">
        <f t="shared" si="1"/>
        <v>-1.030512560679675E-2</v>
      </c>
    </row>
    <row r="73" spans="1:8" x14ac:dyDescent="0.25">
      <c r="A73" s="46">
        <v>44663</v>
      </c>
      <c r="B73" s="14">
        <v>132.42349200000001</v>
      </c>
      <c r="C73" s="14">
        <v>132.42349200000001</v>
      </c>
      <c r="D73" s="14">
        <v>127.575996</v>
      </c>
      <c r="E73" s="14">
        <v>128.37449599999999</v>
      </c>
      <c r="F73" s="14">
        <v>128.37449599999999</v>
      </c>
      <c r="G73" s="14">
        <v>23004000</v>
      </c>
      <c r="H73" s="14">
        <f t="shared" si="1"/>
        <v>-1.5750165758876333E-2</v>
      </c>
    </row>
    <row r="74" spans="1:8" x14ac:dyDescent="0.25">
      <c r="A74" s="46">
        <v>44664</v>
      </c>
      <c r="B74" s="14">
        <v>128.62649500000001</v>
      </c>
      <c r="C74" s="14">
        <v>130.65574599999999</v>
      </c>
      <c r="D74" s="14">
        <v>128.43859900000001</v>
      </c>
      <c r="E74" s="14">
        <v>130.28599500000001</v>
      </c>
      <c r="F74" s="14">
        <v>130.28599500000001</v>
      </c>
      <c r="G74" s="14">
        <v>19542000</v>
      </c>
      <c r="H74" s="14">
        <f t="shared" si="1"/>
        <v>6.7614835630991355E-3</v>
      </c>
    </row>
    <row r="75" spans="1:8" x14ac:dyDescent="0.25">
      <c r="A75" s="46">
        <v>44665</v>
      </c>
      <c r="B75" s="14">
        <v>130.649506</v>
      </c>
      <c r="C75" s="14">
        <v>130.710251</v>
      </c>
      <c r="D75" s="14">
        <v>127.111504</v>
      </c>
      <c r="E75" s="14">
        <v>127.25299800000001</v>
      </c>
      <c r="F75" s="14">
        <v>127.25299800000001</v>
      </c>
      <c r="G75" s="14">
        <v>23484000</v>
      </c>
      <c r="H75" s="14">
        <f t="shared" si="1"/>
        <v>-1.0332524726464953E-2</v>
      </c>
    </row>
    <row r="76" spans="1:8" x14ac:dyDescent="0.25">
      <c r="A76" s="46">
        <v>44669</v>
      </c>
      <c r="B76" s="14">
        <v>127.410004</v>
      </c>
      <c r="C76" s="14">
        <v>128.712006</v>
      </c>
      <c r="D76" s="14">
        <v>126.578453</v>
      </c>
      <c r="E76" s="14">
        <v>127.960999</v>
      </c>
      <c r="F76" s="14">
        <v>127.960999</v>
      </c>
      <c r="G76" s="14">
        <v>14918000</v>
      </c>
      <c r="H76" s="14">
        <f t="shared" si="1"/>
        <v>-1.0483925200035493E-3</v>
      </c>
    </row>
    <row r="77" spans="1:8" x14ac:dyDescent="0.25">
      <c r="A77" s="46">
        <v>44670</v>
      </c>
      <c r="B77" s="14">
        <v>128.07699600000001</v>
      </c>
      <c r="C77" s="14">
        <v>130.90374800000001</v>
      </c>
      <c r="D77" s="14">
        <v>127.4515</v>
      </c>
      <c r="E77" s="14">
        <v>130.53100599999999</v>
      </c>
      <c r="F77" s="14">
        <v>130.53100599999999</v>
      </c>
      <c r="G77" s="14">
        <v>22720000</v>
      </c>
      <c r="H77" s="14">
        <f t="shared" si="1"/>
        <v>6.8972797447603984E-3</v>
      </c>
    </row>
    <row r="78" spans="1:8" x14ac:dyDescent="0.25">
      <c r="A78" s="46">
        <v>44671</v>
      </c>
      <c r="B78" s="14">
        <v>131.283997</v>
      </c>
      <c r="C78" s="14">
        <v>131.92349200000001</v>
      </c>
      <c r="D78" s="14">
        <v>127.894051</v>
      </c>
      <c r="E78" s="14">
        <v>128.245499</v>
      </c>
      <c r="F78" s="14">
        <v>128.245499</v>
      </c>
      <c r="G78" s="14">
        <v>22610000</v>
      </c>
      <c r="H78" s="14">
        <f t="shared" si="1"/>
        <v>3.4723090744324114E-3</v>
      </c>
    </row>
    <row r="79" spans="1:8" x14ac:dyDescent="0.25">
      <c r="A79" s="46">
        <v>44672</v>
      </c>
      <c r="B79" s="14">
        <v>129.35000600000001</v>
      </c>
      <c r="C79" s="14">
        <v>130.30749499999999</v>
      </c>
      <c r="D79" s="14">
        <v>124.650002</v>
      </c>
      <c r="E79" s="14">
        <v>124.9375</v>
      </c>
      <c r="F79" s="14">
        <v>124.9375</v>
      </c>
      <c r="G79" s="14">
        <v>30158000</v>
      </c>
      <c r="H79" s="14">
        <f t="shared" si="1"/>
        <v>-2.5365128202874732E-2</v>
      </c>
    </row>
    <row r="80" spans="1:8" x14ac:dyDescent="0.25">
      <c r="A80" s="46">
        <v>44673</v>
      </c>
      <c r="B80" s="14">
        <v>125</v>
      </c>
      <c r="C80" s="14">
        <v>125.452003</v>
      </c>
      <c r="D80" s="14">
        <v>119.140503</v>
      </c>
      <c r="E80" s="14">
        <v>119.613998</v>
      </c>
      <c r="F80" s="14">
        <v>119.613998</v>
      </c>
      <c r="G80" s="14">
        <v>46410000</v>
      </c>
      <c r="H80" s="14">
        <f t="shared" si="1"/>
        <v>-4.4199750594468568E-2</v>
      </c>
    </row>
    <row r="81" spans="1:8" x14ac:dyDescent="0.25">
      <c r="A81" s="46">
        <v>44676</v>
      </c>
      <c r="B81" s="14">
        <v>119.429497</v>
      </c>
      <c r="C81" s="14">
        <v>123.27800000000001</v>
      </c>
      <c r="D81" s="14">
        <v>118.769249</v>
      </c>
      <c r="E81" s="14">
        <v>123.25</v>
      </c>
      <c r="F81" s="14">
        <v>123.25</v>
      </c>
      <c r="G81" s="14">
        <v>34522000</v>
      </c>
      <c r="H81" s="14">
        <f t="shared" si="1"/>
        <v>-1.0387007794765795E-3</v>
      </c>
    </row>
    <row r="82" spans="1:8" x14ac:dyDescent="0.25">
      <c r="A82" s="46">
        <v>44677</v>
      </c>
      <c r="B82" s="14">
        <v>122.75</v>
      </c>
      <c r="C82" s="14">
        <v>122.75</v>
      </c>
      <c r="D82" s="14">
        <v>119.16185</v>
      </c>
      <c r="E82" s="14">
        <v>119.50599699999999</v>
      </c>
      <c r="F82" s="14">
        <v>119.50599699999999</v>
      </c>
      <c r="G82" s="14">
        <v>49394000</v>
      </c>
      <c r="H82" s="14">
        <f t="shared" si="1"/>
        <v>3.3055778604780262E-3</v>
      </c>
    </row>
    <row r="83" spans="1:8" x14ac:dyDescent="0.25">
      <c r="A83" s="46">
        <v>44678</v>
      </c>
      <c r="B83" s="14">
        <v>114.373001</v>
      </c>
      <c r="C83" s="14">
        <v>117.5</v>
      </c>
      <c r="D83" s="14">
        <v>113.124252</v>
      </c>
      <c r="E83" s="14">
        <v>115.0205</v>
      </c>
      <c r="F83" s="14">
        <v>115.0205</v>
      </c>
      <c r="G83" s="14">
        <v>62238000</v>
      </c>
      <c r="H83" s="14">
        <f t="shared" si="1"/>
        <v>-5.0667205989165187E-2</v>
      </c>
    </row>
    <row r="84" spans="1:8" x14ac:dyDescent="0.25">
      <c r="A84" s="46">
        <v>44679</v>
      </c>
      <c r="B84" s="14">
        <v>117.114998</v>
      </c>
      <c r="C84" s="14">
        <v>120.43849899999999</v>
      </c>
      <c r="D84" s="14">
        <v>115.14389799999999</v>
      </c>
      <c r="E84" s="14">
        <v>119.41149900000001</v>
      </c>
      <c r="F84" s="14">
        <v>119.41149900000001</v>
      </c>
      <c r="G84" s="14">
        <v>36790000</v>
      </c>
      <c r="H84" s="14">
        <f t="shared" si="1"/>
        <v>1.7853342358453705E-2</v>
      </c>
    </row>
    <row r="85" spans="1:8" x14ac:dyDescent="0.25">
      <c r="A85" s="46">
        <v>44680</v>
      </c>
      <c r="B85" s="14">
        <v>117.578003</v>
      </c>
      <c r="C85" s="14">
        <v>118.959999</v>
      </c>
      <c r="D85" s="14">
        <v>114.694</v>
      </c>
      <c r="E85" s="14">
        <v>114.966499</v>
      </c>
      <c r="F85" s="14">
        <v>114.966499</v>
      </c>
      <c r="G85" s="14">
        <v>33694000</v>
      </c>
      <c r="H85" s="14">
        <f t="shared" si="1"/>
        <v>-3.907267408994497E-3</v>
      </c>
    </row>
    <row r="86" spans="1:8" x14ac:dyDescent="0.25">
      <c r="A86" s="46">
        <v>44683</v>
      </c>
      <c r="B86" s="14">
        <v>113.906502</v>
      </c>
      <c r="C86" s="14">
        <v>117.3395</v>
      </c>
      <c r="D86" s="14">
        <v>113.39949799999999</v>
      </c>
      <c r="E86" s="14">
        <v>117.156998</v>
      </c>
      <c r="F86" s="14">
        <v>117.156998</v>
      </c>
      <c r="G86" s="14">
        <v>30280000</v>
      </c>
      <c r="H86" s="14">
        <f t="shared" si="1"/>
        <v>-3.7621904081004041E-3</v>
      </c>
    </row>
    <row r="87" spans="1:8" x14ac:dyDescent="0.25">
      <c r="A87" s="46">
        <v>44684</v>
      </c>
      <c r="B87" s="14">
        <v>116.764999</v>
      </c>
      <c r="C87" s="14">
        <v>119.300003</v>
      </c>
      <c r="D87" s="14">
        <v>116.626999</v>
      </c>
      <c r="E87" s="14">
        <v>118.129501</v>
      </c>
      <c r="F87" s="14">
        <v>118.129501</v>
      </c>
      <c r="G87" s="14">
        <v>21216000</v>
      </c>
      <c r="H87" s="14">
        <f t="shared" si="1"/>
        <v>2.8461334105729597E-2</v>
      </c>
    </row>
    <row r="88" spans="1:8" x14ac:dyDescent="0.25">
      <c r="A88" s="46">
        <v>44685</v>
      </c>
      <c r="B88" s="14">
        <v>118.003502</v>
      </c>
      <c r="C88" s="14">
        <v>123.14299800000001</v>
      </c>
      <c r="D88" s="14">
        <v>115.73850299999999</v>
      </c>
      <c r="E88" s="14">
        <v>122.574997</v>
      </c>
      <c r="F88" s="14">
        <v>122.574997</v>
      </c>
      <c r="G88" s="14">
        <v>33232000</v>
      </c>
      <c r="H88" s="14">
        <f t="shared" si="1"/>
        <v>-7.6182702771937505E-3</v>
      </c>
    </row>
    <row r="89" spans="1:8" x14ac:dyDescent="0.25">
      <c r="A89" s="46">
        <v>44686</v>
      </c>
      <c r="B89" s="14">
        <v>120.22049699999999</v>
      </c>
      <c r="C89" s="14">
        <v>121.233253</v>
      </c>
      <c r="D89" s="14">
        <v>115.182503</v>
      </c>
      <c r="E89" s="14">
        <v>116.746498</v>
      </c>
      <c r="F89" s="14">
        <v>116.746498</v>
      </c>
      <c r="G89" s="14">
        <v>43090000</v>
      </c>
      <c r="H89" s="14">
        <f t="shared" si="1"/>
        <v>-4.8039328796225522E-3</v>
      </c>
    </row>
    <row r="90" spans="1:8" x14ac:dyDescent="0.25">
      <c r="A90" s="46">
        <v>44687</v>
      </c>
      <c r="B90" s="14">
        <v>115.518997</v>
      </c>
      <c r="C90" s="14">
        <v>117.498497</v>
      </c>
      <c r="D90" s="14">
        <v>114.14299800000001</v>
      </c>
      <c r="E90" s="14">
        <v>115.660004</v>
      </c>
      <c r="F90" s="14">
        <v>115.660004</v>
      </c>
      <c r="G90" s="14">
        <v>35310000</v>
      </c>
      <c r="H90" s="14">
        <f t="shared" si="1"/>
        <v>-9.0248516304598514E-3</v>
      </c>
    </row>
    <row r="91" spans="1:8" x14ac:dyDescent="0.25">
      <c r="A91" s="46">
        <v>44690</v>
      </c>
      <c r="B91" s="14">
        <v>113.30349699999999</v>
      </c>
      <c r="C91" s="14">
        <v>115.56289700000001</v>
      </c>
      <c r="D91" s="14">
        <v>112.551498</v>
      </c>
      <c r="E91" s="14">
        <v>113.084</v>
      </c>
      <c r="F91" s="14">
        <v>113.084</v>
      </c>
      <c r="G91" s="14">
        <v>34520000</v>
      </c>
      <c r="H91" s="14">
        <f t="shared" si="1"/>
        <v>-4.6476788703237277E-3</v>
      </c>
    </row>
    <row r="92" spans="1:8" x14ac:dyDescent="0.25">
      <c r="A92" s="46">
        <v>44691</v>
      </c>
      <c r="B92" s="14">
        <v>116.040497</v>
      </c>
      <c r="C92" s="14">
        <v>116.691002</v>
      </c>
      <c r="D92" s="14">
        <v>113.383301</v>
      </c>
      <c r="E92" s="14">
        <v>114.584503</v>
      </c>
      <c r="F92" s="14">
        <v>114.584503</v>
      </c>
      <c r="G92" s="14">
        <v>31158000</v>
      </c>
      <c r="H92" s="14">
        <f t="shared" si="1"/>
        <v>7.3904214051421224E-3</v>
      </c>
    </row>
    <row r="93" spans="1:8" x14ac:dyDescent="0.25">
      <c r="A93" s="46">
        <v>44692</v>
      </c>
      <c r="B93" s="14">
        <v>113.710503</v>
      </c>
      <c r="C93" s="14">
        <v>116.670998</v>
      </c>
      <c r="D93" s="14">
        <v>113.650002</v>
      </c>
      <c r="E93" s="14">
        <v>113.960999</v>
      </c>
      <c r="F93" s="14">
        <v>113.960999</v>
      </c>
      <c r="G93" s="14">
        <v>36502000</v>
      </c>
      <c r="H93" s="14">
        <f t="shared" si="1"/>
        <v>2.3522070503132486E-3</v>
      </c>
    </row>
    <row r="94" spans="1:8" x14ac:dyDescent="0.25">
      <c r="A94" s="46">
        <v>44693</v>
      </c>
      <c r="B94" s="14">
        <v>111.93800400000001</v>
      </c>
      <c r="C94" s="14">
        <v>114.856499</v>
      </c>
      <c r="D94" s="14">
        <v>110.11350299999999</v>
      </c>
      <c r="E94" s="14">
        <v>113.16100299999999</v>
      </c>
      <c r="F94" s="14">
        <v>113.16100299999999</v>
      </c>
      <c r="G94" s="14">
        <v>41464000</v>
      </c>
      <c r="H94" s="14">
        <f t="shared" si="1"/>
        <v>-3.1117456557545942E-2</v>
      </c>
    </row>
    <row r="95" spans="1:8" x14ac:dyDescent="0.25">
      <c r="A95" s="46">
        <v>44694</v>
      </c>
      <c r="B95" s="14">
        <v>114.84549699999999</v>
      </c>
      <c r="C95" s="14">
        <v>118.084999</v>
      </c>
      <c r="D95" s="14">
        <v>114</v>
      </c>
      <c r="E95" s="14">
        <v>116.515503</v>
      </c>
      <c r="F95" s="14">
        <v>116.515503</v>
      </c>
      <c r="G95" s="14">
        <v>29738000</v>
      </c>
      <c r="H95" s="14">
        <f t="shared" si="1"/>
        <v>3.5295371540400522E-2</v>
      </c>
    </row>
    <row r="96" spans="1:8" x14ac:dyDescent="0.25">
      <c r="A96" s="46">
        <v>44697</v>
      </c>
      <c r="B96" s="14">
        <v>115.38400300000001</v>
      </c>
      <c r="C96" s="14">
        <v>116.60749800000001</v>
      </c>
      <c r="D96" s="14">
        <v>114.334999</v>
      </c>
      <c r="E96" s="14">
        <v>114.792503</v>
      </c>
      <c r="F96" s="14">
        <v>114.792503</v>
      </c>
      <c r="G96" s="14">
        <v>23282000</v>
      </c>
      <c r="H96" s="14">
        <f t="shared" si="1"/>
        <v>9.7952923976607487E-4</v>
      </c>
    </row>
    <row r="97" spans="1:8" x14ac:dyDescent="0.25">
      <c r="A97" s="46">
        <v>44698</v>
      </c>
      <c r="B97" s="14">
        <v>117.227501</v>
      </c>
      <c r="C97" s="14">
        <v>117.227501</v>
      </c>
      <c r="D97" s="14">
        <v>115.337502</v>
      </c>
      <c r="E97" s="14">
        <v>116.7015</v>
      </c>
      <c r="F97" s="14">
        <v>116.7015</v>
      </c>
      <c r="G97" s="14">
        <v>21576000</v>
      </c>
      <c r="H97" s="14">
        <f t="shared" si="1"/>
        <v>8.7681200749387678E-3</v>
      </c>
    </row>
    <row r="98" spans="1:8" x14ac:dyDescent="0.25">
      <c r="A98" s="46">
        <v>44699</v>
      </c>
      <c r="B98" s="14">
        <v>115.237503</v>
      </c>
      <c r="C98" s="14">
        <v>115.69564800000001</v>
      </c>
      <c r="D98" s="14">
        <v>112.141998</v>
      </c>
      <c r="E98" s="14">
        <v>112.40100099999999</v>
      </c>
      <c r="F98" s="14">
        <v>112.40100099999999</v>
      </c>
      <c r="G98" s="14">
        <v>27982000</v>
      </c>
      <c r="H98" s="14">
        <f t="shared" si="1"/>
        <v>-2.770568067270951E-2</v>
      </c>
    </row>
    <row r="99" spans="1:8" x14ac:dyDescent="0.25">
      <c r="A99" s="46">
        <v>44700</v>
      </c>
      <c r="B99" s="14">
        <v>111.841003</v>
      </c>
      <c r="C99" s="14">
        <v>113.587502</v>
      </c>
      <c r="D99" s="14">
        <v>110.468002</v>
      </c>
      <c r="E99" s="14">
        <v>110.745499</v>
      </c>
      <c r="F99" s="14">
        <v>110.745499</v>
      </c>
      <c r="G99" s="14">
        <v>29192000</v>
      </c>
      <c r="H99" s="14">
        <f t="shared" si="1"/>
        <v>-1.4927467227755287E-2</v>
      </c>
    </row>
    <row r="100" spans="1:8" x14ac:dyDescent="0.25">
      <c r="A100" s="46">
        <v>44701</v>
      </c>
      <c r="B100" s="14">
        <v>112.085503</v>
      </c>
      <c r="C100" s="14">
        <v>112.550003</v>
      </c>
      <c r="D100" s="14">
        <v>106.373001</v>
      </c>
      <c r="E100" s="14">
        <v>109.31300400000001</v>
      </c>
      <c r="F100" s="14">
        <v>109.31300400000001</v>
      </c>
      <c r="G100" s="14">
        <v>37586000</v>
      </c>
      <c r="H100" s="14">
        <f t="shared" si="1"/>
        <v>-3.7069566986465463E-2</v>
      </c>
    </row>
    <row r="101" spans="1:8" x14ac:dyDescent="0.25">
      <c r="A101" s="46">
        <v>44704</v>
      </c>
      <c r="B101" s="14">
        <v>110.103996</v>
      </c>
      <c r="C101" s="14">
        <v>112.005501</v>
      </c>
      <c r="D101" s="14">
        <v>109.154251</v>
      </c>
      <c r="E101" s="14">
        <v>111.666496</v>
      </c>
      <c r="F101" s="14">
        <v>111.666496</v>
      </c>
      <c r="G101" s="14">
        <v>31558000</v>
      </c>
      <c r="H101" s="14">
        <f t="shared" si="1"/>
        <v>8.7154007559994504E-3</v>
      </c>
    </row>
    <row r="102" spans="1:8" x14ac:dyDescent="0.25">
      <c r="A102" s="46">
        <v>44705</v>
      </c>
      <c r="B102" s="14">
        <v>106.37750200000001</v>
      </c>
      <c r="C102" s="14">
        <v>106.394997</v>
      </c>
      <c r="D102" s="14">
        <v>102.208</v>
      </c>
      <c r="E102" s="14">
        <v>105.92600299999999</v>
      </c>
      <c r="F102" s="14">
        <v>105.92600299999999</v>
      </c>
      <c r="G102" s="14">
        <v>60386000</v>
      </c>
      <c r="H102" s="14">
        <f t="shared" si="1"/>
        <v>-6.3637017673274121E-2</v>
      </c>
    </row>
    <row r="103" spans="1:8" x14ac:dyDescent="0.25">
      <c r="A103" s="46">
        <v>44706</v>
      </c>
      <c r="B103" s="14">
        <v>105.141998</v>
      </c>
      <c r="C103" s="14">
        <v>106.544701</v>
      </c>
      <c r="D103" s="14">
        <v>104.21125000000001</v>
      </c>
      <c r="E103" s="14">
        <v>105.8395</v>
      </c>
      <c r="F103" s="14">
        <v>105.8395</v>
      </c>
      <c r="G103" s="14">
        <v>37900000</v>
      </c>
      <c r="H103" s="14">
        <f t="shared" si="1"/>
        <v>1.9599737789605554E-2</v>
      </c>
    </row>
    <row r="104" spans="1:8" x14ac:dyDescent="0.25">
      <c r="A104" s="46">
        <v>44707</v>
      </c>
      <c r="B104" s="14">
        <v>106.050499</v>
      </c>
      <c r="C104" s="14">
        <v>108.955254</v>
      </c>
      <c r="D104" s="14">
        <v>105.487999</v>
      </c>
      <c r="E104" s="14">
        <v>108.295998</v>
      </c>
      <c r="F104" s="14">
        <v>108.295998</v>
      </c>
      <c r="G104" s="14">
        <v>30288000</v>
      </c>
      <c r="H104" s="14">
        <f t="shared" si="1"/>
        <v>1.2251546737996E-2</v>
      </c>
    </row>
    <row r="105" spans="1:8" x14ac:dyDescent="0.25">
      <c r="A105" s="46">
        <v>44708</v>
      </c>
      <c r="B105" s="14">
        <v>109.788498</v>
      </c>
      <c r="C105" s="14">
        <v>112.86799600000001</v>
      </c>
      <c r="D105" s="14">
        <v>109.550003</v>
      </c>
      <c r="E105" s="14">
        <v>112.799004</v>
      </c>
      <c r="F105" s="14">
        <v>112.799004</v>
      </c>
      <c r="G105" s="14">
        <v>29924000</v>
      </c>
      <c r="H105" s="14">
        <f t="shared" si="1"/>
        <v>3.8506787866930736E-2</v>
      </c>
    </row>
    <row r="106" spans="1:8" x14ac:dyDescent="0.25">
      <c r="A106" s="46">
        <v>44712</v>
      </c>
      <c r="B106" s="14">
        <v>113.079002</v>
      </c>
      <c r="C106" s="14">
        <v>116.433502</v>
      </c>
      <c r="D106" s="14">
        <v>112.572502</v>
      </c>
      <c r="E106" s="14">
        <v>114.039001</v>
      </c>
      <c r="F106" s="14">
        <v>114.039001</v>
      </c>
      <c r="G106" s="14">
        <v>51302000</v>
      </c>
      <c r="H106" s="14">
        <f t="shared" si="1"/>
        <v>6.8975329010260156E-3</v>
      </c>
    </row>
    <row r="107" spans="1:8" x14ac:dyDescent="0.25">
      <c r="A107" s="46">
        <v>44713</v>
      </c>
      <c r="B107" s="14">
        <v>114.93150300000001</v>
      </c>
      <c r="C107" s="14">
        <v>117.399002</v>
      </c>
      <c r="D107" s="14">
        <v>113.550499</v>
      </c>
      <c r="E107" s="14">
        <v>114.137001</v>
      </c>
      <c r="F107" s="14">
        <v>114.137001</v>
      </c>
      <c r="G107" s="14">
        <v>28630000</v>
      </c>
      <c r="H107" s="14">
        <f t="shared" si="1"/>
        <v>8.6877077672129488E-3</v>
      </c>
    </row>
    <row r="108" spans="1:8" x14ac:dyDescent="0.25">
      <c r="A108" s="46">
        <v>44714</v>
      </c>
      <c r="B108" s="14">
        <v>114.18800400000001</v>
      </c>
      <c r="C108" s="14">
        <v>117.898003</v>
      </c>
      <c r="D108" s="14">
        <v>113.307999</v>
      </c>
      <c r="E108" s="14">
        <v>117.746002</v>
      </c>
      <c r="F108" s="14">
        <v>117.746002</v>
      </c>
      <c r="G108" s="14">
        <v>27472000</v>
      </c>
      <c r="H108" s="14">
        <f t="shared" si="1"/>
        <v>-2.1356136884964627E-3</v>
      </c>
    </row>
    <row r="109" spans="1:8" x14ac:dyDescent="0.25">
      <c r="A109" s="46">
        <v>44715</v>
      </c>
      <c r="B109" s="14">
        <v>115.99250000000001</v>
      </c>
      <c r="C109" s="14">
        <v>116.364502</v>
      </c>
      <c r="D109" s="14">
        <v>113.66799899999999</v>
      </c>
      <c r="E109" s="14">
        <v>114.564003</v>
      </c>
      <c r="F109" s="14">
        <v>114.564003</v>
      </c>
      <c r="G109" s="14">
        <v>25052000</v>
      </c>
      <c r="H109" s="14">
        <f t="shared" si="1"/>
        <v>3.1771808096265897E-3</v>
      </c>
    </row>
    <row r="110" spans="1:8" x14ac:dyDescent="0.25">
      <c r="A110" s="46">
        <v>44718</v>
      </c>
      <c r="B110" s="14">
        <v>116.74250000000001</v>
      </c>
      <c r="C110" s="14">
        <v>119.398499</v>
      </c>
      <c r="D110" s="14">
        <v>116.52829699999999</v>
      </c>
      <c r="E110" s="14">
        <v>117.010498</v>
      </c>
      <c r="F110" s="14">
        <v>117.010498</v>
      </c>
      <c r="G110" s="14">
        <v>23786000</v>
      </c>
      <c r="H110" s="14">
        <f t="shared" si="1"/>
        <v>8.3878723568158176E-3</v>
      </c>
    </row>
    <row r="111" spans="1:8" x14ac:dyDescent="0.25">
      <c r="A111" s="46">
        <v>44719</v>
      </c>
      <c r="B111" s="14">
        <v>115.648003</v>
      </c>
      <c r="C111" s="14">
        <v>117.74865</v>
      </c>
      <c r="D111" s="14">
        <v>115.12550400000001</v>
      </c>
      <c r="E111" s="14">
        <v>117.2295</v>
      </c>
      <c r="F111" s="14">
        <v>117.2295</v>
      </c>
      <c r="G111" s="14">
        <v>26414000</v>
      </c>
      <c r="H111" s="14">
        <f t="shared" si="1"/>
        <v>-1.2038217635669923E-2</v>
      </c>
    </row>
    <row r="112" spans="1:8" x14ac:dyDescent="0.25">
      <c r="A112" s="46">
        <v>44720</v>
      </c>
      <c r="B112" s="14">
        <v>116.876503</v>
      </c>
      <c r="C112" s="14">
        <v>118.646004</v>
      </c>
      <c r="D112" s="14">
        <v>116.696747</v>
      </c>
      <c r="E112" s="14">
        <v>117.237999</v>
      </c>
      <c r="F112" s="14">
        <v>117.237999</v>
      </c>
      <c r="G112" s="14">
        <v>22544000</v>
      </c>
      <c r="H112" s="14">
        <f t="shared" si="1"/>
        <v>1.3648087916297014E-2</v>
      </c>
    </row>
    <row r="113" spans="1:8" x14ac:dyDescent="0.25">
      <c r="A113" s="46">
        <v>44721</v>
      </c>
      <c r="B113" s="14">
        <v>116.341499</v>
      </c>
      <c r="C113" s="14">
        <v>118.349998</v>
      </c>
      <c r="D113" s="14">
        <v>114.866997</v>
      </c>
      <c r="E113" s="14">
        <v>114.91799899999999</v>
      </c>
      <c r="F113" s="14">
        <v>114.91799899999999</v>
      </c>
      <c r="G113" s="14">
        <v>23142000</v>
      </c>
      <c r="H113" s="14">
        <f t="shared" si="1"/>
        <v>-1.5679528753273719E-2</v>
      </c>
    </row>
    <row r="114" spans="1:8" x14ac:dyDescent="0.25">
      <c r="A114" s="46">
        <v>44722</v>
      </c>
      <c r="B114" s="14">
        <v>112.78125</v>
      </c>
      <c r="C114" s="14">
        <v>113.49700199999999</v>
      </c>
      <c r="D114" s="14">
        <v>110.861</v>
      </c>
      <c r="E114" s="14">
        <v>111.427498</v>
      </c>
      <c r="F114" s="14">
        <v>111.427498</v>
      </c>
      <c r="G114" s="14">
        <v>31324000</v>
      </c>
      <c r="H114" s="14">
        <f t="shared" si="1"/>
        <v>-3.4875091232688837E-2</v>
      </c>
    </row>
    <row r="115" spans="1:8" x14ac:dyDescent="0.25">
      <c r="A115" s="46">
        <v>44725</v>
      </c>
      <c r="B115" s="14">
        <v>107.445999</v>
      </c>
      <c r="C115" s="14">
        <v>109.218498</v>
      </c>
      <c r="D115" s="14">
        <v>106.58805099999999</v>
      </c>
      <c r="E115" s="14">
        <v>106.876503</v>
      </c>
      <c r="F115" s="14">
        <v>106.876503</v>
      </c>
      <c r="G115" s="14">
        <v>36756000</v>
      </c>
      <c r="H115" s="14">
        <f t="shared" si="1"/>
        <v>-1.2847767324246898E-2</v>
      </c>
    </row>
    <row r="116" spans="1:8" x14ac:dyDescent="0.25">
      <c r="A116" s="46">
        <v>44726</v>
      </c>
      <c r="B116" s="14">
        <v>106.889999</v>
      </c>
      <c r="C116" s="14">
        <v>108.457497</v>
      </c>
      <c r="D116" s="14">
        <v>106.351997</v>
      </c>
      <c r="E116" s="14">
        <v>107.194</v>
      </c>
      <c r="F116" s="14">
        <v>107.194</v>
      </c>
      <c r="G116" s="14">
        <v>25480000</v>
      </c>
      <c r="H116" s="14">
        <f t="shared" si="1"/>
        <v>-2.2146384870100899E-3</v>
      </c>
    </row>
    <row r="117" spans="1:8" x14ac:dyDescent="0.25">
      <c r="A117" s="46">
        <v>44727</v>
      </c>
      <c r="B117" s="14">
        <v>108.89949799999999</v>
      </c>
      <c r="C117" s="14">
        <v>112.06300400000001</v>
      </c>
      <c r="D117" s="14">
        <v>108.118752</v>
      </c>
      <c r="E117" s="14">
        <v>110.390503</v>
      </c>
      <c r="F117" s="14">
        <v>110.390503</v>
      </c>
      <c r="G117" s="14">
        <v>33192000</v>
      </c>
      <c r="H117" s="14">
        <f t="shared" si="1"/>
        <v>1.6612334980414145E-2</v>
      </c>
    </row>
    <row r="118" spans="1:8" x14ac:dyDescent="0.25">
      <c r="A118" s="46">
        <v>44728</v>
      </c>
      <c r="B118" s="14">
        <v>108.14949799999999</v>
      </c>
      <c r="C118" s="14">
        <v>109.290497</v>
      </c>
      <c r="D118" s="14">
        <v>105.792503</v>
      </c>
      <c r="E118" s="14">
        <v>106.636002</v>
      </c>
      <c r="F118" s="14">
        <v>106.636002</v>
      </c>
      <c r="G118" s="14">
        <v>35314000</v>
      </c>
      <c r="H118" s="14">
        <f t="shared" si="1"/>
        <v>-2.1515684901727394E-2</v>
      </c>
    </row>
    <row r="119" spans="1:8" x14ac:dyDescent="0.25">
      <c r="A119" s="46">
        <v>44729</v>
      </c>
      <c r="B119" s="14">
        <v>106.535004</v>
      </c>
      <c r="C119" s="14">
        <v>109.24949599999999</v>
      </c>
      <c r="D119" s="14">
        <v>105.62854799999999</v>
      </c>
      <c r="E119" s="14">
        <v>107.86550099999999</v>
      </c>
      <c r="F119" s="14">
        <v>107.86550099999999</v>
      </c>
      <c r="G119" s="14">
        <v>43516000</v>
      </c>
      <c r="H119" s="14">
        <f t="shared" si="1"/>
        <v>-1.5497790046615778E-3</v>
      </c>
    </row>
    <row r="120" spans="1:8" x14ac:dyDescent="0.25">
      <c r="A120" s="46">
        <v>44733</v>
      </c>
      <c r="B120" s="14">
        <v>109.702003</v>
      </c>
      <c r="C120" s="14">
        <v>112.672997</v>
      </c>
      <c r="D120" s="14">
        <v>109.293503</v>
      </c>
      <c r="E120" s="14">
        <v>112.014999</v>
      </c>
      <c r="F120" s="14">
        <v>112.014999</v>
      </c>
      <c r="G120" s="14">
        <v>39010000</v>
      </c>
      <c r="H120" s="14">
        <f t="shared" si="1"/>
        <v>8.674158334544213E-3</v>
      </c>
    </row>
    <row r="121" spans="1:8" x14ac:dyDescent="0.25">
      <c r="A121" s="46">
        <v>44734</v>
      </c>
      <c r="B121" s="14">
        <v>111.16300200000001</v>
      </c>
      <c r="C121" s="14">
        <v>113.76950100000001</v>
      </c>
      <c r="D121" s="14">
        <v>110.72429700000001</v>
      </c>
      <c r="E121" s="14">
        <v>112.033997</v>
      </c>
      <c r="F121" s="14">
        <v>112.033997</v>
      </c>
      <c r="G121" s="14">
        <v>23922000</v>
      </c>
      <c r="H121" s="14">
        <f t="shared" si="1"/>
        <v>1.3091299672223E-2</v>
      </c>
    </row>
    <row r="122" spans="1:8" x14ac:dyDescent="0.25">
      <c r="A122" s="46">
        <v>44735</v>
      </c>
      <c r="B122" s="14">
        <v>112.949997</v>
      </c>
      <c r="C122" s="14">
        <v>113.19650300000001</v>
      </c>
      <c r="D122" s="14">
        <v>111.028999</v>
      </c>
      <c r="E122" s="14">
        <v>112.68450199999999</v>
      </c>
      <c r="F122" s="14">
        <v>112.68450199999999</v>
      </c>
      <c r="G122" s="14">
        <v>24710000</v>
      </c>
      <c r="H122" s="14">
        <f t="shared" si="1"/>
        <v>2.7518982577057205E-3</v>
      </c>
    </row>
    <row r="123" spans="1:8" x14ac:dyDescent="0.25">
      <c r="A123" s="46">
        <v>44736</v>
      </c>
      <c r="B123" s="14">
        <v>113.602997</v>
      </c>
      <c r="C123" s="14">
        <v>118.637497</v>
      </c>
      <c r="D123" s="14">
        <v>113.602997</v>
      </c>
      <c r="E123" s="14">
        <v>118.53800200000001</v>
      </c>
      <c r="F123" s="14">
        <v>118.53800200000001</v>
      </c>
      <c r="G123" s="14">
        <v>39122000</v>
      </c>
      <c r="H123" s="14">
        <f t="shared" si="1"/>
        <v>2.3183114530285875E-2</v>
      </c>
    </row>
    <row r="124" spans="1:8" x14ac:dyDescent="0.25">
      <c r="A124" s="46">
        <v>44739</v>
      </c>
      <c r="B124" s="14">
        <v>118.93499799999999</v>
      </c>
      <c r="C124" s="14">
        <v>119.25</v>
      </c>
      <c r="D124" s="14">
        <v>116.000748</v>
      </c>
      <c r="E124" s="14">
        <v>116.62249799999999</v>
      </c>
      <c r="F124" s="14">
        <v>116.62249799999999</v>
      </c>
      <c r="G124" s="14">
        <v>32840000</v>
      </c>
      <c r="H124" s="14">
        <f t="shared" si="1"/>
        <v>7.0354687326896021E-3</v>
      </c>
    </row>
    <row r="125" spans="1:8" x14ac:dyDescent="0.25">
      <c r="A125" s="46">
        <v>44740</v>
      </c>
      <c r="B125" s="14">
        <v>116.350998</v>
      </c>
      <c r="C125" s="14">
        <v>117.856499</v>
      </c>
      <c r="D125" s="14">
        <v>112.444</v>
      </c>
      <c r="E125" s="14">
        <v>112.57150300000001</v>
      </c>
      <c r="F125" s="14">
        <v>112.57150300000001</v>
      </c>
      <c r="G125" s="14">
        <v>28232000</v>
      </c>
      <c r="H125" s="14">
        <f t="shared" si="1"/>
        <v>-3.0661422976341446E-2</v>
      </c>
    </row>
    <row r="126" spans="1:8" x14ac:dyDescent="0.25">
      <c r="A126" s="46">
        <v>44741</v>
      </c>
      <c r="B126" s="14">
        <v>112.148499</v>
      </c>
      <c r="C126" s="14">
        <v>113.664497</v>
      </c>
      <c r="D126" s="14">
        <v>111.554001</v>
      </c>
      <c r="E126" s="14">
        <v>112.2565</v>
      </c>
      <c r="F126" s="14">
        <v>112.2565</v>
      </c>
      <c r="G126" s="14">
        <v>18628000</v>
      </c>
      <c r="H126" s="14">
        <f t="shared" si="1"/>
        <v>-7.9150421543168203E-3</v>
      </c>
    </row>
    <row r="127" spans="1:8" x14ac:dyDescent="0.25">
      <c r="A127" s="46">
        <v>44742</v>
      </c>
      <c r="B127" s="14">
        <v>110.49949599999999</v>
      </c>
      <c r="C127" s="14">
        <v>111.329803</v>
      </c>
      <c r="D127" s="14">
        <v>107.30999799999999</v>
      </c>
      <c r="E127" s="14">
        <v>109.37249799999999</v>
      </c>
      <c r="F127" s="14">
        <v>109.37249799999999</v>
      </c>
      <c r="G127" s="14">
        <v>38046000</v>
      </c>
      <c r="H127" s="14">
        <f t="shared" si="1"/>
        <v>-3.8044381751937362E-2</v>
      </c>
    </row>
    <row r="128" spans="1:8" x14ac:dyDescent="0.25">
      <c r="A128" s="46">
        <v>44743</v>
      </c>
      <c r="B128" s="14">
        <v>108.33699799999999</v>
      </c>
      <c r="C128" s="14">
        <v>109.80635100000001</v>
      </c>
      <c r="D128" s="14">
        <v>107.105003</v>
      </c>
      <c r="E128" s="14">
        <v>109.081001</v>
      </c>
      <c r="F128" s="14">
        <v>109.081001</v>
      </c>
      <c r="G128" s="14">
        <v>31028000</v>
      </c>
      <c r="H128" s="14">
        <f t="shared" si="1"/>
        <v>-1.910306623992275E-3</v>
      </c>
    </row>
    <row r="129" spans="1:8" x14ac:dyDescent="0.25">
      <c r="A129" s="46">
        <v>44747</v>
      </c>
      <c r="B129" s="14">
        <v>107.514503</v>
      </c>
      <c r="C129" s="14">
        <v>114.05259700000001</v>
      </c>
      <c r="D129" s="14">
        <v>106.24949599999999</v>
      </c>
      <c r="E129" s="14">
        <v>113.887001</v>
      </c>
      <c r="F129" s="14">
        <v>113.887001</v>
      </c>
      <c r="G129" s="14">
        <v>36398000</v>
      </c>
      <c r="H129" s="14">
        <f t="shared" si="1"/>
        <v>-1.9968885113611501E-3</v>
      </c>
    </row>
    <row r="130" spans="1:8" x14ac:dyDescent="0.25">
      <c r="A130" s="46">
        <v>44748</v>
      </c>
      <c r="B130" s="14">
        <v>114.09200300000001</v>
      </c>
      <c r="C130" s="14">
        <v>116.351997</v>
      </c>
      <c r="D130" s="14">
        <v>112.25050400000001</v>
      </c>
      <c r="E130" s="14">
        <v>115.21350099999999</v>
      </c>
      <c r="F130" s="14">
        <v>115.21350099999999</v>
      </c>
      <c r="G130" s="14">
        <v>28852000</v>
      </c>
      <c r="H130" s="14">
        <f t="shared" si="1"/>
        <v>5.6480343210286943E-2</v>
      </c>
    </row>
    <row r="131" spans="1:8" x14ac:dyDescent="0.25">
      <c r="A131" s="46">
        <v>44749</v>
      </c>
      <c r="B131" s="14">
        <v>116.008003</v>
      </c>
      <c r="C131" s="14">
        <v>119.86199999999999</v>
      </c>
      <c r="D131" s="14">
        <v>115.533997</v>
      </c>
      <c r="E131" s="14">
        <v>119.306</v>
      </c>
      <c r="F131" s="14">
        <v>119.306</v>
      </c>
      <c r="G131" s="14">
        <v>32184000</v>
      </c>
      <c r="H131" s="14">
        <f t="shared" si="1"/>
        <v>2.9251476679338584E-2</v>
      </c>
    </row>
    <row r="132" spans="1:8" x14ac:dyDescent="0.25">
      <c r="A132" s="46">
        <v>44750</v>
      </c>
      <c r="B132" s="14">
        <v>117.550003</v>
      </c>
      <c r="C132" s="14">
        <v>120.43499799999999</v>
      </c>
      <c r="D132" s="14">
        <v>117.514</v>
      </c>
      <c r="E132" s="14">
        <v>120.168503</v>
      </c>
      <c r="F132" s="14">
        <v>120.168503</v>
      </c>
      <c r="G132" s="14">
        <v>29082000</v>
      </c>
      <c r="H132" s="14">
        <f t="shared" ref="H132:H195" si="2">(D132/D131-1)/(A132-A131)</f>
        <v>1.7137838657135696E-2</v>
      </c>
    </row>
    <row r="133" spans="1:8" x14ac:dyDescent="0.25">
      <c r="A133" s="46">
        <v>44753</v>
      </c>
      <c r="B133" s="14">
        <v>118.650002</v>
      </c>
      <c r="C133" s="14">
        <v>118.79450199999999</v>
      </c>
      <c r="D133" s="14">
        <v>116.234497</v>
      </c>
      <c r="E133" s="14">
        <v>116.522499</v>
      </c>
      <c r="F133" s="14">
        <v>116.522499</v>
      </c>
      <c r="G133" s="14">
        <v>26718000</v>
      </c>
      <c r="H133" s="14">
        <f t="shared" si="2"/>
        <v>-3.6293633099034883E-3</v>
      </c>
    </row>
    <row r="134" spans="1:8" x14ac:dyDescent="0.25">
      <c r="A134" s="46">
        <v>44754</v>
      </c>
      <c r="B134" s="14">
        <v>116.83850099999999</v>
      </c>
      <c r="C134" s="14">
        <v>117.849503</v>
      </c>
      <c r="D134" s="14">
        <v>114.614998</v>
      </c>
      <c r="E134" s="14">
        <v>114.849503</v>
      </c>
      <c r="F134" s="14">
        <v>114.849503</v>
      </c>
      <c r="G134" s="14">
        <v>24970000</v>
      </c>
      <c r="H134" s="14">
        <f t="shared" si="2"/>
        <v>-1.393303229074927E-2</v>
      </c>
    </row>
    <row r="135" spans="1:8" x14ac:dyDescent="0.25">
      <c r="A135" s="46">
        <v>44755</v>
      </c>
      <c r="B135" s="14">
        <v>112.639</v>
      </c>
      <c r="C135" s="14">
        <v>115.156998</v>
      </c>
      <c r="D135" s="14">
        <v>111.822998</v>
      </c>
      <c r="E135" s="14">
        <v>112.18699599999999</v>
      </c>
      <c r="F135" s="14">
        <v>112.18699599999999</v>
      </c>
      <c r="G135" s="14">
        <v>38958000</v>
      </c>
      <c r="H135" s="14">
        <f t="shared" si="2"/>
        <v>-2.4359813713036083E-2</v>
      </c>
    </row>
    <row r="136" spans="1:8" x14ac:dyDescent="0.25">
      <c r="A136" s="46">
        <v>44756</v>
      </c>
      <c r="B136" s="14">
        <v>110.825996</v>
      </c>
      <c r="C136" s="14">
        <v>111.987503</v>
      </c>
      <c r="D136" s="14">
        <v>109.32550000000001</v>
      </c>
      <c r="E136" s="14">
        <v>111.44000200000001</v>
      </c>
      <c r="F136" s="14">
        <v>111.44000200000001</v>
      </c>
      <c r="G136" s="14">
        <v>32366000</v>
      </c>
      <c r="H136" s="14">
        <f t="shared" si="2"/>
        <v>-2.2334385990974703E-2</v>
      </c>
    </row>
    <row r="137" spans="1:8" x14ac:dyDescent="0.25">
      <c r="A137" s="46">
        <v>44757</v>
      </c>
      <c r="B137" s="14">
        <v>112.962997</v>
      </c>
      <c r="C137" s="14">
        <v>114.00050400000001</v>
      </c>
      <c r="D137" s="14">
        <v>111.822502</v>
      </c>
      <c r="E137" s="14">
        <v>112.766998</v>
      </c>
      <c r="F137" s="14">
        <v>112.766998</v>
      </c>
      <c r="G137" s="14">
        <v>34330000</v>
      </c>
      <c r="H137" s="14">
        <f t="shared" si="2"/>
        <v>2.284006933423588E-2</v>
      </c>
    </row>
    <row r="138" spans="1:8" x14ac:dyDescent="0.25">
      <c r="A138" s="46">
        <v>44760</v>
      </c>
      <c r="B138" s="14">
        <v>113.44000200000001</v>
      </c>
      <c r="C138" s="14">
        <v>114.800003</v>
      </c>
      <c r="D138" s="14">
        <v>109.300003</v>
      </c>
      <c r="E138" s="14">
        <v>109.910004</v>
      </c>
      <c r="F138" s="14">
        <v>109.910004</v>
      </c>
      <c r="G138" s="14">
        <v>33354000</v>
      </c>
      <c r="H138" s="14">
        <f t="shared" si="2"/>
        <v>-7.5193541993900199E-3</v>
      </c>
    </row>
    <row r="139" spans="1:8" x14ac:dyDescent="0.25">
      <c r="A139" s="46">
        <v>44761</v>
      </c>
      <c r="B139" s="14">
        <v>111.730003</v>
      </c>
      <c r="C139" s="14">
        <v>114.80999799999999</v>
      </c>
      <c r="D139" s="14">
        <v>110.5</v>
      </c>
      <c r="E139" s="14">
        <v>114.620003</v>
      </c>
      <c r="F139" s="14">
        <v>114.620003</v>
      </c>
      <c r="G139" s="14">
        <v>30992300</v>
      </c>
      <c r="H139" s="14">
        <f t="shared" si="2"/>
        <v>1.097892925034949E-2</v>
      </c>
    </row>
    <row r="140" spans="1:8" x14ac:dyDescent="0.25">
      <c r="A140" s="46">
        <v>44762</v>
      </c>
      <c r="B140" s="14">
        <v>114.05999799999999</v>
      </c>
      <c r="C140" s="14">
        <v>116.33000199999999</v>
      </c>
      <c r="D140" s="14">
        <v>113.260002</v>
      </c>
      <c r="E140" s="14">
        <v>114.699997</v>
      </c>
      <c r="F140" s="14">
        <v>114.699997</v>
      </c>
      <c r="G140" s="14">
        <v>26780100</v>
      </c>
      <c r="H140" s="14">
        <f t="shared" si="2"/>
        <v>2.4977393665158276E-2</v>
      </c>
    </row>
    <row r="141" spans="1:8" x14ac:dyDescent="0.25">
      <c r="A141" s="46">
        <v>44763</v>
      </c>
      <c r="B141" s="14">
        <v>115.089996</v>
      </c>
      <c r="C141" s="14">
        <v>115.209999</v>
      </c>
      <c r="D141" s="14">
        <v>111.910004</v>
      </c>
      <c r="E141" s="14">
        <v>115.040001</v>
      </c>
      <c r="F141" s="14">
        <v>115.040001</v>
      </c>
      <c r="G141" s="14">
        <v>27267800</v>
      </c>
      <c r="H141" s="14">
        <f t="shared" si="2"/>
        <v>-1.1919459439882374E-2</v>
      </c>
    </row>
    <row r="142" spans="1:8" x14ac:dyDescent="0.25">
      <c r="A142" s="46">
        <v>44764</v>
      </c>
      <c r="B142" s="14">
        <v>111.80999799999999</v>
      </c>
      <c r="C142" s="14">
        <v>113.18</v>
      </c>
      <c r="D142" s="14">
        <v>107.599998</v>
      </c>
      <c r="E142" s="14">
        <v>108.360001</v>
      </c>
      <c r="F142" s="14">
        <v>108.360001</v>
      </c>
      <c r="G142" s="14">
        <v>44455300</v>
      </c>
      <c r="H142" s="14">
        <f t="shared" si="2"/>
        <v>-3.8513143114533355E-2</v>
      </c>
    </row>
    <row r="143" spans="1:8" x14ac:dyDescent="0.25">
      <c r="A143" s="46">
        <v>44767</v>
      </c>
      <c r="B143" s="14">
        <v>108.879997</v>
      </c>
      <c r="C143" s="14">
        <v>110.58000199999999</v>
      </c>
      <c r="D143" s="14">
        <v>107.010002</v>
      </c>
      <c r="E143" s="14">
        <v>108.209999</v>
      </c>
      <c r="F143" s="14">
        <v>108.209999</v>
      </c>
      <c r="G143" s="14">
        <v>28289900</v>
      </c>
      <c r="H143" s="14">
        <f t="shared" si="2"/>
        <v>-1.8277447675540959E-3</v>
      </c>
    </row>
    <row r="144" spans="1:8" x14ac:dyDescent="0.25">
      <c r="A144" s="46">
        <v>44768</v>
      </c>
      <c r="B144" s="14">
        <v>107.43</v>
      </c>
      <c r="C144" s="14">
        <v>107.739998</v>
      </c>
      <c r="D144" s="14">
        <v>104.760002</v>
      </c>
      <c r="E144" s="14">
        <v>105.44000200000001</v>
      </c>
      <c r="F144" s="14">
        <v>105.44000200000001</v>
      </c>
      <c r="G144" s="14">
        <v>36626600</v>
      </c>
      <c r="H144" s="14">
        <f t="shared" si="2"/>
        <v>-2.1026071936714796E-2</v>
      </c>
    </row>
    <row r="145" spans="1:8" x14ac:dyDescent="0.25">
      <c r="A145" s="46">
        <v>44769</v>
      </c>
      <c r="B145" s="14">
        <v>109.599998</v>
      </c>
      <c r="C145" s="14">
        <v>114.400002</v>
      </c>
      <c r="D145" s="14">
        <v>108.41999800000001</v>
      </c>
      <c r="E145" s="14">
        <v>113.599998</v>
      </c>
      <c r="F145" s="14">
        <v>113.599998</v>
      </c>
      <c r="G145" s="14">
        <v>41474600</v>
      </c>
      <c r="H145" s="14">
        <f t="shared" si="2"/>
        <v>3.4936960005021778E-2</v>
      </c>
    </row>
    <row r="146" spans="1:8" x14ac:dyDescent="0.25">
      <c r="A146" s="46">
        <v>44770</v>
      </c>
      <c r="B146" s="14">
        <v>112.800003</v>
      </c>
      <c r="C146" s="14">
        <v>114.699997</v>
      </c>
      <c r="D146" s="14">
        <v>111.850998</v>
      </c>
      <c r="E146" s="14">
        <v>114.589996</v>
      </c>
      <c r="F146" s="14">
        <v>114.589996</v>
      </c>
      <c r="G146" s="14">
        <v>23303800</v>
      </c>
      <c r="H146" s="14">
        <f t="shared" si="2"/>
        <v>3.1645453452231243E-2</v>
      </c>
    </row>
    <row r="147" spans="1:8" x14ac:dyDescent="0.25">
      <c r="A147" s="46">
        <v>44771</v>
      </c>
      <c r="B147" s="14">
        <v>113.400002</v>
      </c>
      <c r="C147" s="14">
        <v>116.900002</v>
      </c>
      <c r="D147" s="14">
        <v>113.230003</v>
      </c>
      <c r="E147" s="14">
        <v>116.639999</v>
      </c>
      <c r="F147" s="14">
        <v>116.639999</v>
      </c>
      <c r="G147" s="14">
        <v>31336200</v>
      </c>
      <c r="H147" s="14">
        <f t="shared" si="2"/>
        <v>1.2328946765410187E-2</v>
      </c>
    </row>
    <row r="148" spans="1:8" x14ac:dyDescent="0.25">
      <c r="A148" s="46">
        <v>44774</v>
      </c>
      <c r="B148" s="14">
        <v>115.529999</v>
      </c>
      <c r="C148" s="14">
        <v>117.120003</v>
      </c>
      <c r="D148" s="14">
        <v>114.69000200000001</v>
      </c>
      <c r="E148" s="14">
        <v>115.480003</v>
      </c>
      <c r="F148" s="14">
        <v>115.480003</v>
      </c>
      <c r="G148" s="14">
        <v>22856200</v>
      </c>
      <c r="H148" s="14">
        <f t="shared" si="2"/>
        <v>4.2980333872581307E-3</v>
      </c>
    </row>
    <row r="149" spans="1:8" x14ac:dyDescent="0.25">
      <c r="A149" s="46">
        <v>44775</v>
      </c>
      <c r="B149" s="14">
        <v>114.43</v>
      </c>
      <c r="C149" s="14">
        <v>117.08000199999999</v>
      </c>
      <c r="D149" s="14">
        <v>114.260002</v>
      </c>
      <c r="E149" s="14">
        <v>115.900002</v>
      </c>
      <c r="F149" s="14">
        <v>115.900002</v>
      </c>
      <c r="G149" s="14">
        <v>17911000</v>
      </c>
      <c r="H149" s="14">
        <f t="shared" si="2"/>
        <v>-3.7492370084709625E-3</v>
      </c>
    </row>
    <row r="150" spans="1:8" x14ac:dyDescent="0.25">
      <c r="A150" s="46">
        <v>44776</v>
      </c>
      <c r="B150" s="14">
        <v>116.339996</v>
      </c>
      <c r="C150" s="14">
        <v>119.41999800000001</v>
      </c>
      <c r="D150" s="14">
        <v>116.150002</v>
      </c>
      <c r="E150" s="14">
        <v>118.779999</v>
      </c>
      <c r="F150" s="14">
        <v>118.779999</v>
      </c>
      <c r="G150" s="14">
        <v>25302800</v>
      </c>
      <c r="H150" s="14">
        <f t="shared" si="2"/>
        <v>1.6541221485362856E-2</v>
      </c>
    </row>
    <row r="151" spans="1:8" x14ac:dyDescent="0.25">
      <c r="A151" s="46">
        <v>44777</v>
      </c>
      <c r="B151" s="14">
        <v>118.300003</v>
      </c>
      <c r="C151" s="14">
        <v>119.5</v>
      </c>
      <c r="D151" s="14">
        <v>117.709999</v>
      </c>
      <c r="E151" s="14">
        <v>118.870003</v>
      </c>
      <c r="F151" s="14">
        <v>118.870003</v>
      </c>
      <c r="G151" s="14">
        <v>15757700</v>
      </c>
      <c r="H151" s="14">
        <f t="shared" si="2"/>
        <v>1.3430882248284481E-2</v>
      </c>
    </row>
    <row r="152" spans="1:8" x14ac:dyDescent="0.25">
      <c r="A152" s="46">
        <v>44778</v>
      </c>
      <c r="B152" s="14">
        <v>116.93</v>
      </c>
      <c r="C152" s="14">
        <v>118.860001</v>
      </c>
      <c r="D152" s="14">
        <v>116.709999</v>
      </c>
      <c r="E152" s="14">
        <v>118.220001</v>
      </c>
      <c r="F152" s="14">
        <v>118.220001</v>
      </c>
      <c r="G152" s="14">
        <v>15615700</v>
      </c>
      <c r="H152" s="14">
        <f t="shared" si="2"/>
        <v>-8.4954550037843468E-3</v>
      </c>
    </row>
    <row r="153" spans="1:8" x14ac:dyDescent="0.25">
      <c r="A153" s="46">
        <v>44781</v>
      </c>
      <c r="B153" s="14">
        <v>119.120003</v>
      </c>
      <c r="C153" s="14">
        <v>120.860001</v>
      </c>
      <c r="D153" s="14">
        <v>117.83000199999999</v>
      </c>
      <c r="E153" s="14">
        <v>118.139999</v>
      </c>
      <c r="F153" s="14">
        <v>118.139999</v>
      </c>
      <c r="G153" s="14">
        <v>17061100</v>
      </c>
      <c r="H153" s="14">
        <f t="shared" si="2"/>
        <v>3.1988204655312527E-3</v>
      </c>
    </row>
    <row r="154" spans="1:8" x14ac:dyDescent="0.25">
      <c r="A154" s="46">
        <v>44782</v>
      </c>
      <c r="B154" s="14">
        <v>117.989998</v>
      </c>
      <c r="C154" s="14">
        <v>118.199997</v>
      </c>
      <c r="D154" s="14">
        <v>116.55999799999999</v>
      </c>
      <c r="E154" s="14">
        <v>117.5</v>
      </c>
      <c r="F154" s="14">
        <v>117.5</v>
      </c>
      <c r="G154" s="14">
        <v>15424300</v>
      </c>
      <c r="H154" s="14">
        <f t="shared" si="2"/>
        <v>-1.0778273601319333E-2</v>
      </c>
    </row>
    <row r="155" spans="1:8" x14ac:dyDescent="0.25">
      <c r="A155" s="46">
        <v>44783</v>
      </c>
      <c r="B155" s="14">
        <v>119.589996</v>
      </c>
      <c r="C155" s="14">
        <v>121.779999</v>
      </c>
      <c r="D155" s="14">
        <v>119.360001</v>
      </c>
      <c r="E155" s="14">
        <v>120.650002</v>
      </c>
      <c r="F155" s="14">
        <v>120.650002</v>
      </c>
      <c r="G155" s="14">
        <v>20497000</v>
      </c>
      <c r="H155" s="14">
        <f t="shared" si="2"/>
        <v>2.4021989087542828E-2</v>
      </c>
    </row>
    <row r="156" spans="1:8" x14ac:dyDescent="0.25">
      <c r="A156" s="46">
        <v>44784</v>
      </c>
      <c r="B156" s="14">
        <v>122.08000199999999</v>
      </c>
      <c r="C156" s="14">
        <v>122.339996</v>
      </c>
      <c r="D156" s="14">
        <v>119.550003</v>
      </c>
      <c r="E156" s="14">
        <v>119.82</v>
      </c>
      <c r="F156" s="14">
        <v>119.82</v>
      </c>
      <c r="G156" s="14">
        <v>16671600</v>
      </c>
      <c r="H156" s="14">
        <f t="shared" si="2"/>
        <v>1.5918397989960198E-3</v>
      </c>
    </row>
    <row r="157" spans="1:8" x14ac:dyDescent="0.25">
      <c r="A157" s="46">
        <v>44785</v>
      </c>
      <c r="B157" s="14">
        <v>121.160004</v>
      </c>
      <c r="C157" s="14">
        <v>122.650002</v>
      </c>
      <c r="D157" s="14">
        <v>120.400002</v>
      </c>
      <c r="E157" s="14">
        <v>122.650002</v>
      </c>
      <c r="F157" s="14">
        <v>122.650002</v>
      </c>
      <c r="G157" s="14">
        <v>16121100</v>
      </c>
      <c r="H157" s="14">
        <f t="shared" si="2"/>
        <v>7.1099872745297166E-3</v>
      </c>
    </row>
    <row r="158" spans="1:8" x14ac:dyDescent="0.25">
      <c r="A158" s="46">
        <v>44788</v>
      </c>
      <c r="B158" s="14">
        <v>122.209999</v>
      </c>
      <c r="C158" s="14">
        <v>123.260002</v>
      </c>
      <c r="D158" s="14">
        <v>121.57</v>
      </c>
      <c r="E158" s="14">
        <v>122.879997</v>
      </c>
      <c r="F158" s="14">
        <v>122.879997</v>
      </c>
      <c r="G158" s="14">
        <v>15525000</v>
      </c>
      <c r="H158" s="14">
        <f t="shared" si="2"/>
        <v>3.2391970669014558E-3</v>
      </c>
    </row>
    <row r="159" spans="1:8" x14ac:dyDescent="0.25">
      <c r="A159" s="46">
        <v>44789</v>
      </c>
      <c r="B159" s="14">
        <v>122.32</v>
      </c>
      <c r="C159" s="14">
        <v>123.227997</v>
      </c>
      <c r="D159" s="14">
        <v>121.535004</v>
      </c>
      <c r="E159" s="14">
        <v>122.510002</v>
      </c>
      <c r="F159" s="14">
        <v>122.510002</v>
      </c>
      <c r="G159" s="14">
        <v>15626200</v>
      </c>
      <c r="H159" s="14">
        <f t="shared" si="2"/>
        <v>-2.8786707246852838E-4</v>
      </c>
    </row>
    <row r="160" spans="1:8" x14ac:dyDescent="0.25">
      <c r="A160" s="46">
        <v>44790</v>
      </c>
      <c r="B160" s="14">
        <v>120.93</v>
      </c>
      <c r="C160" s="14">
        <v>122.150002</v>
      </c>
      <c r="D160" s="14">
        <v>120.199997</v>
      </c>
      <c r="E160" s="14">
        <v>120.32</v>
      </c>
      <c r="F160" s="14">
        <v>120.32</v>
      </c>
      <c r="G160" s="14">
        <v>17589200</v>
      </c>
      <c r="H160" s="14">
        <f t="shared" si="2"/>
        <v>-1.0984547299640601E-2</v>
      </c>
    </row>
    <row r="161" spans="1:8" x14ac:dyDescent="0.25">
      <c r="A161" s="46">
        <v>44791</v>
      </c>
      <c r="B161" s="14">
        <v>120.230003</v>
      </c>
      <c r="C161" s="14">
        <v>121.69000200000001</v>
      </c>
      <c r="D161" s="14">
        <v>119.550003</v>
      </c>
      <c r="E161" s="14">
        <v>120.860001</v>
      </c>
      <c r="F161" s="14">
        <v>120.860001</v>
      </c>
      <c r="G161" s="14">
        <v>15652000</v>
      </c>
      <c r="H161" s="14">
        <f t="shared" si="2"/>
        <v>-5.40760412830954E-3</v>
      </c>
    </row>
    <row r="162" spans="1:8" x14ac:dyDescent="0.25">
      <c r="A162" s="46">
        <v>44792</v>
      </c>
      <c r="B162" s="14">
        <v>119.870003</v>
      </c>
      <c r="C162" s="14">
        <v>120</v>
      </c>
      <c r="D162" s="14">
        <v>117.66999800000001</v>
      </c>
      <c r="E162" s="14">
        <v>118.120003</v>
      </c>
      <c r="F162" s="14">
        <v>118.120003</v>
      </c>
      <c r="G162" s="14">
        <v>20187000</v>
      </c>
      <c r="H162" s="14">
        <f t="shared" si="2"/>
        <v>-1.5725679237331369E-2</v>
      </c>
    </row>
    <row r="163" spans="1:8" x14ac:dyDescent="0.25">
      <c r="A163" s="46">
        <v>44795</v>
      </c>
      <c r="B163" s="14">
        <v>116.099998</v>
      </c>
      <c r="C163" s="14">
        <v>116.5</v>
      </c>
      <c r="D163" s="14">
        <v>114.66999800000001</v>
      </c>
      <c r="E163" s="14">
        <v>115.07</v>
      </c>
      <c r="F163" s="14">
        <v>115.07</v>
      </c>
      <c r="G163" s="14">
        <v>19316000</v>
      </c>
      <c r="H163" s="14">
        <f t="shared" si="2"/>
        <v>-8.4983429675931452E-3</v>
      </c>
    </row>
    <row r="164" spans="1:8" x14ac:dyDescent="0.25">
      <c r="A164" s="46">
        <v>44796</v>
      </c>
      <c r="B164" s="14">
        <v>114.32</v>
      </c>
      <c r="C164" s="14">
        <v>115.93</v>
      </c>
      <c r="D164" s="14">
        <v>114.300003</v>
      </c>
      <c r="E164" s="14">
        <v>114.769997</v>
      </c>
      <c r="F164" s="14">
        <v>114.769997</v>
      </c>
      <c r="G164" s="14">
        <v>14390700</v>
      </c>
      <c r="H164" s="14">
        <f t="shared" si="2"/>
        <v>-3.2266068409628756E-3</v>
      </c>
    </row>
    <row r="165" spans="1:8" x14ac:dyDescent="0.25">
      <c r="A165" s="46">
        <v>44797</v>
      </c>
      <c r="B165" s="14">
        <v>114.449997</v>
      </c>
      <c r="C165" s="14">
        <v>115.71700300000001</v>
      </c>
      <c r="D165" s="14">
        <v>113.779999</v>
      </c>
      <c r="E165" s="14">
        <v>114.699997</v>
      </c>
      <c r="F165" s="14">
        <v>114.699997</v>
      </c>
      <c r="G165" s="14">
        <v>16051200</v>
      </c>
      <c r="H165" s="14">
        <f t="shared" si="2"/>
        <v>-4.5494661973018991E-3</v>
      </c>
    </row>
    <row r="166" spans="1:8" x14ac:dyDescent="0.25">
      <c r="A166" s="46">
        <v>44798</v>
      </c>
      <c r="B166" s="14">
        <v>115.150002</v>
      </c>
      <c r="C166" s="14">
        <v>117.779999</v>
      </c>
      <c r="D166" s="14">
        <v>115.050003</v>
      </c>
      <c r="E166" s="14">
        <v>117.699997</v>
      </c>
      <c r="F166" s="14">
        <v>117.699997</v>
      </c>
      <c r="G166" s="14">
        <v>14874700</v>
      </c>
      <c r="H166" s="14">
        <f t="shared" si="2"/>
        <v>1.1161926622973439E-2</v>
      </c>
    </row>
    <row r="167" spans="1:8" x14ac:dyDescent="0.25">
      <c r="A167" s="46">
        <v>44799</v>
      </c>
      <c r="B167" s="14">
        <v>115.80999799999999</v>
      </c>
      <c r="C167" s="14">
        <v>116.599998</v>
      </c>
      <c r="D167" s="14">
        <v>111.220001</v>
      </c>
      <c r="E167" s="14">
        <v>111.300003</v>
      </c>
      <c r="F167" s="14">
        <v>111.300003</v>
      </c>
      <c r="G167" s="14">
        <v>31698700</v>
      </c>
      <c r="H167" s="14">
        <f t="shared" si="2"/>
        <v>-3.3289890483531814E-2</v>
      </c>
    </row>
    <row r="168" spans="1:8" x14ac:dyDescent="0.25">
      <c r="A168" s="46">
        <v>44802</v>
      </c>
      <c r="B168" s="14">
        <v>110.779999</v>
      </c>
      <c r="C168" s="14">
        <v>111.959999</v>
      </c>
      <c r="D168" s="14">
        <v>109.80999799999999</v>
      </c>
      <c r="E168" s="14">
        <v>110.339996</v>
      </c>
      <c r="F168" s="14">
        <v>110.339996</v>
      </c>
      <c r="G168" s="14">
        <v>20386100</v>
      </c>
      <c r="H168" s="14">
        <f t="shared" si="2"/>
        <v>-4.2258676117077343E-3</v>
      </c>
    </row>
    <row r="169" spans="1:8" x14ac:dyDescent="0.25">
      <c r="A169" s="46">
        <v>44803</v>
      </c>
      <c r="B169" s="14">
        <v>111.029999</v>
      </c>
      <c r="C169" s="14">
        <v>111.370003</v>
      </c>
      <c r="D169" s="14">
        <v>108.800003</v>
      </c>
      <c r="E169" s="14">
        <v>109.910004</v>
      </c>
      <c r="F169" s="14">
        <v>109.910004</v>
      </c>
      <c r="G169" s="14">
        <v>20548200</v>
      </c>
      <c r="H169" s="14">
        <f t="shared" si="2"/>
        <v>-9.1976597613633304E-3</v>
      </c>
    </row>
    <row r="170" spans="1:8" x14ac:dyDescent="0.25">
      <c r="A170" s="46">
        <v>44804</v>
      </c>
      <c r="B170" s="14">
        <v>111.629997</v>
      </c>
      <c r="C170" s="14">
        <v>111.769997</v>
      </c>
      <c r="D170" s="14">
        <v>109.050003</v>
      </c>
      <c r="E170" s="14">
        <v>109.150002</v>
      </c>
      <c r="F170" s="14">
        <v>109.150002</v>
      </c>
      <c r="G170" s="14">
        <v>25898000</v>
      </c>
      <c r="H170" s="14">
        <f t="shared" si="2"/>
        <v>2.2977940542887598E-3</v>
      </c>
    </row>
    <row r="171" spans="1:8" x14ac:dyDescent="0.25">
      <c r="A171" s="46">
        <v>44805</v>
      </c>
      <c r="B171" s="14">
        <v>109.199997</v>
      </c>
      <c r="C171" s="14">
        <v>111.220001</v>
      </c>
      <c r="D171" s="14">
        <v>108.19000200000001</v>
      </c>
      <c r="E171" s="14">
        <v>110.550003</v>
      </c>
      <c r="F171" s="14">
        <v>110.550003</v>
      </c>
      <c r="G171" s="14">
        <v>22784400</v>
      </c>
      <c r="H171" s="14">
        <f t="shared" si="2"/>
        <v>-7.8862996454938106E-3</v>
      </c>
    </row>
    <row r="172" spans="1:8" x14ac:dyDescent="0.25">
      <c r="A172" s="46">
        <v>44806</v>
      </c>
      <c r="B172" s="14">
        <v>111.339996</v>
      </c>
      <c r="C172" s="14">
        <v>111.675003</v>
      </c>
      <c r="D172" s="14">
        <v>108.129997</v>
      </c>
      <c r="E172" s="14">
        <v>108.68</v>
      </c>
      <c r="F172" s="14">
        <v>108.68</v>
      </c>
      <c r="G172" s="14">
        <v>20618100</v>
      </c>
      <c r="H172" s="14">
        <f t="shared" si="2"/>
        <v>-5.5462611046075416E-4</v>
      </c>
    </row>
    <row r="173" spans="1:8" x14ac:dyDescent="0.25">
      <c r="A173" s="46">
        <v>44810</v>
      </c>
      <c r="B173" s="14">
        <v>108.135002</v>
      </c>
      <c r="C173" s="14">
        <v>108.879997</v>
      </c>
      <c r="D173" s="14">
        <v>106.510002</v>
      </c>
      <c r="E173" s="14">
        <v>107.480003</v>
      </c>
      <c r="F173" s="14">
        <v>107.480003</v>
      </c>
      <c r="G173" s="14">
        <v>20565100</v>
      </c>
      <c r="H173" s="14">
        <f t="shared" si="2"/>
        <v>-3.7454800817205425E-3</v>
      </c>
    </row>
    <row r="174" spans="1:8" x14ac:dyDescent="0.25">
      <c r="A174" s="46">
        <v>44811</v>
      </c>
      <c r="B174" s="14">
        <v>107.760002</v>
      </c>
      <c r="C174" s="14">
        <v>110.989998</v>
      </c>
      <c r="D174" s="14">
        <v>107.614998</v>
      </c>
      <c r="E174" s="14">
        <v>110.480003</v>
      </c>
      <c r="F174" s="14">
        <v>110.480003</v>
      </c>
      <c r="G174" s="14">
        <v>22987200</v>
      </c>
      <c r="H174" s="14">
        <f t="shared" si="2"/>
        <v>1.0374574962452865E-2</v>
      </c>
    </row>
    <row r="175" spans="1:8" x14ac:dyDescent="0.25">
      <c r="A175" s="46">
        <v>44812</v>
      </c>
      <c r="B175" s="14">
        <v>109.18</v>
      </c>
      <c r="C175" s="14">
        <v>110.58000199999999</v>
      </c>
      <c r="D175" s="14">
        <v>108.05999799999999</v>
      </c>
      <c r="E175" s="14">
        <v>109.41999800000001</v>
      </c>
      <c r="F175" s="14">
        <v>109.41999800000001</v>
      </c>
      <c r="G175" s="14">
        <v>21660700</v>
      </c>
      <c r="H175" s="14">
        <f t="shared" si="2"/>
        <v>4.1351113531591377E-3</v>
      </c>
    </row>
    <row r="176" spans="1:8" x14ac:dyDescent="0.25">
      <c r="A176" s="46">
        <v>44813</v>
      </c>
      <c r="B176" s="14">
        <v>110.050003</v>
      </c>
      <c r="C176" s="14">
        <v>112</v>
      </c>
      <c r="D176" s="14">
        <v>110</v>
      </c>
      <c r="E176" s="14">
        <v>111.779999</v>
      </c>
      <c r="F176" s="14">
        <v>111.779999</v>
      </c>
      <c r="G176" s="14">
        <v>21732900</v>
      </c>
      <c r="H176" s="14">
        <f t="shared" si="2"/>
        <v>1.7953007920655351E-2</v>
      </c>
    </row>
    <row r="177" spans="1:8" x14ac:dyDescent="0.25">
      <c r="A177" s="46">
        <v>44816</v>
      </c>
      <c r="B177" s="14">
        <v>111.989998</v>
      </c>
      <c r="C177" s="14">
        <v>112.639999</v>
      </c>
      <c r="D177" s="14">
        <v>110.93</v>
      </c>
      <c r="E177" s="14">
        <v>111.870003</v>
      </c>
      <c r="F177" s="14">
        <v>111.870003</v>
      </c>
      <c r="G177" s="14">
        <v>19732900</v>
      </c>
      <c r="H177" s="14">
        <f t="shared" si="2"/>
        <v>2.8181818181818308E-3</v>
      </c>
    </row>
    <row r="178" spans="1:8" x14ac:dyDescent="0.25">
      <c r="A178" s="46">
        <v>44817</v>
      </c>
      <c r="B178" s="14">
        <v>108.889999</v>
      </c>
      <c r="C178" s="14">
        <v>109.370003</v>
      </c>
      <c r="D178" s="14">
        <v>105</v>
      </c>
      <c r="E178" s="14">
        <v>105.30999799999999</v>
      </c>
      <c r="F178" s="14">
        <v>105.30999799999999</v>
      </c>
      <c r="G178" s="14">
        <v>33015000</v>
      </c>
      <c r="H178" s="14">
        <f t="shared" si="2"/>
        <v>-5.3457135130262401E-2</v>
      </c>
    </row>
    <row r="179" spans="1:8" x14ac:dyDescent="0.25">
      <c r="A179" s="46">
        <v>44818</v>
      </c>
      <c r="B179" s="14">
        <v>105.44000200000001</v>
      </c>
      <c r="C179" s="14">
        <v>106.099998</v>
      </c>
      <c r="D179" s="14">
        <v>104.5</v>
      </c>
      <c r="E179" s="14">
        <v>105.870003</v>
      </c>
      <c r="F179" s="14">
        <v>105.870003</v>
      </c>
      <c r="G179" s="14">
        <v>22115800</v>
      </c>
      <c r="H179" s="14">
        <f t="shared" si="2"/>
        <v>-4.761904761904745E-3</v>
      </c>
    </row>
    <row r="180" spans="1:8" x14ac:dyDescent="0.25">
      <c r="A180" s="46">
        <v>44819</v>
      </c>
      <c r="B180" s="14">
        <v>105.010002</v>
      </c>
      <c r="C180" s="14">
        <v>106.209999</v>
      </c>
      <c r="D180" s="14">
        <v>103.30999799999999</v>
      </c>
      <c r="E180" s="14">
        <v>103.900002</v>
      </c>
      <c r="F180" s="14">
        <v>103.900002</v>
      </c>
      <c r="G180" s="14">
        <v>26494900</v>
      </c>
      <c r="H180" s="14">
        <f t="shared" si="2"/>
        <v>-1.1387578947368526E-2</v>
      </c>
    </row>
    <row r="181" spans="1:8" x14ac:dyDescent="0.25">
      <c r="A181" s="46">
        <v>44820</v>
      </c>
      <c r="B181" s="14">
        <v>102.970001</v>
      </c>
      <c r="C181" s="14">
        <v>104.029999</v>
      </c>
      <c r="D181" s="14">
        <v>101.855003</v>
      </c>
      <c r="E181" s="14">
        <v>103.629997</v>
      </c>
      <c r="F181" s="14">
        <v>103.629997</v>
      </c>
      <c r="G181" s="14">
        <v>64540100</v>
      </c>
      <c r="H181" s="14">
        <f t="shared" si="2"/>
        <v>-1.4083777254549901E-2</v>
      </c>
    </row>
    <row r="182" spans="1:8" x14ac:dyDescent="0.25">
      <c r="A182" s="46">
        <v>44823</v>
      </c>
      <c r="B182" s="14">
        <v>102.540001</v>
      </c>
      <c r="C182" s="14">
        <v>104.019997</v>
      </c>
      <c r="D182" s="14">
        <v>102.370003</v>
      </c>
      <c r="E182" s="14">
        <v>103.849998</v>
      </c>
      <c r="F182" s="14">
        <v>103.849998</v>
      </c>
      <c r="G182" s="14">
        <v>19738600</v>
      </c>
      <c r="H182" s="14">
        <f t="shared" si="2"/>
        <v>1.6854024015557172E-3</v>
      </c>
    </row>
    <row r="183" spans="1:8" x14ac:dyDescent="0.25">
      <c r="A183" s="46">
        <v>44824</v>
      </c>
      <c r="B183" s="14">
        <v>102.879997</v>
      </c>
      <c r="C183" s="14">
        <v>103.16999800000001</v>
      </c>
      <c r="D183" s="14">
        <v>101.120003</v>
      </c>
      <c r="E183" s="14">
        <v>101.83000199999999</v>
      </c>
      <c r="F183" s="14">
        <v>101.83000199999999</v>
      </c>
      <c r="G183" s="14">
        <v>24001700</v>
      </c>
      <c r="H183" s="14">
        <f t="shared" si="2"/>
        <v>-1.221060821889397E-2</v>
      </c>
    </row>
    <row r="184" spans="1:8" x14ac:dyDescent="0.25">
      <c r="A184" s="46">
        <v>44825</v>
      </c>
      <c r="B184" s="14">
        <v>102.239998</v>
      </c>
      <c r="C184" s="14">
        <v>103.489998</v>
      </c>
      <c r="D184" s="14">
        <v>99.989998</v>
      </c>
      <c r="E184" s="14">
        <v>100.010002</v>
      </c>
      <c r="F184" s="14">
        <v>100.010002</v>
      </c>
      <c r="G184" s="14">
        <v>26596800</v>
      </c>
      <c r="H184" s="14">
        <f t="shared" si="2"/>
        <v>-1.1174890886820887E-2</v>
      </c>
    </row>
    <row r="185" spans="1:8" x14ac:dyDescent="0.25">
      <c r="A185" s="46">
        <v>44826</v>
      </c>
      <c r="B185" s="14">
        <v>99.449996999999996</v>
      </c>
      <c r="C185" s="14">
        <v>101.68</v>
      </c>
      <c r="D185" s="14">
        <v>99.410004000000001</v>
      </c>
      <c r="E185" s="14">
        <v>100.57</v>
      </c>
      <c r="F185" s="14">
        <v>100.57</v>
      </c>
      <c r="G185" s="14">
        <v>21272700</v>
      </c>
      <c r="H185" s="14">
        <f t="shared" si="2"/>
        <v>-5.8005201680272345E-3</v>
      </c>
    </row>
    <row r="186" spans="1:8" x14ac:dyDescent="0.25">
      <c r="A186" s="46">
        <v>44827</v>
      </c>
      <c r="B186" s="14">
        <v>100.05999799999999</v>
      </c>
      <c r="C186" s="14">
        <v>100.110001</v>
      </c>
      <c r="D186" s="14">
        <v>98.010002</v>
      </c>
      <c r="E186" s="14">
        <v>99.169998000000007</v>
      </c>
      <c r="F186" s="14">
        <v>99.169998000000007</v>
      </c>
      <c r="G186" s="14">
        <v>25657000</v>
      </c>
      <c r="H186" s="14">
        <f t="shared" si="2"/>
        <v>-1.4083109784403636E-2</v>
      </c>
    </row>
    <row r="187" spans="1:8" x14ac:dyDescent="0.25">
      <c r="A187" s="46">
        <v>44830</v>
      </c>
      <c r="B187" s="14">
        <v>98.610000999999997</v>
      </c>
      <c r="C187" s="14">
        <v>100.44000200000001</v>
      </c>
      <c r="D187" s="14">
        <v>98.379997000000003</v>
      </c>
      <c r="E187" s="14">
        <v>98.809997999999993</v>
      </c>
      <c r="F187" s="14">
        <v>98.809997999999993</v>
      </c>
      <c r="G187" s="14">
        <v>22437900</v>
      </c>
      <c r="H187" s="14">
        <f t="shared" si="2"/>
        <v>1.2583579650031023E-3</v>
      </c>
    </row>
    <row r="188" spans="1:8" x14ac:dyDescent="0.25">
      <c r="A188" s="46">
        <v>44831</v>
      </c>
      <c r="B188" s="14">
        <v>99.910004000000001</v>
      </c>
      <c r="C188" s="14">
        <v>100.459999</v>
      </c>
      <c r="D188" s="14">
        <v>97.339995999999999</v>
      </c>
      <c r="E188" s="14">
        <v>98.089995999999999</v>
      </c>
      <c r="F188" s="14">
        <v>98.089995999999999</v>
      </c>
      <c r="G188" s="14">
        <v>24225000</v>
      </c>
      <c r="H188" s="14">
        <f t="shared" si="2"/>
        <v>-1.0571264807011538E-2</v>
      </c>
    </row>
    <row r="189" spans="1:8" x14ac:dyDescent="0.25">
      <c r="A189" s="46">
        <v>44832</v>
      </c>
      <c r="B189" s="14">
        <v>98.019997000000004</v>
      </c>
      <c r="C189" s="14">
        <v>101.400002</v>
      </c>
      <c r="D189" s="14">
        <v>97.800003000000004</v>
      </c>
      <c r="E189" s="14">
        <v>100.739998</v>
      </c>
      <c r="F189" s="14">
        <v>100.739998</v>
      </c>
      <c r="G189" s="14">
        <v>24617000</v>
      </c>
      <c r="H189" s="14">
        <f t="shared" si="2"/>
        <v>4.7257758260026428E-3</v>
      </c>
    </row>
    <row r="190" spans="1:8" x14ac:dyDescent="0.25">
      <c r="A190" s="46">
        <v>44833</v>
      </c>
      <c r="B190" s="14">
        <v>99.300003000000004</v>
      </c>
      <c r="C190" s="14">
        <v>99.300003000000004</v>
      </c>
      <c r="D190" s="14">
        <v>96.519997000000004</v>
      </c>
      <c r="E190" s="14">
        <v>98.089995999999999</v>
      </c>
      <c r="F190" s="14">
        <v>98.089995999999999</v>
      </c>
      <c r="G190" s="14">
        <v>21921500</v>
      </c>
      <c r="H190" s="14">
        <f t="shared" si="2"/>
        <v>-1.3087995508548222E-2</v>
      </c>
    </row>
    <row r="191" spans="1:8" x14ac:dyDescent="0.25">
      <c r="A191" s="46">
        <v>44834</v>
      </c>
      <c r="B191" s="14">
        <v>97.730002999999996</v>
      </c>
      <c r="C191" s="14">
        <v>99.494003000000006</v>
      </c>
      <c r="D191" s="14">
        <v>96.029999000000004</v>
      </c>
      <c r="E191" s="14">
        <v>96.150002000000001</v>
      </c>
      <c r="F191" s="14">
        <v>96.150002000000001</v>
      </c>
      <c r="G191" s="14">
        <v>26277800</v>
      </c>
      <c r="H191" s="14">
        <f t="shared" si="2"/>
        <v>-5.0766474847694365E-3</v>
      </c>
    </row>
    <row r="192" spans="1:8" x14ac:dyDescent="0.25">
      <c r="A192" s="46">
        <v>44837</v>
      </c>
      <c r="B192" s="14">
        <v>97.220000999999996</v>
      </c>
      <c r="C192" s="14">
        <v>99.970000999999996</v>
      </c>
      <c r="D192" s="14">
        <v>97.019997000000004</v>
      </c>
      <c r="E192" s="14">
        <v>99.300003000000004</v>
      </c>
      <c r="F192" s="14">
        <v>99.300003000000004</v>
      </c>
      <c r="G192" s="14">
        <v>24840000</v>
      </c>
      <c r="H192" s="14">
        <f t="shared" si="2"/>
        <v>3.4364192103483551E-3</v>
      </c>
    </row>
    <row r="193" spans="1:8" x14ac:dyDescent="0.25">
      <c r="A193" s="46">
        <v>44838</v>
      </c>
      <c r="B193" s="14">
        <v>101.040001</v>
      </c>
      <c r="C193" s="14">
        <v>102.720001</v>
      </c>
      <c r="D193" s="14">
        <v>101.040001</v>
      </c>
      <c r="E193" s="14">
        <v>102.410004</v>
      </c>
      <c r="F193" s="14">
        <v>102.410004</v>
      </c>
      <c r="G193" s="14">
        <v>22580900</v>
      </c>
      <c r="H193" s="14">
        <f t="shared" si="2"/>
        <v>4.1434798230307157E-2</v>
      </c>
    </row>
    <row r="194" spans="1:8" x14ac:dyDescent="0.25">
      <c r="A194" s="46">
        <v>44839</v>
      </c>
      <c r="B194" s="14">
        <v>100.69000200000001</v>
      </c>
      <c r="C194" s="14">
        <v>102.739998</v>
      </c>
      <c r="D194" s="14">
        <v>99.739998</v>
      </c>
      <c r="E194" s="14">
        <v>102.220001</v>
      </c>
      <c r="F194" s="14">
        <v>102.220001</v>
      </c>
      <c r="G194" s="14">
        <v>18475500</v>
      </c>
      <c r="H194" s="14">
        <f t="shared" si="2"/>
        <v>-1.2866221171157766E-2</v>
      </c>
    </row>
    <row r="195" spans="1:8" x14ac:dyDescent="0.25">
      <c r="A195" s="46">
        <v>44840</v>
      </c>
      <c r="B195" s="14">
        <v>101.5</v>
      </c>
      <c r="C195" s="14">
        <v>103.730003</v>
      </c>
      <c r="D195" s="14">
        <v>101.5</v>
      </c>
      <c r="E195" s="14">
        <v>102.239998</v>
      </c>
      <c r="F195" s="14">
        <v>102.239998</v>
      </c>
      <c r="G195" s="14">
        <v>17156200</v>
      </c>
      <c r="H195" s="14">
        <f t="shared" si="2"/>
        <v>1.7645899692117606E-2</v>
      </c>
    </row>
    <row r="196" spans="1:8" x14ac:dyDescent="0.25">
      <c r="A196" s="46">
        <v>44841</v>
      </c>
      <c r="B196" s="14">
        <v>100.650002</v>
      </c>
      <c r="C196" s="14">
        <v>101.41999800000001</v>
      </c>
      <c r="D196" s="14">
        <v>99.209998999999996</v>
      </c>
      <c r="E196" s="14">
        <v>99.57</v>
      </c>
      <c r="F196" s="14">
        <v>99.57</v>
      </c>
      <c r="G196" s="14">
        <v>24249900</v>
      </c>
      <c r="H196" s="14">
        <f t="shared" ref="H196:H259" si="3">(D196/D195-1)/(A196-A195)</f>
        <v>-2.2561586206896633E-2</v>
      </c>
    </row>
    <row r="197" spans="1:8" x14ac:dyDescent="0.25">
      <c r="A197" s="46">
        <v>44844</v>
      </c>
      <c r="B197" s="14">
        <v>99.849997999999999</v>
      </c>
      <c r="C197" s="14">
        <v>99.989998</v>
      </c>
      <c r="D197" s="14">
        <v>97.870002999999997</v>
      </c>
      <c r="E197" s="14">
        <v>98.709998999999996</v>
      </c>
      <c r="F197" s="14">
        <v>98.709998999999996</v>
      </c>
      <c r="G197" s="14">
        <v>16529900</v>
      </c>
      <c r="H197" s="14">
        <f t="shared" si="3"/>
        <v>-4.502220923652378E-3</v>
      </c>
    </row>
    <row r="198" spans="1:8" x14ac:dyDescent="0.25">
      <c r="A198" s="46">
        <v>44845</v>
      </c>
      <c r="B198" s="14">
        <v>98.25</v>
      </c>
      <c r="C198" s="14">
        <v>100.120003</v>
      </c>
      <c r="D198" s="14">
        <v>97.25</v>
      </c>
      <c r="E198" s="14">
        <v>98.050003000000004</v>
      </c>
      <c r="F198" s="14">
        <v>98.050003000000004</v>
      </c>
      <c r="G198" s="14">
        <v>21617700</v>
      </c>
      <c r="H198" s="14">
        <f t="shared" si="3"/>
        <v>-6.3349645549719558E-3</v>
      </c>
    </row>
    <row r="199" spans="1:8" x14ac:dyDescent="0.25">
      <c r="A199" s="46">
        <v>44846</v>
      </c>
      <c r="B199" s="14">
        <v>98.269997000000004</v>
      </c>
      <c r="C199" s="14">
        <v>99.648003000000003</v>
      </c>
      <c r="D199" s="14">
        <v>97.669998000000007</v>
      </c>
      <c r="E199" s="14">
        <v>98.300003000000004</v>
      </c>
      <c r="F199" s="14">
        <v>98.300003000000004</v>
      </c>
      <c r="G199" s="14">
        <v>17343400</v>
      </c>
      <c r="H199" s="14">
        <f t="shared" si="3"/>
        <v>4.3187455012854148E-3</v>
      </c>
    </row>
    <row r="200" spans="1:8" x14ac:dyDescent="0.25">
      <c r="A200" s="46">
        <v>44847</v>
      </c>
      <c r="B200" s="14">
        <v>95.93</v>
      </c>
      <c r="C200" s="14">
        <v>100.529999</v>
      </c>
      <c r="D200" s="14">
        <v>95.269997000000004</v>
      </c>
      <c r="E200" s="14">
        <v>99.709998999999996</v>
      </c>
      <c r="F200" s="14">
        <v>99.709998999999996</v>
      </c>
      <c r="G200" s="14">
        <v>32812200</v>
      </c>
      <c r="H200" s="14">
        <f t="shared" si="3"/>
        <v>-2.4572550928075199E-2</v>
      </c>
    </row>
    <row r="201" spans="1:8" x14ac:dyDescent="0.25">
      <c r="A201" s="46">
        <v>44848</v>
      </c>
      <c r="B201" s="14">
        <v>100.625</v>
      </c>
      <c r="C201" s="14">
        <v>101.290001</v>
      </c>
      <c r="D201" s="14">
        <v>97.029999000000004</v>
      </c>
      <c r="E201" s="14">
        <v>97.18</v>
      </c>
      <c r="F201" s="14">
        <v>97.18</v>
      </c>
      <c r="G201" s="14">
        <v>22624800</v>
      </c>
      <c r="H201" s="14">
        <f t="shared" si="3"/>
        <v>1.8473832847921701E-2</v>
      </c>
    </row>
    <row r="202" spans="1:8" x14ac:dyDescent="0.25">
      <c r="A202" s="46">
        <v>44851</v>
      </c>
      <c r="B202" s="14">
        <v>99.519997000000004</v>
      </c>
      <c r="C202" s="14">
        <v>101.769997</v>
      </c>
      <c r="D202" s="14">
        <v>99.510002</v>
      </c>
      <c r="E202" s="14">
        <v>100.779999</v>
      </c>
      <c r="F202" s="14">
        <v>100.779999</v>
      </c>
      <c r="G202" s="14">
        <v>23311600</v>
      </c>
      <c r="H202" s="14">
        <f t="shared" si="3"/>
        <v>8.519712204332416E-3</v>
      </c>
    </row>
    <row r="203" spans="1:8" x14ac:dyDescent="0.25">
      <c r="A203" s="46">
        <v>44852</v>
      </c>
      <c r="B203" s="14">
        <v>103.94000200000001</v>
      </c>
      <c r="C203" s="14">
        <v>104.220001</v>
      </c>
      <c r="D203" s="14">
        <v>100.650002</v>
      </c>
      <c r="E203" s="14">
        <v>101.389999</v>
      </c>
      <c r="F203" s="14">
        <v>101.389999</v>
      </c>
      <c r="G203" s="14">
        <v>21610500</v>
      </c>
      <c r="H203" s="14">
        <f t="shared" si="3"/>
        <v>1.1456134831551834E-2</v>
      </c>
    </row>
    <row r="204" spans="1:8" x14ac:dyDescent="0.25">
      <c r="A204" s="46">
        <v>44853</v>
      </c>
      <c r="B204" s="14">
        <v>100.699997</v>
      </c>
      <c r="C204" s="14">
        <v>101.658997</v>
      </c>
      <c r="D204" s="14">
        <v>99.635002</v>
      </c>
      <c r="E204" s="14">
        <v>100.290001</v>
      </c>
      <c r="F204" s="14">
        <v>100.290001</v>
      </c>
      <c r="G204" s="14">
        <v>21573700</v>
      </c>
      <c r="H204" s="14">
        <f t="shared" si="3"/>
        <v>-1.008445086767118E-2</v>
      </c>
    </row>
    <row r="205" spans="1:8" x14ac:dyDescent="0.25">
      <c r="A205" s="46">
        <v>44854</v>
      </c>
      <c r="B205" s="14">
        <v>100.82</v>
      </c>
      <c r="C205" s="14">
        <v>103</v>
      </c>
      <c r="D205" s="14">
        <v>99.970000999999996</v>
      </c>
      <c r="E205" s="14">
        <v>100.529999</v>
      </c>
      <c r="F205" s="14">
        <v>100.529999</v>
      </c>
      <c r="G205" s="14">
        <v>25125100</v>
      </c>
      <c r="H205" s="14">
        <f t="shared" si="3"/>
        <v>3.3622621897473337E-3</v>
      </c>
    </row>
    <row r="206" spans="1:8" x14ac:dyDescent="0.25">
      <c r="A206" s="46">
        <v>44855</v>
      </c>
      <c r="B206" s="14">
        <v>98.459998999999996</v>
      </c>
      <c r="C206" s="14">
        <v>101.620003</v>
      </c>
      <c r="D206" s="14">
        <v>98.230002999999996</v>
      </c>
      <c r="E206" s="14">
        <v>101.480003</v>
      </c>
      <c r="F206" s="14">
        <v>101.480003</v>
      </c>
      <c r="G206" s="14">
        <v>28988700</v>
      </c>
      <c r="H206" s="14">
        <f t="shared" si="3"/>
        <v>-1.7405201386363922E-2</v>
      </c>
    </row>
    <row r="207" spans="1:8" x14ac:dyDescent="0.25">
      <c r="A207" s="46">
        <v>44858</v>
      </c>
      <c r="B207" s="14">
        <v>102.089996</v>
      </c>
      <c r="C207" s="14">
        <v>103.099998</v>
      </c>
      <c r="D207" s="14">
        <v>100.300003</v>
      </c>
      <c r="E207" s="14">
        <v>102.970001</v>
      </c>
      <c r="F207" s="14">
        <v>102.970001</v>
      </c>
      <c r="G207" s="14">
        <v>24680800</v>
      </c>
      <c r="H207" s="14">
        <f t="shared" si="3"/>
        <v>7.0243304380230853E-3</v>
      </c>
    </row>
    <row r="208" spans="1:8" x14ac:dyDescent="0.25">
      <c r="A208" s="46">
        <v>44859</v>
      </c>
      <c r="B208" s="14">
        <v>103.300003</v>
      </c>
      <c r="C208" s="14">
        <v>105.099998</v>
      </c>
      <c r="D208" s="14">
        <v>103.019997</v>
      </c>
      <c r="E208" s="14">
        <v>104.93</v>
      </c>
      <c r="F208" s="14">
        <v>104.93</v>
      </c>
      <c r="G208" s="14">
        <v>29910200</v>
      </c>
      <c r="H208" s="14">
        <f t="shared" si="3"/>
        <v>2.7118583436134047E-2</v>
      </c>
    </row>
    <row r="209" spans="1:8" x14ac:dyDescent="0.25">
      <c r="A209" s="46">
        <v>44860</v>
      </c>
      <c r="B209" s="14">
        <v>96.760002</v>
      </c>
      <c r="C209" s="14">
        <v>98.540001000000004</v>
      </c>
      <c r="D209" s="14">
        <v>94.57</v>
      </c>
      <c r="E209" s="14">
        <v>94.82</v>
      </c>
      <c r="F209" s="14">
        <v>94.82</v>
      </c>
      <c r="G209" s="14">
        <v>71504300</v>
      </c>
      <c r="H209" s="14">
        <f t="shared" si="3"/>
        <v>-8.2022881441163431E-2</v>
      </c>
    </row>
    <row r="210" spans="1:8" x14ac:dyDescent="0.25">
      <c r="A210" s="46">
        <v>44861</v>
      </c>
      <c r="B210" s="14">
        <v>94.309997999999993</v>
      </c>
      <c r="C210" s="14">
        <v>95.169998000000007</v>
      </c>
      <c r="D210" s="14">
        <v>91.900002000000001</v>
      </c>
      <c r="E210" s="14">
        <v>92.599997999999999</v>
      </c>
      <c r="F210" s="14">
        <v>92.599997999999999</v>
      </c>
      <c r="G210" s="14">
        <v>54036500</v>
      </c>
      <c r="H210" s="14">
        <f t="shared" si="3"/>
        <v>-2.8233033731627333E-2</v>
      </c>
    </row>
    <row r="211" spans="1:8" x14ac:dyDescent="0.25">
      <c r="A211" s="46">
        <v>44862</v>
      </c>
      <c r="B211" s="14">
        <v>92.529999000000004</v>
      </c>
      <c r="C211" s="14">
        <v>96.860000999999997</v>
      </c>
      <c r="D211" s="14">
        <v>92.322997999999998</v>
      </c>
      <c r="E211" s="14">
        <v>96.580001999999993</v>
      </c>
      <c r="F211" s="14">
        <v>96.580001999999993</v>
      </c>
      <c r="G211" s="14">
        <v>35696900</v>
      </c>
      <c r="H211" s="14">
        <f t="shared" si="3"/>
        <v>4.602785536391929E-3</v>
      </c>
    </row>
    <row r="212" spans="1:8" x14ac:dyDescent="0.25">
      <c r="A212" s="46">
        <v>44865</v>
      </c>
      <c r="B212" s="14">
        <v>95.779999000000004</v>
      </c>
      <c r="C212" s="14">
        <v>96.349997999999999</v>
      </c>
      <c r="D212" s="14">
        <v>94.379997000000003</v>
      </c>
      <c r="E212" s="14">
        <v>94.660004000000001</v>
      </c>
      <c r="F212" s="14">
        <v>94.660004000000001</v>
      </c>
      <c r="G212" s="14">
        <v>29868700</v>
      </c>
      <c r="H212" s="14">
        <f t="shared" si="3"/>
        <v>7.42682049096081E-3</v>
      </c>
    </row>
    <row r="213" spans="1:8" x14ac:dyDescent="0.25">
      <c r="A213" s="46">
        <v>44866</v>
      </c>
      <c r="B213" s="14">
        <v>95.589995999999999</v>
      </c>
      <c r="C213" s="14">
        <v>96.165001000000004</v>
      </c>
      <c r="D213" s="14">
        <v>90.43</v>
      </c>
      <c r="E213" s="14">
        <v>90.5</v>
      </c>
      <c r="F213" s="14">
        <v>90.5</v>
      </c>
      <c r="G213" s="14">
        <v>43220600</v>
      </c>
      <c r="H213" s="14">
        <f t="shared" si="3"/>
        <v>-4.1852056850563368E-2</v>
      </c>
    </row>
    <row r="214" spans="1:8" x14ac:dyDescent="0.25">
      <c r="A214" s="46">
        <v>44867</v>
      </c>
      <c r="B214" s="14">
        <v>90.910004000000001</v>
      </c>
      <c r="C214" s="14">
        <v>91.300003000000004</v>
      </c>
      <c r="D214" s="14">
        <v>87.010002</v>
      </c>
      <c r="E214" s="14">
        <v>87.07</v>
      </c>
      <c r="F214" s="14">
        <v>87.07</v>
      </c>
      <c r="G214" s="14">
        <v>43553600</v>
      </c>
      <c r="H214" s="14">
        <f t="shared" si="3"/>
        <v>-3.7819285635298128E-2</v>
      </c>
    </row>
    <row r="215" spans="1:8" x14ac:dyDescent="0.25">
      <c r="A215" s="46">
        <v>44868</v>
      </c>
      <c r="B215" s="14">
        <v>86.345000999999996</v>
      </c>
      <c r="C215" s="14">
        <v>86.550003000000004</v>
      </c>
      <c r="D215" s="14">
        <v>83.449996999999996</v>
      </c>
      <c r="E215" s="14">
        <v>83.489998</v>
      </c>
      <c r="F215" s="14">
        <v>83.489998</v>
      </c>
      <c r="G215" s="14">
        <v>48510400</v>
      </c>
      <c r="H215" s="14">
        <f t="shared" si="3"/>
        <v>-4.0914893899209437E-2</v>
      </c>
    </row>
    <row r="216" spans="1:8" x14ac:dyDescent="0.25">
      <c r="A216" s="46">
        <v>44869</v>
      </c>
      <c r="B216" s="14">
        <v>85.510002</v>
      </c>
      <c r="C216" s="14">
        <v>86.730002999999996</v>
      </c>
      <c r="D216" s="14">
        <v>83.879997000000003</v>
      </c>
      <c r="E216" s="14">
        <v>86.699996999999996</v>
      </c>
      <c r="F216" s="14">
        <v>86.699996999999996</v>
      </c>
      <c r="G216" s="14">
        <v>40173300</v>
      </c>
      <c r="H216" s="14">
        <f t="shared" si="3"/>
        <v>5.152786284701838E-3</v>
      </c>
    </row>
    <row r="217" spans="1:8" x14ac:dyDescent="0.25">
      <c r="A217" s="46">
        <v>44872</v>
      </c>
      <c r="B217" s="14">
        <v>87.339995999999999</v>
      </c>
      <c r="C217" s="14">
        <v>88.940002000000007</v>
      </c>
      <c r="D217" s="14">
        <v>86.959998999999996</v>
      </c>
      <c r="E217" s="14">
        <v>88.650002000000001</v>
      </c>
      <c r="F217" s="14">
        <v>88.650002000000001</v>
      </c>
      <c r="G217" s="14">
        <v>26899900</v>
      </c>
      <c r="H217" s="14">
        <f t="shared" si="3"/>
        <v>1.2239715904297585E-2</v>
      </c>
    </row>
    <row r="218" spans="1:8" x14ac:dyDescent="0.25">
      <c r="A218" s="46">
        <v>44873</v>
      </c>
      <c r="B218" s="14">
        <v>89.160004000000001</v>
      </c>
      <c r="C218" s="14">
        <v>90.404999000000004</v>
      </c>
      <c r="D218" s="14">
        <v>87.650002000000001</v>
      </c>
      <c r="E218" s="14">
        <v>88.910004000000001</v>
      </c>
      <c r="F218" s="14">
        <v>88.910004000000001</v>
      </c>
      <c r="G218" s="14">
        <v>30172000</v>
      </c>
      <c r="H218" s="14">
        <f t="shared" si="3"/>
        <v>7.9347172025612256E-3</v>
      </c>
    </row>
    <row r="219" spans="1:8" x14ac:dyDescent="0.25">
      <c r="A219" s="46">
        <v>44874</v>
      </c>
      <c r="B219" s="14">
        <v>88.544998000000007</v>
      </c>
      <c r="C219" s="14">
        <v>89.489998</v>
      </c>
      <c r="D219" s="14">
        <v>87.360000999999997</v>
      </c>
      <c r="E219" s="14">
        <v>87.400002000000001</v>
      </c>
      <c r="F219" s="14">
        <v>87.400002000000001</v>
      </c>
      <c r="G219" s="14">
        <v>26743900</v>
      </c>
      <c r="H219" s="14">
        <f t="shared" si="3"/>
        <v>-3.3086251384227827E-3</v>
      </c>
    </row>
    <row r="220" spans="1:8" x14ac:dyDescent="0.25">
      <c r="A220" s="46">
        <v>44875</v>
      </c>
      <c r="B220" s="14">
        <v>92.339995999999999</v>
      </c>
      <c r="C220" s="14">
        <v>94.550003000000004</v>
      </c>
      <c r="D220" s="14">
        <v>91.650002000000001</v>
      </c>
      <c r="E220" s="14">
        <v>94.169998000000007</v>
      </c>
      <c r="F220" s="14">
        <v>94.169998000000007</v>
      </c>
      <c r="G220" s="14">
        <v>42371200</v>
      </c>
      <c r="H220" s="14">
        <f t="shared" si="3"/>
        <v>4.910715374190544E-2</v>
      </c>
    </row>
    <row r="221" spans="1:8" x14ac:dyDescent="0.25">
      <c r="A221" s="46">
        <v>44876</v>
      </c>
      <c r="B221" s="14">
        <v>94.709998999999996</v>
      </c>
      <c r="C221" s="14">
        <v>97.360000999999997</v>
      </c>
      <c r="D221" s="14">
        <v>94.160004000000001</v>
      </c>
      <c r="E221" s="14">
        <v>96.730002999999996</v>
      </c>
      <c r="F221" s="14">
        <v>96.730002999999996</v>
      </c>
      <c r="G221" s="14">
        <v>30569100</v>
      </c>
      <c r="H221" s="14">
        <f t="shared" si="3"/>
        <v>2.7386818824073789E-2</v>
      </c>
    </row>
    <row r="222" spans="1:8" x14ac:dyDescent="0.25">
      <c r="A222" s="46">
        <v>44879</v>
      </c>
      <c r="B222" s="14">
        <v>95.5</v>
      </c>
      <c r="C222" s="14">
        <v>97.18</v>
      </c>
      <c r="D222" s="14">
        <v>95.112999000000002</v>
      </c>
      <c r="E222" s="14">
        <v>96.029999000000004</v>
      </c>
      <c r="F222" s="14">
        <v>96.029999000000004</v>
      </c>
      <c r="G222" s="14">
        <v>24170100</v>
      </c>
      <c r="H222" s="14">
        <f t="shared" si="3"/>
        <v>3.3736723290708572E-3</v>
      </c>
    </row>
    <row r="223" spans="1:8" x14ac:dyDescent="0.25">
      <c r="A223" s="46">
        <v>44880</v>
      </c>
      <c r="B223" s="14">
        <v>98.669998000000007</v>
      </c>
      <c r="C223" s="14">
        <v>100.41999800000001</v>
      </c>
      <c r="D223" s="14">
        <v>97.019997000000004</v>
      </c>
      <c r="E223" s="14">
        <v>98.720000999999996</v>
      </c>
      <c r="F223" s="14">
        <v>98.720000999999996</v>
      </c>
      <c r="G223" s="14">
        <v>31831000</v>
      </c>
      <c r="H223" s="14">
        <f t="shared" si="3"/>
        <v>2.0049814642055352E-2</v>
      </c>
    </row>
    <row r="224" spans="1:8" x14ac:dyDescent="0.25">
      <c r="A224" s="46">
        <v>44881</v>
      </c>
      <c r="B224" s="14">
        <v>98.019997000000004</v>
      </c>
      <c r="C224" s="14">
        <v>99.849997999999999</v>
      </c>
      <c r="D224" s="14">
        <v>97.902000000000001</v>
      </c>
      <c r="E224" s="14">
        <v>98.989998</v>
      </c>
      <c r="F224" s="14">
        <v>98.989998</v>
      </c>
      <c r="G224" s="14">
        <v>24660200</v>
      </c>
      <c r="H224" s="14">
        <f t="shared" si="3"/>
        <v>9.0909402934737926E-3</v>
      </c>
    </row>
    <row r="225" spans="1:8" x14ac:dyDescent="0.25">
      <c r="A225" s="46">
        <v>44882</v>
      </c>
      <c r="B225" s="14">
        <v>97.18</v>
      </c>
      <c r="C225" s="14">
        <v>99.480002999999996</v>
      </c>
      <c r="D225" s="14">
        <v>97.099997999999999</v>
      </c>
      <c r="E225" s="14">
        <v>98.5</v>
      </c>
      <c r="F225" s="14">
        <v>98.5</v>
      </c>
      <c r="G225" s="14">
        <v>21818700</v>
      </c>
      <c r="H225" s="14">
        <f t="shared" si="3"/>
        <v>-8.1918857633143105E-3</v>
      </c>
    </row>
    <row r="226" spans="1:8" x14ac:dyDescent="0.25">
      <c r="A226" s="46">
        <v>44883</v>
      </c>
      <c r="B226" s="14">
        <v>99.010002</v>
      </c>
      <c r="C226" s="14">
        <v>99.160004000000001</v>
      </c>
      <c r="D226" s="14">
        <v>96.739998</v>
      </c>
      <c r="E226" s="14">
        <v>97.800003000000004</v>
      </c>
      <c r="F226" s="14">
        <v>97.800003000000004</v>
      </c>
      <c r="G226" s="14">
        <v>24969900</v>
      </c>
      <c r="H226" s="14">
        <f t="shared" si="3"/>
        <v>-3.7075180990220336E-3</v>
      </c>
    </row>
    <row r="227" spans="1:8" x14ac:dyDescent="0.25">
      <c r="A227" s="46">
        <v>44886</v>
      </c>
      <c r="B227" s="14">
        <v>97.559997999999993</v>
      </c>
      <c r="C227" s="14">
        <v>98.720000999999996</v>
      </c>
      <c r="D227" s="14">
        <v>95.669998000000007</v>
      </c>
      <c r="E227" s="14">
        <v>95.830001999999993</v>
      </c>
      <c r="F227" s="14">
        <v>95.830001999999993</v>
      </c>
      <c r="G227" s="14">
        <v>18696900</v>
      </c>
      <c r="H227" s="14">
        <f t="shared" si="3"/>
        <v>-3.6868583216909481E-3</v>
      </c>
    </row>
    <row r="228" spans="1:8" x14ac:dyDescent="0.25">
      <c r="A228" s="46">
        <v>44887</v>
      </c>
      <c r="B228" s="14">
        <v>96.160004000000001</v>
      </c>
      <c r="C228" s="14">
        <v>97.547996999999995</v>
      </c>
      <c r="D228" s="14">
        <v>94.410004000000001</v>
      </c>
      <c r="E228" s="14">
        <v>97.330001999999993</v>
      </c>
      <c r="F228" s="14">
        <v>97.330001999999993</v>
      </c>
      <c r="G228" s="14">
        <v>18868900</v>
      </c>
      <c r="H228" s="14">
        <f t="shared" si="3"/>
        <v>-1.3170210372535074E-2</v>
      </c>
    </row>
    <row r="229" spans="1:8" x14ac:dyDescent="0.25">
      <c r="A229" s="46">
        <v>44888</v>
      </c>
      <c r="B229" s="14">
        <v>97.339995999999999</v>
      </c>
      <c r="C229" s="14">
        <v>99.069000000000003</v>
      </c>
      <c r="D229" s="14">
        <v>97.339995999999999</v>
      </c>
      <c r="E229" s="14">
        <v>98.82</v>
      </c>
      <c r="F229" s="14">
        <v>98.82</v>
      </c>
      <c r="G229" s="14">
        <v>17568900</v>
      </c>
      <c r="H229" s="14">
        <f t="shared" si="3"/>
        <v>3.1034761951710177E-2</v>
      </c>
    </row>
    <row r="230" spans="1:8" x14ac:dyDescent="0.25">
      <c r="A230" s="46">
        <v>44890</v>
      </c>
      <c r="B230" s="14">
        <v>98.464995999999999</v>
      </c>
      <c r="C230" s="14">
        <v>98.940002000000007</v>
      </c>
      <c r="D230" s="14">
        <v>97.529999000000004</v>
      </c>
      <c r="E230" s="14">
        <v>97.599997999999999</v>
      </c>
      <c r="F230" s="14">
        <v>97.599997999999999</v>
      </c>
      <c r="G230" s="14">
        <v>8567800</v>
      </c>
      <c r="H230" s="14">
        <f t="shared" si="3"/>
        <v>9.7597600065657542E-4</v>
      </c>
    </row>
    <row r="231" spans="1:8" x14ac:dyDescent="0.25">
      <c r="A231" s="46">
        <v>44893</v>
      </c>
      <c r="B231" s="14">
        <v>97.199996999999996</v>
      </c>
      <c r="C231" s="14">
        <v>97.830001999999993</v>
      </c>
      <c r="D231" s="14">
        <v>95.889999000000003</v>
      </c>
      <c r="E231" s="14">
        <v>96.25</v>
      </c>
      <c r="F231" s="14">
        <v>96.25</v>
      </c>
      <c r="G231" s="14">
        <v>19974500</v>
      </c>
      <c r="H231" s="14">
        <f t="shared" si="3"/>
        <v>-5.6051130141677357E-3</v>
      </c>
    </row>
    <row r="232" spans="1:8" x14ac:dyDescent="0.25">
      <c r="A232" s="46">
        <v>44894</v>
      </c>
      <c r="B232" s="14">
        <v>96</v>
      </c>
      <c r="C232" s="14">
        <v>96.389999000000003</v>
      </c>
      <c r="D232" s="14">
        <v>94.389999000000003</v>
      </c>
      <c r="E232" s="14">
        <v>95.440002000000007</v>
      </c>
      <c r="F232" s="14">
        <v>95.440002000000007</v>
      </c>
      <c r="G232" s="14">
        <v>20220000</v>
      </c>
      <c r="H232" s="14">
        <f t="shared" si="3"/>
        <v>-1.56429243470948E-2</v>
      </c>
    </row>
    <row r="233" spans="1:8" x14ac:dyDescent="0.25">
      <c r="A233" s="46">
        <v>44895</v>
      </c>
      <c r="B233" s="14">
        <v>95.120002999999997</v>
      </c>
      <c r="C233" s="14">
        <v>101.449997</v>
      </c>
      <c r="D233" s="14">
        <v>94.669998000000007</v>
      </c>
      <c r="E233" s="14">
        <v>101.449997</v>
      </c>
      <c r="F233" s="14">
        <v>101.449997</v>
      </c>
      <c r="G233" s="14">
        <v>39888100</v>
      </c>
      <c r="H233" s="14">
        <f t="shared" si="3"/>
        <v>2.9664053709759219E-3</v>
      </c>
    </row>
    <row r="234" spans="1:8" x14ac:dyDescent="0.25">
      <c r="A234" s="46">
        <v>44896</v>
      </c>
      <c r="B234" s="14">
        <v>101.400002</v>
      </c>
      <c r="C234" s="14">
        <v>102.589996</v>
      </c>
      <c r="D234" s="14">
        <v>100.66999800000001</v>
      </c>
      <c r="E234" s="14">
        <v>101.279999</v>
      </c>
      <c r="F234" s="14">
        <v>101.279999</v>
      </c>
      <c r="G234" s="14">
        <v>21771500</v>
      </c>
      <c r="H234" s="14">
        <f t="shared" si="3"/>
        <v>6.3378051407585234E-2</v>
      </c>
    </row>
    <row r="235" spans="1:8" x14ac:dyDescent="0.25">
      <c r="A235" s="46">
        <v>44897</v>
      </c>
      <c r="B235" s="14">
        <v>99.370002999999997</v>
      </c>
      <c r="C235" s="14">
        <v>101.150002</v>
      </c>
      <c r="D235" s="14">
        <v>99.169998000000007</v>
      </c>
      <c r="E235" s="14">
        <v>100.83000199999999</v>
      </c>
      <c r="F235" s="14">
        <v>100.83000199999999</v>
      </c>
      <c r="G235" s="14">
        <v>18821500</v>
      </c>
      <c r="H235" s="14">
        <f t="shared" si="3"/>
        <v>-1.4900169164600574E-2</v>
      </c>
    </row>
    <row r="236" spans="1:8" x14ac:dyDescent="0.25">
      <c r="A236" s="46">
        <v>44900</v>
      </c>
      <c r="B236" s="14">
        <v>99.815002000000007</v>
      </c>
      <c r="C236" s="14">
        <v>101.75</v>
      </c>
      <c r="D236" s="14">
        <v>99.355002999999996</v>
      </c>
      <c r="E236" s="14">
        <v>99.870002999999997</v>
      </c>
      <c r="F236" s="14">
        <v>99.870002999999997</v>
      </c>
      <c r="G236" s="14">
        <v>19955500</v>
      </c>
      <c r="H236" s="14">
        <f t="shared" si="3"/>
        <v>6.2184465641849462E-4</v>
      </c>
    </row>
    <row r="237" spans="1:8" x14ac:dyDescent="0.25">
      <c r="A237" s="46">
        <v>44901</v>
      </c>
      <c r="B237" s="14">
        <v>99.669998000000007</v>
      </c>
      <c r="C237" s="14">
        <v>100.209999</v>
      </c>
      <c r="D237" s="14">
        <v>96.760002</v>
      </c>
      <c r="E237" s="14">
        <v>97.309997999999993</v>
      </c>
      <c r="F237" s="14">
        <v>97.309997999999993</v>
      </c>
      <c r="G237" s="14">
        <v>20877600</v>
      </c>
      <c r="H237" s="14">
        <f t="shared" si="3"/>
        <v>-2.6118473369680206E-2</v>
      </c>
    </row>
    <row r="238" spans="1:8" x14ac:dyDescent="0.25">
      <c r="A238" s="46">
        <v>44902</v>
      </c>
      <c r="B238" s="14">
        <v>96.769997000000004</v>
      </c>
      <c r="C238" s="14">
        <v>97.309997999999993</v>
      </c>
      <c r="D238" s="14">
        <v>95.025002000000001</v>
      </c>
      <c r="E238" s="14">
        <v>95.150002000000001</v>
      </c>
      <c r="F238" s="14">
        <v>95.150002000000001</v>
      </c>
      <c r="G238" s="14">
        <v>26647900</v>
      </c>
      <c r="H238" s="14">
        <f t="shared" si="3"/>
        <v>-1.793096283730955E-2</v>
      </c>
    </row>
    <row r="239" spans="1:8" x14ac:dyDescent="0.25">
      <c r="A239" s="46">
        <v>44903</v>
      </c>
      <c r="B239" s="14">
        <v>95.690002000000007</v>
      </c>
      <c r="C239" s="14">
        <v>95.870002999999997</v>
      </c>
      <c r="D239" s="14">
        <v>93.800003000000004</v>
      </c>
      <c r="E239" s="14">
        <v>93.949996999999996</v>
      </c>
      <c r="F239" s="14">
        <v>93.949996999999996</v>
      </c>
      <c r="G239" s="14">
        <v>25593200</v>
      </c>
      <c r="H239" s="14">
        <f t="shared" si="3"/>
        <v>-1.2891333588185505E-2</v>
      </c>
    </row>
    <row r="240" spans="1:8" x14ac:dyDescent="0.25">
      <c r="A240" s="46">
        <v>44904</v>
      </c>
      <c r="B240" s="14">
        <v>93.900002000000001</v>
      </c>
      <c r="C240" s="14">
        <v>94.489998</v>
      </c>
      <c r="D240" s="14">
        <v>93.019997000000004</v>
      </c>
      <c r="E240" s="14">
        <v>93.07</v>
      </c>
      <c r="F240" s="14">
        <v>93.07</v>
      </c>
      <c r="G240" s="14">
        <v>21885300</v>
      </c>
      <c r="H240" s="14">
        <f t="shared" si="3"/>
        <v>-8.3156287319094968E-3</v>
      </c>
    </row>
    <row r="241" spans="1:8" x14ac:dyDescent="0.25">
      <c r="A241" s="46">
        <v>44907</v>
      </c>
      <c r="B241" s="14">
        <v>93.089995999999999</v>
      </c>
      <c r="C241" s="14">
        <v>93.875</v>
      </c>
      <c r="D241" s="14">
        <v>91.900002000000001</v>
      </c>
      <c r="E241" s="14">
        <v>93.559997999999993</v>
      </c>
      <c r="F241" s="14">
        <v>93.559997999999993</v>
      </c>
      <c r="G241" s="14">
        <v>27380900</v>
      </c>
      <c r="H241" s="14">
        <f t="shared" si="3"/>
        <v>-4.0134560170612303E-3</v>
      </c>
    </row>
    <row r="242" spans="1:8" x14ac:dyDescent="0.25">
      <c r="A242" s="46">
        <v>44908</v>
      </c>
      <c r="B242" s="14">
        <v>98.07</v>
      </c>
      <c r="C242" s="14">
        <v>99.800003000000004</v>
      </c>
      <c r="D242" s="14">
        <v>95.379997000000003</v>
      </c>
      <c r="E242" s="14">
        <v>95.849997999999999</v>
      </c>
      <c r="F242" s="14">
        <v>95.849997999999999</v>
      </c>
      <c r="G242" s="14">
        <v>34788500</v>
      </c>
      <c r="H242" s="14">
        <f t="shared" si="3"/>
        <v>3.7867191776557396E-2</v>
      </c>
    </row>
    <row r="243" spans="1:8" x14ac:dyDescent="0.25">
      <c r="A243" s="46">
        <v>44909</v>
      </c>
      <c r="B243" s="14">
        <v>95.540001000000004</v>
      </c>
      <c r="C243" s="14">
        <v>97.220000999999996</v>
      </c>
      <c r="D243" s="14">
        <v>93.940002000000007</v>
      </c>
      <c r="E243" s="14">
        <v>95.309997999999993</v>
      </c>
      <c r="F243" s="14">
        <v>95.309997999999993</v>
      </c>
      <c r="G243" s="14">
        <v>26452900</v>
      </c>
      <c r="H243" s="14">
        <f t="shared" si="3"/>
        <v>-1.5097452770940989E-2</v>
      </c>
    </row>
    <row r="244" spans="1:8" x14ac:dyDescent="0.25">
      <c r="A244" s="46">
        <v>44910</v>
      </c>
      <c r="B244" s="14">
        <v>93.540001000000004</v>
      </c>
      <c r="C244" s="14">
        <v>94.029999000000004</v>
      </c>
      <c r="D244" s="14">
        <v>90.43</v>
      </c>
      <c r="E244" s="14">
        <v>91.199996999999996</v>
      </c>
      <c r="F244" s="14">
        <v>91.199996999999996</v>
      </c>
      <c r="G244" s="14">
        <v>28298800</v>
      </c>
      <c r="H244" s="14">
        <f t="shared" si="3"/>
        <v>-3.7364295563885541E-2</v>
      </c>
    </row>
    <row r="245" spans="1:8" x14ac:dyDescent="0.25">
      <c r="A245" s="46">
        <v>44911</v>
      </c>
      <c r="B245" s="14">
        <v>91.199996999999996</v>
      </c>
      <c r="C245" s="14">
        <v>91.75</v>
      </c>
      <c r="D245" s="14">
        <v>90.010002</v>
      </c>
      <c r="E245" s="14">
        <v>90.860000999999997</v>
      </c>
      <c r="F245" s="14">
        <v>90.860000999999997</v>
      </c>
      <c r="G245" s="14">
        <v>48485500</v>
      </c>
      <c r="H245" s="14">
        <f t="shared" si="3"/>
        <v>-4.6444542740241568E-3</v>
      </c>
    </row>
    <row r="246" spans="1:8" x14ac:dyDescent="0.25">
      <c r="A246" s="46">
        <v>44914</v>
      </c>
      <c r="B246" s="14">
        <v>90.879997000000003</v>
      </c>
      <c r="C246" s="14">
        <v>91.199996999999996</v>
      </c>
      <c r="D246" s="14">
        <v>88.925003000000004</v>
      </c>
      <c r="E246" s="14">
        <v>89.150002000000001</v>
      </c>
      <c r="F246" s="14">
        <v>89.150002000000001</v>
      </c>
      <c r="G246" s="14">
        <v>23020500</v>
      </c>
      <c r="H246" s="14">
        <f t="shared" si="3"/>
        <v>-4.0180682734940092E-3</v>
      </c>
    </row>
    <row r="247" spans="1:8" x14ac:dyDescent="0.25">
      <c r="A247" s="46">
        <v>44915</v>
      </c>
      <c r="B247" s="14">
        <v>88.730002999999996</v>
      </c>
      <c r="C247" s="14">
        <v>89.779999000000004</v>
      </c>
      <c r="D247" s="14">
        <v>88.040001000000004</v>
      </c>
      <c r="E247" s="14">
        <v>89.629997000000003</v>
      </c>
      <c r="F247" s="14">
        <v>89.629997000000003</v>
      </c>
      <c r="G247" s="14">
        <v>21976800</v>
      </c>
      <c r="H247" s="14">
        <f t="shared" si="3"/>
        <v>-9.9522290710521988E-3</v>
      </c>
    </row>
    <row r="248" spans="1:8" x14ac:dyDescent="0.25">
      <c r="A248" s="46">
        <v>44916</v>
      </c>
      <c r="B248" s="14">
        <v>89.730002999999996</v>
      </c>
      <c r="C248" s="14">
        <v>90.915001000000004</v>
      </c>
      <c r="D248" s="14">
        <v>88.910004000000001</v>
      </c>
      <c r="E248" s="14">
        <v>90.25</v>
      </c>
      <c r="F248" s="14">
        <v>90.25</v>
      </c>
      <c r="G248" s="14">
        <v>20336400</v>
      </c>
      <c r="H248" s="14">
        <f t="shared" si="3"/>
        <v>9.8819058395966941E-3</v>
      </c>
    </row>
    <row r="249" spans="1:8" x14ac:dyDescent="0.25">
      <c r="A249" s="46">
        <v>44917</v>
      </c>
      <c r="B249" s="14">
        <v>88.93</v>
      </c>
      <c r="C249" s="14">
        <v>89.18</v>
      </c>
      <c r="D249" s="14">
        <v>86.940002000000007</v>
      </c>
      <c r="E249" s="14">
        <v>88.260002</v>
      </c>
      <c r="F249" s="14">
        <v>88.260002</v>
      </c>
      <c r="G249" s="14">
        <v>23656100</v>
      </c>
      <c r="H249" s="14">
        <f t="shared" si="3"/>
        <v>-2.2157259153874231E-2</v>
      </c>
    </row>
    <row r="250" spans="1:8" x14ac:dyDescent="0.25">
      <c r="A250" s="46">
        <v>44918</v>
      </c>
      <c r="B250" s="14">
        <v>87.620002999999997</v>
      </c>
      <c r="C250" s="14">
        <v>90.099997999999999</v>
      </c>
      <c r="D250" s="14">
        <v>87.620002999999997</v>
      </c>
      <c r="E250" s="14">
        <v>89.809997999999993</v>
      </c>
      <c r="F250" s="14">
        <v>89.809997999999993</v>
      </c>
      <c r="G250" s="14">
        <v>17815000</v>
      </c>
      <c r="H250" s="14">
        <f t="shared" si="3"/>
        <v>7.8214974046122432E-3</v>
      </c>
    </row>
    <row r="251" spans="1:8" x14ac:dyDescent="0.25">
      <c r="A251" s="46">
        <v>44922</v>
      </c>
      <c r="B251" s="14">
        <v>89.309997999999993</v>
      </c>
      <c r="C251" s="14">
        <v>89.5</v>
      </c>
      <c r="D251" s="14">
        <v>87.535004000000001</v>
      </c>
      <c r="E251" s="14">
        <v>87.93</v>
      </c>
      <c r="F251" s="14">
        <v>87.93</v>
      </c>
      <c r="G251" s="14">
        <v>15470900</v>
      </c>
      <c r="H251" s="14">
        <f t="shared" si="3"/>
        <v>-2.4252167624325138E-4</v>
      </c>
    </row>
    <row r="252" spans="1:8" x14ac:dyDescent="0.25">
      <c r="A252" s="46">
        <v>44923</v>
      </c>
      <c r="B252" s="14">
        <v>87.5</v>
      </c>
      <c r="C252" s="14">
        <v>88.519997000000004</v>
      </c>
      <c r="D252" s="14">
        <v>86.370002999999997</v>
      </c>
      <c r="E252" s="14">
        <v>86.459998999999996</v>
      </c>
      <c r="F252" s="14">
        <v>86.459998999999996</v>
      </c>
      <c r="G252" s="14">
        <v>17879600</v>
      </c>
      <c r="H252" s="14">
        <f t="shared" si="3"/>
        <v>-1.3308972945268893E-2</v>
      </c>
    </row>
    <row r="253" spans="1:8" x14ac:dyDescent="0.25">
      <c r="A253" s="46">
        <v>44924</v>
      </c>
      <c r="B253" s="14">
        <v>87.029999000000004</v>
      </c>
      <c r="C253" s="14">
        <v>89.364998</v>
      </c>
      <c r="D253" s="14">
        <v>86.989998</v>
      </c>
      <c r="E253" s="14">
        <v>88.949996999999996</v>
      </c>
      <c r="F253" s="14">
        <v>88.949996999999996</v>
      </c>
      <c r="G253" s="14">
        <v>18280700</v>
      </c>
      <c r="H253" s="14">
        <f t="shared" si="3"/>
        <v>7.1783602925197254E-3</v>
      </c>
    </row>
    <row r="254" spans="1:8" x14ac:dyDescent="0.25">
      <c r="A254" s="46">
        <v>44925</v>
      </c>
      <c r="B254" s="14">
        <v>87.364998</v>
      </c>
      <c r="C254" s="14">
        <v>88.830001999999993</v>
      </c>
      <c r="D254" s="14">
        <v>87.029999000000004</v>
      </c>
      <c r="E254" s="14">
        <v>88.730002999999996</v>
      </c>
      <c r="F254" s="14">
        <v>88.730002999999996</v>
      </c>
      <c r="G254" s="14">
        <v>19190300</v>
      </c>
      <c r="H254" s="14">
        <f t="shared" si="3"/>
        <v>4.5983447430364421E-4</v>
      </c>
    </row>
    <row r="255" spans="1:8" x14ac:dyDescent="0.25">
      <c r="A255" s="46">
        <v>44929</v>
      </c>
      <c r="B255" s="14">
        <v>89.830001999999993</v>
      </c>
      <c r="C255" s="14">
        <v>91.550003000000004</v>
      </c>
      <c r="D255" s="14">
        <v>89.019997000000004</v>
      </c>
      <c r="E255" s="14">
        <v>89.699996999999996</v>
      </c>
      <c r="F255" s="14">
        <v>89.699996999999996</v>
      </c>
      <c r="G255" s="14">
        <v>20738500</v>
      </c>
      <c r="H255" s="14">
        <f t="shared" si="3"/>
        <v>5.7164139459544017E-3</v>
      </c>
    </row>
    <row r="256" spans="1:8" x14ac:dyDescent="0.25">
      <c r="A256" s="46">
        <v>44930</v>
      </c>
      <c r="B256" s="14">
        <v>91.010002</v>
      </c>
      <c r="C256" s="14">
        <v>91.239998</v>
      </c>
      <c r="D256" s="14">
        <v>87.800003000000004</v>
      </c>
      <c r="E256" s="14">
        <v>88.709998999999996</v>
      </c>
      <c r="F256" s="14">
        <v>88.709998999999996</v>
      </c>
      <c r="G256" s="14">
        <v>27046500</v>
      </c>
      <c r="H256" s="14">
        <f t="shared" si="3"/>
        <v>-1.3704718502742685E-2</v>
      </c>
    </row>
    <row r="257" spans="1:8" x14ac:dyDescent="0.25">
      <c r="A257" s="46">
        <v>44931</v>
      </c>
      <c r="B257" s="14">
        <v>88.07</v>
      </c>
      <c r="C257" s="14">
        <v>88.209998999999996</v>
      </c>
      <c r="D257" s="14">
        <v>86.559997999999993</v>
      </c>
      <c r="E257" s="14">
        <v>86.769997000000004</v>
      </c>
      <c r="F257" s="14">
        <v>86.769997000000004</v>
      </c>
      <c r="G257" s="14">
        <v>23136100</v>
      </c>
      <c r="H257" s="14">
        <f t="shared" si="3"/>
        <v>-1.4123063298756455E-2</v>
      </c>
    </row>
    <row r="258" spans="1:8" x14ac:dyDescent="0.25">
      <c r="A258" s="46">
        <v>44932</v>
      </c>
      <c r="B258" s="14">
        <v>87.360000999999997</v>
      </c>
      <c r="C258" s="14">
        <v>88.470000999999996</v>
      </c>
      <c r="D258" s="14">
        <v>85.57</v>
      </c>
      <c r="E258" s="14">
        <v>88.160004000000001</v>
      </c>
      <c r="F258" s="14">
        <v>88.160004000000001</v>
      </c>
      <c r="G258" s="14">
        <v>26612600</v>
      </c>
      <c r="H258" s="14">
        <f t="shared" si="3"/>
        <v>-1.1437130578491939E-2</v>
      </c>
    </row>
    <row r="259" spans="1:8" x14ac:dyDescent="0.25">
      <c r="A259" s="46">
        <v>44935</v>
      </c>
      <c r="B259" s="14">
        <v>89.194999999999993</v>
      </c>
      <c r="C259" s="14">
        <v>90.830001999999993</v>
      </c>
      <c r="D259" s="14">
        <v>88.580001999999993</v>
      </c>
      <c r="E259" s="14">
        <v>88.800003000000004</v>
      </c>
      <c r="F259" s="14">
        <v>88.800003000000004</v>
      </c>
      <c r="G259" s="14">
        <v>22996700</v>
      </c>
      <c r="H259" s="14">
        <f t="shared" si="3"/>
        <v>1.1725300923220772E-2</v>
      </c>
    </row>
    <row r="260" spans="1:8" x14ac:dyDescent="0.25">
      <c r="A260" s="46">
        <v>44936</v>
      </c>
      <c r="B260" s="14">
        <v>86.720000999999996</v>
      </c>
      <c r="C260" s="14">
        <v>89.474997999999999</v>
      </c>
      <c r="D260" s="14">
        <v>86.699996999999996</v>
      </c>
      <c r="E260" s="14">
        <v>89.239998</v>
      </c>
      <c r="F260" s="14">
        <v>89.239998</v>
      </c>
      <c r="G260" s="14">
        <v>22855600</v>
      </c>
      <c r="H260" s="14">
        <f t="shared" ref="H260:H323" si="4">(D260/D259-1)/(A260-A259)</f>
        <v>-2.1223808507026209E-2</v>
      </c>
    </row>
    <row r="261" spans="1:8" x14ac:dyDescent="0.25">
      <c r="A261" s="46">
        <v>44937</v>
      </c>
      <c r="B261" s="14">
        <v>90.059997999999993</v>
      </c>
      <c r="C261" s="14">
        <v>92.449996999999996</v>
      </c>
      <c r="D261" s="14">
        <v>89.739998</v>
      </c>
      <c r="E261" s="14">
        <v>92.260002</v>
      </c>
      <c r="F261" s="14">
        <v>92.260002</v>
      </c>
      <c r="G261" s="14">
        <v>25998800</v>
      </c>
      <c r="H261" s="14">
        <f t="shared" si="4"/>
        <v>3.5063449886855391E-2</v>
      </c>
    </row>
    <row r="262" spans="1:8" x14ac:dyDescent="0.25">
      <c r="A262" s="46">
        <v>44938</v>
      </c>
      <c r="B262" s="14">
        <v>92.400002000000001</v>
      </c>
      <c r="C262" s="14">
        <v>92.620002999999997</v>
      </c>
      <c r="D262" s="14">
        <v>90.57</v>
      </c>
      <c r="E262" s="14">
        <v>91.910004000000001</v>
      </c>
      <c r="F262" s="14">
        <v>91.910004000000001</v>
      </c>
      <c r="G262" s="14">
        <v>22754200</v>
      </c>
      <c r="H262" s="14">
        <f t="shared" si="4"/>
        <v>9.2489638789605699E-3</v>
      </c>
    </row>
    <row r="263" spans="1:8" x14ac:dyDescent="0.25">
      <c r="A263" s="46">
        <v>44939</v>
      </c>
      <c r="B263" s="14">
        <v>91.528000000000006</v>
      </c>
      <c r="C263" s="14">
        <v>92.980002999999996</v>
      </c>
      <c r="D263" s="14">
        <v>90.93</v>
      </c>
      <c r="E263" s="14">
        <v>92.800003000000004</v>
      </c>
      <c r="F263" s="14">
        <v>92.800003000000004</v>
      </c>
      <c r="G263" s="14">
        <v>18630700</v>
      </c>
      <c r="H263" s="14">
        <f t="shared" si="4"/>
        <v>3.974826101358131E-3</v>
      </c>
    </row>
    <row r="264" spans="1:8" x14ac:dyDescent="0.25">
      <c r="A264" s="46">
        <v>44943</v>
      </c>
      <c r="B264" s="14">
        <v>92.779999000000004</v>
      </c>
      <c r="C264" s="14">
        <v>92.970000999999996</v>
      </c>
      <c r="D264" s="14">
        <v>90.839995999999999</v>
      </c>
      <c r="E264" s="14">
        <v>92.160004000000001</v>
      </c>
      <c r="F264" s="14">
        <v>92.160004000000001</v>
      </c>
      <c r="G264" s="14">
        <v>22935800</v>
      </c>
      <c r="H264" s="14">
        <f t="shared" si="4"/>
        <v>-2.4745408556034465E-4</v>
      </c>
    </row>
    <row r="265" spans="1:8" x14ac:dyDescent="0.25">
      <c r="A265" s="46">
        <v>44944</v>
      </c>
      <c r="B265" s="14">
        <v>92.940002000000007</v>
      </c>
      <c r="C265" s="14">
        <v>93.587997000000001</v>
      </c>
      <c r="D265" s="14">
        <v>91.400002000000001</v>
      </c>
      <c r="E265" s="14">
        <v>91.779999000000004</v>
      </c>
      <c r="F265" s="14">
        <v>91.779999000000004</v>
      </c>
      <c r="G265" s="14">
        <v>19641600</v>
      </c>
      <c r="H265" s="14">
        <f t="shared" si="4"/>
        <v>6.1647514823757188E-3</v>
      </c>
    </row>
    <row r="266" spans="1:8" x14ac:dyDescent="0.25">
      <c r="A266" s="46">
        <v>44945</v>
      </c>
      <c r="B266" s="14">
        <v>91.389999000000003</v>
      </c>
      <c r="C266" s="14">
        <v>94.400002000000001</v>
      </c>
      <c r="D266" s="14">
        <v>91.379997000000003</v>
      </c>
      <c r="E266" s="14">
        <v>93.910004000000001</v>
      </c>
      <c r="F266" s="14">
        <v>93.910004000000001</v>
      </c>
      <c r="G266" s="14">
        <v>28707700</v>
      </c>
      <c r="H266" s="14">
        <f t="shared" si="4"/>
        <v>-2.1887308054979737E-4</v>
      </c>
    </row>
    <row r="267" spans="1:8" x14ac:dyDescent="0.25">
      <c r="A267" s="46">
        <v>44946</v>
      </c>
      <c r="B267" s="14">
        <v>95.949996999999996</v>
      </c>
      <c r="C267" s="14">
        <v>99.419998000000007</v>
      </c>
      <c r="D267" s="14">
        <v>95.910004000000001</v>
      </c>
      <c r="E267" s="14">
        <v>99.279999000000004</v>
      </c>
      <c r="F267" s="14">
        <v>99.279999000000004</v>
      </c>
      <c r="G267" s="14">
        <v>53704800</v>
      </c>
      <c r="H267" s="14">
        <f t="shared" si="4"/>
        <v>4.957328899890423E-2</v>
      </c>
    </row>
    <row r="268" spans="1:8" x14ac:dyDescent="0.25">
      <c r="A268" s="46">
        <v>44949</v>
      </c>
      <c r="B268" s="14">
        <v>99.129997000000003</v>
      </c>
      <c r="C268" s="14">
        <v>101.400002</v>
      </c>
      <c r="D268" s="14">
        <v>98.75</v>
      </c>
      <c r="E268" s="14">
        <v>101.209999</v>
      </c>
      <c r="F268" s="14">
        <v>101.209999</v>
      </c>
      <c r="G268" s="14">
        <v>31791800</v>
      </c>
      <c r="H268" s="14">
        <f t="shared" si="4"/>
        <v>9.8703502643303995E-3</v>
      </c>
    </row>
    <row r="269" spans="1:8" x14ac:dyDescent="0.25">
      <c r="A269" s="46">
        <v>44950</v>
      </c>
      <c r="B269" s="14">
        <v>99.550003000000004</v>
      </c>
      <c r="C269" s="14">
        <v>101.089996</v>
      </c>
      <c r="D269" s="14">
        <v>98.699996999999996</v>
      </c>
      <c r="E269" s="14">
        <v>99.209998999999996</v>
      </c>
      <c r="F269" s="14">
        <v>99.209998999999996</v>
      </c>
      <c r="G269" s="14">
        <v>27391400</v>
      </c>
      <c r="H269" s="14">
        <f t="shared" si="4"/>
        <v>-5.0635949367094923E-4</v>
      </c>
    </row>
    <row r="270" spans="1:8" x14ac:dyDescent="0.25">
      <c r="A270" s="46">
        <v>44951</v>
      </c>
      <c r="B270" s="14">
        <v>97.199996999999996</v>
      </c>
      <c r="C270" s="14">
        <v>97.720000999999996</v>
      </c>
      <c r="D270" s="14">
        <v>95.262000999999998</v>
      </c>
      <c r="E270" s="14">
        <v>96.730002999999996</v>
      </c>
      <c r="F270" s="14">
        <v>96.730002999999996</v>
      </c>
      <c r="G270" s="14">
        <v>31000900</v>
      </c>
      <c r="H270" s="14">
        <f t="shared" si="4"/>
        <v>-3.4832787279618693E-2</v>
      </c>
    </row>
    <row r="271" spans="1:8" x14ac:dyDescent="0.25">
      <c r="A271" s="46">
        <v>44952</v>
      </c>
      <c r="B271" s="14">
        <v>98.279999000000004</v>
      </c>
      <c r="C271" s="14">
        <v>99.209998999999996</v>
      </c>
      <c r="D271" s="14">
        <v>96.82</v>
      </c>
      <c r="E271" s="14">
        <v>99.160004000000001</v>
      </c>
      <c r="F271" s="14">
        <v>99.160004000000001</v>
      </c>
      <c r="G271" s="14">
        <v>24542100</v>
      </c>
      <c r="H271" s="14">
        <f t="shared" si="4"/>
        <v>1.6354884252326229E-2</v>
      </c>
    </row>
    <row r="272" spans="1:8" x14ac:dyDescent="0.25">
      <c r="A272" s="46">
        <v>44953</v>
      </c>
      <c r="B272" s="14">
        <v>99.050003000000004</v>
      </c>
      <c r="C272" s="14">
        <v>101.58000199999999</v>
      </c>
      <c r="D272" s="14">
        <v>98.970000999999996</v>
      </c>
      <c r="E272" s="14">
        <v>100.709999</v>
      </c>
      <c r="F272" s="14">
        <v>100.709999</v>
      </c>
      <c r="G272" s="14">
        <v>29020400</v>
      </c>
      <c r="H272" s="14">
        <f t="shared" si="4"/>
        <v>2.2206166081388146E-2</v>
      </c>
    </row>
    <row r="273" spans="1:8" x14ac:dyDescent="0.25">
      <c r="A273" s="46">
        <v>44956</v>
      </c>
      <c r="B273" s="14">
        <v>98.745002999999997</v>
      </c>
      <c r="C273" s="14">
        <v>99.408996999999999</v>
      </c>
      <c r="D273" s="14">
        <v>97.519997000000004</v>
      </c>
      <c r="E273" s="14">
        <v>97.949996999999996</v>
      </c>
      <c r="F273" s="14">
        <v>97.949996999999996</v>
      </c>
      <c r="G273" s="14">
        <v>24365100</v>
      </c>
      <c r="H273" s="14">
        <f t="shared" si="4"/>
        <v>-4.8836481942307426E-3</v>
      </c>
    </row>
    <row r="274" spans="1:8" x14ac:dyDescent="0.25">
      <c r="A274" s="46">
        <v>44957</v>
      </c>
      <c r="B274" s="14">
        <v>97.860000999999997</v>
      </c>
      <c r="C274" s="14">
        <v>99.910004000000001</v>
      </c>
      <c r="D274" s="14">
        <v>97.790001000000004</v>
      </c>
      <c r="E274" s="14">
        <v>99.870002999999997</v>
      </c>
      <c r="F274" s="14">
        <v>99.870002999999997</v>
      </c>
      <c r="G274" s="14">
        <v>22306800</v>
      </c>
      <c r="H274" s="14">
        <f t="shared" si="4"/>
        <v>2.7687039407928715E-3</v>
      </c>
    </row>
    <row r="275" spans="1:8" x14ac:dyDescent="0.25">
      <c r="A275" s="46">
        <v>44958</v>
      </c>
      <c r="B275" s="14">
        <v>99.739998</v>
      </c>
      <c r="C275" s="14">
        <v>102.19000200000001</v>
      </c>
      <c r="D275" s="14">
        <v>98.419998000000007</v>
      </c>
      <c r="E275" s="14">
        <v>101.43</v>
      </c>
      <c r="F275" s="14">
        <v>101.43</v>
      </c>
      <c r="G275" s="14">
        <v>26392600</v>
      </c>
      <c r="H275" s="14">
        <f t="shared" si="4"/>
        <v>6.4423457772537773E-3</v>
      </c>
    </row>
    <row r="276" spans="1:8" x14ac:dyDescent="0.25">
      <c r="A276" s="46">
        <v>44959</v>
      </c>
      <c r="B276" s="14">
        <v>106.790001</v>
      </c>
      <c r="C276" s="14">
        <v>108.82</v>
      </c>
      <c r="D276" s="14">
        <v>106.540001</v>
      </c>
      <c r="E276" s="14">
        <v>108.800003</v>
      </c>
      <c r="F276" s="14">
        <v>108.800003</v>
      </c>
      <c r="G276" s="14">
        <v>46622600</v>
      </c>
      <c r="H276" s="14">
        <f t="shared" si="4"/>
        <v>8.2503588345937517E-2</v>
      </c>
    </row>
    <row r="277" spans="1:8" x14ac:dyDescent="0.25">
      <c r="A277" s="46">
        <v>44960</v>
      </c>
      <c r="B277" s="14">
        <v>103.510002</v>
      </c>
      <c r="C277" s="14">
        <v>108.019997</v>
      </c>
      <c r="D277" s="14">
        <v>103.300003</v>
      </c>
      <c r="E277" s="14">
        <v>105.220001</v>
      </c>
      <c r="F277" s="14">
        <v>105.220001</v>
      </c>
      <c r="G277" s="14">
        <v>36823400</v>
      </c>
      <c r="H277" s="14">
        <f t="shared" si="4"/>
        <v>-3.0411094139186301E-2</v>
      </c>
    </row>
    <row r="278" spans="1:8" x14ac:dyDescent="0.25">
      <c r="A278" s="46">
        <v>44963</v>
      </c>
      <c r="B278" s="14">
        <v>102.68499799999999</v>
      </c>
      <c r="C278" s="14">
        <v>104.699997</v>
      </c>
      <c r="D278" s="14">
        <v>102.209999</v>
      </c>
      <c r="E278" s="14">
        <v>103.470001</v>
      </c>
      <c r="F278" s="14">
        <v>103.470001</v>
      </c>
      <c r="G278" s="14">
        <v>25573000</v>
      </c>
      <c r="H278" s="14">
        <f t="shared" si="4"/>
        <v>-3.5172764386722046E-3</v>
      </c>
    </row>
    <row r="279" spans="1:8" x14ac:dyDescent="0.25">
      <c r="A279" s="46">
        <v>44964</v>
      </c>
      <c r="B279" s="14">
        <v>103.629997</v>
      </c>
      <c r="C279" s="14">
        <v>108.66999800000001</v>
      </c>
      <c r="D279" s="14">
        <v>103.547997</v>
      </c>
      <c r="E279" s="14">
        <v>108.040001</v>
      </c>
      <c r="F279" s="14">
        <v>108.040001</v>
      </c>
      <c r="G279" s="14">
        <v>33738800</v>
      </c>
      <c r="H279" s="14">
        <f t="shared" si="4"/>
        <v>1.3090676187170303E-2</v>
      </c>
    </row>
    <row r="280" spans="1:8" x14ac:dyDescent="0.25">
      <c r="A280" s="46">
        <v>44965</v>
      </c>
      <c r="B280" s="14">
        <v>102.69000200000001</v>
      </c>
      <c r="C280" s="14">
        <v>103.58000199999999</v>
      </c>
      <c r="D280" s="14">
        <v>98.455001999999993</v>
      </c>
      <c r="E280" s="14">
        <v>100</v>
      </c>
      <c r="F280" s="14">
        <v>100</v>
      </c>
      <c r="G280" s="14">
        <v>73546000</v>
      </c>
      <c r="H280" s="14">
        <f t="shared" si="4"/>
        <v>-4.9184872209551256E-2</v>
      </c>
    </row>
    <row r="281" spans="1:8" x14ac:dyDescent="0.25">
      <c r="A281" s="46">
        <v>44966</v>
      </c>
      <c r="B281" s="14">
        <v>100.540001</v>
      </c>
      <c r="C281" s="14">
        <v>100.610001</v>
      </c>
      <c r="D281" s="14">
        <v>93.860000999999997</v>
      </c>
      <c r="E281" s="14">
        <v>95.459998999999996</v>
      </c>
      <c r="F281" s="14">
        <v>95.459998999999996</v>
      </c>
      <c r="G281" s="14">
        <v>97798600</v>
      </c>
      <c r="H281" s="14">
        <f t="shared" si="4"/>
        <v>-4.6671077209464618E-2</v>
      </c>
    </row>
    <row r="282" spans="1:8" x14ac:dyDescent="0.25">
      <c r="A282" s="46">
        <v>44967</v>
      </c>
      <c r="B282" s="14">
        <v>95.739998</v>
      </c>
      <c r="C282" s="14">
        <v>97.019997000000004</v>
      </c>
      <c r="D282" s="14">
        <v>94.529999000000004</v>
      </c>
      <c r="E282" s="14">
        <v>94.860000999999997</v>
      </c>
      <c r="F282" s="14">
        <v>94.860000999999997</v>
      </c>
      <c r="G282" s="14">
        <v>49325300</v>
      </c>
      <c r="H282" s="14">
        <f t="shared" si="4"/>
        <v>7.1382696874253693E-3</v>
      </c>
    </row>
    <row r="283" spans="1:8" x14ac:dyDescent="0.25">
      <c r="A283" s="46">
        <v>44970</v>
      </c>
      <c r="B283" s="14">
        <v>95.010002</v>
      </c>
      <c r="C283" s="14">
        <v>95.349997999999999</v>
      </c>
      <c r="D283" s="14">
        <v>94.050003000000004</v>
      </c>
      <c r="E283" s="14">
        <v>95</v>
      </c>
      <c r="F283" s="14">
        <v>95</v>
      </c>
      <c r="G283" s="14">
        <v>43116600</v>
      </c>
      <c r="H283" s="14">
        <f t="shared" si="4"/>
        <v>-1.692570277787353E-3</v>
      </c>
    </row>
    <row r="284" spans="1:8" x14ac:dyDescent="0.25">
      <c r="A284" s="46">
        <v>44971</v>
      </c>
      <c r="B284" s="14">
        <v>94.660004000000001</v>
      </c>
      <c r="C284" s="14">
        <v>95.175003000000004</v>
      </c>
      <c r="D284" s="14">
        <v>92.650002000000001</v>
      </c>
      <c r="E284" s="14">
        <v>94.949996999999996</v>
      </c>
      <c r="F284" s="14">
        <v>94.949996999999996</v>
      </c>
      <c r="G284" s="14">
        <v>42513100</v>
      </c>
      <c r="H284" s="14">
        <f t="shared" si="4"/>
        <v>-1.4885709254044421E-2</v>
      </c>
    </row>
    <row r="285" spans="1:8" x14ac:dyDescent="0.25">
      <c r="A285" s="46">
        <v>44972</v>
      </c>
      <c r="B285" s="14">
        <v>94.739998</v>
      </c>
      <c r="C285" s="14">
        <v>97.339995999999999</v>
      </c>
      <c r="D285" s="14">
        <v>94.360000999999997</v>
      </c>
      <c r="E285" s="14">
        <v>97.099997999999999</v>
      </c>
      <c r="F285" s="14">
        <v>97.099997999999999</v>
      </c>
      <c r="G285" s="14">
        <v>36964500</v>
      </c>
      <c r="H285" s="14">
        <f t="shared" si="4"/>
        <v>1.8456545742977948E-2</v>
      </c>
    </row>
    <row r="286" spans="1:8" x14ac:dyDescent="0.25">
      <c r="A286" s="46">
        <v>44973</v>
      </c>
      <c r="B286" s="14">
        <v>95.540001000000004</v>
      </c>
      <c r="C286" s="14">
        <v>97.879997000000003</v>
      </c>
      <c r="D286" s="14">
        <v>94.970000999999996</v>
      </c>
      <c r="E286" s="14">
        <v>95.779999000000004</v>
      </c>
      <c r="F286" s="14">
        <v>95.779999000000004</v>
      </c>
      <c r="G286" s="14">
        <v>35642100</v>
      </c>
      <c r="H286" s="14">
        <f t="shared" si="4"/>
        <v>6.4646035771025456E-3</v>
      </c>
    </row>
    <row r="287" spans="1:8" x14ac:dyDescent="0.25">
      <c r="A287" s="46">
        <v>44974</v>
      </c>
      <c r="B287" s="14">
        <v>95.07</v>
      </c>
      <c r="C287" s="14">
        <v>95.75</v>
      </c>
      <c r="D287" s="14">
        <v>93.449996999999996</v>
      </c>
      <c r="E287" s="14">
        <v>94.589995999999999</v>
      </c>
      <c r="F287" s="14">
        <v>94.589995999999999</v>
      </c>
      <c r="G287" s="14">
        <v>31095100</v>
      </c>
      <c r="H287" s="14">
        <f t="shared" si="4"/>
        <v>-1.600509617768664E-2</v>
      </c>
    </row>
    <row r="288" spans="1:8" x14ac:dyDescent="0.25">
      <c r="A288" s="46">
        <v>44978</v>
      </c>
      <c r="B288" s="14">
        <v>93.239998</v>
      </c>
      <c r="C288" s="14">
        <v>93.415001000000004</v>
      </c>
      <c r="D288" s="14">
        <v>92</v>
      </c>
      <c r="E288" s="14">
        <v>92.050003000000004</v>
      </c>
      <c r="F288" s="14">
        <v>92.050003000000004</v>
      </c>
      <c r="G288" s="14">
        <v>28367200</v>
      </c>
      <c r="H288" s="14">
        <f t="shared" si="4"/>
        <v>-3.8790718206229424E-3</v>
      </c>
    </row>
    <row r="289" spans="1:8" x14ac:dyDescent="0.25">
      <c r="A289" s="46">
        <v>44979</v>
      </c>
      <c r="B289" s="14">
        <v>91.933998000000003</v>
      </c>
      <c r="C289" s="14">
        <v>92.360000999999997</v>
      </c>
      <c r="D289" s="14">
        <v>90.870002999999997</v>
      </c>
      <c r="E289" s="14">
        <v>91.800003000000004</v>
      </c>
      <c r="F289" s="14">
        <v>91.800003000000004</v>
      </c>
      <c r="G289" s="14">
        <v>29891100</v>
      </c>
      <c r="H289" s="14">
        <f t="shared" si="4"/>
        <v>-1.2282576086956598E-2</v>
      </c>
    </row>
    <row r="290" spans="1:8" x14ac:dyDescent="0.25">
      <c r="A290" s="46">
        <v>44980</v>
      </c>
      <c r="B290" s="14">
        <v>92.129997000000003</v>
      </c>
      <c r="C290" s="14">
        <v>92.129997000000003</v>
      </c>
      <c r="D290" s="14">
        <v>90.010002</v>
      </c>
      <c r="E290" s="14">
        <v>91.07</v>
      </c>
      <c r="F290" s="14">
        <v>91.07</v>
      </c>
      <c r="G290" s="14">
        <v>32423700</v>
      </c>
      <c r="H290" s="14">
        <f t="shared" si="4"/>
        <v>-9.4640802421894765E-3</v>
      </c>
    </row>
    <row r="291" spans="1:8" x14ac:dyDescent="0.25">
      <c r="A291" s="46">
        <v>44981</v>
      </c>
      <c r="B291" s="14">
        <v>89.629997000000003</v>
      </c>
      <c r="C291" s="14">
        <v>90.129997000000003</v>
      </c>
      <c r="D291" s="14">
        <v>88.860000999999997</v>
      </c>
      <c r="E291" s="14">
        <v>89.349997999999999</v>
      </c>
      <c r="F291" s="14">
        <v>89.349997999999999</v>
      </c>
      <c r="G291" s="14">
        <v>31295600</v>
      </c>
      <c r="H291" s="14">
        <f t="shared" si="4"/>
        <v>-1.2776369008413169E-2</v>
      </c>
    </row>
    <row r="292" spans="1:8" x14ac:dyDescent="0.25">
      <c r="A292" s="46">
        <v>44984</v>
      </c>
      <c r="B292" s="14">
        <v>90.089995999999999</v>
      </c>
      <c r="C292" s="14">
        <v>90.449996999999996</v>
      </c>
      <c r="D292" s="14">
        <v>89.610000999999997</v>
      </c>
      <c r="E292" s="14">
        <v>90.099997999999999</v>
      </c>
      <c r="F292" s="14">
        <v>90.099997999999999</v>
      </c>
      <c r="G292" s="14">
        <v>22724300</v>
      </c>
      <c r="H292" s="14">
        <f t="shared" si="4"/>
        <v>2.8134143280057109E-3</v>
      </c>
    </row>
    <row r="293" spans="1:8" x14ac:dyDescent="0.25">
      <c r="A293" s="46">
        <v>44985</v>
      </c>
      <c r="B293" s="14">
        <v>89.540001000000004</v>
      </c>
      <c r="C293" s="14">
        <v>91.449996999999996</v>
      </c>
      <c r="D293" s="14">
        <v>89.519997000000004</v>
      </c>
      <c r="E293" s="14">
        <v>90.300003000000004</v>
      </c>
      <c r="F293" s="14">
        <v>90.300003000000004</v>
      </c>
      <c r="G293" s="14">
        <v>30546900</v>
      </c>
      <c r="H293" s="14">
        <f t="shared" si="4"/>
        <v>-1.0043968195022623E-3</v>
      </c>
    </row>
    <row r="294" spans="1:8" x14ac:dyDescent="0.25">
      <c r="A294" s="46">
        <v>44986</v>
      </c>
      <c r="B294" s="14">
        <v>90.160004000000001</v>
      </c>
      <c r="C294" s="14">
        <v>91.199996999999996</v>
      </c>
      <c r="D294" s="14">
        <v>89.849997999999999</v>
      </c>
      <c r="E294" s="14">
        <v>90.510002</v>
      </c>
      <c r="F294" s="14">
        <v>90.510002</v>
      </c>
      <c r="G294" s="14">
        <v>26323900</v>
      </c>
      <c r="H294" s="14">
        <f t="shared" si="4"/>
        <v>3.6863383719729637E-3</v>
      </c>
    </row>
    <row r="295" spans="1:8" x14ac:dyDescent="0.25">
      <c r="A295" s="46">
        <v>44987</v>
      </c>
      <c r="B295" s="14">
        <v>89.860000999999997</v>
      </c>
      <c r="C295" s="14">
        <v>92.480002999999996</v>
      </c>
      <c r="D295" s="14">
        <v>89.769997000000004</v>
      </c>
      <c r="E295" s="14">
        <v>92.309997999999993</v>
      </c>
      <c r="F295" s="14">
        <v>92.309997999999993</v>
      </c>
      <c r="G295" s="14">
        <v>23328600</v>
      </c>
      <c r="H295" s="14">
        <f t="shared" si="4"/>
        <v>-8.9038399310814587E-4</v>
      </c>
    </row>
    <row r="296" spans="1:8" x14ac:dyDescent="0.25">
      <c r="A296" s="46">
        <v>44988</v>
      </c>
      <c r="B296" s="14">
        <v>92.739998</v>
      </c>
      <c r="C296" s="14">
        <v>94.110000999999997</v>
      </c>
      <c r="D296" s="14">
        <v>92.660004000000001</v>
      </c>
      <c r="E296" s="14">
        <v>94.019997000000004</v>
      </c>
      <c r="F296" s="14">
        <v>94.019997000000004</v>
      </c>
      <c r="G296" s="14">
        <v>30242500</v>
      </c>
      <c r="H296" s="14">
        <f t="shared" si="4"/>
        <v>3.2193462143036422E-2</v>
      </c>
    </row>
    <row r="297" spans="1:8" x14ac:dyDescent="0.25">
      <c r="A297" s="46">
        <v>44991</v>
      </c>
      <c r="B297" s="14">
        <v>94.360000999999997</v>
      </c>
      <c r="C297" s="14">
        <v>96.300003000000004</v>
      </c>
      <c r="D297" s="14">
        <v>94.300003000000004</v>
      </c>
      <c r="E297" s="14">
        <v>95.580001999999993</v>
      </c>
      <c r="F297" s="14">
        <v>95.580001999999993</v>
      </c>
      <c r="G297" s="14">
        <v>28288200</v>
      </c>
      <c r="H297" s="14">
        <f t="shared" si="4"/>
        <v>5.8997011626864548E-3</v>
      </c>
    </row>
    <row r="298" spans="1:8" x14ac:dyDescent="0.25">
      <c r="A298" s="46">
        <v>44992</v>
      </c>
      <c r="B298" s="14">
        <v>95.419998000000007</v>
      </c>
      <c r="C298" s="14">
        <v>96.089995999999999</v>
      </c>
      <c r="D298" s="14">
        <v>93.844002000000003</v>
      </c>
      <c r="E298" s="14">
        <v>94.169998000000007</v>
      </c>
      <c r="F298" s="14">
        <v>94.169998000000007</v>
      </c>
      <c r="G298" s="14">
        <v>24101500</v>
      </c>
      <c r="H298" s="14">
        <f t="shared" si="4"/>
        <v>-4.8356414156212058E-3</v>
      </c>
    </row>
    <row r="299" spans="1:8" x14ac:dyDescent="0.25">
      <c r="A299" s="46">
        <v>44993</v>
      </c>
      <c r="B299" s="14">
        <v>94.404999000000004</v>
      </c>
      <c r="C299" s="14">
        <v>96.239998</v>
      </c>
      <c r="D299" s="14">
        <v>94.404999000000004</v>
      </c>
      <c r="E299" s="14">
        <v>94.650002000000001</v>
      </c>
      <c r="F299" s="14">
        <v>94.650002000000001</v>
      </c>
      <c r="G299" s="14">
        <v>25395200</v>
      </c>
      <c r="H299" s="14">
        <f t="shared" si="4"/>
        <v>5.97797395724875E-3</v>
      </c>
    </row>
    <row r="300" spans="1:8" x14ac:dyDescent="0.25">
      <c r="A300" s="46">
        <v>44994</v>
      </c>
      <c r="B300" s="14">
        <v>94.489998</v>
      </c>
      <c r="C300" s="14">
        <v>95.919998000000007</v>
      </c>
      <c r="D300" s="14">
        <v>92.355002999999996</v>
      </c>
      <c r="E300" s="14">
        <v>92.660004000000001</v>
      </c>
      <c r="F300" s="14">
        <v>92.660004000000001</v>
      </c>
      <c r="G300" s="14">
        <v>24438900</v>
      </c>
      <c r="H300" s="14">
        <f t="shared" si="4"/>
        <v>-2.1714909397965276E-2</v>
      </c>
    </row>
    <row r="301" spans="1:8" x14ac:dyDescent="0.25">
      <c r="A301" s="46">
        <v>44995</v>
      </c>
      <c r="B301" s="14">
        <v>92.5</v>
      </c>
      <c r="C301" s="14">
        <v>93.18</v>
      </c>
      <c r="D301" s="14">
        <v>90.800003000000004</v>
      </c>
      <c r="E301" s="14">
        <v>91.010002</v>
      </c>
      <c r="F301" s="14">
        <v>91.010002</v>
      </c>
      <c r="G301" s="14">
        <v>32850100</v>
      </c>
      <c r="H301" s="14">
        <f t="shared" si="4"/>
        <v>-1.6837203719218041E-2</v>
      </c>
    </row>
    <row r="302" spans="1:8" x14ac:dyDescent="0.25">
      <c r="A302" s="46">
        <v>44998</v>
      </c>
      <c r="B302" s="14">
        <v>90.565002000000007</v>
      </c>
      <c r="C302" s="14">
        <v>93.080001999999993</v>
      </c>
      <c r="D302" s="14">
        <v>89.940002000000007</v>
      </c>
      <c r="E302" s="14">
        <v>91.660004000000001</v>
      </c>
      <c r="F302" s="14">
        <v>91.660004000000001</v>
      </c>
      <c r="G302" s="14">
        <v>31508600</v>
      </c>
      <c r="H302" s="14">
        <f t="shared" si="4"/>
        <v>-3.1571254463504581E-3</v>
      </c>
    </row>
    <row r="303" spans="1:8" x14ac:dyDescent="0.25">
      <c r="A303" s="46">
        <v>44999</v>
      </c>
      <c r="B303" s="14">
        <v>93.07</v>
      </c>
      <c r="C303" s="14">
        <v>94.830001999999993</v>
      </c>
      <c r="D303" s="14">
        <v>92.779999000000004</v>
      </c>
      <c r="E303" s="14">
        <v>94.25</v>
      </c>
      <c r="F303" s="14">
        <v>94.25</v>
      </c>
      <c r="G303" s="14">
        <v>32303900</v>
      </c>
      <c r="H303" s="14">
        <f t="shared" si="4"/>
        <v>3.1576572568899897E-2</v>
      </c>
    </row>
    <row r="304" spans="1:8" x14ac:dyDescent="0.25">
      <c r="A304" s="46">
        <v>45000</v>
      </c>
      <c r="B304" s="14">
        <v>93.540001000000004</v>
      </c>
      <c r="C304" s="14">
        <v>97.25</v>
      </c>
      <c r="D304" s="14">
        <v>93.040001000000004</v>
      </c>
      <c r="E304" s="14">
        <v>96.550003000000004</v>
      </c>
      <c r="F304" s="14">
        <v>96.550003000000004</v>
      </c>
      <c r="G304" s="14">
        <v>38367300</v>
      </c>
      <c r="H304" s="14">
        <f t="shared" si="4"/>
        <v>2.802349674524196E-3</v>
      </c>
    </row>
    <row r="305" spans="1:8" x14ac:dyDescent="0.25">
      <c r="A305" s="46">
        <v>45001</v>
      </c>
      <c r="B305" s="14">
        <v>96.57</v>
      </c>
      <c r="C305" s="14">
        <v>101.970001</v>
      </c>
      <c r="D305" s="14">
        <v>95.870002999999997</v>
      </c>
      <c r="E305" s="14">
        <v>101.07</v>
      </c>
      <c r="F305" s="14">
        <v>101.07</v>
      </c>
      <c r="G305" s="14">
        <v>54499500</v>
      </c>
      <c r="H305" s="14">
        <f t="shared" si="4"/>
        <v>3.0417046104717738E-2</v>
      </c>
    </row>
    <row r="306" spans="1:8" x14ac:dyDescent="0.25">
      <c r="A306" s="46">
        <v>45002</v>
      </c>
      <c r="B306" s="14">
        <v>100.839996</v>
      </c>
      <c r="C306" s="14">
        <v>103.489998</v>
      </c>
      <c r="D306" s="14">
        <v>100.75</v>
      </c>
      <c r="E306" s="14">
        <v>102.459999</v>
      </c>
      <c r="F306" s="14">
        <v>102.459999</v>
      </c>
      <c r="G306" s="14">
        <v>76140300</v>
      </c>
      <c r="H306" s="14">
        <f t="shared" si="4"/>
        <v>5.0902230596571618E-2</v>
      </c>
    </row>
    <row r="307" spans="1:8" x14ac:dyDescent="0.25">
      <c r="A307" s="46">
        <v>45005</v>
      </c>
      <c r="B307" s="14">
        <v>101.05999799999999</v>
      </c>
      <c r="C307" s="14">
        <v>102.58000199999999</v>
      </c>
      <c r="D307" s="14">
        <v>100.790001</v>
      </c>
      <c r="E307" s="14">
        <v>101.93</v>
      </c>
      <c r="F307" s="14">
        <v>101.93</v>
      </c>
      <c r="G307" s="14">
        <v>26033900</v>
      </c>
      <c r="H307" s="14">
        <f t="shared" si="4"/>
        <v>1.3234408602154821E-4</v>
      </c>
    </row>
    <row r="308" spans="1:8" x14ac:dyDescent="0.25">
      <c r="A308" s="46">
        <v>45006</v>
      </c>
      <c r="B308" s="14">
        <v>101.980003</v>
      </c>
      <c r="C308" s="14">
        <v>105.959999</v>
      </c>
      <c r="D308" s="14">
        <v>101.860001</v>
      </c>
      <c r="E308" s="14">
        <v>105.839996</v>
      </c>
      <c r="F308" s="14">
        <v>105.839996</v>
      </c>
      <c r="G308" s="14">
        <v>33122800</v>
      </c>
      <c r="H308" s="14">
        <f t="shared" si="4"/>
        <v>1.0616132447503368E-2</v>
      </c>
    </row>
    <row r="309" spans="1:8" x14ac:dyDescent="0.25">
      <c r="A309" s="46">
        <v>45007</v>
      </c>
      <c r="B309" s="14">
        <v>105.139999</v>
      </c>
      <c r="C309" s="14">
        <v>107.510002</v>
      </c>
      <c r="D309" s="14">
        <v>104.209999</v>
      </c>
      <c r="E309" s="14">
        <v>104.220001</v>
      </c>
      <c r="F309" s="14">
        <v>104.220001</v>
      </c>
      <c r="G309" s="14">
        <v>32336900</v>
      </c>
      <c r="H309" s="14">
        <f t="shared" si="4"/>
        <v>2.3070861740910553E-2</v>
      </c>
    </row>
    <row r="310" spans="1:8" x14ac:dyDescent="0.25">
      <c r="A310" s="46">
        <v>45008</v>
      </c>
      <c r="B310" s="14">
        <v>105.889999</v>
      </c>
      <c r="C310" s="14">
        <v>107.100998</v>
      </c>
      <c r="D310" s="14">
        <v>105.410004</v>
      </c>
      <c r="E310" s="14">
        <v>106.260002</v>
      </c>
      <c r="F310" s="14">
        <v>106.260002</v>
      </c>
      <c r="G310" s="14">
        <v>31385800</v>
      </c>
      <c r="H310" s="14">
        <f t="shared" si="4"/>
        <v>1.1515257763317077E-2</v>
      </c>
    </row>
    <row r="311" spans="1:8" x14ac:dyDescent="0.25">
      <c r="A311" s="46">
        <v>45009</v>
      </c>
      <c r="B311" s="14">
        <v>105.739998</v>
      </c>
      <c r="C311" s="14">
        <v>106.160004</v>
      </c>
      <c r="D311" s="14">
        <v>104.739998</v>
      </c>
      <c r="E311" s="14">
        <v>106.05999799999999</v>
      </c>
      <c r="F311" s="14">
        <v>106.05999799999999</v>
      </c>
      <c r="G311" s="14">
        <v>25236200</v>
      </c>
      <c r="H311" s="14">
        <f t="shared" si="4"/>
        <v>-6.3561898735911004E-3</v>
      </c>
    </row>
    <row r="312" spans="1:8" x14ac:dyDescent="0.25">
      <c r="A312" s="46">
        <v>45012</v>
      </c>
      <c r="B312" s="14">
        <v>105.32</v>
      </c>
      <c r="C312" s="14">
        <v>105.400002</v>
      </c>
      <c r="D312" s="14">
        <v>102.629997</v>
      </c>
      <c r="E312" s="14">
        <v>103.05999799999999</v>
      </c>
      <c r="F312" s="14">
        <v>103.05999799999999</v>
      </c>
      <c r="G312" s="14">
        <v>25393400</v>
      </c>
      <c r="H312" s="14">
        <f t="shared" si="4"/>
        <v>-6.7150437282485669E-3</v>
      </c>
    </row>
    <row r="313" spans="1:8" x14ac:dyDescent="0.25">
      <c r="A313" s="46">
        <v>45013</v>
      </c>
      <c r="B313" s="14">
        <v>103</v>
      </c>
      <c r="C313" s="14">
        <v>103</v>
      </c>
      <c r="D313" s="14">
        <v>100.279999</v>
      </c>
      <c r="E313" s="14">
        <v>101.360001</v>
      </c>
      <c r="F313" s="14">
        <v>101.360001</v>
      </c>
      <c r="G313" s="14">
        <v>24913500</v>
      </c>
      <c r="H313" s="14">
        <f t="shared" si="4"/>
        <v>-2.2897769352950514E-2</v>
      </c>
    </row>
    <row r="314" spans="1:8" x14ac:dyDescent="0.25">
      <c r="A314" s="46">
        <v>45014</v>
      </c>
      <c r="B314" s="14">
        <v>102.720001</v>
      </c>
      <c r="C314" s="14">
        <v>102.82</v>
      </c>
      <c r="D314" s="14">
        <v>101.029999</v>
      </c>
      <c r="E314" s="14">
        <v>101.900002</v>
      </c>
      <c r="F314" s="14">
        <v>101.900002</v>
      </c>
      <c r="G314" s="14">
        <v>26148300</v>
      </c>
      <c r="H314" s="14">
        <f t="shared" si="4"/>
        <v>7.4790587104014428E-3</v>
      </c>
    </row>
    <row r="315" spans="1:8" x14ac:dyDescent="0.25">
      <c r="A315" s="46">
        <v>45015</v>
      </c>
      <c r="B315" s="14">
        <v>101.44000200000001</v>
      </c>
      <c r="C315" s="14">
        <v>101.610001</v>
      </c>
      <c r="D315" s="14">
        <v>100.290001</v>
      </c>
      <c r="E315" s="14">
        <v>101.32</v>
      </c>
      <c r="F315" s="14">
        <v>101.32</v>
      </c>
      <c r="G315" s="14">
        <v>25009800</v>
      </c>
      <c r="H315" s="14">
        <f t="shared" si="4"/>
        <v>-7.3245373386572332E-3</v>
      </c>
    </row>
    <row r="316" spans="1:8" x14ac:dyDescent="0.25">
      <c r="A316" s="46">
        <v>45016</v>
      </c>
      <c r="B316" s="14">
        <v>101.709999</v>
      </c>
      <c r="C316" s="14">
        <v>104.19000200000001</v>
      </c>
      <c r="D316" s="14">
        <v>101.44000200000001</v>
      </c>
      <c r="E316" s="14">
        <v>104</v>
      </c>
      <c r="F316" s="14">
        <v>104</v>
      </c>
      <c r="G316" s="14">
        <v>28108000</v>
      </c>
      <c r="H316" s="14">
        <f t="shared" si="4"/>
        <v>1.1466756292085378E-2</v>
      </c>
    </row>
    <row r="317" spans="1:8" x14ac:dyDescent="0.25">
      <c r="A317" s="46">
        <v>45019</v>
      </c>
      <c r="B317" s="14">
        <v>102.66999800000001</v>
      </c>
      <c r="C317" s="14">
        <v>104.949997</v>
      </c>
      <c r="D317" s="14">
        <v>102.379997</v>
      </c>
      <c r="E317" s="14">
        <v>104.910004</v>
      </c>
      <c r="F317" s="14">
        <v>104.910004</v>
      </c>
      <c r="G317" s="14">
        <v>20719900</v>
      </c>
      <c r="H317" s="14">
        <f t="shared" si="4"/>
        <v>3.088837347091792E-3</v>
      </c>
    </row>
    <row r="318" spans="1:8" x14ac:dyDescent="0.25">
      <c r="A318" s="46">
        <v>45020</v>
      </c>
      <c r="B318" s="14">
        <v>104.839996</v>
      </c>
      <c r="C318" s="14">
        <v>106.099998</v>
      </c>
      <c r="D318" s="14">
        <v>104.599998</v>
      </c>
      <c r="E318" s="14">
        <v>105.120003</v>
      </c>
      <c r="F318" s="14">
        <v>105.120003</v>
      </c>
      <c r="G318" s="14">
        <v>20377200</v>
      </c>
      <c r="H318" s="14">
        <f t="shared" si="4"/>
        <v>2.1683933044069015E-2</v>
      </c>
    </row>
    <row r="319" spans="1:8" x14ac:dyDescent="0.25">
      <c r="A319" s="46">
        <v>45021</v>
      </c>
      <c r="B319" s="14">
        <v>106.120003</v>
      </c>
      <c r="C319" s="14">
        <v>106.540001</v>
      </c>
      <c r="D319" s="14">
        <v>104.101997</v>
      </c>
      <c r="E319" s="14">
        <v>104.949997</v>
      </c>
      <c r="F319" s="14">
        <v>104.949997</v>
      </c>
      <c r="G319" s="14">
        <v>21864200</v>
      </c>
      <c r="H319" s="14">
        <f t="shared" si="4"/>
        <v>-4.7610039151243511E-3</v>
      </c>
    </row>
    <row r="320" spans="1:8" x14ac:dyDescent="0.25">
      <c r="A320" s="46">
        <v>45022</v>
      </c>
      <c r="B320" s="14">
        <v>105.769997</v>
      </c>
      <c r="C320" s="14">
        <v>109.629997</v>
      </c>
      <c r="D320" s="14">
        <v>104.81500200000001</v>
      </c>
      <c r="E320" s="14">
        <v>108.900002</v>
      </c>
      <c r="F320" s="14">
        <v>108.900002</v>
      </c>
      <c r="G320" s="14">
        <v>34684200</v>
      </c>
      <c r="H320" s="14">
        <f t="shared" si="4"/>
        <v>6.8491001186077316E-3</v>
      </c>
    </row>
    <row r="321" spans="1:8" x14ac:dyDescent="0.25">
      <c r="A321" s="46">
        <v>45026</v>
      </c>
      <c r="B321" s="14">
        <v>107.389999</v>
      </c>
      <c r="C321" s="14">
        <v>107.970001</v>
      </c>
      <c r="D321" s="14">
        <v>105.599998</v>
      </c>
      <c r="E321" s="14">
        <v>106.949997</v>
      </c>
      <c r="F321" s="14">
        <v>106.949997</v>
      </c>
      <c r="G321" s="14">
        <v>19741500</v>
      </c>
      <c r="H321" s="14">
        <f t="shared" si="4"/>
        <v>1.8723369389431199E-3</v>
      </c>
    </row>
    <row r="322" spans="1:8" x14ac:dyDescent="0.25">
      <c r="A322" s="46">
        <v>45027</v>
      </c>
      <c r="B322" s="14">
        <v>106.91999800000001</v>
      </c>
      <c r="C322" s="14">
        <v>107.220001</v>
      </c>
      <c r="D322" s="14">
        <v>105.279999</v>
      </c>
      <c r="E322" s="14">
        <v>106.120003</v>
      </c>
      <c r="F322" s="14">
        <v>106.120003</v>
      </c>
      <c r="G322" s="14">
        <v>18721300</v>
      </c>
      <c r="H322" s="14">
        <f t="shared" si="4"/>
        <v>-3.0302936179978923E-3</v>
      </c>
    </row>
    <row r="323" spans="1:8" x14ac:dyDescent="0.25">
      <c r="A323" s="46">
        <v>45028</v>
      </c>
      <c r="B323" s="14">
        <v>107.389999</v>
      </c>
      <c r="C323" s="14">
        <v>107.58699799999999</v>
      </c>
      <c r="D323" s="14">
        <v>104.970001</v>
      </c>
      <c r="E323" s="14">
        <v>105.220001</v>
      </c>
      <c r="F323" s="14">
        <v>105.220001</v>
      </c>
      <c r="G323" s="14">
        <v>22761600</v>
      </c>
      <c r="H323" s="14">
        <f t="shared" si="4"/>
        <v>-2.9445099063878377E-3</v>
      </c>
    </row>
    <row r="324" spans="1:8" x14ac:dyDescent="0.25">
      <c r="A324" s="46">
        <v>45029</v>
      </c>
      <c r="B324" s="14">
        <v>106.470001</v>
      </c>
      <c r="C324" s="14">
        <v>108.264999</v>
      </c>
      <c r="D324" s="14">
        <v>106.44000200000001</v>
      </c>
      <c r="E324" s="14">
        <v>108.19000200000001</v>
      </c>
      <c r="F324" s="14">
        <v>108.19000200000001</v>
      </c>
      <c r="G324" s="14">
        <v>21650700</v>
      </c>
      <c r="H324" s="14">
        <f t="shared" ref="H324:H387" si="5">(D324/D323-1)/(A324-A323)</f>
        <v>1.4004010536305511E-2</v>
      </c>
    </row>
    <row r="325" spans="1:8" x14ac:dyDescent="0.25">
      <c r="A325" s="46">
        <v>45030</v>
      </c>
      <c r="B325" s="14">
        <v>107.69000200000001</v>
      </c>
      <c r="C325" s="14">
        <v>109.58000199999999</v>
      </c>
      <c r="D325" s="14">
        <v>107.589996</v>
      </c>
      <c r="E325" s="14">
        <v>109.459999</v>
      </c>
      <c r="F325" s="14">
        <v>109.459999</v>
      </c>
      <c r="G325" s="14">
        <v>20758700</v>
      </c>
      <c r="H325" s="14">
        <f t="shared" si="5"/>
        <v>1.0804152371210796E-2</v>
      </c>
    </row>
    <row r="326" spans="1:8" x14ac:dyDescent="0.25">
      <c r="A326" s="46">
        <v>45033</v>
      </c>
      <c r="B326" s="14">
        <v>105.43</v>
      </c>
      <c r="C326" s="14">
        <v>106.709999</v>
      </c>
      <c r="D326" s="14">
        <v>105.32</v>
      </c>
      <c r="E326" s="14">
        <v>106.41999800000001</v>
      </c>
      <c r="F326" s="14">
        <v>106.41999800000001</v>
      </c>
      <c r="G326" s="14">
        <v>29043400</v>
      </c>
      <c r="H326" s="14">
        <f t="shared" si="5"/>
        <v>-7.0328595730529964E-3</v>
      </c>
    </row>
    <row r="327" spans="1:8" x14ac:dyDescent="0.25">
      <c r="A327" s="46">
        <v>45034</v>
      </c>
      <c r="B327" s="14">
        <v>107</v>
      </c>
      <c r="C327" s="14">
        <v>107.050003</v>
      </c>
      <c r="D327" s="14">
        <v>104.779999</v>
      </c>
      <c r="E327" s="14">
        <v>105.120003</v>
      </c>
      <c r="F327" s="14">
        <v>105.120003</v>
      </c>
      <c r="G327" s="14">
        <v>17641400</v>
      </c>
      <c r="H327" s="14">
        <f t="shared" si="5"/>
        <v>-5.1272407899732864E-3</v>
      </c>
    </row>
    <row r="328" spans="1:8" x14ac:dyDescent="0.25">
      <c r="A328" s="46">
        <v>45035</v>
      </c>
      <c r="B328" s="14">
        <v>104.214996</v>
      </c>
      <c r="C328" s="14">
        <v>105.724998</v>
      </c>
      <c r="D328" s="14">
        <v>103.800003</v>
      </c>
      <c r="E328" s="14">
        <v>105.019997</v>
      </c>
      <c r="F328" s="14">
        <v>105.019997</v>
      </c>
      <c r="G328" s="14">
        <v>16732000</v>
      </c>
      <c r="H328" s="14">
        <f t="shared" si="5"/>
        <v>-9.3528918625013224E-3</v>
      </c>
    </row>
    <row r="329" spans="1:8" x14ac:dyDescent="0.25">
      <c r="A329" s="46">
        <v>45036</v>
      </c>
      <c r="B329" s="14">
        <v>104.650002</v>
      </c>
      <c r="C329" s="14">
        <v>106.88800000000001</v>
      </c>
      <c r="D329" s="14">
        <v>104.639999</v>
      </c>
      <c r="E329" s="14">
        <v>105.900002</v>
      </c>
      <c r="F329" s="14">
        <v>105.900002</v>
      </c>
      <c r="G329" s="14">
        <v>22515300</v>
      </c>
      <c r="H329" s="14">
        <f t="shared" si="5"/>
        <v>8.0924467796017474E-3</v>
      </c>
    </row>
    <row r="330" spans="1:8" x14ac:dyDescent="0.25">
      <c r="A330" s="46">
        <v>45037</v>
      </c>
      <c r="B330" s="14">
        <v>106.089996</v>
      </c>
      <c r="C330" s="14">
        <v>106.639999</v>
      </c>
      <c r="D330" s="14">
        <v>105.485001</v>
      </c>
      <c r="E330" s="14">
        <v>105.910004</v>
      </c>
      <c r="F330" s="14">
        <v>105.910004</v>
      </c>
      <c r="G330" s="14">
        <v>22379000</v>
      </c>
      <c r="H330" s="14">
        <f t="shared" si="5"/>
        <v>8.0753250007197241E-3</v>
      </c>
    </row>
    <row r="331" spans="1:8" x14ac:dyDescent="0.25">
      <c r="A331" s="46">
        <v>45040</v>
      </c>
      <c r="B331" s="14">
        <v>106.050003</v>
      </c>
      <c r="C331" s="14">
        <v>107.32</v>
      </c>
      <c r="D331" s="14">
        <v>105.360001</v>
      </c>
      <c r="E331" s="14">
        <v>106.779999</v>
      </c>
      <c r="F331" s="14">
        <v>106.779999</v>
      </c>
      <c r="G331" s="14">
        <v>21410900</v>
      </c>
      <c r="H331" s="14">
        <f t="shared" si="5"/>
        <v>-3.9500086525730743E-4</v>
      </c>
    </row>
    <row r="332" spans="1:8" x14ac:dyDescent="0.25">
      <c r="A332" s="46">
        <v>45041</v>
      </c>
      <c r="B332" s="14">
        <v>106.610001</v>
      </c>
      <c r="C332" s="14">
        <v>107.44000200000001</v>
      </c>
      <c r="D332" s="14">
        <v>104.55999799999999</v>
      </c>
      <c r="E332" s="14">
        <v>104.610001</v>
      </c>
      <c r="F332" s="14">
        <v>104.610001</v>
      </c>
      <c r="G332" s="14">
        <v>31408100</v>
      </c>
      <c r="H332" s="14">
        <f t="shared" si="5"/>
        <v>-7.5930428284639584E-3</v>
      </c>
    </row>
    <row r="333" spans="1:8" x14ac:dyDescent="0.25">
      <c r="A333" s="46">
        <v>45042</v>
      </c>
      <c r="B333" s="14">
        <v>105.55999799999999</v>
      </c>
      <c r="C333" s="14">
        <v>107.019997</v>
      </c>
      <c r="D333" s="14">
        <v>103.269997</v>
      </c>
      <c r="E333" s="14">
        <v>104.449997</v>
      </c>
      <c r="F333" s="14">
        <v>104.449997</v>
      </c>
      <c r="G333" s="14">
        <v>37068200</v>
      </c>
      <c r="H333" s="14">
        <f t="shared" si="5"/>
        <v>-1.2337423724893215E-2</v>
      </c>
    </row>
    <row r="334" spans="1:8" x14ac:dyDescent="0.25">
      <c r="A334" s="46">
        <v>45043</v>
      </c>
      <c r="B334" s="14">
        <v>105.230003</v>
      </c>
      <c r="C334" s="14">
        <v>109.150002</v>
      </c>
      <c r="D334" s="14">
        <v>104.41999800000001</v>
      </c>
      <c r="E334" s="14">
        <v>108.370003</v>
      </c>
      <c r="F334" s="14">
        <v>108.370003</v>
      </c>
      <c r="G334" s="14">
        <v>38235200</v>
      </c>
      <c r="H334" s="14">
        <f t="shared" si="5"/>
        <v>1.1135867467876537E-2</v>
      </c>
    </row>
    <row r="335" spans="1:8" x14ac:dyDescent="0.25">
      <c r="A335" s="46">
        <v>45044</v>
      </c>
      <c r="B335" s="14">
        <v>107.800003</v>
      </c>
      <c r="C335" s="14">
        <v>108.290001</v>
      </c>
      <c r="D335" s="14">
        <v>106.040001</v>
      </c>
      <c r="E335" s="14">
        <v>108.220001</v>
      </c>
      <c r="F335" s="14">
        <v>108.220001</v>
      </c>
      <c r="G335" s="14">
        <v>23957900</v>
      </c>
      <c r="H335" s="14">
        <f t="shared" si="5"/>
        <v>1.5514298324349696E-2</v>
      </c>
    </row>
    <row r="336" spans="1:8" x14ac:dyDescent="0.25">
      <c r="A336" s="46">
        <v>45047</v>
      </c>
      <c r="B336" s="14">
        <v>107.720001</v>
      </c>
      <c r="C336" s="14">
        <v>108.68</v>
      </c>
      <c r="D336" s="14">
        <v>107.5</v>
      </c>
      <c r="E336" s="14">
        <v>107.709999</v>
      </c>
      <c r="F336" s="14">
        <v>107.709999</v>
      </c>
      <c r="G336" s="14">
        <v>20926300</v>
      </c>
      <c r="H336" s="14">
        <f t="shared" si="5"/>
        <v>4.5894599089388128E-3</v>
      </c>
    </row>
    <row r="337" spans="1:8" x14ac:dyDescent="0.25">
      <c r="A337" s="46">
        <v>45048</v>
      </c>
      <c r="B337" s="14">
        <v>107.660004</v>
      </c>
      <c r="C337" s="14">
        <v>107.730003</v>
      </c>
      <c r="D337" s="14">
        <v>104.5</v>
      </c>
      <c r="E337" s="14">
        <v>105.980003</v>
      </c>
      <c r="F337" s="14">
        <v>105.980003</v>
      </c>
      <c r="G337" s="14">
        <v>20343100</v>
      </c>
      <c r="H337" s="14">
        <f t="shared" si="5"/>
        <v>-2.7906976744186074E-2</v>
      </c>
    </row>
    <row r="338" spans="1:8" x14ac:dyDescent="0.25">
      <c r="A338" s="46">
        <v>45049</v>
      </c>
      <c r="B338" s="14">
        <v>106.220001</v>
      </c>
      <c r="C338" s="14">
        <v>108.129997</v>
      </c>
      <c r="D338" s="14">
        <v>105.620003</v>
      </c>
      <c r="E338" s="14">
        <v>106.120003</v>
      </c>
      <c r="F338" s="14">
        <v>106.120003</v>
      </c>
      <c r="G338" s="14">
        <v>17116300</v>
      </c>
      <c r="H338" s="14">
        <f t="shared" si="5"/>
        <v>1.0717732057416329E-2</v>
      </c>
    </row>
    <row r="339" spans="1:8" x14ac:dyDescent="0.25">
      <c r="A339" s="46">
        <v>45050</v>
      </c>
      <c r="B339" s="14">
        <v>106.160004</v>
      </c>
      <c r="C339" s="14">
        <v>106.300003</v>
      </c>
      <c r="D339" s="14">
        <v>104.699997</v>
      </c>
      <c r="E339" s="14">
        <v>105.209999</v>
      </c>
      <c r="F339" s="14">
        <v>105.209999</v>
      </c>
      <c r="G339" s="14">
        <v>19780600</v>
      </c>
      <c r="H339" s="14">
        <f t="shared" si="5"/>
        <v>-8.7105280616210923E-3</v>
      </c>
    </row>
    <row r="340" spans="1:8" x14ac:dyDescent="0.25">
      <c r="A340" s="46">
        <v>45051</v>
      </c>
      <c r="B340" s="14">
        <v>105.32</v>
      </c>
      <c r="C340" s="14">
        <v>106.44000200000001</v>
      </c>
      <c r="D340" s="14">
        <v>104.738998</v>
      </c>
      <c r="E340" s="14">
        <v>106.214996</v>
      </c>
      <c r="F340" s="14">
        <v>106.214996</v>
      </c>
      <c r="G340" s="14">
        <v>20705300</v>
      </c>
      <c r="H340" s="14">
        <f t="shared" si="5"/>
        <v>3.725023984479936E-4</v>
      </c>
    </row>
    <row r="341" spans="1:8" x14ac:dyDescent="0.25">
      <c r="A341" s="46">
        <v>45054</v>
      </c>
      <c r="B341" s="14">
        <v>105.79499800000001</v>
      </c>
      <c r="C341" s="14">
        <v>108.41999800000001</v>
      </c>
      <c r="D341" s="14">
        <v>105.790001</v>
      </c>
      <c r="E341" s="14">
        <v>108.239998</v>
      </c>
      <c r="F341" s="14">
        <v>108.239998</v>
      </c>
      <c r="G341" s="14">
        <v>17266000</v>
      </c>
      <c r="H341" s="14">
        <f t="shared" si="5"/>
        <v>3.3448318202674945E-3</v>
      </c>
    </row>
    <row r="342" spans="1:8" x14ac:dyDescent="0.25">
      <c r="A342" s="46">
        <v>45055</v>
      </c>
      <c r="B342" s="14">
        <v>108.779999</v>
      </c>
      <c r="C342" s="14">
        <v>110.595001</v>
      </c>
      <c r="D342" s="14">
        <v>107.724998</v>
      </c>
      <c r="E342" s="14">
        <v>107.94000200000001</v>
      </c>
      <c r="F342" s="14">
        <v>107.94000200000001</v>
      </c>
      <c r="G342" s="14">
        <v>24782400</v>
      </c>
      <c r="H342" s="14">
        <f t="shared" si="5"/>
        <v>1.8290925245383116E-2</v>
      </c>
    </row>
    <row r="343" spans="1:8" x14ac:dyDescent="0.25">
      <c r="A343" s="46">
        <v>45056</v>
      </c>
      <c r="B343" s="14">
        <v>108.550003</v>
      </c>
      <c r="C343" s="14">
        <v>113.510002</v>
      </c>
      <c r="D343" s="14">
        <v>108.480003</v>
      </c>
      <c r="E343" s="14">
        <v>112.279999</v>
      </c>
      <c r="F343" s="14">
        <v>112.279999</v>
      </c>
      <c r="G343" s="14">
        <v>47533500</v>
      </c>
      <c r="H343" s="14">
        <f t="shared" si="5"/>
        <v>7.008633223646088E-3</v>
      </c>
    </row>
    <row r="344" spans="1:8" x14ac:dyDescent="0.25">
      <c r="A344" s="46">
        <v>45057</v>
      </c>
      <c r="B344" s="14">
        <v>115.860001</v>
      </c>
      <c r="C344" s="14">
        <v>118.44000200000001</v>
      </c>
      <c r="D344" s="14">
        <v>114.93</v>
      </c>
      <c r="E344" s="14">
        <v>116.900002</v>
      </c>
      <c r="F344" s="14">
        <v>116.900002</v>
      </c>
      <c r="G344" s="14">
        <v>57115100</v>
      </c>
      <c r="H344" s="14">
        <f t="shared" si="5"/>
        <v>5.9457935302601461E-2</v>
      </c>
    </row>
    <row r="345" spans="1:8" x14ac:dyDescent="0.25">
      <c r="A345" s="46">
        <v>45058</v>
      </c>
      <c r="B345" s="14">
        <v>117</v>
      </c>
      <c r="C345" s="14">
        <v>118.260002</v>
      </c>
      <c r="D345" s="14">
        <v>116.550003</v>
      </c>
      <c r="E345" s="14">
        <v>117.91999800000001</v>
      </c>
      <c r="F345" s="14">
        <v>117.91999800000001</v>
      </c>
      <c r="G345" s="14">
        <v>31272500</v>
      </c>
      <c r="H345" s="14">
        <f t="shared" si="5"/>
        <v>1.4095562516314164E-2</v>
      </c>
    </row>
    <row r="346" spans="1:8" x14ac:dyDescent="0.25">
      <c r="A346" s="46">
        <v>45061</v>
      </c>
      <c r="B346" s="14">
        <v>116.489998</v>
      </c>
      <c r="C346" s="14">
        <v>118.79499800000001</v>
      </c>
      <c r="D346" s="14">
        <v>116.480003</v>
      </c>
      <c r="E346" s="14">
        <v>116.959999</v>
      </c>
      <c r="F346" s="14">
        <v>116.959999</v>
      </c>
      <c r="G346" s="14">
        <v>22107900</v>
      </c>
      <c r="H346" s="14">
        <f t="shared" si="5"/>
        <v>-2.0020019504707331E-4</v>
      </c>
    </row>
    <row r="347" spans="1:8" x14ac:dyDescent="0.25">
      <c r="A347" s="46">
        <v>45062</v>
      </c>
      <c r="B347" s="14">
        <v>116.83000199999999</v>
      </c>
      <c r="C347" s="14">
        <v>121.199997</v>
      </c>
      <c r="D347" s="14">
        <v>116.83000199999999</v>
      </c>
      <c r="E347" s="14">
        <v>120.089996</v>
      </c>
      <c r="F347" s="14">
        <v>120.089996</v>
      </c>
      <c r="G347" s="14">
        <v>32370100</v>
      </c>
      <c r="H347" s="14">
        <f t="shared" si="5"/>
        <v>3.0047990297528138E-3</v>
      </c>
    </row>
    <row r="348" spans="1:8" x14ac:dyDescent="0.25">
      <c r="A348" s="46">
        <v>45063</v>
      </c>
      <c r="B348" s="14">
        <v>120.18</v>
      </c>
      <c r="C348" s="14">
        <v>122.279999</v>
      </c>
      <c r="D348" s="14">
        <v>119.459999</v>
      </c>
      <c r="E348" s="14">
        <v>121.480003</v>
      </c>
      <c r="F348" s="14">
        <v>121.480003</v>
      </c>
      <c r="G348" s="14">
        <v>26659600</v>
      </c>
      <c r="H348" s="14">
        <f t="shared" si="5"/>
        <v>2.2511315201381166E-2</v>
      </c>
    </row>
    <row r="349" spans="1:8" x14ac:dyDescent="0.25">
      <c r="A349" s="46">
        <v>45064</v>
      </c>
      <c r="B349" s="14">
        <v>121.55999799999999</v>
      </c>
      <c r="C349" s="14">
        <v>123.900002</v>
      </c>
      <c r="D349" s="14">
        <v>121.489998</v>
      </c>
      <c r="E349" s="14">
        <v>123.519997</v>
      </c>
      <c r="F349" s="14">
        <v>123.519997</v>
      </c>
      <c r="G349" s="14">
        <v>27014500</v>
      </c>
      <c r="H349" s="14">
        <f t="shared" si="5"/>
        <v>1.6993127548912801E-2</v>
      </c>
    </row>
    <row r="350" spans="1:8" x14ac:dyDescent="0.25">
      <c r="A350" s="46">
        <v>45065</v>
      </c>
      <c r="B350" s="14">
        <v>124.199997</v>
      </c>
      <c r="C350" s="14">
        <v>126.478996</v>
      </c>
      <c r="D350" s="14">
        <v>122.720001</v>
      </c>
      <c r="E350" s="14">
        <v>123.25</v>
      </c>
      <c r="F350" s="14">
        <v>123.25</v>
      </c>
      <c r="G350" s="14">
        <v>30251300</v>
      </c>
      <c r="H350" s="14">
        <f t="shared" si="5"/>
        <v>1.0124314925085365E-2</v>
      </c>
    </row>
    <row r="351" spans="1:8" x14ac:dyDescent="0.25">
      <c r="A351" s="46">
        <v>45068</v>
      </c>
      <c r="B351" s="14">
        <v>123.510002</v>
      </c>
      <c r="C351" s="14">
        <v>127.050003</v>
      </c>
      <c r="D351" s="14">
        <v>123.449997</v>
      </c>
      <c r="E351" s="14">
        <v>125.870003</v>
      </c>
      <c r="F351" s="14">
        <v>125.870003</v>
      </c>
      <c r="G351" s="14">
        <v>29760200</v>
      </c>
      <c r="H351" s="14">
        <f t="shared" si="5"/>
        <v>1.9828226696315308E-3</v>
      </c>
    </row>
    <row r="352" spans="1:8" x14ac:dyDescent="0.25">
      <c r="A352" s="46">
        <v>45069</v>
      </c>
      <c r="B352" s="14">
        <v>124.93</v>
      </c>
      <c r="C352" s="14">
        <v>125.41999800000001</v>
      </c>
      <c r="D352" s="14">
        <v>123.050003</v>
      </c>
      <c r="E352" s="14">
        <v>123.290001</v>
      </c>
      <c r="F352" s="14">
        <v>123.290001</v>
      </c>
      <c r="G352" s="14">
        <v>24477900</v>
      </c>
      <c r="H352" s="14">
        <f t="shared" si="5"/>
        <v>-3.240129685867843E-3</v>
      </c>
    </row>
    <row r="353" spans="1:8" x14ac:dyDescent="0.25">
      <c r="A353" s="46">
        <v>45070</v>
      </c>
      <c r="B353" s="14">
        <v>121.879997</v>
      </c>
      <c r="C353" s="14">
        <v>122.75</v>
      </c>
      <c r="D353" s="14">
        <v>120.75</v>
      </c>
      <c r="E353" s="14">
        <v>121.639999</v>
      </c>
      <c r="F353" s="14">
        <v>121.639999</v>
      </c>
      <c r="G353" s="14">
        <v>23087900</v>
      </c>
      <c r="H353" s="14">
        <f t="shared" si="5"/>
        <v>-1.8691612709672234E-2</v>
      </c>
    </row>
    <row r="354" spans="1:8" x14ac:dyDescent="0.25">
      <c r="A354" s="46">
        <v>45071</v>
      </c>
      <c r="B354" s="14">
        <v>125.209999</v>
      </c>
      <c r="C354" s="14">
        <v>125.980003</v>
      </c>
      <c r="D354" s="14">
        <v>122.900002</v>
      </c>
      <c r="E354" s="14">
        <v>124.349998</v>
      </c>
      <c r="F354" s="14">
        <v>124.349998</v>
      </c>
      <c r="G354" s="14">
        <v>33812700</v>
      </c>
      <c r="H354" s="14">
        <f t="shared" si="5"/>
        <v>1.7805399585921311E-2</v>
      </c>
    </row>
    <row r="355" spans="1:8" x14ac:dyDescent="0.25">
      <c r="A355" s="46">
        <v>45072</v>
      </c>
      <c r="B355" s="14">
        <v>124.06500200000001</v>
      </c>
      <c r="C355" s="14">
        <v>126</v>
      </c>
      <c r="D355" s="14">
        <v>123.290001</v>
      </c>
      <c r="E355" s="14">
        <v>125.43</v>
      </c>
      <c r="F355" s="14">
        <v>125.43</v>
      </c>
      <c r="G355" s="14">
        <v>25154700</v>
      </c>
      <c r="H355" s="14">
        <f t="shared" si="5"/>
        <v>3.1733034471390642E-3</v>
      </c>
    </row>
    <row r="356" spans="1:8" x14ac:dyDescent="0.25">
      <c r="A356" s="46">
        <v>45076</v>
      </c>
      <c r="B356" s="14">
        <v>126.290001</v>
      </c>
      <c r="C356" s="14">
        <v>126.379997</v>
      </c>
      <c r="D356" s="14">
        <v>122.889999</v>
      </c>
      <c r="E356" s="14">
        <v>124.639999</v>
      </c>
      <c r="F356" s="14">
        <v>124.639999</v>
      </c>
      <c r="G356" s="14">
        <v>27230700</v>
      </c>
      <c r="H356" s="14">
        <f t="shared" si="5"/>
        <v>-8.1109983931301755E-4</v>
      </c>
    </row>
    <row r="357" spans="1:8" x14ac:dyDescent="0.25">
      <c r="A357" s="46">
        <v>45077</v>
      </c>
      <c r="B357" s="14">
        <v>123.699997</v>
      </c>
      <c r="C357" s="14">
        <v>124.900002</v>
      </c>
      <c r="D357" s="14">
        <v>123.099998</v>
      </c>
      <c r="E357" s="14">
        <v>123.370003</v>
      </c>
      <c r="F357" s="14">
        <v>123.370003</v>
      </c>
      <c r="G357" s="14">
        <v>41548800</v>
      </c>
      <c r="H357" s="14">
        <f t="shared" si="5"/>
        <v>1.7088371853595241E-3</v>
      </c>
    </row>
    <row r="358" spans="1:8" x14ac:dyDescent="0.25">
      <c r="A358" s="46">
        <v>45078</v>
      </c>
      <c r="B358" s="14">
        <v>123.5</v>
      </c>
      <c r="C358" s="14">
        <v>125.040001</v>
      </c>
      <c r="D358" s="14">
        <v>123.300003</v>
      </c>
      <c r="E358" s="14">
        <v>124.370003</v>
      </c>
      <c r="F358" s="14">
        <v>124.370003</v>
      </c>
      <c r="G358" s="14">
        <v>25017700</v>
      </c>
      <c r="H358" s="14">
        <f t="shared" si="5"/>
        <v>1.6247360133994082E-3</v>
      </c>
    </row>
    <row r="359" spans="1:8" x14ac:dyDescent="0.25">
      <c r="A359" s="46">
        <v>45079</v>
      </c>
      <c r="B359" s="14">
        <v>124.489998</v>
      </c>
      <c r="C359" s="14">
        <v>126.745003</v>
      </c>
      <c r="D359" s="14">
        <v>124.349998</v>
      </c>
      <c r="E359" s="14">
        <v>125.230003</v>
      </c>
      <c r="F359" s="14">
        <v>125.230003</v>
      </c>
      <c r="G359" s="14">
        <v>19362400</v>
      </c>
      <c r="H359" s="14">
        <f t="shared" si="5"/>
        <v>8.5157743264612229E-3</v>
      </c>
    </row>
    <row r="360" spans="1:8" x14ac:dyDescent="0.25">
      <c r="A360" s="46">
        <v>45082</v>
      </c>
      <c r="B360" s="14">
        <v>124.610001</v>
      </c>
      <c r="C360" s="14">
        <v>127.989998</v>
      </c>
      <c r="D360" s="14">
        <v>124.379997</v>
      </c>
      <c r="E360" s="14">
        <v>126.629997</v>
      </c>
      <c r="F360" s="14">
        <v>126.629997</v>
      </c>
      <c r="G360" s="14">
        <v>22672500</v>
      </c>
      <c r="H360" s="14">
        <f t="shared" si="5"/>
        <v>8.0415495194996467E-5</v>
      </c>
    </row>
    <row r="361" spans="1:8" x14ac:dyDescent="0.25">
      <c r="A361" s="46">
        <v>45083</v>
      </c>
      <c r="B361" s="14">
        <v>126.599998</v>
      </c>
      <c r="C361" s="14">
        <v>128.88000500000001</v>
      </c>
      <c r="D361" s="14">
        <v>125.970001</v>
      </c>
      <c r="E361" s="14">
        <v>127.910004</v>
      </c>
      <c r="F361" s="14">
        <v>127.910004</v>
      </c>
      <c r="G361" s="14">
        <v>19450100</v>
      </c>
      <c r="H361" s="14">
        <f t="shared" si="5"/>
        <v>1.2783438160076432E-2</v>
      </c>
    </row>
    <row r="362" spans="1:8" x14ac:dyDescent="0.25">
      <c r="A362" s="46">
        <v>45084</v>
      </c>
      <c r="B362" s="14">
        <v>127.574997</v>
      </c>
      <c r="C362" s="14">
        <v>129.550003</v>
      </c>
      <c r="D362" s="14">
        <v>122.629997</v>
      </c>
      <c r="E362" s="14">
        <v>122.94000200000001</v>
      </c>
      <c r="F362" s="14">
        <v>122.94000200000001</v>
      </c>
      <c r="G362" s="14">
        <v>34179300</v>
      </c>
      <c r="H362" s="14">
        <f t="shared" si="5"/>
        <v>-2.6514280967577353E-2</v>
      </c>
    </row>
    <row r="363" spans="1:8" x14ac:dyDescent="0.25">
      <c r="A363" s="46">
        <v>45085</v>
      </c>
      <c r="B363" s="14">
        <v>122.584999</v>
      </c>
      <c r="C363" s="14">
        <v>123.730003</v>
      </c>
      <c r="D363" s="14">
        <v>122.010002</v>
      </c>
      <c r="E363" s="14">
        <v>122.66999800000001</v>
      </c>
      <c r="F363" s="14">
        <v>122.66999800000001</v>
      </c>
      <c r="G363" s="14">
        <v>24815000</v>
      </c>
      <c r="H363" s="14">
        <f t="shared" si="5"/>
        <v>-5.0558184389419836E-3</v>
      </c>
    </row>
    <row r="364" spans="1:8" x14ac:dyDescent="0.25">
      <c r="A364" s="46">
        <v>45086</v>
      </c>
      <c r="B364" s="14">
        <v>122.55999799999999</v>
      </c>
      <c r="C364" s="14">
        <v>124.285004</v>
      </c>
      <c r="D364" s="14">
        <v>122.41999800000001</v>
      </c>
      <c r="E364" s="14">
        <v>122.870003</v>
      </c>
      <c r="F364" s="14">
        <v>122.870003</v>
      </c>
      <c r="G364" s="14">
        <v>20304500</v>
      </c>
      <c r="H364" s="14">
        <f t="shared" si="5"/>
        <v>3.3603474574159797E-3</v>
      </c>
    </row>
    <row r="365" spans="1:8" x14ac:dyDescent="0.25">
      <c r="A365" s="46">
        <v>45089</v>
      </c>
      <c r="B365" s="14">
        <v>123.394997</v>
      </c>
      <c r="C365" s="14">
        <v>124.75</v>
      </c>
      <c r="D365" s="14">
        <v>122.349998</v>
      </c>
      <c r="E365" s="14">
        <v>124.349998</v>
      </c>
      <c r="F365" s="14">
        <v>124.349998</v>
      </c>
      <c r="G365" s="14">
        <v>22255700</v>
      </c>
      <c r="H365" s="14">
        <f t="shared" si="5"/>
        <v>-1.906006674933606E-4</v>
      </c>
    </row>
    <row r="366" spans="1:8" x14ac:dyDescent="0.25">
      <c r="A366" s="46">
        <v>45090</v>
      </c>
      <c r="B366" s="14">
        <v>125.650002</v>
      </c>
      <c r="C366" s="14">
        <v>125.860001</v>
      </c>
      <c r="D366" s="14">
        <v>123.845001</v>
      </c>
      <c r="E366" s="14">
        <v>124.43</v>
      </c>
      <c r="F366" s="14">
        <v>124.43</v>
      </c>
      <c r="G366" s="14">
        <v>19287700</v>
      </c>
      <c r="H366" s="14">
        <f t="shared" si="5"/>
        <v>1.221906844657239E-2</v>
      </c>
    </row>
    <row r="367" spans="1:8" x14ac:dyDescent="0.25">
      <c r="A367" s="46">
        <v>45091</v>
      </c>
      <c r="B367" s="14">
        <v>123.800003</v>
      </c>
      <c r="C367" s="14">
        <v>124.790001</v>
      </c>
      <c r="D367" s="14">
        <v>122.160004</v>
      </c>
      <c r="E367" s="14">
        <v>124.379997</v>
      </c>
      <c r="F367" s="14">
        <v>124.379997</v>
      </c>
      <c r="G367" s="14">
        <v>24659600</v>
      </c>
      <c r="H367" s="14">
        <f t="shared" si="5"/>
        <v>-1.3605692489759846E-2</v>
      </c>
    </row>
    <row r="368" spans="1:8" x14ac:dyDescent="0.25">
      <c r="A368" s="46">
        <v>45092</v>
      </c>
      <c r="B368" s="14">
        <v>123.879997</v>
      </c>
      <c r="C368" s="14">
        <v>126.160004</v>
      </c>
      <c r="D368" s="14">
        <v>123.139999</v>
      </c>
      <c r="E368" s="14">
        <v>125.790001</v>
      </c>
      <c r="F368" s="14">
        <v>125.790001</v>
      </c>
      <c r="G368" s="14">
        <v>24517100</v>
      </c>
      <c r="H368" s="14">
        <f t="shared" si="5"/>
        <v>8.0222246882049042E-3</v>
      </c>
    </row>
    <row r="369" spans="1:8" x14ac:dyDescent="0.25">
      <c r="A369" s="46">
        <v>45093</v>
      </c>
      <c r="B369" s="14">
        <v>126.699997</v>
      </c>
      <c r="C369" s="14">
        <v>126.699997</v>
      </c>
      <c r="D369" s="14">
        <v>123.790001</v>
      </c>
      <c r="E369" s="14">
        <v>124.05999799999999</v>
      </c>
      <c r="F369" s="14">
        <v>124.05999799999999</v>
      </c>
      <c r="G369" s="14">
        <v>56686800</v>
      </c>
      <c r="H369" s="14">
        <f t="shared" si="5"/>
        <v>5.2785610303602848E-3</v>
      </c>
    </row>
    <row r="370" spans="1:8" x14ac:dyDescent="0.25">
      <c r="A370" s="46">
        <v>45097</v>
      </c>
      <c r="B370" s="14">
        <v>123.535004</v>
      </c>
      <c r="C370" s="14">
        <v>125.175003</v>
      </c>
      <c r="D370" s="14">
        <v>122.83000199999999</v>
      </c>
      <c r="E370" s="14">
        <v>123.849998</v>
      </c>
      <c r="F370" s="14">
        <v>123.849998</v>
      </c>
      <c r="G370" s="14">
        <v>22698000</v>
      </c>
      <c r="H370" s="14">
        <f t="shared" si="5"/>
        <v>-1.9387652319350357E-3</v>
      </c>
    </row>
    <row r="371" spans="1:8" x14ac:dyDescent="0.25">
      <c r="A371" s="46">
        <v>45098</v>
      </c>
      <c r="B371" s="14">
        <v>123.235001</v>
      </c>
      <c r="C371" s="14">
        <v>123.410004</v>
      </c>
      <c r="D371" s="14">
        <v>120.860001</v>
      </c>
      <c r="E371" s="14">
        <v>121.260002</v>
      </c>
      <c r="F371" s="14">
        <v>121.260002</v>
      </c>
      <c r="G371" s="14">
        <v>22612000</v>
      </c>
      <c r="H371" s="14">
        <f t="shared" si="5"/>
        <v>-1.6038434974543048E-2</v>
      </c>
    </row>
    <row r="372" spans="1:8" x14ac:dyDescent="0.25">
      <c r="A372" s="46">
        <v>45099</v>
      </c>
      <c r="B372" s="14">
        <v>120.660004</v>
      </c>
      <c r="C372" s="14">
        <v>123.93499799999999</v>
      </c>
      <c r="D372" s="14">
        <v>119.599998</v>
      </c>
      <c r="E372" s="14">
        <v>123.870003</v>
      </c>
      <c r="F372" s="14">
        <v>123.870003</v>
      </c>
      <c r="G372" s="14">
        <v>20781900</v>
      </c>
      <c r="H372" s="14">
        <f t="shared" si="5"/>
        <v>-1.0425310190093406E-2</v>
      </c>
    </row>
    <row r="373" spans="1:8" x14ac:dyDescent="0.25">
      <c r="A373" s="46">
        <v>45100</v>
      </c>
      <c r="B373" s="14">
        <v>122.040001</v>
      </c>
      <c r="C373" s="14">
        <v>123.44000200000001</v>
      </c>
      <c r="D373" s="14">
        <v>121.860001</v>
      </c>
      <c r="E373" s="14">
        <v>123.019997</v>
      </c>
      <c r="F373" s="14">
        <v>123.019997</v>
      </c>
      <c r="G373" s="14">
        <v>29542900</v>
      </c>
      <c r="H373" s="14">
        <f t="shared" si="5"/>
        <v>1.8896346469838621E-2</v>
      </c>
    </row>
    <row r="374" spans="1:8" x14ac:dyDescent="0.25">
      <c r="A374" s="46">
        <v>45103</v>
      </c>
      <c r="B374" s="14">
        <v>121.466003</v>
      </c>
      <c r="C374" s="14">
        <v>122.720001</v>
      </c>
      <c r="D374" s="14">
        <v>118.989998</v>
      </c>
      <c r="E374" s="14">
        <v>119.089996</v>
      </c>
      <c r="F374" s="14">
        <v>119.089996</v>
      </c>
      <c r="G374" s="14">
        <v>23185000</v>
      </c>
      <c r="H374" s="14">
        <f t="shared" si="5"/>
        <v>-7.8505470114567464E-3</v>
      </c>
    </row>
    <row r="375" spans="1:8" x14ac:dyDescent="0.25">
      <c r="A375" s="46">
        <v>45104</v>
      </c>
      <c r="B375" s="14">
        <v>117.839996</v>
      </c>
      <c r="C375" s="14">
        <v>119.894997</v>
      </c>
      <c r="D375" s="14">
        <v>116.910004</v>
      </c>
      <c r="E375" s="14">
        <v>119.010002</v>
      </c>
      <c r="F375" s="14">
        <v>119.010002</v>
      </c>
      <c r="G375" s="14">
        <v>27221700</v>
      </c>
      <c r="H375" s="14">
        <f t="shared" si="5"/>
        <v>-1.748041041231041E-2</v>
      </c>
    </row>
    <row r="376" spans="1:8" x14ac:dyDescent="0.25">
      <c r="A376" s="46">
        <v>45105</v>
      </c>
      <c r="B376" s="14">
        <v>117.959999</v>
      </c>
      <c r="C376" s="14">
        <v>121.269997</v>
      </c>
      <c r="D376" s="14">
        <v>117.599998</v>
      </c>
      <c r="E376" s="14">
        <v>121.08000199999999</v>
      </c>
      <c r="F376" s="14">
        <v>121.08000199999999</v>
      </c>
      <c r="G376" s="14">
        <v>19753100</v>
      </c>
      <c r="H376" s="14">
        <f t="shared" si="5"/>
        <v>5.9019243554212508E-3</v>
      </c>
    </row>
    <row r="377" spans="1:8" x14ac:dyDescent="0.25">
      <c r="A377" s="46">
        <v>45106</v>
      </c>
      <c r="B377" s="14">
        <v>120.089996</v>
      </c>
      <c r="C377" s="14">
        <v>120.910004</v>
      </c>
      <c r="D377" s="14">
        <v>119.209999</v>
      </c>
      <c r="E377" s="14">
        <v>120.010002</v>
      </c>
      <c r="F377" s="14">
        <v>120.010002</v>
      </c>
      <c r="G377" s="14">
        <v>18517500</v>
      </c>
      <c r="H377" s="14">
        <f t="shared" si="5"/>
        <v>1.369048492670899E-2</v>
      </c>
    </row>
    <row r="378" spans="1:8" x14ac:dyDescent="0.25">
      <c r="A378" s="46">
        <v>45107</v>
      </c>
      <c r="B378" s="14">
        <v>121.099998</v>
      </c>
      <c r="C378" s="14">
        <v>122.029999</v>
      </c>
      <c r="D378" s="14">
        <v>120.879997</v>
      </c>
      <c r="E378" s="14">
        <v>120.970001</v>
      </c>
      <c r="F378" s="14">
        <v>120.970001</v>
      </c>
      <c r="G378" s="14">
        <v>23865800</v>
      </c>
      <c r="H378" s="14">
        <f t="shared" si="5"/>
        <v>1.4008875211885652E-2</v>
      </c>
    </row>
    <row r="379" spans="1:8" x14ac:dyDescent="0.25">
      <c r="A379" s="46">
        <v>45110</v>
      </c>
      <c r="B379" s="14">
        <v>120.32</v>
      </c>
      <c r="C379" s="14">
        <v>121.019997</v>
      </c>
      <c r="D379" s="14">
        <v>119.70500199999999</v>
      </c>
      <c r="E379" s="14">
        <v>120.55999799999999</v>
      </c>
      <c r="F379" s="14">
        <v>120.55999799999999</v>
      </c>
      <c r="G379" s="14">
        <v>13888300</v>
      </c>
      <c r="H379" s="14">
        <f t="shared" si="5"/>
        <v>-3.2401142432192756E-3</v>
      </c>
    </row>
    <row r="380" spans="1:8" x14ac:dyDescent="0.25">
      <c r="A380" s="46">
        <v>45112</v>
      </c>
      <c r="B380" s="14">
        <v>120.05999799999999</v>
      </c>
      <c r="C380" s="14">
        <v>123.370003</v>
      </c>
      <c r="D380" s="14">
        <v>120.05999799999999</v>
      </c>
      <c r="E380" s="14">
        <v>122.629997</v>
      </c>
      <c r="F380" s="14">
        <v>122.629997</v>
      </c>
      <c r="G380" s="14">
        <v>17830300</v>
      </c>
      <c r="H380" s="14">
        <f t="shared" si="5"/>
        <v>1.4827951801045236E-3</v>
      </c>
    </row>
    <row r="381" spans="1:8" x14ac:dyDescent="0.25">
      <c r="A381" s="46">
        <v>45113</v>
      </c>
      <c r="B381" s="14">
        <v>120.639999</v>
      </c>
      <c r="C381" s="14">
        <v>121.150002</v>
      </c>
      <c r="D381" s="14">
        <v>119.25</v>
      </c>
      <c r="E381" s="14">
        <v>120.93</v>
      </c>
      <c r="F381" s="14">
        <v>120.93</v>
      </c>
      <c r="G381" s="14">
        <v>17732500</v>
      </c>
      <c r="H381" s="14">
        <f t="shared" si="5"/>
        <v>-6.7466101407064327E-3</v>
      </c>
    </row>
    <row r="382" spans="1:8" x14ac:dyDescent="0.25">
      <c r="A382" s="46">
        <v>45114</v>
      </c>
      <c r="B382" s="14">
        <v>120.889999</v>
      </c>
      <c r="C382" s="14">
        <v>121.75</v>
      </c>
      <c r="D382" s="14">
        <v>120.089996</v>
      </c>
      <c r="E382" s="14">
        <v>120.139999</v>
      </c>
      <c r="F382" s="14">
        <v>120.139999</v>
      </c>
      <c r="G382" s="14">
        <v>20982400</v>
      </c>
      <c r="H382" s="14">
        <f t="shared" si="5"/>
        <v>7.0439916142557291E-3</v>
      </c>
    </row>
    <row r="383" spans="1:8" x14ac:dyDescent="0.25">
      <c r="A383" s="46">
        <v>45117</v>
      </c>
      <c r="B383" s="14">
        <v>119.07</v>
      </c>
      <c r="C383" s="14">
        <v>119.07</v>
      </c>
      <c r="D383" s="14">
        <v>116.639999</v>
      </c>
      <c r="E383" s="14">
        <v>116.870003</v>
      </c>
      <c r="F383" s="14">
        <v>116.870003</v>
      </c>
      <c r="G383" s="14">
        <v>32960100</v>
      </c>
      <c r="H383" s="14">
        <f t="shared" si="5"/>
        <v>-9.576143211795932E-3</v>
      </c>
    </row>
    <row r="384" spans="1:8" x14ac:dyDescent="0.25">
      <c r="A384" s="46">
        <v>45118</v>
      </c>
      <c r="B384" s="14">
        <v>116.760002</v>
      </c>
      <c r="C384" s="14">
        <v>118.224998</v>
      </c>
      <c r="D384" s="14">
        <v>115.83000199999999</v>
      </c>
      <c r="E384" s="14">
        <v>117.709999</v>
      </c>
      <c r="F384" s="14">
        <v>117.709999</v>
      </c>
      <c r="G384" s="14">
        <v>18286600</v>
      </c>
      <c r="H384" s="14">
        <f t="shared" si="5"/>
        <v>-6.9444187838171301E-3</v>
      </c>
    </row>
    <row r="385" spans="1:8" x14ac:dyDescent="0.25">
      <c r="A385" s="46">
        <v>45119</v>
      </c>
      <c r="B385" s="14">
        <v>119.300003</v>
      </c>
      <c r="C385" s="14">
        <v>120.959999</v>
      </c>
      <c r="D385" s="14">
        <v>119</v>
      </c>
      <c r="E385" s="14">
        <v>119.620003</v>
      </c>
      <c r="F385" s="14">
        <v>119.620003</v>
      </c>
      <c r="G385" s="14">
        <v>22059600</v>
      </c>
      <c r="H385" s="14">
        <f t="shared" si="5"/>
        <v>2.7367676295127819E-2</v>
      </c>
    </row>
    <row r="386" spans="1:8" x14ac:dyDescent="0.25">
      <c r="A386" s="46">
        <v>45120</v>
      </c>
      <c r="B386" s="14">
        <v>121.540001</v>
      </c>
      <c r="C386" s="14">
        <v>125.334999</v>
      </c>
      <c r="D386" s="14">
        <v>121.05999799999999</v>
      </c>
      <c r="E386" s="14">
        <v>124.83000199999999</v>
      </c>
      <c r="F386" s="14">
        <v>124.83000199999999</v>
      </c>
      <c r="G386" s="14">
        <v>31535900</v>
      </c>
      <c r="H386" s="14">
        <f t="shared" si="5"/>
        <v>1.7310907563025113E-2</v>
      </c>
    </row>
    <row r="387" spans="1:8" x14ac:dyDescent="0.25">
      <c r="A387" s="46">
        <v>45121</v>
      </c>
      <c r="B387" s="14">
        <v>125.129997</v>
      </c>
      <c r="C387" s="14">
        <v>127.089996</v>
      </c>
      <c r="D387" s="14">
        <v>124.900002</v>
      </c>
      <c r="E387" s="14">
        <v>125.699997</v>
      </c>
      <c r="F387" s="14">
        <v>125.699997</v>
      </c>
      <c r="G387" s="14">
        <v>20482800</v>
      </c>
      <c r="H387" s="14">
        <f t="shared" si="5"/>
        <v>3.1719841924993331E-2</v>
      </c>
    </row>
    <row r="388" spans="1:8" x14ac:dyDescent="0.25">
      <c r="A388" s="46">
        <v>45124</v>
      </c>
      <c r="B388" s="14">
        <v>126.05999799999999</v>
      </c>
      <c r="C388" s="14">
        <v>127.279999</v>
      </c>
      <c r="D388" s="14">
        <v>124.5</v>
      </c>
      <c r="E388" s="14">
        <v>125.05999799999999</v>
      </c>
      <c r="F388" s="14">
        <v>125.05999799999999</v>
      </c>
      <c r="G388" s="14">
        <v>20675300</v>
      </c>
      <c r="H388" s="14">
        <f t="shared" ref="H388:H451" si="6">(D388/D387-1)/(A388-A387)</f>
        <v>-1.0675260037225816E-3</v>
      </c>
    </row>
    <row r="389" spans="1:8" x14ac:dyDescent="0.25">
      <c r="A389" s="46">
        <v>45125</v>
      </c>
      <c r="B389" s="14">
        <v>124.904999</v>
      </c>
      <c r="C389" s="14">
        <v>124.989998</v>
      </c>
      <c r="D389" s="14">
        <v>123.300003</v>
      </c>
      <c r="E389" s="14">
        <v>124.08000199999999</v>
      </c>
      <c r="F389" s="14">
        <v>124.08000199999999</v>
      </c>
      <c r="G389" s="14">
        <v>21071200</v>
      </c>
      <c r="H389" s="14">
        <f t="shared" si="6"/>
        <v>-9.6385301204818807E-3</v>
      </c>
    </row>
    <row r="390" spans="1:8" x14ac:dyDescent="0.25">
      <c r="A390" s="46">
        <v>45126</v>
      </c>
      <c r="B390" s="14">
        <v>124.790001</v>
      </c>
      <c r="C390" s="14">
        <v>125.470001</v>
      </c>
      <c r="D390" s="14">
        <v>122.470001</v>
      </c>
      <c r="E390" s="14">
        <v>122.779999</v>
      </c>
      <c r="F390" s="14">
        <v>122.779999</v>
      </c>
      <c r="G390" s="14">
        <v>22313800</v>
      </c>
      <c r="H390" s="14">
        <f t="shared" si="6"/>
        <v>-6.7315651241306451E-3</v>
      </c>
    </row>
    <row r="391" spans="1:8" x14ac:dyDescent="0.25">
      <c r="A391" s="46">
        <v>45127</v>
      </c>
      <c r="B391" s="14">
        <v>122.120003</v>
      </c>
      <c r="C391" s="14">
        <v>124.699997</v>
      </c>
      <c r="D391" s="14">
        <v>118.68499799999999</v>
      </c>
      <c r="E391" s="14">
        <v>119.529999</v>
      </c>
      <c r="F391" s="14">
        <v>119.529999</v>
      </c>
      <c r="G391" s="14">
        <v>27541700</v>
      </c>
      <c r="H391" s="14">
        <f t="shared" si="6"/>
        <v>-3.0905552127822755E-2</v>
      </c>
    </row>
    <row r="392" spans="1:8" x14ac:dyDescent="0.25">
      <c r="A392" s="46">
        <v>45128</v>
      </c>
      <c r="B392" s="14">
        <v>120.870003</v>
      </c>
      <c r="C392" s="14">
        <v>121.300003</v>
      </c>
      <c r="D392" s="14">
        <v>119.07</v>
      </c>
      <c r="E392" s="14">
        <v>120.30999799999999</v>
      </c>
      <c r="F392" s="14">
        <v>120.30999799999999</v>
      </c>
      <c r="G392" s="14">
        <v>56498100</v>
      </c>
      <c r="H392" s="14">
        <f t="shared" si="6"/>
        <v>3.2438977670961044E-3</v>
      </c>
    </row>
    <row r="393" spans="1:8" x14ac:dyDescent="0.25">
      <c r="A393" s="46">
        <v>45131</v>
      </c>
      <c r="B393" s="14">
        <v>121.92600299999999</v>
      </c>
      <c r="C393" s="14">
        <v>123.349998</v>
      </c>
      <c r="D393" s="14">
        <v>121.379997</v>
      </c>
      <c r="E393" s="14">
        <v>121.879997</v>
      </c>
      <c r="F393" s="14">
        <v>121.879997</v>
      </c>
      <c r="G393" s="14">
        <v>22276100</v>
      </c>
      <c r="H393" s="14">
        <f t="shared" si="6"/>
        <v>6.4667758461409708E-3</v>
      </c>
    </row>
    <row r="394" spans="1:8" x14ac:dyDescent="0.25">
      <c r="A394" s="46">
        <v>45132</v>
      </c>
      <c r="B394" s="14">
        <v>121.879997</v>
      </c>
      <c r="C394" s="14">
        <v>123.69000200000001</v>
      </c>
      <c r="D394" s="14">
        <v>121.529999</v>
      </c>
      <c r="E394" s="14">
        <v>122.790001</v>
      </c>
      <c r="F394" s="14">
        <v>122.790001</v>
      </c>
      <c r="G394" s="14">
        <v>31820800</v>
      </c>
      <c r="H394" s="14">
        <f t="shared" si="6"/>
        <v>1.2358049407432681E-3</v>
      </c>
    </row>
    <row r="395" spans="1:8" x14ac:dyDescent="0.25">
      <c r="A395" s="46">
        <v>45133</v>
      </c>
      <c r="B395" s="14">
        <v>130.36000100000001</v>
      </c>
      <c r="C395" s="14">
        <v>131.36999499999999</v>
      </c>
      <c r="D395" s="14">
        <v>128.71000699999999</v>
      </c>
      <c r="E395" s="14">
        <v>129.66000399999999</v>
      </c>
      <c r="F395" s="14">
        <v>129.66000399999999</v>
      </c>
      <c r="G395" s="14">
        <v>46216900</v>
      </c>
      <c r="H395" s="14">
        <f t="shared" si="6"/>
        <v>5.9080128849503089E-2</v>
      </c>
    </row>
    <row r="396" spans="1:8" x14ac:dyDescent="0.25">
      <c r="A396" s="46">
        <v>45134</v>
      </c>
      <c r="B396" s="14">
        <v>131.800003</v>
      </c>
      <c r="C396" s="14">
        <v>133.60000600000001</v>
      </c>
      <c r="D396" s="14">
        <v>129.179993</v>
      </c>
      <c r="E396" s="14">
        <v>129.86999499999999</v>
      </c>
      <c r="F396" s="14">
        <v>129.86999499999999</v>
      </c>
      <c r="G396" s="14">
        <v>35931600</v>
      </c>
      <c r="H396" s="14">
        <f t="shared" si="6"/>
        <v>3.6515109505044219E-3</v>
      </c>
    </row>
    <row r="397" spans="1:8" x14ac:dyDescent="0.25">
      <c r="A397" s="46">
        <v>45135</v>
      </c>
      <c r="B397" s="14">
        <v>130.970001</v>
      </c>
      <c r="C397" s="14">
        <v>134.070007</v>
      </c>
      <c r="D397" s="14">
        <v>130.91999799999999</v>
      </c>
      <c r="E397" s="14">
        <v>133.009995</v>
      </c>
      <c r="F397" s="14">
        <v>133.009995</v>
      </c>
      <c r="G397" s="14">
        <v>26971000</v>
      </c>
      <c r="H397" s="14">
        <f t="shared" si="6"/>
        <v>1.3469616769525627E-2</v>
      </c>
    </row>
    <row r="398" spans="1:8" x14ac:dyDescent="0.25">
      <c r="A398" s="46">
        <v>45138</v>
      </c>
      <c r="B398" s="14">
        <v>133.009995</v>
      </c>
      <c r="C398" s="14">
        <v>133.83000200000001</v>
      </c>
      <c r="D398" s="14">
        <v>132.13000500000001</v>
      </c>
      <c r="E398" s="14">
        <v>133.11000100000001</v>
      </c>
      <c r="F398" s="14">
        <v>133.11000100000001</v>
      </c>
      <c r="G398" s="14">
        <v>18381900</v>
      </c>
      <c r="H398" s="14">
        <f t="shared" si="6"/>
        <v>3.0807796580219668E-3</v>
      </c>
    </row>
    <row r="399" spans="1:8" x14ac:dyDescent="0.25">
      <c r="A399" s="46">
        <v>45139</v>
      </c>
      <c r="B399" s="14">
        <v>130.854996</v>
      </c>
      <c r="C399" s="14">
        <v>132.91999799999999</v>
      </c>
      <c r="D399" s="14">
        <v>130.75</v>
      </c>
      <c r="E399" s="14">
        <v>131.88999899999999</v>
      </c>
      <c r="F399" s="14">
        <v>131.88999899999999</v>
      </c>
      <c r="G399" s="14">
        <v>22154300</v>
      </c>
      <c r="H399" s="14">
        <f t="shared" si="6"/>
        <v>-1.0444296887750948E-2</v>
      </c>
    </row>
    <row r="400" spans="1:8" x14ac:dyDescent="0.25">
      <c r="A400" s="46">
        <v>45140</v>
      </c>
      <c r="B400" s="14">
        <v>129.83999600000001</v>
      </c>
      <c r="C400" s="14">
        <v>130.41999799999999</v>
      </c>
      <c r="D400" s="14">
        <v>127.849998</v>
      </c>
      <c r="E400" s="14">
        <v>128.63999899999999</v>
      </c>
      <c r="F400" s="14">
        <v>128.63999899999999</v>
      </c>
      <c r="G400" s="14">
        <v>22705800</v>
      </c>
      <c r="H400" s="14">
        <f t="shared" si="6"/>
        <v>-2.2179747609942679E-2</v>
      </c>
    </row>
    <row r="401" spans="1:8" x14ac:dyDescent="0.25">
      <c r="A401" s="46">
        <v>45141</v>
      </c>
      <c r="B401" s="14">
        <v>128.36999499999999</v>
      </c>
      <c r="C401" s="14">
        <v>129.770004</v>
      </c>
      <c r="D401" s="14">
        <v>127.775002</v>
      </c>
      <c r="E401" s="14">
        <v>128.770004</v>
      </c>
      <c r="F401" s="14">
        <v>128.770004</v>
      </c>
      <c r="G401" s="14">
        <v>15018100</v>
      </c>
      <c r="H401" s="14">
        <f t="shared" si="6"/>
        <v>-5.865936736267896E-4</v>
      </c>
    </row>
    <row r="402" spans="1:8" x14ac:dyDescent="0.25">
      <c r="A402" s="46">
        <v>45142</v>
      </c>
      <c r="B402" s="14">
        <v>129.60000600000001</v>
      </c>
      <c r="C402" s="14">
        <v>131.929993</v>
      </c>
      <c r="D402" s="14">
        <v>128.31500199999999</v>
      </c>
      <c r="E402" s="14">
        <v>128.53999300000001</v>
      </c>
      <c r="F402" s="14">
        <v>128.53999300000001</v>
      </c>
      <c r="G402" s="14">
        <v>20509500</v>
      </c>
      <c r="H402" s="14">
        <f t="shared" si="6"/>
        <v>4.226178763824251E-3</v>
      </c>
    </row>
    <row r="403" spans="1:8" x14ac:dyDescent="0.25">
      <c r="A403" s="46">
        <v>45145</v>
      </c>
      <c r="B403" s="14">
        <v>129.509995</v>
      </c>
      <c r="C403" s="14">
        <v>132.05999800000001</v>
      </c>
      <c r="D403" s="14">
        <v>129.429993</v>
      </c>
      <c r="E403" s="14">
        <v>131.94000199999999</v>
      </c>
      <c r="F403" s="14">
        <v>131.94000199999999</v>
      </c>
      <c r="G403" s="14">
        <v>17621000</v>
      </c>
      <c r="H403" s="14">
        <f t="shared" si="6"/>
        <v>2.8964942592345131E-3</v>
      </c>
    </row>
    <row r="404" spans="1:8" x14ac:dyDescent="0.25">
      <c r="A404" s="46">
        <v>45146</v>
      </c>
      <c r="B404" s="14">
        <v>130.979996</v>
      </c>
      <c r="C404" s="14">
        <v>131.94000199999999</v>
      </c>
      <c r="D404" s="14">
        <v>130.13000500000001</v>
      </c>
      <c r="E404" s="14">
        <v>131.83999600000001</v>
      </c>
      <c r="F404" s="14">
        <v>131.83999600000001</v>
      </c>
      <c r="G404" s="14">
        <v>16836000</v>
      </c>
      <c r="H404" s="14">
        <f t="shared" si="6"/>
        <v>5.4084218331065248E-3</v>
      </c>
    </row>
    <row r="405" spans="1:8" x14ac:dyDescent="0.25">
      <c r="A405" s="46">
        <v>45147</v>
      </c>
      <c r="B405" s="14">
        <v>132.19000199999999</v>
      </c>
      <c r="C405" s="14">
        <v>132.470001</v>
      </c>
      <c r="D405" s="14">
        <v>129.50500500000001</v>
      </c>
      <c r="E405" s="14">
        <v>130.14999399999999</v>
      </c>
      <c r="F405" s="14">
        <v>130.14999399999999</v>
      </c>
      <c r="G405" s="14">
        <v>17745200</v>
      </c>
      <c r="H405" s="14">
        <f t="shared" si="6"/>
        <v>-4.8028892337320661E-3</v>
      </c>
    </row>
    <row r="406" spans="1:8" x14ac:dyDescent="0.25">
      <c r="A406" s="46">
        <v>45148</v>
      </c>
      <c r="B406" s="14">
        <v>131.970001</v>
      </c>
      <c r="C406" s="14">
        <v>132.64700300000001</v>
      </c>
      <c r="D406" s="14">
        <v>130.03500399999999</v>
      </c>
      <c r="E406" s="14">
        <v>130.21000699999999</v>
      </c>
      <c r="F406" s="14">
        <v>130.21000699999999</v>
      </c>
      <c r="G406" s="14">
        <v>17855700</v>
      </c>
      <c r="H406" s="14">
        <f t="shared" si="6"/>
        <v>4.0924982011310007E-3</v>
      </c>
    </row>
    <row r="407" spans="1:8" x14ac:dyDescent="0.25">
      <c r="A407" s="46">
        <v>45149</v>
      </c>
      <c r="B407" s="14">
        <v>129.20199600000001</v>
      </c>
      <c r="C407" s="14">
        <v>130.44000199999999</v>
      </c>
      <c r="D407" s="14">
        <v>128.75</v>
      </c>
      <c r="E407" s="14">
        <v>130.16999799999999</v>
      </c>
      <c r="F407" s="14">
        <v>130.16999799999999</v>
      </c>
      <c r="G407" s="14">
        <v>15191500</v>
      </c>
      <c r="H407" s="14">
        <f t="shared" si="6"/>
        <v>-9.8819853152769532E-3</v>
      </c>
    </row>
    <row r="408" spans="1:8" x14ac:dyDescent="0.25">
      <c r="A408" s="46">
        <v>45152</v>
      </c>
      <c r="B408" s="14">
        <v>129.85000600000001</v>
      </c>
      <c r="C408" s="14">
        <v>131.91000399999999</v>
      </c>
      <c r="D408" s="14">
        <v>129.58999600000001</v>
      </c>
      <c r="E408" s="14">
        <v>131.83000200000001</v>
      </c>
      <c r="F408" s="14">
        <v>131.83000200000001</v>
      </c>
      <c r="G408" s="14">
        <v>17526200</v>
      </c>
      <c r="H408" s="14">
        <f t="shared" si="6"/>
        <v>2.1747469255664065E-3</v>
      </c>
    </row>
    <row r="409" spans="1:8" x14ac:dyDescent="0.25">
      <c r="A409" s="46">
        <v>45153</v>
      </c>
      <c r="B409" s="14">
        <v>131.58999600000001</v>
      </c>
      <c r="C409" s="14">
        <v>131.990005</v>
      </c>
      <c r="D409" s="14">
        <v>129.81899999999999</v>
      </c>
      <c r="E409" s="14">
        <v>130.270004</v>
      </c>
      <c r="F409" s="14">
        <v>130.270004</v>
      </c>
      <c r="G409" s="14">
        <v>14769200</v>
      </c>
      <c r="H409" s="14">
        <f t="shared" si="6"/>
        <v>1.7671425809748786E-3</v>
      </c>
    </row>
    <row r="410" spans="1:8" x14ac:dyDescent="0.25">
      <c r="A410" s="46">
        <v>45154</v>
      </c>
      <c r="B410" s="14">
        <v>129.279999</v>
      </c>
      <c r="C410" s="14">
        <v>130.89799500000001</v>
      </c>
      <c r="D410" s="14">
        <v>128.46000699999999</v>
      </c>
      <c r="E410" s="14">
        <v>129.11000100000001</v>
      </c>
      <c r="F410" s="14">
        <v>129.11000100000001</v>
      </c>
      <c r="G410" s="14">
        <v>17548400</v>
      </c>
      <c r="H410" s="14">
        <f t="shared" si="6"/>
        <v>-1.0468367496283326E-2</v>
      </c>
    </row>
    <row r="411" spans="1:8" x14ac:dyDescent="0.25">
      <c r="A411" s="46">
        <v>45155</v>
      </c>
      <c r="B411" s="14">
        <v>130.449997</v>
      </c>
      <c r="C411" s="14">
        <v>132.49099699999999</v>
      </c>
      <c r="D411" s="14">
        <v>129.85000600000001</v>
      </c>
      <c r="E411" s="14">
        <v>130.46000699999999</v>
      </c>
      <c r="F411" s="14">
        <v>130.46000699999999</v>
      </c>
      <c r="G411" s="14">
        <v>23665600</v>
      </c>
      <c r="H411" s="14">
        <f t="shared" si="6"/>
        <v>1.0820480493979767E-2</v>
      </c>
    </row>
    <row r="412" spans="1:8" x14ac:dyDescent="0.25">
      <c r="A412" s="46">
        <v>45156</v>
      </c>
      <c r="B412" s="14">
        <v>129.05999800000001</v>
      </c>
      <c r="C412" s="14">
        <v>129.83000200000001</v>
      </c>
      <c r="D412" s="14">
        <v>127</v>
      </c>
      <c r="E412" s="14">
        <v>128.11000100000001</v>
      </c>
      <c r="F412" s="14">
        <v>128.11000100000001</v>
      </c>
      <c r="G412" s="14">
        <v>23619400</v>
      </c>
      <c r="H412" s="14">
        <f t="shared" si="6"/>
        <v>-2.1948447195297094E-2</v>
      </c>
    </row>
    <row r="413" spans="1:8" x14ac:dyDescent="0.25">
      <c r="A413" s="46">
        <v>45159</v>
      </c>
      <c r="B413" s="14">
        <v>127.849998</v>
      </c>
      <c r="C413" s="14">
        <v>129.259995</v>
      </c>
      <c r="D413" s="14">
        <v>127.160004</v>
      </c>
      <c r="E413" s="14">
        <v>128.929993</v>
      </c>
      <c r="F413" s="14">
        <v>128.929993</v>
      </c>
      <c r="G413" s="14">
        <v>21851100</v>
      </c>
      <c r="H413" s="14">
        <f t="shared" si="6"/>
        <v>4.1995800524937305E-4</v>
      </c>
    </row>
    <row r="414" spans="1:8" x14ac:dyDescent="0.25">
      <c r="A414" s="46">
        <v>45160</v>
      </c>
      <c r="B414" s="14">
        <v>129.13000500000001</v>
      </c>
      <c r="C414" s="14">
        <v>130.949997</v>
      </c>
      <c r="D414" s="14">
        <v>128.925003</v>
      </c>
      <c r="E414" s="14">
        <v>129.69000199999999</v>
      </c>
      <c r="F414" s="14">
        <v>129.69000199999999</v>
      </c>
      <c r="G414" s="14">
        <v>15569400</v>
      </c>
      <c r="H414" s="14">
        <f t="shared" si="6"/>
        <v>1.3880142690149588E-2</v>
      </c>
    </row>
    <row r="415" spans="1:8" x14ac:dyDescent="0.25">
      <c r="A415" s="46">
        <v>45161</v>
      </c>
      <c r="B415" s="14">
        <v>130.85000600000001</v>
      </c>
      <c r="C415" s="14">
        <v>134.070007</v>
      </c>
      <c r="D415" s="14">
        <v>130.509995</v>
      </c>
      <c r="E415" s="14">
        <v>133.21000699999999</v>
      </c>
      <c r="F415" s="14">
        <v>133.21000699999999</v>
      </c>
      <c r="G415" s="14">
        <v>26497000</v>
      </c>
      <c r="H415" s="14">
        <f t="shared" si="6"/>
        <v>1.2293907024380601E-2</v>
      </c>
    </row>
    <row r="416" spans="1:8" x14ac:dyDescent="0.25">
      <c r="A416" s="46">
        <v>45162</v>
      </c>
      <c r="B416" s="14">
        <v>134.72700499999999</v>
      </c>
      <c r="C416" s="14">
        <v>134.970001</v>
      </c>
      <c r="D416" s="14">
        <v>130.300003</v>
      </c>
      <c r="E416" s="14">
        <v>130.41999799999999</v>
      </c>
      <c r="F416" s="14">
        <v>130.41999799999999</v>
      </c>
      <c r="G416" s="14">
        <v>18680400</v>
      </c>
      <c r="H416" s="14">
        <f t="shared" si="6"/>
        <v>-1.6090108654129853E-3</v>
      </c>
    </row>
    <row r="417" spans="1:8" x14ac:dyDescent="0.25">
      <c r="A417" s="46">
        <v>45163</v>
      </c>
      <c r="B417" s="14">
        <v>130.13999899999999</v>
      </c>
      <c r="C417" s="14">
        <v>131.39999399999999</v>
      </c>
      <c r="D417" s="14">
        <v>128.03999300000001</v>
      </c>
      <c r="E417" s="14">
        <v>130.69000199999999</v>
      </c>
      <c r="F417" s="14">
        <v>130.69000199999999</v>
      </c>
      <c r="G417" s="14">
        <v>20678100</v>
      </c>
      <c r="H417" s="14">
        <f t="shared" si="6"/>
        <v>-1.7344665755686828E-2</v>
      </c>
    </row>
    <row r="418" spans="1:8" x14ac:dyDescent="0.25">
      <c r="A418" s="46">
        <v>45166</v>
      </c>
      <c r="B418" s="14">
        <v>132.08000200000001</v>
      </c>
      <c r="C418" s="14">
        <v>133.240005</v>
      </c>
      <c r="D418" s="14">
        <v>130.85000600000001</v>
      </c>
      <c r="E418" s="14">
        <v>131.78999300000001</v>
      </c>
      <c r="F418" s="14">
        <v>131.78999300000001</v>
      </c>
      <c r="G418" s="14">
        <v>16715500</v>
      </c>
      <c r="H418" s="14">
        <f t="shared" si="6"/>
        <v>7.3154565074054672E-3</v>
      </c>
    </row>
    <row r="419" spans="1:8" x14ac:dyDescent="0.25">
      <c r="A419" s="46">
        <v>45167</v>
      </c>
      <c r="B419" s="14">
        <v>132.99800099999999</v>
      </c>
      <c r="C419" s="14">
        <v>137.29499799999999</v>
      </c>
      <c r="D419" s="14">
        <v>132.979996</v>
      </c>
      <c r="E419" s="14">
        <v>135.490005</v>
      </c>
      <c r="F419" s="14">
        <v>135.490005</v>
      </c>
      <c r="G419" s="14">
        <v>30803300</v>
      </c>
      <c r="H419" s="14">
        <f t="shared" si="6"/>
        <v>1.6278103953621503E-2</v>
      </c>
    </row>
    <row r="420" spans="1:8" x14ac:dyDescent="0.25">
      <c r="A420" s="46">
        <v>45168</v>
      </c>
      <c r="B420" s="14">
        <v>135.570007</v>
      </c>
      <c r="C420" s="14">
        <v>137.25</v>
      </c>
      <c r="D420" s="14">
        <v>135.020996</v>
      </c>
      <c r="E420" s="14">
        <v>136.929993</v>
      </c>
      <c r="F420" s="14">
        <v>136.929993</v>
      </c>
      <c r="G420" s="14">
        <v>21773400</v>
      </c>
      <c r="H420" s="14">
        <f t="shared" si="6"/>
        <v>1.5348173119211106E-2</v>
      </c>
    </row>
    <row r="421" spans="1:8" x14ac:dyDescent="0.25">
      <c r="A421" s="46">
        <v>45169</v>
      </c>
      <c r="B421" s="14">
        <v>137.050003</v>
      </c>
      <c r="C421" s="14">
        <v>138.39999399999999</v>
      </c>
      <c r="D421" s="14">
        <v>136.820007</v>
      </c>
      <c r="E421" s="14">
        <v>137.35000600000001</v>
      </c>
      <c r="F421" s="14">
        <v>137.35000600000001</v>
      </c>
      <c r="G421" s="14">
        <v>28147900</v>
      </c>
      <c r="H421" s="14">
        <f t="shared" si="6"/>
        <v>1.332393519005004E-2</v>
      </c>
    </row>
    <row r="422" spans="1:8" x14ac:dyDescent="0.25">
      <c r="A422" s="46">
        <v>45170</v>
      </c>
      <c r="B422" s="14">
        <v>138.429993</v>
      </c>
      <c r="C422" s="14">
        <v>138.58000200000001</v>
      </c>
      <c r="D422" s="14">
        <v>135.94000199999999</v>
      </c>
      <c r="E422" s="14">
        <v>136.800003</v>
      </c>
      <c r="F422" s="14">
        <v>136.800003</v>
      </c>
      <c r="G422" s="14">
        <v>16665700</v>
      </c>
      <c r="H422" s="14">
        <f t="shared" si="6"/>
        <v>-6.4318444304714006E-3</v>
      </c>
    </row>
    <row r="423" spans="1:8" x14ac:dyDescent="0.25">
      <c r="A423" s="46">
        <v>45174</v>
      </c>
      <c r="B423" s="14">
        <v>136.44000199999999</v>
      </c>
      <c r="C423" s="14">
        <v>137.36999499999999</v>
      </c>
      <c r="D423" s="14">
        <v>135.55999800000001</v>
      </c>
      <c r="E423" s="14">
        <v>136.71000699999999</v>
      </c>
      <c r="F423" s="14">
        <v>136.71000699999999</v>
      </c>
      <c r="G423" s="14">
        <v>17730200</v>
      </c>
      <c r="H423" s="14">
        <f t="shared" si="6"/>
        <v>-6.9884506842948779E-4</v>
      </c>
    </row>
    <row r="424" spans="1:8" x14ac:dyDescent="0.25">
      <c r="A424" s="46">
        <v>45175</v>
      </c>
      <c r="B424" s="14">
        <v>137.01499899999999</v>
      </c>
      <c r="C424" s="14">
        <v>137.479996</v>
      </c>
      <c r="D424" s="14">
        <v>134.69000199999999</v>
      </c>
      <c r="E424" s="14">
        <v>135.36999499999999</v>
      </c>
      <c r="F424" s="14">
        <v>135.36999499999999</v>
      </c>
      <c r="G424" s="14">
        <v>15814300</v>
      </c>
      <c r="H424" s="14">
        <f t="shared" si="6"/>
        <v>-6.4177929539362966E-3</v>
      </c>
    </row>
    <row r="425" spans="1:8" x14ac:dyDescent="0.25">
      <c r="A425" s="46">
        <v>45176</v>
      </c>
      <c r="B425" s="14">
        <v>134.60000600000001</v>
      </c>
      <c r="C425" s="14">
        <v>136.58000200000001</v>
      </c>
      <c r="D425" s="14">
        <v>133.96000699999999</v>
      </c>
      <c r="E425" s="14">
        <v>136.199997</v>
      </c>
      <c r="F425" s="14">
        <v>136.199997</v>
      </c>
      <c r="G425" s="14">
        <v>16976000</v>
      </c>
      <c r="H425" s="14">
        <f t="shared" si="6"/>
        <v>-5.4198157930088753E-3</v>
      </c>
    </row>
    <row r="426" spans="1:8" x14ac:dyDescent="0.25">
      <c r="A426" s="46">
        <v>45177</v>
      </c>
      <c r="B426" s="14">
        <v>135.86999499999999</v>
      </c>
      <c r="C426" s="14">
        <v>137.51499899999999</v>
      </c>
      <c r="D426" s="14">
        <v>135.86999499999999</v>
      </c>
      <c r="E426" s="14">
        <v>137.199997</v>
      </c>
      <c r="F426" s="14">
        <v>137.199997</v>
      </c>
      <c r="G426" s="14">
        <v>17810700</v>
      </c>
      <c r="H426" s="14">
        <f t="shared" si="6"/>
        <v>1.4257897134926312E-2</v>
      </c>
    </row>
    <row r="427" spans="1:8" x14ac:dyDescent="0.25">
      <c r="A427" s="46">
        <v>45180</v>
      </c>
      <c r="B427" s="14">
        <v>137.38000500000001</v>
      </c>
      <c r="C427" s="14">
        <v>138.26400799999999</v>
      </c>
      <c r="D427" s="14">
        <v>136.550003</v>
      </c>
      <c r="E427" s="14">
        <v>137.740005</v>
      </c>
      <c r="F427" s="14">
        <v>137.740005</v>
      </c>
      <c r="G427" s="14">
        <v>17180800</v>
      </c>
      <c r="H427" s="14">
        <f t="shared" si="6"/>
        <v>1.668281016226884E-3</v>
      </c>
    </row>
    <row r="428" spans="1:8" x14ac:dyDescent="0.25">
      <c r="A428" s="46">
        <v>45181</v>
      </c>
      <c r="B428" s="14">
        <v>137.13000500000001</v>
      </c>
      <c r="C428" s="14">
        <v>137.63999899999999</v>
      </c>
      <c r="D428" s="14">
        <v>135.929993</v>
      </c>
      <c r="E428" s="14">
        <v>136.070007</v>
      </c>
      <c r="F428" s="14">
        <v>136.070007</v>
      </c>
      <c r="G428" s="14">
        <v>15212900</v>
      </c>
      <c r="H428" s="14">
        <f t="shared" si="6"/>
        <v>-4.5405345029542188E-3</v>
      </c>
    </row>
    <row r="429" spans="1:8" x14ac:dyDescent="0.25">
      <c r="A429" s="46">
        <v>45182</v>
      </c>
      <c r="B429" s="14">
        <v>135.89999399999999</v>
      </c>
      <c r="C429" s="14">
        <v>137.699997</v>
      </c>
      <c r="D429" s="14">
        <v>134.929993</v>
      </c>
      <c r="E429" s="14">
        <v>137.5</v>
      </c>
      <c r="F429" s="14">
        <v>137.5</v>
      </c>
      <c r="G429" s="14">
        <v>16394900</v>
      </c>
      <c r="H429" s="14">
        <f t="shared" si="6"/>
        <v>-7.3567281063569023E-3</v>
      </c>
    </row>
    <row r="430" spans="1:8" x14ac:dyDescent="0.25">
      <c r="A430" s="46">
        <v>45183</v>
      </c>
      <c r="B430" s="14">
        <v>138.38999899999999</v>
      </c>
      <c r="C430" s="14">
        <v>139.550003</v>
      </c>
      <c r="D430" s="14">
        <v>137.05999800000001</v>
      </c>
      <c r="E430" s="14">
        <v>138.990005</v>
      </c>
      <c r="F430" s="14">
        <v>138.990005</v>
      </c>
      <c r="G430" s="14">
        <v>19064600</v>
      </c>
      <c r="H430" s="14">
        <f t="shared" si="6"/>
        <v>1.5786000967183078E-2</v>
      </c>
    </row>
    <row r="431" spans="1:8" x14ac:dyDescent="0.25">
      <c r="A431" s="46">
        <v>45184</v>
      </c>
      <c r="B431" s="14">
        <v>138.800003</v>
      </c>
      <c r="C431" s="14">
        <v>139.36000100000001</v>
      </c>
      <c r="D431" s="14">
        <v>137.179993</v>
      </c>
      <c r="E431" s="14">
        <v>138.300003</v>
      </c>
      <c r="F431" s="14">
        <v>138.300003</v>
      </c>
      <c r="G431" s="14">
        <v>48947600</v>
      </c>
      <c r="H431" s="14">
        <f t="shared" si="6"/>
        <v>8.7549249781826433E-4</v>
      </c>
    </row>
    <row r="432" spans="1:8" x14ac:dyDescent="0.25">
      <c r="A432" s="46">
        <v>45187</v>
      </c>
      <c r="B432" s="14">
        <v>137.63000500000001</v>
      </c>
      <c r="C432" s="14">
        <v>139.929993</v>
      </c>
      <c r="D432" s="14">
        <v>137.63000500000001</v>
      </c>
      <c r="E432" s="14">
        <v>138.96000699999999</v>
      </c>
      <c r="F432" s="14">
        <v>138.96000699999999</v>
      </c>
      <c r="G432" s="14">
        <v>16233600</v>
      </c>
      <c r="H432" s="14">
        <f t="shared" si="6"/>
        <v>1.0934830708149157E-3</v>
      </c>
    </row>
    <row r="433" spans="1:8" x14ac:dyDescent="0.25">
      <c r="A433" s="46">
        <v>45188</v>
      </c>
      <c r="B433" s="14">
        <v>138.25</v>
      </c>
      <c r="C433" s="14">
        <v>139.175003</v>
      </c>
      <c r="D433" s="14">
        <v>137.5</v>
      </c>
      <c r="E433" s="14">
        <v>138.83000200000001</v>
      </c>
      <c r="F433" s="14">
        <v>138.83000200000001</v>
      </c>
      <c r="G433" s="14">
        <v>15479100</v>
      </c>
      <c r="H433" s="14">
        <f t="shared" si="6"/>
        <v>-9.4459780045785813E-4</v>
      </c>
    </row>
    <row r="434" spans="1:8" x14ac:dyDescent="0.25">
      <c r="A434" s="46">
        <v>45189</v>
      </c>
      <c r="B434" s="14">
        <v>138.83000200000001</v>
      </c>
      <c r="C434" s="14">
        <v>138.83999600000001</v>
      </c>
      <c r="D434" s="14">
        <v>134.520004</v>
      </c>
      <c r="E434" s="14">
        <v>134.58999600000001</v>
      </c>
      <c r="F434" s="14">
        <v>134.58999600000001</v>
      </c>
      <c r="G434" s="14">
        <v>21473500</v>
      </c>
      <c r="H434" s="14">
        <f t="shared" si="6"/>
        <v>-2.1672698181818162E-2</v>
      </c>
    </row>
    <row r="435" spans="1:8" x14ac:dyDescent="0.25">
      <c r="A435" s="46">
        <v>45190</v>
      </c>
      <c r="B435" s="14">
        <v>132.38999899999999</v>
      </c>
      <c r="C435" s="14">
        <v>133.19000199999999</v>
      </c>
      <c r="D435" s="14">
        <v>131.08999600000001</v>
      </c>
      <c r="E435" s="14">
        <v>131.36000100000001</v>
      </c>
      <c r="F435" s="14">
        <v>131.36000100000001</v>
      </c>
      <c r="G435" s="14">
        <v>22042700</v>
      </c>
      <c r="H435" s="14">
        <f t="shared" si="6"/>
        <v>-2.5498125914417802E-2</v>
      </c>
    </row>
    <row r="436" spans="1:8" x14ac:dyDescent="0.25">
      <c r="A436" s="46">
        <v>45191</v>
      </c>
      <c r="B436" s="14">
        <v>131.679993</v>
      </c>
      <c r="C436" s="14">
        <v>133.009995</v>
      </c>
      <c r="D436" s="14">
        <v>130.509995</v>
      </c>
      <c r="E436" s="14">
        <v>131.25</v>
      </c>
      <c r="F436" s="14">
        <v>131.25</v>
      </c>
      <c r="G436" s="14">
        <v>17348700</v>
      </c>
      <c r="H436" s="14">
        <f t="shared" si="6"/>
        <v>-4.4244489869388337E-3</v>
      </c>
    </row>
    <row r="437" spans="1:8" x14ac:dyDescent="0.25">
      <c r="A437" s="46">
        <v>45194</v>
      </c>
      <c r="B437" s="14">
        <v>130.770004</v>
      </c>
      <c r="C437" s="14">
        <v>132.220001</v>
      </c>
      <c r="D437" s="14">
        <v>130.029999</v>
      </c>
      <c r="E437" s="14">
        <v>132.16999799999999</v>
      </c>
      <c r="F437" s="14">
        <v>132.16999799999999</v>
      </c>
      <c r="G437" s="14">
        <v>14650000</v>
      </c>
      <c r="H437" s="14">
        <f t="shared" si="6"/>
        <v>-1.2259495272118153E-3</v>
      </c>
    </row>
    <row r="438" spans="1:8" x14ac:dyDescent="0.25">
      <c r="A438" s="46">
        <v>45195</v>
      </c>
      <c r="B438" s="14">
        <v>130.91400100000001</v>
      </c>
      <c r="C438" s="14">
        <v>131.404999</v>
      </c>
      <c r="D438" s="14">
        <v>128.19000199999999</v>
      </c>
      <c r="E438" s="14">
        <v>129.449997</v>
      </c>
      <c r="F438" s="14">
        <v>129.449997</v>
      </c>
      <c r="G438" s="14">
        <v>20378800</v>
      </c>
      <c r="H438" s="14">
        <f t="shared" si="6"/>
        <v>-1.4150557672464537E-2</v>
      </c>
    </row>
    <row r="439" spans="1:8" x14ac:dyDescent="0.25">
      <c r="A439" s="46">
        <v>45196</v>
      </c>
      <c r="B439" s="14">
        <v>129.44000199999999</v>
      </c>
      <c r="C439" s="14">
        <v>131.720001</v>
      </c>
      <c r="D439" s="14">
        <v>129.38000500000001</v>
      </c>
      <c r="E439" s="14">
        <v>131.46000699999999</v>
      </c>
      <c r="F439" s="14">
        <v>131.46000699999999</v>
      </c>
      <c r="G439" s="14">
        <v>18764200</v>
      </c>
      <c r="H439" s="14">
        <f t="shared" si="6"/>
        <v>9.2831186631856522E-3</v>
      </c>
    </row>
    <row r="440" spans="1:8" x14ac:dyDescent="0.25">
      <c r="A440" s="46">
        <v>45197</v>
      </c>
      <c r="B440" s="14">
        <v>130.69000199999999</v>
      </c>
      <c r="C440" s="14">
        <v>134.179993</v>
      </c>
      <c r="D440" s="14">
        <v>130.69000199999999</v>
      </c>
      <c r="E440" s="14">
        <v>133.13000500000001</v>
      </c>
      <c r="F440" s="14">
        <v>133.13000500000001</v>
      </c>
      <c r="G440" s="14">
        <v>18201400</v>
      </c>
      <c r="H440" s="14">
        <f t="shared" si="6"/>
        <v>1.0125188973365562E-2</v>
      </c>
    </row>
    <row r="441" spans="1:8" x14ac:dyDescent="0.25">
      <c r="A441" s="46">
        <v>45198</v>
      </c>
      <c r="B441" s="14">
        <v>134.08000200000001</v>
      </c>
      <c r="C441" s="14">
        <v>134.88999899999999</v>
      </c>
      <c r="D441" s="14">
        <v>131.320007</v>
      </c>
      <c r="E441" s="14">
        <v>131.85000600000001</v>
      </c>
      <c r="F441" s="14">
        <v>131.85000600000001</v>
      </c>
      <c r="G441" s="14">
        <v>23224200</v>
      </c>
      <c r="H441" s="14">
        <f t="shared" si="6"/>
        <v>4.8206059404605206E-3</v>
      </c>
    </row>
    <row r="442" spans="1:8" x14ac:dyDescent="0.25">
      <c r="A442" s="46">
        <v>45201</v>
      </c>
      <c r="B442" s="14">
        <v>132.154999</v>
      </c>
      <c r="C442" s="14">
        <v>135.36000100000001</v>
      </c>
      <c r="D442" s="14">
        <v>132.06500199999999</v>
      </c>
      <c r="E442" s="14">
        <v>135.16999799999999</v>
      </c>
      <c r="F442" s="14">
        <v>135.16999799999999</v>
      </c>
      <c r="G442" s="14">
        <v>19210400</v>
      </c>
      <c r="H442" s="14">
        <f t="shared" si="6"/>
        <v>1.8910421369888002E-3</v>
      </c>
    </row>
    <row r="443" spans="1:8" x14ac:dyDescent="0.25">
      <c r="A443" s="46">
        <v>45202</v>
      </c>
      <c r="B443" s="14">
        <v>134.929993</v>
      </c>
      <c r="C443" s="14">
        <v>135.240005</v>
      </c>
      <c r="D443" s="14">
        <v>132.81500199999999</v>
      </c>
      <c r="E443" s="14">
        <v>133.300003</v>
      </c>
      <c r="F443" s="14">
        <v>133.300003</v>
      </c>
      <c r="G443" s="14">
        <v>19628700</v>
      </c>
      <c r="H443" s="14">
        <f t="shared" si="6"/>
        <v>5.6790216078594913E-3</v>
      </c>
    </row>
    <row r="444" spans="1:8" x14ac:dyDescent="0.25">
      <c r="A444" s="46">
        <v>45203</v>
      </c>
      <c r="B444" s="14">
        <v>133.66000399999999</v>
      </c>
      <c r="C444" s="14">
        <v>136.570007</v>
      </c>
      <c r="D444" s="14">
        <v>133.429993</v>
      </c>
      <c r="E444" s="14">
        <v>136.270004</v>
      </c>
      <c r="F444" s="14">
        <v>136.270004</v>
      </c>
      <c r="G444" s="14">
        <v>22848000</v>
      </c>
      <c r="H444" s="14">
        <f t="shared" si="6"/>
        <v>4.6304332397630876E-3</v>
      </c>
    </row>
    <row r="445" spans="1:8" x14ac:dyDescent="0.25">
      <c r="A445" s="46">
        <v>45204</v>
      </c>
      <c r="B445" s="14">
        <v>136.13000500000001</v>
      </c>
      <c r="C445" s="14">
        <v>136.5</v>
      </c>
      <c r="D445" s="14">
        <v>134.45500200000001</v>
      </c>
      <c r="E445" s="14">
        <v>135.990005</v>
      </c>
      <c r="F445" s="14">
        <v>135.990005</v>
      </c>
      <c r="G445" s="14">
        <v>15922900</v>
      </c>
      <c r="H445" s="14">
        <f t="shared" si="6"/>
        <v>7.6819984544256315E-3</v>
      </c>
    </row>
    <row r="446" spans="1:8" x14ac:dyDescent="0.25">
      <c r="A446" s="46">
        <v>45205</v>
      </c>
      <c r="B446" s="14">
        <v>134.94000199999999</v>
      </c>
      <c r="C446" s="14">
        <v>139.18600499999999</v>
      </c>
      <c r="D446" s="14">
        <v>134.94000199999999</v>
      </c>
      <c r="E446" s="14">
        <v>138.729996</v>
      </c>
      <c r="F446" s="14">
        <v>138.729996</v>
      </c>
      <c r="G446" s="14">
        <v>20819300</v>
      </c>
      <c r="H446" s="14">
        <f t="shared" si="6"/>
        <v>3.6071547565035278E-3</v>
      </c>
    </row>
    <row r="447" spans="1:8" x14ac:dyDescent="0.25">
      <c r="A447" s="46">
        <v>45208</v>
      </c>
      <c r="B447" s="14">
        <v>137.990005</v>
      </c>
      <c r="C447" s="14">
        <v>139.970001</v>
      </c>
      <c r="D447" s="14">
        <v>136.699997</v>
      </c>
      <c r="E447" s="14">
        <v>139.5</v>
      </c>
      <c r="F447" s="14">
        <v>139.5</v>
      </c>
      <c r="G447" s="14">
        <v>16599100</v>
      </c>
      <c r="H447" s="14">
        <f t="shared" si="6"/>
        <v>4.3475988684215467E-3</v>
      </c>
    </row>
    <row r="448" spans="1:8" x14ac:dyDescent="0.25">
      <c r="A448" s="46">
        <v>45209</v>
      </c>
      <c r="B448" s="14">
        <v>139.509995</v>
      </c>
      <c r="C448" s="14">
        <v>140.740005</v>
      </c>
      <c r="D448" s="14">
        <v>138.429993</v>
      </c>
      <c r="E448" s="14">
        <v>139.199997</v>
      </c>
      <c r="F448" s="14">
        <v>139.199997</v>
      </c>
      <c r="G448" s="14">
        <v>19554900</v>
      </c>
      <c r="H448" s="14">
        <f t="shared" si="6"/>
        <v>1.2655420906849013E-2</v>
      </c>
    </row>
    <row r="449" spans="1:8" x14ac:dyDescent="0.25">
      <c r="A449" s="46">
        <v>45210</v>
      </c>
      <c r="B449" s="14">
        <v>139.85000600000001</v>
      </c>
      <c r="C449" s="14">
        <v>142.220001</v>
      </c>
      <c r="D449" s="14">
        <v>139.83999600000001</v>
      </c>
      <c r="E449" s="14">
        <v>141.699997</v>
      </c>
      <c r="F449" s="14">
        <v>141.699997</v>
      </c>
      <c r="G449" s="14">
        <v>20146300</v>
      </c>
      <c r="H449" s="14">
        <f t="shared" si="6"/>
        <v>1.0185675585492548E-2</v>
      </c>
    </row>
    <row r="450" spans="1:8" x14ac:dyDescent="0.25">
      <c r="A450" s="46">
        <v>45211</v>
      </c>
      <c r="B450" s="14">
        <v>142.16000399999999</v>
      </c>
      <c r="C450" s="14">
        <v>142.38000500000001</v>
      </c>
      <c r="D450" s="14">
        <v>139.449997</v>
      </c>
      <c r="E450" s="14">
        <v>140.28999300000001</v>
      </c>
      <c r="F450" s="14">
        <v>140.28999300000001</v>
      </c>
      <c r="G450" s="14">
        <v>18173100</v>
      </c>
      <c r="H450" s="14">
        <f t="shared" si="6"/>
        <v>-2.7888945305749591E-3</v>
      </c>
    </row>
    <row r="451" spans="1:8" x14ac:dyDescent="0.25">
      <c r="A451" s="46">
        <v>45212</v>
      </c>
      <c r="B451" s="14">
        <v>140.64999399999999</v>
      </c>
      <c r="C451" s="14">
        <v>141.33999600000001</v>
      </c>
      <c r="D451" s="14">
        <v>137.970001</v>
      </c>
      <c r="E451" s="14">
        <v>138.58000200000001</v>
      </c>
      <c r="F451" s="14">
        <v>138.58000200000001</v>
      </c>
      <c r="G451" s="14">
        <v>19438700</v>
      </c>
      <c r="H451" s="14">
        <f t="shared" si="6"/>
        <v>-1.0613094527352374E-2</v>
      </c>
    </row>
    <row r="452" spans="1:8" x14ac:dyDescent="0.25">
      <c r="A452" s="46">
        <v>45215</v>
      </c>
      <c r="B452" s="14">
        <v>139.729996</v>
      </c>
      <c r="C452" s="14">
        <v>140.904999</v>
      </c>
      <c r="D452" s="14">
        <v>139.320007</v>
      </c>
      <c r="E452" s="14">
        <v>140.490005</v>
      </c>
      <c r="F452" s="14">
        <v>140.490005</v>
      </c>
      <c r="G452" s="14">
        <v>17345600</v>
      </c>
      <c r="H452" s="14">
        <f t="shared" ref="H452:H515" si="7">(D452/D451-1)/(A452-A451)</f>
        <v>3.261593076309429E-3</v>
      </c>
    </row>
    <row r="453" spans="1:8" x14ac:dyDescent="0.25">
      <c r="A453" s="46">
        <v>45216</v>
      </c>
      <c r="B453" s="14">
        <v>140.029999</v>
      </c>
      <c r="C453" s="14">
        <v>141.25</v>
      </c>
      <c r="D453" s="14">
        <v>138.52900700000001</v>
      </c>
      <c r="E453" s="14">
        <v>140.990005</v>
      </c>
      <c r="F453" s="14">
        <v>140.990005</v>
      </c>
      <c r="G453" s="14">
        <v>17424000</v>
      </c>
      <c r="H453" s="14">
        <f t="shared" si="7"/>
        <v>-5.6775765163433745E-3</v>
      </c>
    </row>
    <row r="454" spans="1:8" x14ac:dyDescent="0.25">
      <c r="A454" s="46">
        <v>45217</v>
      </c>
      <c r="B454" s="14">
        <v>140.75</v>
      </c>
      <c r="C454" s="14">
        <v>141.990005</v>
      </c>
      <c r="D454" s="14">
        <v>138.70500200000001</v>
      </c>
      <c r="E454" s="14">
        <v>139.279999</v>
      </c>
      <c r="F454" s="14">
        <v>139.279999</v>
      </c>
      <c r="G454" s="14">
        <v>18304900</v>
      </c>
      <c r="H454" s="14">
        <f t="shared" si="7"/>
        <v>1.2704559414042915E-3</v>
      </c>
    </row>
    <row r="455" spans="1:8" x14ac:dyDescent="0.25">
      <c r="A455" s="46">
        <v>45218</v>
      </c>
      <c r="B455" s="14">
        <v>139.800003</v>
      </c>
      <c r="C455" s="14">
        <v>141.00500500000001</v>
      </c>
      <c r="D455" s="14">
        <v>138.60000600000001</v>
      </c>
      <c r="E455" s="14">
        <v>138.979996</v>
      </c>
      <c r="F455" s="14">
        <v>138.979996</v>
      </c>
      <c r="G455" s="14">
        <v>21831200</v>
      </c>
      <c r="H455" s="14">
        <f t="shared" si="7"/>
        <v>-7.5697342191016759E-4</v>
      </c>
    </row>
    <row r="456" spans="1:8" x14ac:dyDescent="0.25">
      <c r="A456" s="46">
        <v>45219</v>
      </c>
      <c r="B456" s="14">
        <v>138.58999600000001</v>
      </c>
      <c r="C456" s="14">
        <v>139.03999300000001</v>
      </c>
      <c r="D456" s="14">
        <v>136.24499499999999</v>
      </c>
      <c r="E456" s="14">
        <v>136.740005</v>
      </c>
      <c r="F456" s="14">
        <v>136.740005</v>
      </c>
      <c r="G456" s="14">
        <v>24953900</v>
      </c>
      <c r="H456" s="14">
        <f t="shared" si="7"/>
        <v>-1.6991420620862119E-2</v>
      </c>
    </row>
    <row r="457" spans="1:8" x14ac:dyDescent="0.25">
      <c r="A457" s="46">
        <v>45222</v>
      </c>
      <c r="B457" s="14">
        <v>136.229996</v>
      </c>
      <c r="C457" s="14">
        <v>139.020004</v>
      </c>
      <c r="D457" s="14">
        <v>135.11000100000001</v>
      </c>
      <c r="E457" s="14">
        <v>137.89999399999999</v>
      </c>
      <c r="F457" s="14">
        <v>137.89999399999999</v>
      </c>
      <c r="G457" s="14">
        <v>20780700</v>
      </c>
      <c r="H457" s="14">
        <f t="shared" si="7"/>
        <v>-2.7768457353851694E-3</v>
      </c>
    </row>
    <row r="458" spans="1:8" x14ac:dyDescent="0.25">
      <c r="A458" s="46">
        <v>45223</v>
      </c>
      <c r="B458" s="14">
        <v>139.16000399999999</v>
      </c>
      <c r="C458" s="14">
        <v>140.71000699999999</v>
      </c>
      <c r="D458" s="14">
        <v>138.75</v>
      </c>
      <c r="E458" s="14">
        <v>140.11999499999999</v>
      </c>
      <c r="F458" s="14">
        <v>140.11999499999999</v>
      </c>
      <c r="G458" s="14">
        <v>26535200</v>
      </c>
      <c r="H458" s="14">
        <f t="shared" si="7"/>
        <v>2.6941003427273902E-2</v>
      </c>
    </row>
    <row r="459" spans="1:8" x14ac:dyDescent="0.25">
      <c r="A459" s="46">
        <v>45224</v>
      </c>
      <c r="B459" s="14">
        <v>129.770004</v>
      </c>
      <c r="C459" s="14">
        <v>130.10000600000001</v>
      </c>
      <c r="D459" s="14">
        <v>126.089996</v>
      </c>
      <c r="E459" s="14">
        <v>126.66999800000001</v>
      </c>
      <c r="F459" s="14">
        <v>126.66999800000001</v>
      </c>
      <c r="G459" s="14">
        <v>58796100</v>
      </c>
      <c r="H459" s="14">
        <f t="shared" si="7"/>
        <v>-9.1243272072072057E-2</v>
      </c>
    </row>
    <row r="460" spans="1:8" x14ac:dyDescent="0.25">
      <c r="A460" s="46">
        <v>45225</v>
      </c>
      <c r="B460" s="14">
        <v>124.470001</v>
      </c>
      <c r="C460" s="14">
        <v>125.459999</v>
      </c>
      <c r="D460" s="14">
        <v>122.32</v>
      </c>
      <c r="E460" s="14">
        <v>123.44000200000001</v>
      </c>
      <c r="F460" s="14">
        <v>123.44000200000001</v>
      </c>
      <c r="G460" s="14">
        <v>33907400</v>
      </c>
      <c r="H460" s="14">
        <f t="shared" si="7"/>
        <v>-2.9899247518415439E-2</v>
      </c>
    </row>
    <row r="461" spans="1:8" x14ac:dyDescent="0.25">
      <c r="A461" s="46">
        <v>45226</v>
      </c>
      <c r="B461" s="14">
        <v>124.029999</v>
      </c>
      <c r="C461" s="14">
        <v>124.44000200000001</v>
      </c>
      <c r="D461" s="14">
        <v>121.459999</v>
      </c>
      <c r="E461" s="14">
        <v>123.400002</v>
      </c>
      <c r="F461" s="14">
        <v>123.400002</v>
      </c>
      <c r="G461" s="14">
        <v>37367700</v>
      </c>
      <c r="H461" s="14">
        <f t="shared" si="7"/>
        <v>-7.03074722040542E-3</v>
      </c>
    </row>
    <row r="462" spans="1:8" x14ac:dyDescent="0.25">
      <c r="A462" s="46">
        <v>45229</v>
      </c>
      <c r="B462" s="14">
        <v>124.459999</v>
      </c>
      <c r="C462" s="14">
        <v>126.550003</v>
      </c>
      <c r="D462" s="14">
        <v>123.879997</v>
      </c>
      <c r="E462" s="14">
        <v>125.75</v>
      </c>
      <c r="F462" s="14">
        <v>125.75</v>
      </c>
      <c r="G462" s="14">
        <v>24165600</v>
      </c>
      <c r="H462" s="14">
        <f t="shared" si="7"/>
        <v>6.6414128654817732E-3</v>
      </c>
    </row>
    <row r="463" spans="1:8" x14ac:dyDescent="0.25">
      <c r="A463" s="46">
        <v>45230</v>
      </c>
      <c r="B463" s="14">
        <v>126.269997</v>
      </c>
      <c r="C463" s="14">
        <v>126.55999799999999</v>
      </c>
      <c r="D463" s="14">
        <v>123.925003</v>
      </c>
      <c r="E463" s="14">
        <v>125.300003</v>
      </c>
      <c r="F463" s="14">
        <v>125.300003</v>
      </c>
      <c r="G463" s="14">
        <v>21123400</v>
      </c>
      <c r="H463" s="14">
        <f t="shared" si="7"/>
        <v>3.6330320543997985E-4</v>
      </c>
    </row>
    <row r="464" spans="1:8" x14ac:dyDescent="0.25">
      <c r="A464" s="46">
        <v>45231</v>
      </c>
      <c r="B464" s="14">
        <v>125.339996</v>
      </c>
      <c r="C464" s="14">
        <v>127.739998</v>
      </c>
      <c r="D464" s="14">
        <v>124.925003</v>
      </c>
      <c r="E464" s="14">
        <v>127.57</v>
      </c>
      <c r="F464" s="14">
        <v>127.57</v>
      </c>
      <c r="G464" s="14">
        <v>26536600</v>
      </c>
      <c r="H464" s="14">
        <f t="shared" si="7"/>
        <v>8.0693966172427078E-3</v>
      </c>
    </row>
    <row r="465" spans="1:8" x14ac:dyDescent="0.25">
      <c r="A465" s="46">
        <v>45232</v>
      </c>
      <c r="B465" s="14">
        <v>129.55999800000001</v>
      </c>
      <c r="C465" s="14">
        <v>130.08999600000001</v>
      </c>
      <c r="D465" s="14">
        <v>128.11000100000001</v>
      </c>
      <c r="E465" s="14">
        <v>128.58000200000001</v>
      </c>
      <c r="F465" s="14">
        <v>128.58000200000001</v>
      </c>
      <c r="G465" s="14">
        <v>24091700</v>
      </c>
      <c r="H465" s="14">
        <f t="shared" si="7"/>
        <v>2.5495280556447231E-2</v>
      </c>
    </row>
    <row r="466" spans="1:8" x14ac:dyDescent="0.25">
      <c r="A466" s="46">
        <v>45233</v>
      </c>
      <c r="B466" s="14">
        <v>129.08999600000001</v>
      </c>
      <c r="C466" s="14">
        <v>130.729996</v>
      </c>
      <c r="D466" s="14">
        <v>129.009995</v>
      </c>
      <c r="E466" s="14">
        <v>130.36999499999999</v>
      </c>
      <c r="F466" s="14">
        <v>130.36999499999999</v>
      </c>
      <c r="G466" s="14">
        <v>19517900</v>
      </c>
      <c r="H466" s="14">
        <f t="shared" si="7"/>
        <v>7.0251658182407528E-3</v>
      </c>
    </row>
    <row r="467" spans="1:8" x14ac:dyDescent="0.25">
      <c r="A467" s="46">
        <v>45236</v>
      </c>
      <c r="B467" s="14">
        <v>130.220001</v>
      </c>
      <c r="C467" s="14">
        <v>131.55999800000001</v>
      </c>
      <c r="D467" s="14">
        <v>129.929993</v>
      </c>
      <c r="E467" s="14">
        <v>131.449997</v>
      </c>
      <c r="F467" s="14">
        <v>131.449997</v>
      </c>
      <c r="G467" s="14">
        <v>15360400</v>
      </c>
      <c r="H467" s="14">
        <f t="shared" si="7"/>
        <v>2.3770716369688749E-3</v>
      </c>
    </row>
    <row r="468" spans="1:8" x14ac:dyDescent="0.25">
      <c r="A468" s="46">
        <v>45237</v>
      </c>
      <c r="B468" s="14">
        <v>131.979996</v>
      </c>
      <c r="C468" s="14">
        <v>133.279999</v>
      </c>
      <c r="D468" s="14">
        <v>131.13999899999999</v>
      </c>
      <c r="E468" s="14">
        <v>132.39999399999999</v>
      </c>
      <c r="F468" s="14">
        <v>132.39999399999999</v>
      </c>
      <c r="G468" s="14">
        <v>19223800</v>
      </c>
      <c r="H468" s="14">
        <f t="shared" si="7"/>
        <v>9.3127535225834279E-3</v>
      </c>
    </row>
    <row r="469" spans="1:8" x14ac:dyDescent="0.25">
      <c r="A469" s="46">
        <v>45238</v>
      </c>
      <c r="B469" s="14">
        <v>132.36000100000001</v>
      </c>
      <c r="C469" s="14">
        <v>133.53999300000001</v>
      </c>
      <c r="D469" s="14">
        <v>132.16000399999999</v>
      </c>
      <c r="E469" s="14">
        <v>133.259995</v>
      </c>
      <c r="F469" s="14">
        <v>133.259995</v>
      </c>
      <c r="G469" s="14">
        <v>15093600</v>
      </c>
      <c r="H469" s="14">
        <f t="shared" si="7"/>
        <v>7.7779854184687469E-3</v>
      </c>
    </row>
    <row r="470" spans="1:8" x14ac:dyDescent="0.25">
      <c r="A470" s="46">
        <v>45239</v>
      </c>
      <c r="B470" s="14">
        <v>133.36000100000001</v>
      </c>
      <c r="C470" s="14">
        <v>133.96000699999999</v>
      </c>
      <c r="D470" s="14">
        <v>131.509995</v>
      </c>
      <c r="E470" s="14">
        <v>131.69000199999999</v>
      </c>
      <c r="F470" s="14">
        <v>131.69000199999999</v>
      </c>
      <c r="G470" s="14">
        <v>17976500</v>
      </c>
      <c r="H470" s="14">
        <f t="shared" si="7"/>
        <v>-4.9183488220837512E-3</v>
      </c>
    </row>
    <row r="471" spans="1:8" x14ac:dyDescent="0.25">
      <c r="A471" s="46">
        <v>45240</v>
      </c>
      <c r="B471" s="14">
        <v>131.529999</v>
      </c>
      <c r="C471" s="14">
        <v>134.270004</v>
      </c>
      <c r="D471" s="14">
        <v>130.86999499999999</v>
      </c>
      <c r="E471" s="14">
        <v>134.05999800000001</v>
      </c>
      <c r="F471" s="14">
        <v>134.05999800000001</v>
      </c>
      <c r="G471" s="14">
        <v>20872900</v>
      </c>
      <c r="H471" s="14">
        <f t="shared" si="7"/>
        <v>-4.8665502572637909E-3</v>
      </c>
    </row>
    <row r="472" spans="1:8" x14ac:dyDescent="0.25">
      <c r="A472" s="46">
        <v>45243</v>
      </c>
      <c r="B472" s="14">
        <v>133.36000100000001</v>
      </c>
      <c r="C472" s="14">
        <v>134.11000100000001</v>
      </c>
      <c r="D472" s="14">
        <v>132.770004</v>
      </c>
      <c r="E472" s="14">
        <v>133.63999899999999</v>
      </c>
      <c r="F472" s="14">
        <v>133.63999899999999</v>
      </c>
      <c r="G472" s="14">
        <v>16409900</v>
      </c>
      <c r="H472" s="14">
        <f t="shared" si="7"/>
        <v>4.8394311723885712E-3</v>
      </c>
    </row>
    <row r="473" spans="1:8" x14ac:dyDescent="0.25">
      <c r="A473" s="46">
        <v>45244</v>
      </c>
      <c r="B473" s="14">
        <v>135.64999399999999</v>
      </c>
      <c r="C473" s="14">
        <v>137.240005</v>
      </c>
      <c r="D473" s="14">
        <v>135.10000600000001</v>
      </c>
      <c r="E473" s="14">
        <v>135.429993</v>
      </c>
      <c r="F473" s="14">
        <v>135.429993</v>
      </c>
      <c r="G473" s="14">
        <v>22317300</v>
      </c>
      <c r="H473" s="14">
        <f t="shared" si="7"/>
        <v>1.7549159673144299E-2</v>
      </c>
    </row>
    <row r="474" spans="1:8" x14ac:dyDescent="0.25">
      <c r="A474" s="46">
        <v>45245</v>
      </c>
      <c r="B474" s="14">
        <v>136.63999899999999</v>
      </c>
      <c r="C474" s="14">
        <v>136.83999600000001</v>
      </c>
      <c r="D474" s="14">
        <v>135.33000200000001</v>
      </c>
      <c r="E474" s="14">
        <v>136.38000500000001</v>
      </c>
      <c r="F474" s="14">
        <v>136.38000500000001</v>
      </c>
      <c r="G474" s="14">
        <v>15840900</v>
      </c>
      <c r="H474" s="14">
        <f t="shared" si="7"/>
        <v>1.7024129517804187E-3</v>
      </c>
    </row>
    <row r="475" spans="1:8" x14ac:dyDescent="0.25">
      <c r="A475" s="46">
        <v>45246</v>
      </c>
      <c r="B475" s="14">
        <v>136.96000699999999</v>
      </c>
      <c r="C475" s="14">
        <v>138.88000500000001</v>
      </c>
      <c r="D475" s="14">
        <v>136.08000200000001</v>
      </c>
      <c r="E475" s="14">
        <v>138.699997</v>
      </c>
      <c r="F475" s="14">
        <v>138.699997</v>
      </c>
      <c r="G475" s="14">
        <v>17615100</v>
      </c>
      <c r="H475" s="14">
        <f t="shared" si="7"/>
        <v>5.5420083419492894E-3</v>
      </c>
    </row>
    <row r="476" spans="1:8" x14ac:dyDescent="0.25">
      <c r="A476" s="46">
        <v>45247</v>
      </c>
      <c r="B476" s="14">
        <v>137.820007</v>
      </c>
      <c r="C476" s="14">
        <v>138</v>
      </c>
      <c r="D476" s="14">
        <v>135.479996</v>
      </c>
      <c r="E476" s="14">
        <v>136.94000199999999</v>
      </c>
      <c r="F476" s="14">
        <v>136.94000199999999</v>
      </c>
      <c r="G476" s="14">
        <v>25565300</v>
      </c>
      <c r="H476" s="14">
        <f t="shared" si="7"/>
        <v>-4.4092151027452786E-3</v>
      </c>
    </row>
    <row r="477" spans="1:8" x14ac:dyDescent="0.25">
      <c r="A477" s="46">
        <v>45250</v>
      </c>
      <c r="B477" s="14">
        <v>135.5</v>
      </c>
      <c r="C477" s="14">
        <v>138.425003</v>
      </c>
      <c r="D477" s="14">
        <v>135.490005</v>
      </c>
      <c r="E477" s="14">
        <v>137.91999799999999</v>
      </c>
      <c r="F477" s="14">
        <v>137.91999799999999</v>
      </c>
      <c r="G477" s="14">
        <v>19569400</v>
      </c>
      <c r="H477" s="14">
        <f t="shared" si="7"/>
        <v>2.4626021787987895E-5</v>
      </c>
    </row>
    <row r="478" spans="1:8" x14ac:dyDescent="0.25">
      <c r="A478" s="46">
        <v>45251</v>
      </c>
      <c r="B478" s="14">
        <v>137.94000199999999</v>
      </c>
      <c r="C478" s="14">
        <v>138.96499600000001</v>
      </c>
      <c r="D478" s="14">
        <v>137.70500200000001</v>
      </c>
      <c r="E478" s="14">
        <v>138.61999499999999</v>
      </c>
      <c r="F478" s="14">
        <v>138.61999499999999</v>
      </c>
      <c r="G478" s="14">
        <v>17648100</v>
      </c>
      <c r="H478" s="14">
        <f t="shared" si="7"/>
        <v>1.6348047223114337E-2</v>
      </c>
    </row>
    <row r="479" spans="1:8" x14ac:dyDescent="0.25">
      <c r="A479" s="46">
        <v>45252</v>
      </c>
      <c r="B479" s="14">
        <v>139.10000600000001</v>
      </c>
      <c r="C479" s="14">
        <v>141.10000600000001</v>
      </c>
      <c r="D479" s="14">
        <v>139</v>
      </c>
      <c r="E479" s="14">
        <v>140.020004</v>
      </c>
      <c r="F479" s="14">
        <v>140.020004</v>
      </c>
      <c r="G479" s="14">
        <v>17306400</v>
      </c>
      <c r="H479" s="14">
        <f t="shared" si="7"/>
        <v>9.4041464085667936E-3</v>
      </c>
    </row>
    <row r="480" spans="1:8" x14ac:dyDescent="0.25">
      <c r="A480" s="46">
        <v>45254</v>
      </c>
      <c r="B480" s="14">
        <v>139.53999300000001</v>
      </c>
      <c r="C480" s="14">
        <v>139.67700199999999</v>
      </c>
      <c r="D480" s="14">
        <v>137.470001</v>
      </c>
      <c r="E480" s="14">
        <v>138.220001</v>
      </c>
      <c r="F480" s="14">
        <v>138.220001</v>
      </c>
      <c r="G480" s="14">
        <v>8828600</v>
      </c>
      <c r="H480" s="14">
        <f t="shared" si="7"/>
        <v>-5.5035935251798729E-3</v>
      </c>
    </row>
    <row r="481" spans="1:8" x14ac:dyDescent="0.25">
      <c r="A481" s="46">
        <v>45257</v>
      </c>
      <c r="B481" s="14">
        <v>137.570007</v>
      </c>
      <c r="C481" s="14">
        <v>139.63000500000001</v>
      </c>
      <c r="D481" s="14">
        <v>137.53999300000001</v>
      </c>
      <c r="E481" s="14">
        <v>138.050003</v>
      </c>
      <c r="F481" s="14">
        <v>138.050003</v>
      </c>
      <c r="G481" s="14">
        <v>17886400</v>
      </c>
      <c r="H481" s="14">
        <f t="shared" si="7"/>
        <v>1.697146031639877E-4</v>
      </c>
    </row>
    <row r="482" spans="1:8" x14ac:dyDescent="0.25">
      <c r="A482" s="46">
        <v>45258</v>
      </c>
      <c r="B482" s="14">
        <v>137.63000500000001</v>
      </c>
      <c r="C482" s="14">
        <v>138.66000399999999</v>
      </c>
      <c r="D482" s="14">
        <v>137.03999300000001</v>
      </c>
      <c r="E482" s="14">
        <v>138.61999499999999</v>
      </c>
      <c r="F482" s="14">
        <v>138.61999499999999</v>
      </c>
      <c r="G482" s="14">
        <v>17046900</v>
      </c>
      <c r="H482" s="14">
        <f t="shared" si="7"/>
        <v>-3.6353062777892964E-3</v>
      </c>
    </row>
    <row r="483" spans="1:8" x14ac:dyDescent="0.25">
      <c r="A483" s="46">
        <v>45259</v>
      </c>
      <c r="B483" s="14">
        <v>138.98500100000001</v>
      </c>
      <c r="C483" s="14">
        <v>139.66999799999999</v>
      </c>
      <c r="D483" s="14">
        <v>136.29499799999999</v>
      </c>
      <c r="E483" s="14">
        <v>136.39999399999999</v>
      </c>
      <c r="F483" s="14">
        <v>136.39999399999999</v>
      </c>
      <c r="G483" s="14">
        <v>21014700</v>
      </c>
      <c r="H483" s="14">
        <f t="shared" si="7"/>
        <v>-5.4363327353644797E-3</v>
      </c>
    </row>
    <row r="484" spans="1:8" x14ac:dyDescent="0.25">
      <c r="A484" s="46">
        <v>45260</v>
      </c>
      <c r="B484" s="14">
        <v>136.39999399999999</v>
      </c>
      <c r="C484" s="14">
        <v>136.96000699999999</v>
      </c>
      <c r="D484" s="14">
        <v>132.78999300000001</v>
      </c>
      <c r="E484" s="14">
        <v>133.91999799999999</v>
      </c>
      <c r="F484" s="14">
        <v>133.91999799999999</v>
      </c>
      <c r="G484" s="14">
        <v>29913500</v>
      </c>
      <c r="H484" s="14">
        <f t="shared" si="7"/>
        <v>-2.5716314255347705E-2</v>
      </c>
    </row>
    <row r="485" spans="1:8" x14ac:dyDescent="0.25">
      <c r="A485" s="46">
        <v>45261</v>
      </c>
      <c r="B485" s="14">
        <v>133.320007</v>
      </c>
      <c r="C485" s="14">
        <v>133.5</v>
      </c>
      <c r="D485" s="14">
        <v>132.151993</v>
      </c>
      <c r="E485" s="14">
        <v>133.320007</v>
      </c>
      <c r="F485" s="14">
        <v>133.320007</v>
      </c>
      <c r="G485" s="14">
        <v>24258400</v>
      </c>
      <c r="H485" s="14">
        <f t="shared" si="7"/>
        <v>-4.804578911304036E-3</v>
      </c>
    </row>
    <row r="486" spans="1:8" x14ac:dyDescent="0.25">
      <c r="A486" s="46">
        <v>45264</v>
      </c>
      <c r="B486" s="14">
        <v>131.294006</v>
      </c>
      <c r="C486" s="14">
        <v>131.449997</v>
      </c>
      <c r="D486" s="14">
        <v>129.39999399999999</v>
      </c>
      <c r="E486" s="14">
        <v>130.63000500000001</v>
      </c>
      <c r="F486" s="14">
        <v>130.63000500000001</v>
      </c>
      <c r="G486" s="14">
        <v>24117100</v>
      </c>
      <c r="H486" s="14">
        <f t="shared" si="7"/>
        <v>-6.9414995504456884E-3</v>
      </c>
    </row>
    <row r="487" spans="1:8" x14ac:dyDescent="0.25">
      <c r="A487" s="46">
        <v>45265</v>
      </c>
      <c r="B487" s="14">
        <v>130.36999499999999</v>
      </c>
      <c r="C487" s="14">
        <v>133.53999300000001</v>
      </c>
      <c r="D487" s="14">
        <v>129.729996</v>
      </c>
      <c r="E487" s="14">
        <v>132.38999899999999</v>
      </c>
      <c r="F487" s="14">
        <v>132.38999899999999</v>
      </c>
      <c r="G487" s="14">
        <v>19235100</v>
      </c>
      <c r="H487" s="14">
        <f t="shared" si="7"/>
        <v>2.5502474134582176E-3</v>
      </c>
    </row>
    <row r="488" spans="1:8" x14ac:dyDescent="0.25">
      <c r="A488" s="46">
        <v>45266</v>
      </c>
      <c r="B488" s="14">
        <v>132.89999399999999</v>
      </c>
      <c r="C488" s="14">
        <v>133.30999800000001</v>
      </c>
      <c r="D488" s="14">
        <v>131.30999800000001</v>
      </c>
      <c r="E488" s="14">
        <v>131.429993</v>
      </c>
      <c r="F488" s="14">
        <v>131.429993</v>
      </c>
      <c r="G488" s="14">
        <v>16360600</v>
      </c>
      <c r="H488" s="14">
        <f t="shared" si="7"/>
        <v>1.2179157085613568E-2</v>
      </c>
    </row>
    <row r="489" spans="1:8" x14ac:dyDescent="0.25">
      <c r="A489" s="46">
        <v>45267</v>
      </c>
      <c r="B489" s="14">
        <v>136.60000600000001</v>
      </c>
      <c r="C489" s="14">
        <v>140</v>
      </c>
      <c r="D489" s="14">
        <v>136.229996</v>
      </c>
      <c r="E489" s="14">
        <v>138.449997</v>
      </c>
      <c r="F489" s="14">
        <v>138.449997</v>
      </c>
      <c r="G489" s="14">
        <v>38419400</v>
      </c>
      <c r="H489" s="14">
        <f t="shared" si="7"/>
        <v>3.7468571128909778E-2</v>
      </c>
    </row>
    <row r="490" spans="1:8" x14ac:dyDescent="0.25">
      <c r="A490" s="46">
        <v>45268</v>
      </c>
      <c r="B490" s="14">
        <v>135.66000399999999</v>
      </c>
      <c r="C490" s="14">
        <v>137.990005</v>
      </c>
      <c r="D490" s="14">
        <v>135.570007</v>
      </c>
      <c r="E490" s="14">
        <v>136.63999899999999</v>
      </c>
      <c r="F490" s="14">
        <v>136.63999899999999</v>
      </c>
      <c r="G490" s="14">
        <v>22990900</v>
      </c>
      <c r="H490" s="14">
        <f t="shared" si="7"/>
        <v>-4.8446672493479559E-3</v>
      </c>
    </row>
    <row r="491" spans="1:8" x14ac:dyDescent="0.25">
      <c r="A491" s="46">
        <v>45271</v>
      </c>
      <c r="B491" s="14">
        <v>133.820007</v>
      </c>
      <c r="C491" s="14">
        <v>134.78999300000001</v>
      </c>
      <c r="D491" s="14">
        <v>132.88999899999999</v>
      </c>
      <c r="E491" s="14">
        <v>134.699997</v>
      </c>
      <c r="F491" s="14">
        <v>134.699997</v>
      </c>
      <c r="G491" s="14">
        <v>24502900</v>
      </c>
      <c r="H491" s="14">
        <f t="shared" si="7"/>
        <v>-6.5894811084578802E-3</v>
      </c>
    </row>
    <row r="492" spans="1:8" x14ac:dyDescent="0.25">
      <c r="A492" s="46">
        <v>45272</v>
      </c>
      <c r="B492" s="14">
        <v>133.270004</v>
      </c>
      <c r="C492" s="14">
        <v>134.53999300000001</v>
      </c>
      <c r="D492" s="14">
        <v>132.83000200000001</v>
      </c>
      <c r="E492" s="14">
        <v>133.63999899999999</v>
      </c>
      <c r="F492" s="14">
        <v>133.63999899999999</v>
      </c>
      <c r="G492" s="14">
        <v>26584000</v>
      </c>
      <c r="H492" s="14">
        <f t="shared" si="7"/>
        <v>-4.5147866996353425E-4</v>
      </c>
    </row>
    <row r="493" spans="1:8" x14ac:dyDescent="0.25">
      <c r="A493" s="46">
        <v>45273</v>
      </c>
      <c r="B493" s="14">
        <v>134.54499799999999</v>
      </c>
      <c r="C493" s="14">
        <v>134.779999</v>
      </c>
      <c r="D493" s="14">
        <v>132.949997</v>
      </c>
      <c r="E493" s="14">
        <v>133.970001</v>
      </c>
      <c r="F493" s="14">
        <v>133.970001</v>
      </c>
      <c r="G493" s="14">
        <v>25414500</v>
      </c>
      <c r="H493" s="14">
        <f t="shared" si="7"/>
        <v>9.0337271846152589E-4</v>
      </c>
    </row>
    <row r="494" spans="1:8" x14ac:dyDescent="0.25">
      <c r="A494" s="46">
        <v>45274</v>
      </c>
      <c r="B494" s="14">
        <v>134.770004</v>
      </c>
      <c r="C494" s="14">
        <v>135.03500399999999</v>
      </c>
      <c r="D494" s="14">
        <v>131.05999800000001</v>
      </c>
      <c r="E494" s="14">
        <v>133.199997</v>
      </c>
      <c r="F494" s="14">
        <v>133.199997</v>
      </c>
      <c r="G494" s="14">
        <v>29619100</v>
      </c>
      <c r="H494" s="14">
        <f t="shared" si="7"/>
        <v>-1.421586342721004E-2</v>
      </c>
    </row>
    <row r="495" spans="1:8" x14ac:dyDescent="0.25">
      <c r="A495" s="46">
        <v>45275</v>
      </c>
      <c r="B495" s="14">
        <v>132.91999799999999</v>
      </c>
      <c r="C495" s="14">
        <v>134.83000200000001</v>
      </c>
      <c r="D495" s="14">
        <v>132.63000500000001</v>
      </c>
      <c r="E495" s="14">
        <v>133.83999600000001</v>
      </c>
      <c r="F495" s="14">
        <v>133.83999600000001</v>
      </c>
      <c r="G495" s="14">
        <v>58569400</v>
      </c>
      <c r="H495" s="14">
        <f t="shared" si="7"/>
        <v>1.1979299740261018E-2</v>
      </c>
    </row>
    <row r="496" spans="1:8" x14ac:dyDescent="0.25">
      <c r="A496" s="46">
        <v>45278</v>
      </c>
      <c r="B496" s="14">
        <v>133.86000100000001</v>
      </c>
      <c r="C496" s="14">
        <v>138.38000500000001</v>
      </c>
      <c r="D496" s="14">
        <v>133.770004</v>
      </c>
      <c r="E496" s="14">
        <v>137.19000199999999</v>
      </c>
      <c r="F496" s="14">
        <v>137.19000199999999</v>
      </c>
      <c r="G496" s="14">
        <v>25699800</v>
      </c>
      <c r="H496" s="14">
        <f t="shared" si="7"/>
        <v>2.8651108523041944E-3</v>
      </c>
    </row>
    <row r="497" spans="1:8" x14ac:dyDescent="0.25">
      <c r="A497" s="46">
        <v>45279</v>
      </c>
      <c r="B497" s="14">
        <v>138</v>
      </c>
      <c r="C497" s="14">
        <v>138.770004</v>
      </c>
      <c r="D497" s="14">
        <v>137.449997</v>
      </c>
      <c r="E497" s="14">
        <v>138.10000600000001</v>
      </c>
      <c r="F497" s="14">
        <v>138.10000600000001</v>
      </c>
      <c r="G497" s="14">
        <v>20661000</v>
      </c>
      <c r="H497" s="14">
        <f t="shared" si="7"/>
        <v>2.7509851909700123E-2</v>
      </c>
    </row>
    <row r="498" spans="1:8" x14ac:dyDescent="0.25">
      <c r="A498" s="46">
        <v>45280</v>
      </c>
      <c r="B498" s="14">
        <v>140.33000200000001</v>
      </c>
      <c r="C498" s="14">
        <v>143.078003</v>
      </c>
      <c r="D498" s="14">
        <v>139.41000399999999</v>
      </c>
      <c r="E498" s="14">
        <v>139.66000399999999</v>
      </c>
      <c r="F498" s="14">
        <v>139.66000399999999</v>
      </c>
      <c r="G498" s="14">
        <v>33507300</v>
      </c>
      <c r="H498" s="14">
        <f t="shared" si="7"/>
        <v>1.425978205004963E-2</v>
      </c>
    </row>
    <row r="499" spans="1:8" x14ac:dyDescent="0.25">
      <c r="A499" s="46">
        <v>45281</v>
      </c>
      <c r="B499" s="14">
        <v>140.770004</v>
      </c>
      <c r="C499" s="14">
        <v>142.029999</v>
      </c>
      <c r="D499" s="14">
        <v>140.473007</v>
      </c>
      <c r="E499" s="14">
        <v>141.800003</v>
      </c>
      <c r="F499" s="14">
        <v>141.800003</v>
      </c>
      <c r="G499" s="14">
        <v>18101500</v>
      </c>
      <c r="H499" s="14">
        <f t="shared" si="7"/>
        <v>7.625012334122161E-3</v>
      </c>
    </row>
    <row r="500" spans="1:8" x14ac:dyDescent="0.25">
      <c r="A500" s="46">
        <v>45282</v>
      </c>
      <c r="B500" s="14">
        <v>142.13000500000001</v>
      </c>
      <c r="C500" s="14">
        <v>143.25</v>
      </c>
      <c r="D500" s="14">
        <v>142.054993</v>
      </c>
      <c r="E500" s="14">
        <v>142.720001</v>
      </c>
      <c r="F500" s="14">
        <v>142.720001</v>
      </c>
      <c r="G500" s="14">
        <v>18494700</v>
      </c>
      <c r="H500" s="14">
        <f t="shared" si="7"/>
        <v>1.1261850470674517E-2</v>
      </c>
    </row>
    <row r="501" spans="1:8" x14ac:dyDescent="0.25">
      <c r="A501" s="46">
        <v>45286</v>
      </c>
      <c r="B501" s="14">
        <v>142.979996</v>
      </c>
      <c r="C501" s="14">
        <v>143.945007</v>
      </c>
      <c r="D501" s="14">
        <v>142.5</v>
      </c>
      <c r="E501" s="14">
        <v>142.820007</v>
      </c>
      <c r="F501" s="14">
        <v>142.820007</v>
      </c>
      <c r="G501" s="14">
        <v>11170100</v>
      </c>
      <c r="H501" s="14">
        <f t="shared" si="7"/>
        <v>7.831597302602189E-4</v>
      </c>
    </row>
    <row r="502" spans="1:8" x14ac:dyDescent="0.25">
      <c r="A502" s="46">
        <v>45287</v>
      </c>
      <c r="B502" s="14">
        <v>142.83000200000001</v>
      </c>
      <c r="C502" s="14">
        <v>143.320007</v>
      </c>
      <c r="D502" s="14">
        <v>141.050995</v>
      </c>
      <c r="E502" s="14">
        <v>141.44000199999999</v>
      </c>
      <c r="F502" s="14">
        <v>141.44000199999999</v>
      </c>
      <c r="G502" s="14">
        <v>17288400</v>
      </c>
      <c r="H502" s="14">
        <f t="shared" si="7"/>
        <v>-1.016845614035089E-2</v>
      </c>
    </row>
    <row r="503" spans="1:8" x14ac:dyDescent="0.25">
      <c r="A503" s="46">
        <v>45288</v>
      </c>
      <c r="B503" s="14">
        <v>141.85000600000001</v>
      </c>
      <c r="C503" s="14">
        <v>142.270004</v>
      </c>
      <c r="D503" s="14">
        <v>140.828003</v>
      </c>
      <c r="E503" s="14">
        <v>141.279999</v>
      </c>
      <c r="F503" s="14">
        <v>141.279999</v>
      </c>
      <c r="G503" s="14">
        <v>12192500</v>
      </c>
      <c r="H503" s="14">
        <f t="shared" si="7"/>
        <v>-1.5809317757737862E-3</v>
      </c>
    </row>
    <row r="504" spans="1:8" x14ac:dyDescent="0.25">
      <c r="A504" s="46">
        <v>45289</v>
      </c>
      <c r="B504" s="14">
        <v>140.679993</v>
      </c>
      <c r="C504" s="14">
        <v>141.43499800000001</v>
      </c>
      <c r="D504" s="14">
        <v>139.89999399999999</v>
      </c>
      <c r="E504" s="14">
        <v>140.929993</v>
      </c>
      <c r="F504" s="14">
        <v>140.929993</v>
      </c>
      <c r="G504" s="14">
        <v>14872700</v>
      </c>
      <c r="H504" s="14">
        <f t="shared" si="7"/>
        <v>-6.5896624267263171E-3</v>
      </c>
    </row>
    <row r="505" spans="1:8" x14ac:dyDescent="0.25">
      <c r="A505" s="46">
        <v>45293</v>
      </c>
      <c r="B505" s="14">
        <v>139.60000600000001</v>
      </c>
      <c r="C505" s="14">
        <v>140.615005</v>
      </c>
      <c r="D505" s="14">
        <v>137.740005</v>
      </c>
      <c r="E505" s="14">
        <v>139.55999800000001</v>
      </c>
      <c r="F505" s="14">
        <v>139.55999800000001</v>
      </c>
      <c r="G505" s="14">
        <v>20071900</v>
      </c>
      <c r="H505" s="14">
        <f t="shared" si="7"/>
        <v>-3.8598804371642592E-3</v>
      </c>
    </row>
    <row r="506" spans="1:8" x14ac:dyDescent="0.25">
      <c r="A506" s="46">
        <v>45294</v>
      </c>
      <c r="B506" s="14">
        <v>138.60000600000001</v>
      </c>
      <c r="C506" s="14">
        <v>141.08999600000001</v>
      </c>
      <c r="D506" s="14">
        <v>138.429993</v>
      </c>
      <c r="E506" s="14">
        <v>140.36000100000001</v>
      </c>
      <c r="F506" s="14">
        <v>140.36000100000001</v>
      </c>
      <c r="G506" s="14">
        <v>18974300</v>
      </c>
      <c r="H506" s="14">
        <f t="shared" si="7"/>
        <v>5.0093507692263728E-3</v>
      </c>
    </row>
    <row r="507" spans="1:8" x14ac:dyDescent="0.25">
      <c r="A507" s="46">
        <v>45295</v>
      </c>
      <c r="B507" s="14">
        <v>139.85000600000001</v>
      </c>
      <c r="C507" s="14">
        <v>140.634995</v>
      </c>
      <c r="D507" s="14">
        <v>138.009995</v>
      </c>
      <c r="E507" s="14">
        <v>138.03999300000001</v>
      </c>
      <c r="F507" s="14">
        <v>138.03999300000001</v>
      </c>
      <c r="G507" s="14">
        <v>18253300</v>
      </c>
      <c r="H507" s="14">
        <f t="shared" si="7"/>
        <v>-3.0340101223583771E-3</v>
      </c>
    </row>
    <row r="508" spans="1:8" x14ac:dyDescent="0.25">
      <c r="A508" s="46">
        <v>45296</v>
      </c>
      <c r="B508" s="14">
        <v>138.35200499999999</v>
      </c>
      <c r="C508" s="14">
        <v>138.80999800000001</v>
      </c>
      <c r="D508" s="14">
        <v>136.85000600000001</v>
      </c>
      <c r="E508" s="14">
        <v>137.38999899999999</v>
      </c>
      <c r="F508" s="14">
        <v>137.38999899999999</v>
      </c>
      <c r="G508" s="14">
        <v>15433200</v>
      </c>
      <c r="H508" s="14">
        <f t="shared" si="7"/>
        <v>-8.40510862999444E-3</v>
      </c>
    </row>
    <row r="509" spans="1:8" x14ac:dyDescent="0.25">
      <c r="A509" s="46">
        <v>45299</v>
      </c>
      <c r="B509" s="14">
        <v>138</v>
      </c>
      <c r="C509" s="14">
        <v>140.63999899999999</v>
      </c>
      <c r="D509" s="14">
        <v>137.88000500000001</v>
      </c>
      <c r="E509" s="14">
        <v>140.529999</v>
      </c>
      <c r="F509" s="14">
        <v>140.529999</v>
      </c>
      <c r="G509" s="14">
        <v>17645300</v>
      </c>
      <c r="H509" s="14">
        <f t="shared" si="7"/>
        <v>2.5088270730510378E-3</v>
      </c>
    </row>
    <row r="510" spans="1:8" x14ac:dyDescent="0.25">
      <c r="A510" s="46">
        <v>45300</v>
      </c>
      <c r="B510" s="14">
        <v>140.05999800000001</v>
      </c>
      <c r="C510" s="14">
        <v>142.800003</v>
      </c>
      <c r="D510" s="14">
        <v>139.78999300000001</v>
      </c>
      <c r="E510" s="14">
        <v>142.55999800000001</v>
      </c>
      <c r="F510" s="14">
        <v>142.55999800000001</v>
      </c>
      <c r="G510" s="14">
        <v>19579700</v>
      </c>
      <c r="H510" s="14">
        <f t="shared" si="7"/>
        <v>1.3852537936882126E-2</v>
      </c>
    </row>
    <row r="511" spans="1:8" x14ac:dyDescent="0.25">
      <c r="A511" s="46">
        <v>45301</v>
      </c>
      <c r="B511" s="14">
        <v>142.520004</v>
      </c>
      <c r="C511" s="14">
        <v>144.52499399999999</v>
      </c>
      <c r="D511" s="14">
        <v>142.46000699999999</v>
      </c>
      <c r="E511" s="14">
        <v>143.800003</v>
      </c>
      <c r="F511" s="14">
        <v>143.800003</v>
      </c>
      <c r="G511" s="14">
        <v>16641900</v>
      </c>
      <c r="H511" s="14">
        <f t="shared" si="7"/>
        <v>1.9100179796131656E-2</v>
      </c>
    </row>
    <row r="512" spans="1:8" x14ac:dyDescent="0.25">
      <c r="A512" s="46">
        <v>45302</v>
      </c>
      <c r="B512" s="14">
        <v>144.895004</v>
      </c>
      <c r="C512" s="14">
        <v>146.66000399999999</v>
      </c>
      <c r="D512" s="14">
        <v>142.21499600000001</v>
      </c>
      <c r="E512" s="14">
        <v>143.66999799999999</v>
      </c>
      <c r="F512" s="14">
        <v>143.66999799999999</v>
      </c>
      <c r="G512" s="14">
        <v>17471100</v>
      </c>
      <c r="H512" s="14">
        <f t="shared" si="7"/>
        <v>-1.7198581213040409E-3</v>
      </c>
    </row>
    <row r="513" spans="1:8" x14ac:dyDescent="0.25">
      <c r="A513" s="46">
        <v>45303</v>
      </c>
      <c r="B513" s="14">
        <v>144.33999600000001</v>
      </c>
      <c r="C513" s="14">
        <v>144.740005</v>
      </c>
      <c r="D513" s="14">
        <v>143.36000100000001</v>
      </c>
      <c r="E513" s="14">
        <v>144.240005</v>
      </c>
      <c r="F513" s="14">
        <v>144.240005</v>
      </c>
      <c r="G513" s="14">
        <v>13995200</v>
      </c>
      <c r="H513" s="14">
        <f t="shared" si="7"/>
        <v>8.0512254839848474E-3</v>
      </c>
    </row>
    <row r="514" spans="1:8" x14ac:dyDescent="0.25">
      <c r="A514" s="46">
        <v>45307</v>
      </c>
      <c r="B514" s="14">
        <v>143.429993</v>
      </c>
      <c r="C514" s="14">
        <v>145.83999600000001</v>
      </c>
      <c r="D514" s="14">
        <v>143.05600000000001</v>
      </c>
      <c r="E514" s="14">
        <v>144.08000200000001</v>
      </c>
      <c r="F514" s="14">
        <v>144.08000200000001</v>
      </c>
      <c r="G514" s="14">
        <v>19198900</v>
      </c>
      <c r="H514" s="14">
        <f t="shared" si="7"/>
        <v>-5.3013566873510998E-4</v>
      </c>
    </row>
    <row r="515" spans="1:8" x14ac:dyDescent="0.25">
      <c r="A515" s="46">
        <v>45308</v>
      </c>
      <c r="B515" s="14">
        <v>142.91000399999999</v>
      </c>
      <c r="C515" s="14">
        <v>143.41000399999999</v>
      </c>
      <c r="D515" s="14">
        <v>140.509995</v>
      </c>
      <c r="E515" s="14">
        <v>142.88999899999999</v>
      </c>
      <c r="F515" s="14">
        <v>142.88999899999999</v>
      </c>
      <c r="G515" s="14">
        <v>17884500</v>
      </c>
      <c r="H515" s="14">
        <f t="shared" si="7"/>
        <v>-1.7797261212392446E-2</v>
      </c>
    </row>
    <row r="516" spans="1:8" x14ac:dyDescent="0.25">
      <c r="A516" s="46">
        <v>45309</v>
      </c>
      <c r="B516" s="14">
        <v>143.44000199999999</v>
      </c>
      <c r="C516" s="14">
        <v>145.58500699999999</v>
      </c>
      <c r="D516" s="14">
        <v>143.35000600000001</v>
      </c>
      <c r="E516" s="14">
        <v>144.990005</v>
      </c>
      <c r="F516" s="14">
        <v>144.990005</v>
      </c>
      <c r="G516" s="14">
        <v>18876800</v>
      </c>
      <c r="H516" s="14">
        <f t="shared" ref="H516:H570" si="8">(D516/D515-1)/(A516-A515)</f>
        <v>2.0212163554628404E-2</v>
      </c>
    </row>
    <row r="517" spans="1:8" x14ac:dyDescent="0.25">
      <c r="A517" s="46">
        <v>45310</v>
      </c>
      <c r="B517" s="14">
        <v>146.304993</v>
      </c>
      <c r="C517" s="14">
        <v>148.03999300000001</v>
      </c>
      <c r="D517" s="14">
        <v>145.800003</v>
      </c>
      <c r="E517" s="14">
        <v>147.970001</v>
      </c>
      <c r="F517" s="14">
        <v>147.970001</v>
      </c>
      <c r="G517" s="14">
        <v>27170900</v>
      </c>
      <c r="H517" s="14">
        <f t="shared" si="8"/>
        <v>1.7091014282901273E-2</v>
      </c>
    </row>
    <row r="518" spans="1:8" x14ac:dyDescent="0.25">
      <c r="A518" s="46">
        <v>45313</v>
      </c>
      <c r="B518" s="14">
        <v>148.71000699999999</v>
      </c>
      <c r="C518" s="14">
        <v>150.01499899999999</v>
      </c>
      <c r="D518" s="14">
        <v>147.58000200000001</v>
      </c>
      <c r="E518" s="14">
        <v>147.71000699999999</v>
      </c>
      <c r="F518" s="14">
        <v>147.71000699999999</v>
      </c>
      <c r="G518" s="14">
        <v>21829200</v>
      </c>
      <c r="H518" s="14">
        <f t="shared" si="8"/>
        <v>4.069499230394384E-3</v>
      </c>
    </row>
    <row r="519" spans="1:8" x14ac:dyDescent="0.25">
      <c r="A519" s="46">
        <v>45314</v>
      </c>
      <c r="B519" s="14">
        <v>147.720001</v>
      </c>
      <c r="C519" s="14">
        <v>148.86000100000001</v>
      </c>
      <c r="D519" s="14">
        <v>147.19000199999999</v>
      </c>
      <c r="E519" s="14">
        <v>148.679993</v>
      </c>
      <c r="F519" s="14">
        <v>148.679993</v>
      </c>
      <c r="G519" s="14">
        <v>14113600</v>
      </c>
      <c r="H519" s="14">
        <f t="shared" si="8"/>
        <v>-2.6426344675074542E-3</v>
      </c>
    </row>
    <row r="520" spans="1:8" x14ac:dyDescent="0.25">
      <c r="A520" s="46">
        <v>45315</v>
      </c>
      <c r="B520" s="14">
        <v>150.28999300000001</v>
      </c>
      <c r="C520" s="14">
        <v>151.570007</v>
      </c>
      <c r="D520" s="14">
        <v>149.83999600000001</v>
      </c>
      <c r="E520" s="14">
        <v>150.35000600000001</v>
      </c>
      <c r="F520" s="14">
        <v>150.35000600000001</v>
      </c>
      <c r="G520" s="14">
        <v>19245000</v>
      </c>
      <c r="H520" s="14">
        <f t="shared" si="8"/>
        <v>1.800389947681369E-2</v>
      </c>
    </row>
    <row r="521" spans="1:8" x14ac:dyDescent="0.25">
      <c r="A521" s="46">
        <v>45316</v>
      </c>
      <c r="B521" s="14">
        <v>151.740005</v>
      </c>
      <c r="C521" s="14">
        <v>154.759995</v>
      </c>
      <c r="D521" s="14">
        <v>151.220001</v>
      </c>
      <c r="E521" s="14">
        <v>153.63999899999999</v>
      </c>
      <c r="F521" s="14">
        <v>153.63999899999999</v>
      </c>
      <c r="G521" s="14">
        <v>21495100</v>
      </c>
      <c r="H521" s="14">
        <f t="shared" si="8"/>
        <v>9.20985742685132E-3</v>
      </c>
    </row>
    <row r="522" spans="1:8" x14ac:dyDescent="0.25">
      <c r="A522" s="46">
        <v>45317</v>
      </c>
      <c r="B522" s="14">
        <v>152.86999499999999</v>
      </c>
      <c r="C522" s="14">
        <v>154.11000100000001</v>
      </c>
      <c r="D522" s="14">
        <v>152.800003</v>
      </c>
      <c r="E522" s="14">
        <v>153.78999300000001</v>
      </c>
      <c r="F522" s="14">
        <v>153.78999300000001</v>
      </c>
      <c r="G522" s="14">
        <v>19494500</v>
      </c>
      <c r="H522" s="14">
        <f t="shared" si="8"/>
        <v>1.0448366549078436E-2</v>
      </c>
    </row>
    <row r="523" spans="1:8" x14ac:dyDescent="0.25">
      <c r="A523" s="46">
        <v>45320</v>
      </c>
      <c r="B523" s="14">
        <v>153.63999899999999</v>
      </c>
      <c r="C523" s="14">
        <v>155.199997</v>
      </c>
      <c r="D523" s="14">
        <v>152.91999799999999</v>
      </c>
      <c r="E523" s="14">
        <v>154.83999600000001</v>
      </c>
      <c r="F523" s="14">
        <v>154.83999600000001</v>
      </c>
      <c r="G523" s="14">
        <v>20909300</v>
      </c>
      <c r="H523" s="14">
        <f t="shared" si="8"/>
        <v>2.6176919206818045E-4</v>
      </c>
    </row>
    <row r="524" spans="1:8" x14ac:dyDescent="0.25">
      <c r="A524" s="46">
        <v>45321</v>
      </c>
      <c r="B524" s="14">
        <v>154.009995</v>
      </c>
      <c r="C524" s="14">
        <v>155.03999300000001</v>
      </c>
      <c r="D524" s="14">
        <v>152.77499399999999</v>
      </c>
      <c r="E524" s="14">
        <v>153.050003</v>
      </c>
      <c r="F524" s="14">
        <v>153.050003</v>
      </c>
      <c r="G524" s="14">
        <v>26578900</v>
      </c>
      <c r="H524" s="14">
        <f t="shared" si="8"/>
        <v>-9.4823438331459453E-4</v>
      </c>
    </row>
    <row r="525" spans="1:8" x14ac:dyDescent="0.25">
      <c r="A525" s="46">
        <v>45322</v>
      </c>
      <c r="B525" s="14">
        <v>145.38999899999999</v>
      </c>
      <c r="C525" s="14">
        <v>145.58999600000001</v>
      </c>
      <c r="D525" s="14">
        <v>141.550003</v>
      </c>
      <c r="E525" s="14">
        <v>141.800003</v>
      </c>
      <c r="F525" s="14">
        <v>141.800003</v>
      </c>
      <c r="G525" s="14">
        <v>43908600</v>
      </c>
      <c r="H525" s="14">
        <f t="shared" si="8"/>
        <v>-7.3474007140199804E-2</v>
      </c>
    </row>
    <row r="526" spans="1:8" x14ac:dyDescent="0.25">
      <c r="A526" s="46">
        <v>45323</v>
      </c>
      <c r="B526" s="14">
        <v>143.69000199999999</v>
      </c>
      <c r="C526" s="14">
        <v>144.61999499999999</v>
      </c>
      <c r="D526" s="14">
        <v>142.259995</v>
      </c>
      <c r="E526" s="14">
        <v>142.71000699999999</v>
      </c>
      <c r="F526" s="14">
        <v>142.71000699999999</v>
      </c>
      <c r="G526" s="14">
        <v>25526900</v>
      </c>
      <c r="H526" s="14">
        <f t="shared" si="8"/>
        <v>5.0158388198691117E-3</v>
      </c>
    </row>
    <row r="527" spans="1:8" x14ac:dyDescent="0.25">
      <c r="A527" s="46">
        <v>45324</v>
      </c>
      <c r="B527" s="14">
        <v>140.88999899999999</v>
      </c>
      <c r="C527" s="14">
        <v>143.88000500000001</v>
      </c>
      <c r="D527" s="14">
        <v>138.16999799999999</v>
      </c>
      <c r="E527" s="14">
        <v>143.53999300000001</v>
      </c>
      <c r="F527" s="14">
        <v>143.53999300000001</v>
      </c>
      <c r="G527" s="14">
        <v>42116900</v>
      </c>
      <c r="H527" s="14">
        <f t="shared" si="8"/>
        <v>-2.8750155656901422E-2</v>
      </c>
    </row>
    <row r="528" spans="1:8" x14ac:dyDescent="0.25">
      <c r="A528" s="46">
        <v>45327</v>
      </c>
      <c r="B528" s="14">
        <v>144.03999300000001</v>
      </c>
      <c r="C528" s="14">
        <v>146.66999799999999</v>
      </c>
      <c r="D528" s="14">
        <v>143.91000399999999</v>
      </c>
      <c r="E528" s="14">
        <v>144.929993</v>
      </c>
      <c r="F528" s="14">
        <v>144.929993</v>
      </c>
      <c r="G528" s="14">
        <v>29254400</v>
      </c>
      <c r="H528" s="14">
        <f t="shared" si="8"/>
        <v>1.3847690244110256E-2</v>
      </c>
    </row>
    <row r="529" spans="1:8" x14ac:dyDescent="0.25">
      <c r="A529" s="46">
        <v>45328</v>
      </c>
      <c r="B529" s="14">
        <v>145.96000699999999</v>
      </c>
      <c r="C529" s="14">
        <v>146.740005</v>
      </c>
      <c r="D529" s="14">
        <v>144.520004</v>
      </c>
      <c r="E529" s="14">
        <v>145.41000399999999</v>
      </c>
      <c r="F529" s="14">
        <v>145.41000399999999</v>
      </c>
      <c r="G529" s="14">
        <v>21517700</v>
      </c>
      <c r="H529" s="14">
        <f t="shared" si="8"/>
        <v>4.2387602185043338E-3</v>
      </c>
    </row>
    <row r="530" spans="1:8" x14ac:dyDescent="0.25">
      <c r="A530" s="46">
        <v>45329</v>
      </c>
      <c r="B530" s="14">
        <v>146.11999499999999</v>
      </c>
      <c r="C530" s="14">
        <v>147</v>
      </c>
      <c r="D530" s="14">
        <v>145.21000699999999</v>
      </c>
      <c r="E530" s="14">
        <v>146.679993</v>
      </c>
      <c r="F530" s="14">
        <v>146.679993</v>
      </c>
      <c r="G530" s="14">
        <v>21436100</v>
      </c>
      <c r="H530" s="14">
        <f t="shared" si="8"/>
        <v>4.774446311252456E-3</v>
      </c>
    </row>
    <row r="531" spans="1:8" x14ac:dyDescent="0.25">
      <c r="A531" s="46">
        <v>45330</v>
      </c>
      <c r="B531" s="14">
        <v>146.970001</v>
      </c>
      <c r="C531" s="14">
        <v>147.61000100000001</v>
      </c>
      <c r="D531" s="14">
        <v>146.41999799999999</v>
      </c>
      <c r="E531" s="14">
        <v>147.220001</v>
      </c>
      <c r="F531" s="14">
        <v>147.220001</v>
      </c>
      <c r="G531" s="14">
        <v>18241300</v>
      </c>
      <c r="H531" s="14">
        <f t="shared" si="8"/>
        <v>8.332697070939421E-3</v>
      </c>
    </row>
    <row r="532" spans="1:8" x14ac:dyDescent="0.25">
      <c r="A532" s="46">
        <v>45331</v>
      </c>
      <c r="B532" s="14">
        <v>147.949997</v>
      </c>
      <c r="C532" s="14">
        <v>150.695007</v>
      </c>
      <c r="D532" s="14">
        <v>147.429993</v>
      </c>
      <c r="E532" s="14">
        <v>150.220001</v>
      </c>
      <c r="F532" s="14">
        <v>150.220001</v>
      </c>
      <c r="G532" s="14">
        <v>21877700</v>
      </c>
      <c r="H532" s="14">
        <f t="shared" si="8"/>
        <v>6.8979307047936089E-3</v>
      </c>
    </row>
    <row r="533" spans="1:8" x14ac:dyDescent="0.25">
      <c r="A533" s="46">
        <v>45334</v>
      </c>
      <c r="B533" s="14">
        <v>149.53999300000001</v>
      </c>
      <c r="C533" s="14">
        <v>150.58999600000001</v>
      </c>
      <c r="D533" s="14">
        <v>148.55999800000001</v>
      </c>
      <c r="E533" s="14">
        <v>148.729996</v>
      </c>
      <c r="F533" s="14">
        <v>148.729996</v>
      </c>
      <c r="G533" s="14">
        <v>17236100</v>
      </c>
      <c r="H533" s="14">
        <f t="shared" si="8"/>
        <v>2.554896230194744E-3</v>
      </c>
    </row>
    <row r="534" spans="1:8" x14ac:dyDescent="0.25">
      <c r="A534" s="46">
        <v>45335</v>
      </c>
      <c r="B534" s="14">
        <v>146.070007</v>
      </c>
      <c r="C534" s="14">
        <v>148.03999300000001</v>
      </c>
      <c r="D534" s="14">
        <v>145.11000100000001</v>
      </c>
      <c r="E534" s="14">
        <v>146.36999499999999</v>
      </c>
      <c r="F534" s="14">
        <v>146.36999499999999</v>
      </c>
      <c r="G534" s="14">
        <v>18138500</v>
      </c>
      <c r="H534" s="14">
        <f t="shared" si="8"/>
        <v>-2.3222920344950437E-2</v>
      </c>
    </row>
    <row r="535" spans="1:8" x14ac:dyDescent="0.25">
      <c r="A535" s="46">
        <v>45336</v>
      </c>
      <c r="B535" s="14">
        <v>147.36999499999999</v>
      </c>
      <c r="C535" s="14">
        <v>147.83000200000001</v>
      </c>
      <c r="D535" s="14">
        <v>145.554993</v>
      </c>
      <c r="E535" s="14">
        <v>147.13999899999999</v>
      </c>
      <c r="F535" s="14">
        <v>147.13999899999999</v>
      </c>
      <c r="G535" s="14">
        <v>16651800</v>
      </c>
      <c r="H535" s="14">
        <f t="shared" si="8"/>
        <v>3.0665839496477609E-3</v>
      </c>
    </row>
    <row r="536" spans="1:8" x14ac:dyDescent="0.25">
      <c r="A536" s="46">
        <v>45337</v>
      </c>
      <c r="B536" s="14">
        <v>144.46000699999999</v>
      </c>
      <c r="C536" s="14">
        <v>144.759995</v>
      </c>
      <c r="D536" s="14">
        <v>141.88000500000001</v>
      </c>
      <c r="E536" s="14">
        <v>143.94000199999999</v>
      </c>
      <c r="F536" s="14">
        <v>143.94000199999999</v>
      </c>
      <c r="G536" s="14">
        <v>26724300</v>
      </c>
      <c r="H536" s="14">
        <f t="shared" si="8"/>
        <v>-2.524810674134681E-2</v>
      </c>
    </row>
    <row r="537" spans="1:8" x14ac:dyDescent="0.25">
      <c r="A537" s="46">
        <v>45338</v>
      </c>
      <c r="B537" s="14">
        <v>144.21000699999999</v>
      </c>
      <c r="C537" s="14">
        <v>144.479996</v>
      </c>
      <c r="D537" s="14">
        <v>141.520004</v>
      </c>
      <c r="E537" s="14">
        <v>141.759995</v>
      </c>
      <c r="F537" s="14">
        <v>141.759995</v>
      </c>
      <c r="G537" s="14">
        <v>21849700</v>
      </c>
      <c r="H537" s="14">
        <f t="shared" si="8"/>
        <v>-2.5373624704905229E-3</v>
      </c>
    </row>
    <row r="538" spans="1:8" x14ac:dyDescent="0.25">
      <c r="A538" s="46">
        <v>45342</v>
      </c>
      <c r="B538" s="14">
        <v>140.94000199999999</v>
      </c>
      <c r="C538" s="14">
        <v>143.32899499999999</v>
      </c>
      <c r="D538" s="14">
        <v>140.800003</v>
      </c>
      <c r="E538" s="14">
        <v>142.199997</v>
      </c>
      <c r="F538" s="14">
        <v>142.199997</v>
      </c>
      <c r="G538" s="14">
        <v>18625600</v>
      </c>
      <c r="H538" s="14">
        <f t="shared" si="8"/>
        <v>-1.2719067616758784E-3</v>
      </c>
    </row>
    <row r="539" spans="1:8" x14ac:dyDescent="0.25">
      <c r="A539" s="46">
        <v>45343</v>
      </c>
      <c r="B539" s="14">
        <v>142.63999899999999</v>
      </c>
      <c r="C539" s="14">
        <v>143.979996</v>
      </c>
      <c r="D539" s="14">
        <v>141.91000399999999</v>
      </c>
      <c r="E539" s="14">
        <v>143.83999600000001</v>
      </c>
      <c r="F539" s="14">
        <v>143.83999600000001</v>
      </c>
      <c r="G539" s="14">
        <v>16499600</v>
      </c>
      <c r="H539" s="14">
        <f t="shared" si="8"/>
        <v>7.8835296615724637E-3</v>
      </c>
    </row>
    <row r="540" spans="1:8" x14ac:dyDescent="0.25">
      <c r="A540" s="46">
        <v>45344</v>
      </c>
      <c r="B540" s="14">
        <v>146.11999499999999</v>
      </c>
      <c r="C540" s="14">
        <v>146.199997</v>
      </c>
      <c r="D540" s="14">
        <v>144.009995</v>
      </c>
      <c r="E540" s="14">
        <v>145.320007</v>
      </c>
      <c r="F540" s="14">
        <v>145.320007</v>
      </c>
      <c r="G540" s="14">
        <v>23024700</v>
      </c>
      <c r="H540" s="14">
        <f t="shared" si="8"/>
        <v>1.4798047641518153E-2</v>
      </c>
    </row>
    <row r="541" spans="1:8" x14ac:dyDescent="0.25">
      <c r="A541" s="46">
        <v>45345</v>
      </c>
      <c r="B541" s="14">
        <v>144.970001</v>
      </c>
      <c r="C541" s="14">
        <v>145.95500200000001</v>
      </c>
      <c r="D541" s="14">
        <v>144.78999300000001</v>
      </c>
      <c r="E541" s="14">
        <v>145.28999300000001</v>
      </c>
      <c r="F541" s="14">
        <v>145.28999300000001</v>
      </c>
      <c r="G541" s="14">
        <v>14519400</v>
      </c>
      <c r="H541" s="14">
        <f t="shared" si="8"/>
        <v>5.4162768355072721E-3</v>
      </c>
    </row>
    <row r="542" spans="1:8" x14ac:dyDescent="0.25">
      <c r="A542" s="46">
        <v>45348</v>
      </c>
      <c r="B542" s="14">
        <v>143.449997</v>
      </c>
      <c r="C542" s="14">
        <v>143.83999600000001</v>
      </c>
      <c r="D542" s="14">
        <v>138.740005</v>
      </c>
      <c r="E542" s="14">
        <v>138.75</v>
      </c>
      <c r="F542" s="14">
        <v>138.75</v>
      </c>
      <c r="G542" s="14">
        <v>33513000</v>
      </c>
      <c r="H542" s="14">
        <f t="shared" si="8"/>
        <v>-1.3928190925920347E-2</v>
      </c>
    </row>
    <row r="543" spans="1:8" x14ac:dyDescent="0.25">
      <c r="A543" s="46">
        <v>45349</v>
      </c>
      <c r="B543" s="14">
        <v>139.41000399999999</v>
      </c>
      <c r="C543" s="14">
        <v>140.490005</v>
      </c>
      <c r="D543" s="14">
        <v>138.5</v>
      </c>
      <c r="E543" s="14">
        <v>140.10000600000001</v>
      </c>
      <c r="F543" s="14">
        <v>140.10000600000001</v>
      </c>
      <c r="G543" s="14">
        <v>22364000</v>
      </c>
      <c r="H543" s="14">
        <f t="shared" si="8"/>
        <v>-1.7298903802115406E-3</v>
      </c>
    </row>
    <row r="544" spans="1:8" x14ac:dyDescent="0.25">
      <c r="A544" s="46">
        <v>45350</v>
      </c>
      <c r="B544" s="14">
        <v>139.10000600000001</v>
      </c>
      <c r="C544" s="14">
        <v>139.279999</v>
      </c>
      <c r="D544" s="14">
        <v>136.63999899999999</v>
      </c>
      <c r="E544" s="14">
        <v>137.429993</v>
      </c>
      <c r="F544" s="14">
        <v>137.429993</v>
      </c>
      <c r="G544" s="14">
        <v>30628700</v>
      </c>
      <c r="H544" s="14">
        <f t="shared" si="8"/>
        <v>-1.3429610108303347E-2</v>
      </c>
    </row>
    <row r="545" spans="1:8" x14ac:dyDescent="0.25">
      <c r="A545" s="46">
        <v>45351</v>
      </c>
      <c r="B545" s="14">
        <v>138.35000600000001</v>
      </c>
      <c r="C545" s="14">
        <v>139.949997</v>
      </c>
      <c r="D545" s="14">
        <v>137.570007</v>
      </c>
      <c r="E545" s="14">
        <v>139.779999</v>
      </c>
      <c r="F545" s="14">
        <v>139.779999</v>
      </c>
      <c r="G545" s="14">
        <v>35485000</v>
      </c>
      <c r="H545" s="14">
        <f t="shared" si="8"/>
        <v>6.8062646868141119E-3</v>
      </c>
    </row>
    <row r="546" spans="1:8" x14ac:dyDescent="0.25">
      <c r="A546" s="46">
        <v>45352</v>
      </c>
      <c r="B546" s="14">
        <v>139.61000100000001</v>
      </c>
      <c r="C546" s="14">
        <v>140</v>
      </c>
      <c r="D546" s="14">
        <v>137.97500600000001</v>
      </c>
      <c r="E546" s="14">
        <v>138.08000200000001</v>
      </c>
      <c r="F546" s="14">
        <v>138.08000200000001</v>
      </c>
      <c r="G546" s="14">
        <v>28522000</v>
      </c>
      <c r="H546" s="14">
        <f t="shared" si="8"/>
        <v>2.943948385493611E-3</v>
      </c>
    </row>
    <row r="547" spans="1:8" x14ac:dyDescent="0.25">
      <c r="A547" s="46">
        <v>45355</v>
      </c>
      <c r="B547" s="14">
        <v>136.53999300000001</v>
      </c>
      <c r="C547" s="14">
        <v>136.63000500000001</v>
      </c>
      <c r="D547" s="14">
        <v>132.86000100000001</v>
      </c>
      <c r="E547" s="14">
        <v>134.199997</v>
      </c>
      <c r="F547" s="14">
        <v>134.199997</v>
      </c>
      <c r="G547" s="14">
        <v>43571500</v>
      </c>
      <c r="H547" s="14">
        <f t="shared" si="8"/>
        <v>-1.2357322649195349E-2</v>
      </c>
    </row>
    <row r="548" spans="1:8" x14ac:dyDescent="0.25">
      <c r="A548" s="46">
        <v>45356</v>
      </c>
      <c r="B548" s="14">
        <v>132.740005</v>
      </c>
      <c r="C548" s="14">
        <v>134.020004</v>
      </c>
      <c r="D548" s="14">
        <v>131.550003</v>
      </c>
      <c r="E548" s="14">
        <v>133.779999</v>
      </c>
      <c r="F548" s="14">
        <v>133.779999</v>
      </c>
      <c r="G548" s="14">
        <v>28447600</v>
      </c>
      <c r="H548" s="14">
        <f t="shared" si="8"/>
        <v>-9.8599878830348819E-3</v>
      </c>
    </row>
    <row r="549" spans="1:8" x14ac:dyDescent="0.25">
      <c r="A549" s="46">
        <v>45357</v>
      </c>
      <c r="B549" s="14">
        <v>134.240005</v>
      </c>
      <c r="C549" s="14">
        <v>134.740005</v>
      </c>
      <c r="D549" s="14">
        <v>131.949997</v>
      </c>
      <c r="E549" s="14">
        <v>132.55999800000001</v>
      </c>
      <c r="F549" s="14">
        <v>132.55999800000001</v>
      </c>
      <c r="G549" s="14">
        <v>23175200</v>
      </c>
      <c r="H549" s="14">
        <f t="shared" si="8"/>
        <v>3.0406232677926415E-3</v>
      </c>
    </row>
    <row r="550" spans="1:8" x14ac:dyDescent="0.25">
      <c r="A550" s="46">
        <v>45358</v>
      </c>
      <c r="B550" s="14">
        <v>133.88999899999999</v>
      </c>
      <c r="C550" s="14">
        <v>135.820007</v>
      </c>
      <c r="D550" s="14">
        <v>132.66000399999999</v>
      </c>
      <c r="E550" s="14">
        <v>135.240005</v>
      </c>
      <c r="F550" s="14">
        <v>135.240005</v>
      </c>
      <c r="G550" s="14">
        <v>24107300</v>
      </c>
      <c r="H550" s="14">
        <f t="shared" si="8"/>
        <v>5.3808792432181729E-3</v>
      </c>
    </row>
    <row r="551" spans="1:8" x14ac:dyDescent="0.25">
      <c r="A551" s="46">
        <v>45359</v>
      </c>
      <c r="B551" s="14">
        <v>135.03500399999999</v>
      </c>
      <c r="C551" s="14">
        <v>138.98500100000001</v>
      </c>
      <c r="D551" s="14">
        <v>134.800003</v>
      </c>
      <c r="E551" s="14">
        <v>136.28999300000001</v>
      </c>
      <c r="F551" s="14">
        <v>136.28999300000001</v>
      </c>
      <c r="G551" s="14">
        <v>26472400</v>
      </c>
      <c r="H551" s="14">
        <f t="shared" si="8"/>
        <v>1.6131455868190869E-2</v>
      </c>
    </row>
    <row r="552" spans="1:8" x14ac:dyDescent="0.25">
      <c r="A552" s="46">
        <v>45362</v>
      </c>
      <c r="B552" s="14">
        <v>137.070007</v>
      </c>
      <c r="C552" s="14">
        <v>139.979996</v>
      </c>
      <c r="D552" s="14">
        <v>137.070007</v>
      </c>
      <c r="E552" s="14">
        <v>138.94000199999999</v>
      </c>
      <c r="F552" s="14">
        <v>138.94000199999999</v>
      </c>
      <c r="G552" s="14">
        <v>22536400</v>
      </c>
      <c r="H552" s="14">
        <f t="shared" si="8"/>
        <v>5.6132639700311833E-3</v>
      </c>
    </row>
    <row r="553" spans="1:8" x14ac:dyDescent="0.25">
      <c r="A553" s="46">
        <v>45363</v>
      </c>
      <c r="B553" s="14">
        <v>138.25</v>
      </c>
      <c r="C553" s="14">
        <v>140.279999</v>
      </c>
      <c r="D553" s="14">
        <v>138.21000699999999</v>
      </c>
      <c r="E553" s="14">
        <v>139.61999499999999</v>
      </c>
      <c r="F553" s="14">
        <v>139.61999499999999</v>
      </c>
      <c r="G553" s="14">
        <v>19019700</v>
      </c>
      <c r="H553" s="14">
        <f t="shared" si="8"/>
        <v>8.3169179381452629E-3</v>
      </c>
    </row>
    <row r="554" spans="1:8" x14ac:dyDescent="0.25">
      <c r="A554" s="46">
        <v>45364</v>
      </c>
      <c r="B554" s="14">
        <v>140.05999800000001</v>
      </c>
      <c r="C554" s="14">
        <v>142.19000199999999</v>
      </c>
      <c r="D554" s="14">
        <v>140.009995</v>
      </c>
      <c r="E554" s="14">
        <v>140.770004</v>
      </c>
      <c r="F554" s="14">
        <v>140.770004</v>
      </c>
      <c r="G554" s="14">
        <v>19637000</v>
      </c>
      <c r="H554" s="14">
        <f t="shared" si="8"/>
        <v>1.302357216435146E-2</v>
      </c>
    </row>
    <row r="555" spans="1:8" x14ac:dyDescent="0.25">
      <c r="A555" s="46">
        <v>45365</v>
      </c>
      <c r="B555" s="14">
        <v>142.300003</v>
      </c>
      <c r="C555" s="14">
        <v>144.729996</v>
      </c>
      <c r="D555" s="14">
        <v>141.48500100000001</v>
      </c>
      <c r="E555" s="14">
        <v>144.33999600000001</v>
      </c>
      <c r="F555" s="14">
        <v>144.33999600000001</v>
      </c>
      <c r="G555" s="14">
        <v>36117900</v>
      </c>
      <c r="H555" s="14">
        <f t="shared" si="8"/>
        <v>1.0535005018748933E-2</v>
      </c>
    </row>
    <row r="556" spans="1:8" x14ac:dyDescent="0.25">
      <c r="A556" s="46">
        <v>45366</v>
      </c>
      <c r="B556" s="14">
        <v>143.41000399999999</v>
      </c>
      <c r="C556" s="14">
        <v>144.33999600000001</v>
      </c>
      <c r="D556" s="14">
        <v>141.13000500000001</v>
      </c>
      <c r="E556" s="14">
        <v>142.16999799999999</v>
      </c>
      <c r="F556" s="14">
        <v>142.16999799999999</v>
      </c>
      <c r="G556" s="14">
        <v>41025900</v>
      </c>
      <c r="H556" s="14">
        <f t="shared" si="8"/>
        <v>-2.5090716153014503E-3</v>
      </c>
    </row>
    <row r="557" spans="1:8" x14ac:dyDescent="0.25">
      <c r="A557" s="46">
        <v>45369</v>
      </c>
      <c r="B557" s="14">
        <v>149.36999499999999</v>
      </c>
      <c r="C557" s="14">
        <v>152.929993</v>
      </c>
      <c r="D557" s="14">
        <v>148.13999899999999</v>
      </c>
      <c r="E557" s="14">
        <v>148.479996</v>
      </c>
      <c r="F557" s="14">
        <v>148.479996</v>
      </c>
      <c r="G557" s="14">
        <v>47676700</v>
      </c>
      <c r="H557" s="14">
        <f t="shared" si="8"/>
        <v>1.6556824090431094E-2</v>
      </c>
    </row>
    <row r="558" spans="1:8" x14ac:dyDescent="0.25">
      <c r="A558" s="46">
        <v>45370</v>
      </c>
      <c r="B558" s="14">
        <v>148.979996</v>
      </c>
      <c r="C558" s="14">
        <v>149.61999499999999</v>
      </c>
      <c r="D558" s="14">
        <v>147.009995</v>
      </c>
      <c r="E558" s="14">
        <v>147.91999799999999</v>
      </c>
      <c r="F558" s="14">
        <v>147.91999799999999</v>
      </c>
      <c r="G558" s="14">
        <v>17748400</v>
      </c>
      <c r="H558" s="14">
        <f t="shared" si="8"/>
        <v>-7.6279465885509268E-3</v>
      </c>
    </row>
    <row r="559" spans="1:8" x14ac:dyDescent="0.25">
      <c r="A559" s="46">
        <v>45371</v>
      </c>
      <c r="B559" s="14">
        <v>148.78999300000001</v>
      </c>
      <c r="C559" s="14">
        <v>149.759995</v>
      </c>
      <c r="D559" s="14">
        <v>147.66499300000001</v>
      </c>
      <c r="E559" s="14">
        <v>149.679993</v>
      </c>
      <c r="F559" s="14">
        <v>149.679993</v>
      </c>
      <c r="G559" s="14">
        <v>17730000</v>
      </c>
      <c r="H559" s="14">
        <f t="shared" si="8"/>
        <v>4.4554657661202146E-3</v>
      </c>
    </row>
    <row r="560" spans="1:8" x14ac:dyDescent="0.25">
      <c r="A560" s="46">
        <v>45372</v>
      </c>
      <c r="B560" s="14">
        <v>150.320007</v>
      </c>
      <c r="C560" s="14">
        <v>151.304993</v>
      </c>
      <c r="D560" s="14">
        <v>148.009995</v>
      </c>
      <c r="E560" s="14">
        <v>148.740005</v>
      </c>
      <c r="F560" s="14">
        <v>148.740005</v>
      </c>
      <c r="G560" s="14">
        <v>19843900</v>
      </c>
      <c r="H560" s="14">
        <f t="shared" si="8"/>
        <v>2.3363831399090262E-3</v>
      </c>
    </row>
    <row r="561" spans="1:8" x14ac:dyDescent="0.25">
      <c r="A561" s="46">
        <v>45373</v>
      </c>
      <c r="B561" s="14">
        <v>150.240005</v>
      </c>
      <c r="C561" s="14">
        <v>152.55999800000001</v>
      </c>
      <c r="D561" s="14">
        <v>150.08999600000001</v>
      </c>
      <c r="E561" s="14">
        <v>151.770004</v>
      </c>
      <c r="F561" s="14">
        <v>151.770004</v>
      </c>
      <c r="G561" s="14">
        <v>19226300</v>
      </c>
      <c r="H561" s="14">
        <f t="shared" si="8"/>
        <v>1.4053111751000325E-2</v>
      </c>
    </row>
    <row r="562" spans="1:8" x14ac:dyDescent="0.25">
      <c r="A562" s="46">
        <v>45376</v>
      </c>
      <c r="B562" s="14">
        <v>150.949997</v>
      </c>
      <c r="C562" s="14">
        <v>151.455994</v>
      </c>
      <c r="D562" s="14">
        <v>148.800003</v>
      </c>
      <c r="E562" s="14">
        <v>151.14999399999999</v>
      </c>
      <c r="F562" s="14">
        <v>151.14999399999999</v>
      </c>
      <c r="G562" s="14">
        <v>15114700</v>
      </c>
      <c r="H562" s="14">
        <f t="shared" si="8"/>
        <v>-2.8649322281724121E-3</v>
      </c>
    </row>
    <row r="563" spans="1:8" x14ac:dyDescent="0.25">
      <c r="A563" s="46">
        <v>45377</v>
      </c>
      <c r="B563" s="14">
        <v>151.240005</v>
      </c>
      <c r="C563" s="14">
        <v>153.199997</v>
      </c>
      <c r="D563" s="14">
        <v>151.029999</v>
      </c>
      <c r="E563" s="14">
        <v>151.699997</v>
      </c>
      <c r="F563" s="14">
        <v>151.699997</v>
      </c>
      <c r="G563" s="14">
        <v>19312700</v>
      </c>
      <c r="H563" s="14">
        <f t="shared" si="8"/>
        <v>1.4986531955916593E-2</v>
      </c>
    </row>
    <row r="564" spans="1:8" x14ac:dyDescent="0.25">
      <c r="A564" s="46">
        <v>45378</v>
      </c>
      <c r="B564" s="14">
        <v>152.145004</v>
      </c>
      <c r="C564" s="14">
        <v>152.69000199999999</v>
      </c>
      <c r="D564" s="14">
        <v>150.13000500000001</v>
      </c>
      <c r="E564" s="14">
        <v>151.94000199999999</v>
      </c>
      <c r="F564" s="14">
        <v>151.94000199999999</v>
      </c>
      <c r="G564" s="14">
        <v>16622000</v>
      </c>
      <c r="H564" s="14">
        <f t="shared" si="8"/>
        <v>-5.9590412895387246E-3</v>
      </c>
    </row>
    <row r="565" spans="1:8" x14ac:dyDescent="0.25">
      <c r="A565" s="46">
        <v>45379</v>
      </c>
      <c r="B565" s="14">
        <v>152</v>
      </c>
      <c r="C565" s="14">
        <v>152.66999799999999</v>
      </c>
      <c r="D565" s="14">
        <v>151.33000200000001</v>
      </c>
      <c r="E565" s="14">
        <v>152.259995</v>
      </c>
      <c r="F565" s="14">
        <v>152.259995</v>
      </c>
      <c r="G565" s="14">
        <v>21105600</v>
      </c>
      <c r="H565" s="14">
        <f t="shared" si="8"/>
        <v>7.9930524214661958E-3</v>
      </c>
    </row>
    <row r="566" spans="1:8" x14ac:dyDescent="0.25">
      <c r="A566" s="46">
        <v>45383</v>
      </c>
      <c r="B566" s="14">
        <v>151.83000200000001</v>
      </c>
      <c r="C566" s="14">
        <v>157</v>
      </c>
      <c r="D566" s="14">
        <v>151.64999399999999</v>
      </c>
      <c r="E566" s="14">
        <v>156.5</v>
      </c>
      <c r="F566" s="14">
        <v>156.5</v>
      </c>
      <c r="G566" s="14">
        <v>24469800</v>
      </c>
      <c r="H566" s="14">
        <f t="shared" si="8"/>
        <v>5.2863278228199029E-4</v>
      </c>
    </row>
    <row r="567" spans="1:8" x14ac:dyDescent="0.25">
      <c r="A567" s="46">
        <v>45384</v>
      </c>
      <c r="B567" s="14">
        <v>154.75</v>
      </c>
      <c r="C567" s="14">
        <v>155.990005</v>
      </c>
      <c r="D567" s="14">
        <v>153.46000699999999</v>
      </c>
      <c r="E567" s="14">
        <v>155.86999499999999</v>
      </c>
      <c r="F567" s="14">
        <v>155.86999499999999</v>
      </c>
      <c r="G567" s="14">
        <v>17598100</v>
      </c>
      <c r="H567" s="14">
        <f t="shared" si="8"/>
        <v>1.1935463709942473E-2</v>
      </c>
    </row>
    <row r="568" spans="1:8" x14ac:dyDescent="0.25">
      <c r="A568" s="46">
        <v>45385</v>
      </c>
      <c r="B568" s="14">
        <v>154.91999799999999</v>
      </c>
      <c r="C568" s="14">
        <v>156.550003</v>
      </c>
      <c r="D568" s="14">
        <v>154.13200399999999</v>
      </c>
      <c r="E568" s="14">
        <v>156.36999499999999</v>
      </c>
      <c r="F568" s="14">
        <v>156.36999499999999</v>
      </c>
      <c r="G568" s="14">
        <v>17266200</v>
      </c>
      <c r="H568" s="14">
        <f t="shared" si="8"/>
        <v>4.3789715192701362E-3</v>
      </c>
    </row>
    <row r="569" spans="1:8" x14ac:dyDescent="0.25">
      <c r="A569" s="46">
        <v>45386</v>
      </c>
      <c r="B569" s="14">
        <v>155.08000200000001</v>
      </c>
      <c r="C569" s="14">
        <v>156.179993</v>
      </c>
      <c r="D569" s="14">
        <v>151.88000500000001</v>
      </c>
      <c r="E569" s="14">
        <v>151.94000199999999</v>
      </c>
      <c r="F569" s="14">
        <v>151.94000199999999</v>
      </c>
      <c r="G569" s="14">
        <v>24184800</v>
      </c>
      <c r="H569" s="14">
        <f t="shared" si="8"/>
        <v>-1.4610846167937841E-2</v>
      </c>
    </row>
    <row r="570" spans="1:8" x14ac:dyDescent="0.25">
      <c r="A570" s="46">
        <v>45387</v>
      </c>
      <c r="B570" s="14">
        <v>151.679993</v>
      </c>
      <c r="C570" s="14">
        <v>154.83999600000001</v>
      </c>
      <c r="D570" s="14">
        <v>151.080994</v>
      </c>
      <c r="E570" s="14">
        <v>153.94000199999999</v>
      </c>
      <c r="F570" s="14">
        <v>153.94000199999999</v>
      </c>
      <c r="G570" s="14">
        <v>16289800</v>
      </c>
      <c r="H570" s="14">
        <f t="shared" si="8"/>
        <v>-5.2608044093757078E-3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629CC-4927-40AF-A654-E1DCD7CBE7D4}">
  <sheetPr codeName="Arkusz7">
    <tabColor theme="0" tint="-0.14999847407452621"/>
  </sheetPr>
  <dimension ref="A1:H570"/>
  <sheetViews>
    <sheetView workbookViewId="0">
      <selection activeCell="L11" sqref="L11"/>
    </sheetView>
  </sheetViews>
  <sheetFormatPr defaultRowHeight="15" x14ac:dyDescent="0.25"/>
  <cols>
    <col min="1" max="1" width="10.140625" bestFit="1" customWidth="1"/>
    <col min="2" max="5" width="9.5703125" bestFit="1" customWidth="1"/>
    <col min="6" max="6" width="11" bestFit="1" customWidth="1"/>
    <col min="7" max="7" width="9.7109375" bestFit="1" customWidth="1"/>
  </cols>
  <sheetData>
    <row r="1" spans="1:8" x14ac:dyDescent="0.25">
      <c r="A1" s="34" t="s">
        <v>32</v>
      </c>
      <c r="B1" s="34" t="s">
        <v>33</v>
      </c>
      <c r="C1" s="34" t="s">
        <v>34</v>
      </c>
      <c r="D1" s="34" t="s">
        <v>35</v>
      </c>
      <c r="E1" s="34" t="s">
        <v>36</v>
      </c>
      <c r="F1" s="34" t="s">
        <v>37</v>
      </c>
      <c r="G1" s="34" t="s">
        <v>38</v>
      </c>
      <c r="H1" s="34" t="s">
        <v>39</v>
      </c>
    </row>
    <row r="2" spans="1:8" x14ac:dyDescent="0.25">
      <c r="A2" s="46">
        <v>44560</v>
      </c>
      <c r="B2" s="14">
        <v>66.279999000000004</v>
      </c>
      <c r="C2" s="14">
        <v>67.650002000000001</v>
      </c>
      <c r="D2" s="14">
        <v>66.239998</v>
      </c>
      <c r="E2" s="14">
        <v>66.779999000000004</v>
      </c>
      <c r="F2" s="14">
        <v>63.703204999999997</v>
      </c>
      <c r="G2" s="14">
        <v>3673600</v>
      </c>
      <c r="H2" s="14">
        <v>0</v>
      </c>
    </row>
    <row r="3" spans="1:8" x14ac:dyDescent="0.25">
      <c r="A3" s="46">
        <v>44561</v>
      </c>
      <c r="B3" s="14">
        <v>66.739998</v>
      </c>
      <c r="C3" s="14">
        <v>66.919998000000007</v>
      </c>
      <c r="D3" s="14">
        <v>65.730002999999996</v>
      </c>
      <c r="E3" s="14">
        <v>66.5</v>
      </c>
      <c r="F3" s="14">
        <v>63.436110999999997</v>
      </c>
      <c r="G3" s="14">
        <v>5935800</v>
      </c>
      <c r="H3" s="14">
        <f>(D3/D2-1)/(A3-A2)</f>
        <v>-7.6992001116908959E-3</v>
      </c>
    </row>
    <row r="4" spans="1:8" x14ac:dyDescent="0.25">
      <c r="A4" s="46">
        <v>44564</v>
      </c>
      <c r="B4" s="14">
        <v>66.449996999999996</v>
      </c>
      <c r="C4" s="14">
        <v>67.120002999999997</v>
      </c>
      <c r="D4" s="14">
        <v>65.660004000000001</v>
      </c>
      <c r="E4" s="14">
        <v>66.800003000000004</v>
      </c>
      <c r="F4" s="14">
        <v>63.722282</v>
      </c>
      <c r="G4" s="14">
        <v>6685500</v>
      </c>
      <c r="H4" s="14">
        <f t="shared" ref="H4:H67" si="0">(D4/D3-1)/(A4-A3)</f>
        <v>-3.549824879818993E-4</v>
      </c>
    </row>
    <row r="5" spans="1:8" x14ac:dyDescent="0.25">
      <c r="A5" s="46">
        <v>44565</v>
      </c>
      <c r="B5" s="14">
        <v>67.169998000000007</v>
      </c>
      <c r="C5" s="14">
        <v>67.419998000000007</v>
      </c>
      <c r="D5" s="14">
        <v>64.440002000000007</v>
      </c>
      <c r="E5" s="14">
        <v>65.139999000000003</v>
      </c>
      <c r="F5" s="14">
        <v>62.138762999999997</v>
      </c>
      <c r="G5" s="14">
        <v>7527300</v>
      </c>
      <c r="H5" s="14">
        <f t="shared" si="0"/>
        <v>-1.858059588299743E-2</v>
      </c>
    </row>
    <row r="6" spans="1:8" x14ac:dyDescent="0.25">
      <c r="A6" s="46">
        <v>44566</v>
      </c>
      <c r="B6" s="14">
        <v>64.870002999999997</v>
      </c>
      <c r="C6" s="14">
        <v>66.269997000000004</v>
      </c>
      <c r="D6" s="14">
        <v>64.459998999999996</v>
      </c>
      <c r="E6" s="14">
        <v>64.489998</v>
      </c>
      <c r="F6" s="14">
        <v>61.518715</v>
      </c>
      <c r="G6" s="14">
        <v>7440700</v>
      </c>
      <c r="H6" s="14">
        <f t="shared" si="0"/>
        <v>3.1031966758776619E-4</v>
      </c>
    </row>
    <row r="7" spans="1:8" x14ac:dyDescent="0.25">
      <c r="A7" s="46">
        <v>44567</v>
      </c>
      <c r="B7" s="14">
        <v>64.139999000000003</v>
      </c>
      <c r="C7" s="14">
        <v>67.489998</v>
      </c>
      <c r="D7" s="14">
        <v>64.080001999999993</v>
      </c>
      <c r="E7" s="14">
        <v>66.809997999999993</v>
      </c>
      <c r="F7" s="14">
        <v>63.731811999999998</v>
      </c>
      <c r="G7" s="14">
        <v>8218400</v>
      </c>
      <c r="H7" s="14">
        <f t="shared" si="0"/>
        <v>-5.8950823129860774E-3</v>
      </c>
    </row>
    <row r="8" spans="1:8" x14ac:dyDescent="0.25">
      <c r="A8" s="46">
        <v>44568</v>
      </c>
      <c r="B8" s="14">
        <v>66.730002999999996</v>
      </c>
      <c r="C8" s="14">
        <v>67.330001999999993</v>
      </c>
      <c r="D8" s="14">
        <v>66.279999000000004</v>
      </c>
      <c r="E8" s="14">
        <v>66.319999999999993</v>
      </c>
      <c r="F8" s="14">
        <v>63.264403999999999</v>
      </c>
      <c r="G8" s="14">
        <v>5000900</v>
      </c>
      <c r="H8" s="14">
        <f t="shared" si="0"/>
        <v>3.4332037005866622E-2</v>
      </c>
    </row>
    <row r="9" spans="1:8" x14ac:dyDescent="0.25">
      <c r="A9" s="46">
        <v>44571</v>
      </c>
      <c r="B9" s="14">
        <v>65.720000999999996</v>
      </c>
      <c r="C9" s="14">
        <v>66.330001999999993</v>
      </c>
      <c r="D9" s="14">
        <v>63.720001000000003</v>
      </c>
      <c r="E9" s="14">
        <v>64.569999999999993</v>
      </c>
      <c r="F9" s="14">
        <v>61.595032000000003</v>
      </c>
      <c r="G9" s="14">
        <v>6684000</v>
      </c>
      <c r="H9" s="14">
        <f t="shared" si="0"/>
        <v>-1.2874663239911452E-2</v>
      </c>
    </row>
    <row r="10" spans="1:8" x14ac:dyDescent="0.25">
      <c r="A10" s="46">
        <v>44572</v>
      </c>
      <c r="B10" s="14">
        <v>64.580001999999993</v>
      </c>
      <c r="C10" s="14">
        <v>66.519997000000004</v>
      </c>
      <c r="D10" s="14">
        <v>64.069999999999993</v>
      </c>
      <c r="E10" s="14">
        <v>66.430000000000007</v>
      </c>
      <c r="F10" s="14">
        <v>63.369338999999997</v>
      </c>
      <c r="G10" s="14">
        <v>3811100</v>
      </c>
      <c r="H10" s="14">
        <f t="shared" si="0"/>
        <v>5.4927651366483143E-3</v>
      </c>
    </row>
    <row r="11" spans="1:8" x14ac:dyDescent="0.25">
      <c r="A11" s="46">
        <v>44573</v>
      </c>
      <c r="B11" s="14">
        <v>66.870002999999997</v>
      </c>
      <c r="C11" s="14">
        <v>66.989998</v>
      </c>
      <c r="D11" s="14">
        <v>63.849997999999999</v>
      </c>
      <c r="E11" s="14">
        <v>64.319999999999993</v>
      </c>
      <c r="F11" s="14">
        <v>61.356544</v>
      </c>
      <c r="G11" s="14">
        <v>5426000</v>
      </c>
      <c r="H11" s="14">
        <f t="shared" si="0"/>
        <v>-3.4337755579834095E-3</v>
      </c>
    </row>
    <row r="12" spans="1:8" x14ac:dyDescent="0.25">
      <c r="A12" s="46">
        <v>44574</v>
      </c>
      <c r="B12" s="14">
        <v>64.739998</v>
      </c>
      <c r="C12" s="14">
        <v>65.239998</v>
      </c>
      <c r="D12" s="14">
        <v>63.169998</v>
      </c>
      <c r="E12" s="14">
        <v>63.279998999999997</v>
      </c>
      <c r="F12" s="14">
        <v>60.364460000000001</v>
      </c>
      <c r="G12" s="14">
        <v>4416900</v>
      </c>
      <c r="H12" s="14">
        <f t="shared" si="0"/>
        <v>-1.0649961179325373E-2</v>
      </c>
    </row>
    <row r="13" spans="1:8" x14ac:dyDescent="0.25">
      <c r="A13" s="46">
        <v>44575</v>
      </c>
      <c r="B13" s="14">
        <v>63.169998</v>
      </c>
      <c r="C13" s="14">
        <v>63.84</v>
      </c>
      <c r="D13" s="14">
        <v>62.639999000000003</v>
      </c>
      <c r="E13" s="14">
        <v>63.450001</v>
      </c>
      <c r="F13" s="14">
        <v>60.526626999999998</v>
      </c>
      <c r="G13" s="14">
        <v>6253100</v>
      </c>
      <c r="H13" s="14">
        <f t="shared" si="0"/>
        <v>-8.3900430074415056E-3</v>
      </c>
    </row>
    <row r="14" spans="1:8" x14ac:dyDescent="0.25">
      <c r="A14" s="46">
        <v>44579</v>
      </c>
      <c r="B14" s="14">
        <v>62.799999</v>
      </c>
      <c r="C14" s="14">
        <v>62.799999</v>
      </c>
      <c r="D14" s="14">
        <v>61.529998999999997</v>
      </c>
      <c r="E14" s="14">
        <v>61.610000999999997</v>
      </c>
      <c r="F14" s="14">
        <v>58.771408000000001</v>
      </c>
      <c r="G14" s="14">
        <v>7163600</v>
      </c>
      <c r="H14" s="14">
        <f t="shared" si="0"/>
        <v>-4.4300766990753304E-3</v>
      </c>
    </row>
    <row r="15" spans="1:8" x14ac:dyDescent="0.25">
      <c r="A15" s="46">
        <v>44580</v>
      </c>
      <c r="B15" s="14">
        <v>61.959999000000003</v>
      </c>
      <c r="C15" s="14">
        <v>62.84</v>
      </c>
      <c r="D15" s="14">
        <v>61.919998</v>
      </c>
      <c r="E15" s="14">
        <v>62.290000999999997</v>
      </c>
      <c r="F15" s="14">
        <v>59.420074</v>
      </c>
      <c r="G15" s="14">
        <v>6721800</v>
      </c>
      <c r="H15" s="14">
        <f t="shared" si="0"/>
        <v>6.3383553768625589E-3</v>
      </c>
    </row>
    <row r="16" spans="1:8" x14ac:dyDescent="0.25">
      <c r="A16" s="46">
        <v>44581</v>
      </c>
      <c r="B16" s="14">
        <v>62.849997999999999</v>
      </c>
      <c r="C16" s="14">
        <v>63.68</v>
      </c>
      <c r="D16" s="14">
        <v>60.669998</v>
      </c>
      <c r="E16" s="14">
        <v>60.709999000000003</v>
      </c>
      <c r="F16" s="14">
        <v>57.912875999999997</v>
      </c>
      <c r="G16" s="14">
        <v>5352500</v>
      </c>
      <c r="H16" s="14">
        <f t="shared" si="0"/>
        <v>-2.0187339153337813E-2</v>
      </c>
    </row>
    <row r="17" spans="1:8" x14ac:dyDescent="0.25">
      <c r="A17" s="46">
        <v>44582</v>
      </c>
      <c r="B17" s="14">
        <v>60.919998</v>
      </c>
      <c r="C17" s="14">
        <v>61.34</v>
      </c>
      <c r="D17" s="14">
        <v>59.369999</v>
      </c>
      <c r="E17" s="14">
        <v>59.540000999999997</v>
      </c>
      <c r="F17" s="14">
        <v>56.796776000000001</v>
      </c>
      <c r="G17" s="14">
        <v>7742200</v>
      </c>
      <c r="H17" s="14">
        <f t="shared" si="0"/>
        <v>-2.1427378322972701E-2</v>
      </c>
    </row>
    <row r="18" spans="1:8" x14ac:dyDescent="0.25">
      <c r="A18" s="46">
        <v>44585</v>
      </c>
      <c r="B18" s="14">
        <v>58.970001000000003</v>
      </c>
      <c r="C18" s="14">
        <v>59.720001000000003</v>
      </c>
      <c r="D18" s="14">
        <v>56.880001</v>
      </c>
      <c r="E18" s="14">
        <v>59.66</v>
      </c>
      <c r="F18" s="14">
        <v>56.911251</v>
      </c>
      <c r="G18" s="14">
        <v>9318900</v>
      </c>
      <c r="H18" s="14">
        <f t="shared" si="0"/>
        <v>-1.3980113648533724E-2</v>
      </c>
    </row>
    <row r="19" spans="1:8" x14ac:dyDescent="0.25">
      <c r="A19" s="46">
        <v>44586</v>
      </c>
      <c r="B19" s="14">
        <v>58.439999</v>
      </c>
      <c r="C19" s="14">
        <v>58.57</v>
      </c>
      <c r="D19" s="14">
        <v>56.919998</v>
      </c>
      <c r="E19" s="14">
        <v>58.18</v>
      </c>
      <c r="F19" s="14">
        <v>55.499434999999998</v>
      </c>
      <c r="G19" s="14">
        <v>7635900</v>
      </c>
      <c r="H19" s="14">
        <f t="shared" si="0"/>
        <v>7.0318212547149095E-4</v>
      </c>
    </row>
    <row r="20" spans="1:8" x14ac:dyDescent="0.25">
      <c r="A20" s="46">
        <v>44587</v>
      </c>
      <c r="B20" s="14">
        <v>58.57</v>
      </c>
      <c r="C20" s="14">
        <v>59.490001999999997</v>
      </c>
      <c r="D20" s="14">
        <v>57.200001</v>
      </c>
      <c r="E20" s="14">
        <v>57.709999000000003</v>
      </c>
      <c r="F20" s="14">
        <v>55.051090000000002</v>
      </c>
      <c r="G20" s="14">
        <v>7599800</v>
      </c>
      <c r="H20" s="14">
        <f t="shared" si="0"/>
        <v>4.9192376992002185E-3</v>
      </c>
    </row>
    <row r="21" spans="1:8" x14ac:dyDescent="0.25">
      <c r="A21" s="46">
        <v>44588</v>
      </c>
      <c r="B21" s="14">
        <v>58.040000999999997</v>
      </c>
      <c r="C21" s="14">
        <v>58.709999000000003</v>
      </c>
      <c r="D21" s="14">
        <v>56.400002000000001</v>
      </c>
      <c r="E21" s="14">
        <v>56.700001</v>
      </c>
      <c r="F21" s="14">
        <v>54.087626999999998</v>
      </c>
      <c r="G21" s="14">
        <v>4947100</v>
      </c>
      <c r="H21" s="14">
        <f t="shared" si="0"/>
        <v>-1.3985996258986111E-2</v>
      </c>
    </row>
    <row r="22" spans="1:8" x14ac:dyDescent="0.25">
      <c r="A22" s="46">
        <v>44589</v>
      </c>
      <c r="B22" s="14">
        <v>56.740001999999997</v>
      </c>
      <c r="C22" s="14">
        <v>57.599997999999999</v>
      </c>
      <c r="D22" s="14">
        <v>55.91</v>
      </c>
      <c r="E22" s="14">
        <v>57.540000999999997</v>
      </c>
      <c r="F22" s="14">
        <v>54.888927000000002</v>
      </c>
      <c r="G22" s="14">
        <v>5027100</v>
      </c>
      <c r="H22" s="14">
        <f t="shared" si="0"/>
        <v>-8.6879784153199857E-3</v>
      </c>
    </row>
    <row r="23" spans="1:8" x14ac:dyDescent="0.25">
      <c r="A23" s="46">
        <v>44592</v>
      </c>
      <c r="B23" s="14">
        <v>57.73</v>
      </c>
      <c r="C23" s="14">
        <v>60.389999000000003</v>
      </c>
      <c r="D23" s="14">
        <v>57.66</v>
      </c>
      <c r="E23" s="14">
        <v>60.07</v>
      </c>
      <c r="F23" s="14">
        <v>57.302357000000001</v>
      </c>
      <c r="G23" s="14">
        <v>9059300</v>
      </c>
      <c r="H23" s="14">
        <f t="shared" si="0"/>
        <v>1.0433434686698847E-2</v>
      </c>
    </row>
    <row r="24" spans="1:8" x14ac:dyDescent="0.25">
      <c r="A24" s="46">
        <v>44593</v>
      </c>
      <c r="B24" s="14">
        <v>59.91</v>
      </c>
      <c r="C24" s="14">
        <v>60.619999</v>
      </c>
      <c r="D24" s="14">
        <v>59.57</v>
      </c>
      <c r="E24" s="14">
        <v>60.48</v>
      </c>
      <c r="F24" s="14">
        <v>57.693466000000001</v>
      </c>
      <c r="G24" s="14">
        <v>4080600</v>
      </c>
      <c r="H24" s="14">
        <f t="shared" si="0"/>
        <v>3.3125216788068013E-2</v>
      </c>
    </row>
    <row r="25" spans="1:8" x14ac:dyDescent="0.25">
      <c r="A25" s="46">
        <v>44594</v>
      </c>
      <c r="B25" s="14">
        <v>60.470001000000003</v>
      </c>
      <c r="C25" s="14">
        <v>60.59</v>
      </c>
      <c r="D25" s="14">
        <v>57.419998</v>
      </c>
      <c r="E25" s="14">
        <v>58.540000999999997</v>
      </c>
      <c r="F25" s="14">
        <v>55.842846000000002</v>
      </c>
      <c r="G25" s="14">
        <v>8826200</v>
      </c>
      <c r="H25" s="14">
        <f t="shared" si="0"/>
        <v>-3.6092026187678372E-2</v>
      </c>
    </row>
    <row r="26" spans="1:8" x14ac:dyDescent="0.25">
      <c r="A26" s="46">
        <v>44595</v>
      </c>
      <c r="B26" s="14">
        <v>58</v>
      </c>
      <c r="C26" s="14">
        <v>58.09</v>
      </c>
      <c r="D26" s="14">
        <v>56.93</v>
      </c>
      <c r="E26" s="14">
        <v>57.189999</v>
      </c>
      <c r="F26" s="14">
        <v>54.555045999999997</v>
      </c>
      <c r="G26" s="14">
        <v>6287200</v>
      </c>
      <c r="H26" s="14">
        <f t="shared" si="0"/>
        <v>-8.5335774480521653E-3</v>
      </c>
    </row>
    <row r="27" spans="1:8" x14ac:dyDescent="0.25">
      <c r="A27" s="46">
        <v>44596</v>
      </c>
      <c r="B27" s="14">
        <v>57.34</v>
      </c>
      <c r="C27" s="14">
        <v>60.27</v>
      </c>
      <c r="D27" s="14">
        <v>57.25</v>
      </c>
      <c r="E27" s="14">
        <v>59.290000999999997</v>
      </c>
      <c r="F27" s="14">
        <v>56.558295999999999</v>
      </c>
      <c r="G27" s="14">
        <v>10587000</v>
      </c>
      <c r="H27" s="14">
        <f t="shared" si="0"/>
        <v>5.6209379940277415E-3</v>
      </c>
    </row>
    <row r="28" spans="1:8" x14ac:dyDescent="0.25">
      <c r="A28" s="46">
        <v>44599</v>
      </c>
      <c r="B28" s="14">
        <v>59.18</v>
      </c>
      <c r="C28" s="14">
        <v>59.73</v>
      </c>
      <c r="D28" s="14">
        <v>58.540000999999997</v>
      </c>
      <c r="E28" s="14">
        <v>58.700001</v>
      </c>
      <c r="F28" s="14">
        <v>55.995475999999996</v>
      </c>
      <c r="G28" s="14">
        <v>5718400</v>
      </c>
      <c r="H28" s="14">
        <f t="shared" si="0"/>
        <v>7.5109228529839367E-3</v>
      </c>
    </row>
    <row r="29" spans="1:8" x14ac:dyDescent="0.25">
      <c r="A29" s="46">
        <v>44600</v>
      </c>
      <c r="B29" s="14">
        <v>58.439999</v>
      </c>
      <c r="C29" s="14">
        <v>59.91</v>
      </c>
      <c r="D29" s="14">
        <v>58.439999</v>
      </c>
      <c r="E29" s="14">
        <v>59.73</v>
      </c>
      <c r="F29" s="14">
        <v>56.978020000000001</v>
      </c>
      <c r="G29" s="14">
        <v>3770700</v>
      </c>
      <c r="H29" s="14">
        <f t="shared" si="0"/>
        <v>-1.7082678218607317E-3</v>
      </c>
    </row>
    <row r="30" spans="1:8" x14ac:dyDescent="0.25">
      <c r="A30" s="46">
        <v>44601</v>
      </c>
      <c r="B30" s="14">
        <v>60.369999</v>
      </c>
      <c r="C30" s="14">
        <v>60.66</v>
      </c>
      <c r="D30" s="14">
        <v>59.700001</v>
      </c>
      <c r="E30" s="14">
        <v>60.610000999999997</v>
      </c>
      <c r="F30" s="14">
        <v>57.817481999999998</v>
      </c>
      <c r="G30" s="14">
        <v>3448800</v>
      </c>
      <c r="H30" s="14">
        <f t="shared" si="0"/>
        <v>2.1560609540735909E-2</v>
      </c>
    </row>
    <row r="31" spans="1:8" x14ac:dyDescent="0.25">
      <c r="A31" s="46">
        <v>44602</v>
      </c>
      <c r="B31" s="14">
        <v>59.490001999999997</v>
      </c>
      <c r="C31" s="14">
        <v>60.029998999999997</v>
      </c>
      <c r="D31" s="14">
        <v>58.48</v>
      </c>
      <c r="E31" s="14">
        <v>58.810001</v>
      </c>
      <c r="F31" s="14">
        <v>56.100414000000001</v>
      </c>
      <c r="G31" s="14">
        <v>3976200</v>
      </c>
      <c r="H31" s="14">
        <f t="shared" si="0"/>
        <v>-2.0435527295887379E-2</v>
      </c>
    </row>
    <row r="32" spans="1:8" x14ac:dyDescent="0.25">
      <c r="A32" s="46">
        <v>44603</v>
      </c>
      <c r="B32" s="14">
        <v>59.310001</v>
      </c>
      <c r="C32" s="14">
        <v>59.939999</v>
      </c>
      <c r="D32" s="14">
        <v>58.049999</v>
      </c>
      <c r="E32" s="14">
        <v>58.380001</v>
      </c>
      <c r="F32" s="14">
        <v>55.690224000000001</v>
      </c>
      <c r="G32" s="14">
        <v>5897200</v>
      </c>
      <c r="H32" s="14">
        <f t="shared" si="0"/>
        <v>-7.3529582763337542E-3</v>
      </c>
    </row>
    <row r="33" spans="1:8" x14ac:dyDescent="0.25">
      <c r="A33" s="46">
        <v>44606</v>
      </c>
      <c r="B33" s="14">
        <v>58.529998999999997</v>
      </c>
      <c r="C33" s="14">
        <v>58.639999000000003</v>
      </c>
      <c r="D33" s="14">
        <v>57.68</v>
      </c>
      <c r="E33" s="14">
        <v>58.18</v>
      </c>
      <c r="F33" s="14">
        <v>55.499434999999998</v>
      </c>
      <c r="G33" s="14">
        <v>5714500</v>
      </c>
      <c r="H33" s="14">
        <f t="shared" si="0"/>
        <v>-2.1245995198035939E-3</v>
      </c>
    </row>
    <row r="34" spans="1:8" x14ac:dyDescent="0.25">
      <c r="A34" s="46">
        <v>44607</v>
      </c>
      <c r="B34" s="14">
        <v>58.959999000000003</v>
      </c>
      <c r="C34" s="14">
        <v>59.990001999999997</v>
      </c>
      <c r="D34" s="14">
        <v>58.630001</v>
      </c>
      <c r="E34" s="14">
        <v>59.93</v>
      </c>
      <c r="F34" s="14">
        <v>57.168812000000003</v>
      </c>
      <c r="G34" s="14">
        <v>3803800</v>
      </c>
      <c r="H34" s="14">
        <f t="shared" si="0"/>
        <v>1.6470197642163731E-2</v>
      </c>
    </row>
    <row r="35" spans="1:8" x14ac:dyDescent="0.25">
      <c r="A35" s="46">
        <v>44608</v>
      </c>
      <c r="B35" s="14">
        <v>59.689999</v>
      </c>
      <c r="C35" s="14">
        <v>59.75</v>
      </c>
      <c r="D35" s="14">
        <v>57.259998000000003</v>
      </c>
      <c r="E35" s="14">
        <v>57.650002000000001</v>
      </c>
      <c r="F35" s="14">
        <v>54.993858000000003</v>
      </c>
      <c r="G35" s="14">
        <v>5201800</v>
      </c>
      <c r="H35" s="14">
        <f t="shared" si="0"/>
        <v>-2.3366927795208436E-2</v>
      </c>
    </row>
    <row r="36" spans="1:8" x14ac:dyDescent="0.25">
      <c r="A36" s="46">
        <v>44609</v>
      </c>
      <c r="B36" s="14">
        <v>57.48</v>
      </c>
      <c r="C36" s="14">
        <v>57.700001</v>
      </c>
      <c r="D36" s="14">
        <v>55.529998999999997</v>
      </c>
      <c r="E36" s="14">
        <v>55.759998000000003</v>
      </c>
      <c r="F36" s="14">
        <v>53.190933000000001</v>
      </c>
      <c r="G36" s="14">
        <v>5659300</v>
      </c>
      <c r="H36" s="14">
        <f t="shared" si="0"/>
        <v>-3.0213046811493172E-2</v>
      </c>
    </row>
    <row r="37" spans="1:8" x14ac:dyDescent="0.25">
      <c r="A37" s="46">
        <v>44610</v>
      </c>
      <c r="B37" s="14">
        <v>55.360000999999997</v>
      </c>
      <c r="C37" s="14">
        <v>55.889999000000003</v>
      </c>
      <c r="D37" s="14">
        <v>54.27</v>
      </c>
      <c r="E37" s="14">
        <v>55.459999000000003</v>
      </c>
      <c r="F37" s="14">
        <v>52.904750999999997</v>
      </c>
      <c r="G37" s="14">
        <v>7219600</v>
      </c>
      <c r="H37" s="14">
        <f t="shared" si="0"/>
        <v>-2.2690420001628242E-2</v>
      </c>
    </row>
    <row r="38" spans="1:8" x14ac:dyDescent="0.25">
      <c r="A38" s="46">
        <v>44614</v>
      </c>
      <c r="B38" s="14">
        <v>55.119999</v>
      </c>
      <c r="C38" s="14">
        <v>56.75</v>
      </c>
      <c r="D38" s="14">
        <v>54.889999000000003</v>
      </c>
      <c r="E38" s="14">
        <v>55.150002000000001</v>
      </c>
      <c r="F38" s="14">
        <v>52.609043</v>
      </c>
      <c r="G38" s="14">
        <v>6951000</v>
      </c>
      <c r="H38" s="14">
        <f t="shared" si="0"/>
        <v>2.856085314169865E-3</v>
      </c>
    </row>
    <row r="39" spans="1:8" x14ac:dyDescent="0.25">
      <c r="A39" s="46">
        <v>44615</v>
      </c>
      <c r="B39" s="14">
        <v>55.529998999999997</v>
      </c>
      <c r="C39" s="14">
        <v>55.889999000000003</v>
      </c>
      <c r="D39" s="14">
        <v>54.470001000000003</v>
      </c>
      <c r="E39" s="14">
        <v>54.59</v>
      </c>
      <c r="F39" s="14">
        <v>52.074837000000002</v>
      </c>
      <c r="G39" s="14">
        <v>11482500</v>
      </c>
      <c r="H39" s="14">
        <f t="shared" si="0"/>
        <v>-7.6516306731941874E-3</v>
      </c>
    </row>
    <row r="40" spans="1:8" x14ac:dyDescent="0.25">
      <c r="A40" s="46">
        <v>44616</v>
      </c>
      <c r="B40" s="14">
        <v>50.23</v>
      </c>
      <c r="C40" s="14">
        <v>55.639999000000003</v>
      </c>
      <c r="D40" s="14">
        <v>49.529998999999997</v>
      </c>
      <c r="E40" s="14">
        <v>55.439999</v>
      </c>
      <c r="F40" s="14">
        <v>52.885677000000001</v>
      </c>
      <c r="G40" s="14">
        <v>24110800</v>
      </c>
      <c r="H40" s="14">
        <f t="shared" si="0"/>
        <v>-9.0692159157478414E-2</v>
      </c>
    </row>
    <row r="41" spans="1:8" x14ac:dyDescent="0.25">
      <c r="A41" s="46">
        <v>44617</v>
      </c>
      <c r="B41" s="14">
        <v>55.369999</v>
      </c>
      <c r="C41" s="14">
        <v>55.57</v>
      </c>
      <c r="D41" s="14">
        <v>53.380001</v>
      </c>
      <c r="E41" s="14">
        <v>54.599997999999999</v>
      </c>
      <c r="F41" s="14">
        <v>52.084377000000003</v>
      </c>
      <c r="G41" s="14">
        <v>8340200</v>
      </c>
      <c r="H41" s="14">
        <f t="shared" si="0"/>
        <v>7.7730710230783595E-2</v>
      </c>
    </row>
    <row r="42" spans="1:8" x14ac:dyDescent="0.25">
      <c r="A42" s="46">
        <v>44620</v>
      </c>
      <c r="B42" s="14">
        <v>54.32</v>
      </c>
      <c r="C42" s="14">
        <v>54.990001999999997</v>
      </c>
      <c r="D42" s="14">
        <v>53.41</v>
      </c>
      <c r="E42" s="14">
        <v>54.59</v>
      </c>
      <c r="F42" s="14">
        <v>52.074837000000002</v>
      </c>
      <c r="G42" s="14">
        <v>9281300</v>
      </c>
      <c r="H42" s="14">
        <f t="shared" si="0"/>
        <v>1.8732983288375729E-4</v>
      </c>
    </row>
    <row r="43" spans="1:8" x14ac:dyDescent="0.25">
      <c r="A43" s="46">
        <v>44621</v>
      </c>
      <c r="B43" s="14">
        <v>54.560001</v>
      </c>
      <c r="C43" s="14">
        <v>55.049999</v>
      </c>
      <c r="D43" s="14">
        <v>53.939999</v>
      </c>
      <c r="E43" s="14">
        <v>54.349997999999999</v>
      </c>
      <c r="F43" s="14">
        <v>51.845900999999998</v>
      </c>
      <c r="G43" s="14">
        <v>9298800</v>
      </c>
      <c r="H43" s="14">
        <f t="shared" si="0"/>
        <v>9.9232166261000732E-3</v>
      </c>
    </row>
    <row r="44" spans="1:8" x14ac:dyDescent="0.25">
      <c r="A44" s="46">
        <v>44622</v>
      </c>
      <c r="B44" s="14">
        <v>54.349997999999999</v>
      </c>
      <c r="C44" s="14">
        <v>55.450001</v>
      </c>
      <c r="D44" s="14">
        <v>53.68</v>
      </c>
      <c r="E44" s="14">
        <v>55.09</v>
      </c>
      <c r="F44" s="14">
        <v>52.551806999999997</v>
      </c>
      <c r="G44" s="14">
        <v>8496700</v>
      </c>
      <c r="H44" s="14">
        <f t="shared" si="0"/>
        <v>-4.8201521101252087E-3</v>
      </c>
    </row>
    <row r="45" spans="1:8" x14ac:dyDescent="0.25">
      <c r="A45" s="46">
        <v>44623</v>
      </c>
      <c r="B45" s="14">
        <v>55.639999000000003</v>
      </c>
      <c r="C45" s="14">
        <v>55.639999000000003</v>
      </c>
      <c r="D45" s="14">
        <v>53.459999000000003</v>
      </c>
      <c r="E45" s="14">
        <v>54.419998</v>
      </c>
      <c r="F45" s="14">
        <v>51.912669999999999</v>
      </c>
      <c r="G45" s="14">
        <v>6139200</v>
      </c>
      <c r="H45" s="14">
        <f t="shared" si="0"/>
        <v>-4.0983792846497336E-3</v>
      </c>
    </row>
    <row r="46" spans="1:8" x14ac:dyDescent="0.25">
      <c r="A46" s="46">
        <v>44624</v>
      </c>
      <c r="B46" s="14">
        <v>54.290000999999997</v>
      </c>
      <c r="C46" s="14">
        <v>56.439999</v>
      </c>
      <c r="D46" s="14">
        <v>54.09</v>
      </c>
      <c r="E46" s="14">
        <v>55.66</v>
      </c>
      <c r="F46" s="14">
        <v>53.095542999999999</v>
      </c>
      <c r="G46" s="14">
        <v>8300800</v>
      </c>
      <c r="H46" s="14">
        <f t="shared" si="0"/>
        <v>1.1784530710522434E-2</v>
      </c>
    </row>
    <row r="47" spans="1:8" x14ac:dyDescent="0.25">
      <c r="A47" s="46">
        <v>44627</v>
      </c>
      <c r="B47" s="14">
        <v>55.5</v>
      </c>
      <c r="C47" s="14">
        <v>56.459999000000003</v>
      </c>
      <c r="D47" s="14">
        <v>54.740001999999997</v>
      </c>
      <c r="E47" s="14">
        <v>54.849997999999999</v>
      </c>
      <c r="F47" s="14">
        <v>52.322861000000003</v>
      </c>
      <c r="G47" s="14">
        <v>9961700</v>
      </c>
      <c r="H47" s="14">
        <f t="shared" si="0"/>
        <v>4.0056818882109697E-3</v>
      </c>
    </row>
    <row r="48" spans="1:8" x14ac:dyDescent="0.25">
      <c r="A48" s="46">
        <v>44628</v>
      </c>
      <c r="B48" s="14">
        <v>54.939999</v>
      </c>
      <c r="C48" s="14">
        <v>55.93</v>
      </c>
      <c r="D48" s="14">
        <v>53.25</v>
      </c>
      <c r="E48" s="14">
        <v>53.310001</v>
      </c>
      <c r="F48" s="14">
        <v>50.853821000000003</v>
      </c>
      <c r="G48" s="14">
        <v>9549000</v>
      </c>
      <c r="H48" s="14">
        <f t="shared" si="0"/>
        <v>-2.7219619027416098E-2</v>
      </c>
    </row>
    <row r="49" spans="1:8" x14ac:dyDescent="0.25">
      <c r="A49" s="46">
        <v>44629</v>
      </c>
      <c r="B49" s="14">
        <v>53.93</v>
      </c>
      <c r="C49" s="14">
        <v>53.93</v>
      </c>
      <c r="D49" s="14">
        <v>52.599997999999999</v>
      </c>
      <c r="E49" s="14">
        <v>53.060001</v>
      </c>
      <c r="F49" s="14">
        <v>50.825080999999997</v>
      </c>
      <c r="G49" s="14">
        <v>10250400</v>
      </c>
      <c r="H49" s="14">
        <f t="shared" si="0"/>
        <v>-1.2206610328638456E-2</v>
      </c>
    </row>
    <row r="50" spans="1:8" x14ac:dyDescent="0.25">
      <c r="A50" s="46">
        <v>44630</v>
      </c>
      <c r="B50" s="14">
        <v>53.02</v>
      </c>
      <c r="C50" s="14">
        <v>55.48</v>
      </c>
      <c r="D50" s="14">
        <v>51.279998999999997</v>
      </c>
      <c r="E50" s="14">
        <v>52.360000999999997</v>
      </c>
      <c r="F50" s="14">
        <v>50.154564000000001</v>
      </c>
      <c r="G50" s="14">
        <v>18926000</v>
      </c>
      <c r="H50" s="14">
        <f t="shared" si="0"/>
        <v>-2.5095038976997719E-2</v>
      </c>
    </row>
    <row r="51" spans="1:8" x14ac:dyDescent="0.25">
      <c r="A51" s="46">
        <v>44631</v>
      </c>
      <c r="B51" s="14">
        <v>52.900002000000001</v>
      </c>
      <c r="C51" s="14">
        <v>52.900002000000001</v>
      </c>
      <c r="D51" s="14">
        <v>50</v>
      </c>
      <c r="E51" s="14">
        <v>50.060001</v>
      </c>
      <c r="F51" s="14">
        <v>47.951439000000001</v>
      </c>
      <c r="G51" s="14">
        <v>9217700</v>
      </c>
      <c r="H51" s="14">
        <f t="shared" si="0"/>
        <v>-2.4960979425916019E-2</v>
      </c>
    </row>
    <row r="52" spans="1:8" x14ac:dyDescent="0.25">
      <c r="A52" s="46">
        <v>44634</v>
      </c>
      <c r="B52" s="14">
        <v>50.200001</v>
      </c>
      <c r="C52" s="14">
        <v>53.25</v>
      </c>
      <c r="D52" s="14">
        <v>50.009998000000003</v>
      </c>
      <c r="E52" s="14">
        <v>52.09</v>
      </c>
      <c r="F52" s="14">
        <v>49.895935000000001</v>
      </c>
      <c r="G52" s="14">
        <v>9205600</v>
      </c>
      <c r="H52" s="14">
        <f t="shared" si="0"/>
        <v>6.6653333333333009E-5</v>
      </c>
    </row>
    <row r="53" spans="1:8" x14ac:dyDescent="0.25">
      <c r="A53" s="46">
        <v>44635</v>
      </c>
      <c r="B53" s="14">
        <v>52.509998000000003</v>
      </c>
      <c r="C53" s="14">
        <v>54.560001</v>
      </c>
      <c r="D53" s="14">
        <v>52.220001000000003</v>
      </c>
      <c r="E53" s="14">
        <v>53.939999</v>
      </c>
      <c r="F53" s="14">
        <v>51.668014999999997</v>
      </c>
      <c r="G53" s="14">
        <v>8927400</v>
      </c>
      <c r="H53" s="14">
        <f t="shared" si="0"/>
        <v>4.4191223522944467E-2</v>
      </c>
    </row>
    <row r="54" spans="1:8" x14ac:dyDescent="0.25">
      <c r="A54" s="46">
        <v>44636</v>
      </c>
      <c r="B54" s="14">
        <v>53.790000999999997</v>
      </c>
      <c r="C54" s="14">
        <v>54.900002000000001</v>
      </c>
      <c r="D54" s="14">
        <v>53.080002</v>
      </c>
      <c r="E54" s="14">
        <v>54.77</v>
      </c>
      <c r="F54" s="14">
        <v>52.463051</v>
      </c>
      <c r="G54" s="14">
        <v>7561500</v>
      </c>
      <c r="H54" s="14">
        <f t="shared" si="0"/>
        <v>1.6468804740160659E-2</v>
      </c>
    </row>
    <row r="55" spans="1:8" x14ac:dyDescent="0.25">
      <c r="A55" s="46">
        <v>44637</v>
      </c>
      <c r="B55" s="14">
        <v>54.279998999999997</v>
      </c>
      <c r="C55" s="14">
        <v>55.860000999999997</v>
      </c>
      <c r="D55" s="14">
        <v>54.060001</v>
      </c>
      <c r="E55" s="14">
        <v>55.669998</v>
      </c>
      <c r="F55" s="14">
        <v>53.325142</v>
      </c>
      <c r="G55" s="14">
        <v>5974000</v>
      </c>
      <c r="H55" s="14">
        <f t="shared" si="0"/>
        <v>1.8462678279477007E-2</v>
      </c>
    </row>
    <row r="56" spans="1:8" x14ac:dyDescent="0.25">
      <c r="A56" s="46">
        <v>44638</v>
      </c>
      <c r="B56" s="14">
        <v>55.099997999999999</v>
      </c>
      <c r="C56" s="14">
        <v>56.669998</v>
      </c>
      <c r="D56" s="14">
        <v>55.099997999999999</v>
      </c>
      <c r="E56" s="14">
        <v>56.02</v>
      </c>
      <c r="F56" s="14">
        <v>53.660397000000003</v>
      </c>
      <c r="G56" s="14">
        <v>10588500</v>
      </c>
      <c r="H56" s="14">
        <f t="shared" si="0"/>
        <v>1.9237827983022093E-2</v>
      </c>
    </row>
    <row r="57" spans="1:8" x14ac:dyDescent="0.25">
      <c r="A57" s="46">
        <v>44641</v>
      </c>
      <c r="B57" s="14">
        <v>55.580002</v>
      </c>
      <c r="C57" s="14">
        <v>56.25</v>
      </c>
      <c r="D57" s="14">
        <v>54.880001</v>
      </c>
      <c r="E57" s="14">
        <v>55.32</v>
      </c>
      <c r="F57" s="14">
        <v>52.989887000000003</v>
      </c>
      <c r="G57" s="14">
        <v>5918500</v>
      </c>
      <c r="H57" s="14">
        <f t="shared" si="0"/>
        <v>-1.3308953901111458E-3</v>
      </c>
    </row>
    <row r="58" spans="1:8" x14ac:dyDescent="0.25">
      <c r="A58" s="46">
        <v>44642</v>
      </c>
      <c r="B58" s="14">
        <v>54.98</v>
      </c>
      <c r="C58" s="14">
        <v>56.259998000000003</v>
      </c>
      <c r="D58" s="14">
        <v>54.950001</v>
      </c>
      <c r="E58" s="14">
        <v>55.75</v>
      </c>
      <c r="F58" s="14">
        <v>53.401772000000001</v>
      </c>
      <c r="G58" s="14">
        <v>7120300</v>
      </c>
      <c r="H58" s="14">
        <f t="shared" si="0"/>
        <v>1.2755101808399338E-3</v>
      </c>
    </row>
    <row r="59" spans="1:8" x14ac:dyDescent="0.25">
      <c r="A59" s="46">
        <v>44643</v>
      </c>
      <c r="B59" s="14">
        <v>55.419998</v>
      </c>
      <c r="C59" s="14">
        <v>56.060001</v>
      </c>
      <c r="D59" s="14">
        <v>54.650002000000001</v>
      </c>
      <c r="E59" s="14">
        <v>55.599997999999999</v>
      </c>
      <c r="F59" s="14">
        <v>53.258091</v>
      </c>
      <c r="G59" s="14">
        <v>5329000</v>
      </c>
      <c r="H59" s="14">
        <f t="shared" si="0"/>
        <v>-5.4594903465060574E-3</v>
      </c>
    </row>
    <row r="60" spans="1:8" x14ac:dyDescent="0.25">
      <c r="A60" s="46">
        <v>44644</v>
      </c>
      <c r="B60" s="14">
        <v>55.740001999999997</v>
      </c>
      <c r="C60" s="14">
        <v>57.389999000000003</v>
      </c>
      <c r="D60" s="14">
        <v>55.540000999999997</v>
      </c>
      <c r="E60" s="14">
        <v>57.23</v>
      </c>
      <c r="F60" s="14">
        <v>54.819434999999999</v>
      </c>
      <c r="G60" s="14">
        <v>6892900</v>
      </c>
      <c r="H60" s="14">
        <f t="shared" si="0"/>
        <v>1.6285433987724307E-2</v>
      </c>
    </row>
    <row r="61" spans="1:8" x14ac:dyDescent="0.25">
      <c r="A61" s="46">
        <v>44645</v>
      </c>
      <c r="B61" s="14">
        <v>57.380001</v>
      </c>
      <c r="C61" s="14">
        <v>58.049999</v>
      </c>
      <c r="D61" s="14">
        <v>56.950001</v>
      </c>
      <c r="E61" s="14">
        <v>57.419998</v>
      </c>
      <c r="F61" s="14">
        <v>55.001434000000003</v>
      </c>
      <c r="G61" s="14">
        <v>6240900</v>
      </c>
      <c r="H61" s="14">
        <f t="shared" si="0"/>
        <v>2.5387107933253494E-2</v>
      </c>
    </row>
    <row r="62" spans="1:8" x14ac:dyDescent="0.25">
      <c r="A62" s="46">
        <v>44648</v>
      </c>
      <c r="B62" s="14">
        <v>57.419998</v>
      </c>
      <c r="C62" s="14">
        <v>58.84</v>
      </c>
      <c r="D62" s="14">
        <v>56.93</v>
      </c>
      <c r="E62" s="14">
        <v>58.779998999999997</v>
      </c>
      <c r="F62" s="14">
        <v>56.30415</v>
      </c>
      <c r="G62" s="14">
        <v>7156400</v>
      </c>
      <c r="H62" s="14">
        <f t="shared" si="0"/>
        <v>-1.1706760110504384E-4</v>
      </c>
    </row>
    <row r="63" spans="1:8" x14ac:dyDescent="0.25">
      <c r="A63" s="46">
        <v>44649</v>
      </c>
      <c r="B63" s="14">
        <v>59.380001</v>
      </c>
      <c r="C63" s="14">
        <v>60.389999000000003</v>
      </c>
      <c r="D63" s="14">
        <v>59.380001</v>
      </c>
      <c r="E63" s="14">
        <v>60.209999000000003</v>
      </c>
      <c r="F63" s="14">
        <v>57.673915999999998</v>
      </c>
      <c r="G63" s="14">
        <v>5341100</v>
      </c>
      <c r="H63" s="14">
        <f t="shared" si="0"/>
        <v>4.3035324082206117E-2</v>
      </c>
    </row>
    <row r="64" spans="1:8" x14ac:dyDescent="0.25">
      <c r="A64" s="46">
        <v>44650</v>
      </c>
      <c r="B64" s="14">
        <v>59.73</v>
      </c>
      <c r="C64" s="14">
        <v>60.34</v>
      </c>
      <c r="D64" s="14">
        <v>59.119999</v>
      </c>
      <c r="E64" s="14">
        <v>59.360000999999997</v>
      </c>
      <c r="F64" s="14">
        <v>56.859718000000001</v>
      </c>
      <c r="G64" s="14">
        <v>5943000</v>
      </c>
      <c r="H64" s="14">
        <f t="shared" si="0"/>
        <v>-4.3786122536441097E-3</v>
      </c>
    </row>
    <row r="65" spans="1:8" x14ac:dyDescent="0.25">
      <c r="A65" s="46">
        <v>44651</v>
      </c>
      <c r="B65" s="14">
        <v>59.16</v>
      </c>
      <c r="C65" s="14">
        <v>59.16</v>
      </c>
      <c r="D65" s="14">
        <v>57.240001999999997</v>
      </c>
      <c r="E65" s="14">
        <v>57.259998000000003</v>
      </c>
      <c r="F65" s="14">
        <v>54.848166999999997</v>
      </c>
      <c r="G65" s="14">
        <v>9380700</v>
      </c>
      <c r="H65" s="14">
        <f t="shared" si="0"/>
        <v>-3.1799679157640037E-2</v>
      </c>
    </row>
    <row r="66" spans="1:8" x14ac:dyDescent="0.25">
      <c r="A66" s="46">
        <v>44652</v>
      </c>
      <c r="B66" s="14">
        <v>57.869999</v>
      </c>
      <c r="C66" s="14">
        <v>58.330002</v>
      </c>
      <c r="D66" s="14">
        <v>57.299999</v>
      </c>
      <c r="E66" s="14">
        <v>57.709999000000003</v>
      </c>
      <c r="F66" s="14">
        <v>55.279217000000003</v>
      </c>
      <c r="G66" s="14">
        <v>4950100</v>
      </c>
      <c r="H66" s="14">
        <f t="shared" si="0"/>
        <v>1.0481655818250779E-3</v>
      </c>
    </row>
    <row r="67" spans="1:8" x14ac:dyDescent="0.25">
      <c r="A67" s="46">
        <v>44655</v>
      </c>
      <c r="B67" s="14">
        <v>58.080002</v>
      </c>
      <c r="C67" s="14">
        <v>58.369999</v>
      </c>
      <c r="D67" s="14">
        <v>56.490001999999997</v>
      </c>
      <c r="E67" s="14">
        <v>56.73</v>
      </c>
      <c r="F67" s="14">
        <v>54.340496000000002</v>
      </c>
      <c r="G67" s="14">
        <v>6651900</v>
      </c>
      <c r="H67" s="14">
        <f t="shared" si="0"/>
        <v>-4.7120245150440816E-3</v>
      </c>
    </row>
    <row r="68" spans="1:8" x14ac:dyDescent="0.25">
      <c r="A68" s="46">
        <v>44656</v>
      </c>
      <c r="B68" s="14">
        <v>56.68</v>
      </c>
      <c r="C68" s="14">
        <v>57.73</v>
      </c>
      <c r="D68" s="14">
        <v>55.98</v>
      </c>
      <c r="E68" s="14">
        <v>56.400002000000001</v>
      </c>
      <c r="F68" s="14">
        <v>54.024399000000003</v>
      </c>
      <c r="G68" s="14">
        <v>5040600</v>
      </c>
      <c r="H68" s="14">
        <f t="shared" ref="H68:H131" si="1">(D68/D67-1)/(A68-A67)</f>
        <v>-9.0281816594731668E-3</v>
      </c>
    </row>
    <row r="69" spans="1:8" x14ac:dyDescent="0.25">
      <c r="A69" s="46">
        <v>44657</v>
      </c>
      <c r="B69" s="14">
        <v>55.830002</v>
      </c>
      <c r="C69" s="14">
        <v>56.150002000000001</v>
      </c>
      <c r="D69" s="14">
        <v>53.48</v>
      </c>
      <c r="E69" s="14">
        <v>54.119999</v>
      </c>
      <c r="F69" s="14">
        <v>51.840434999999999</v>
      </c>
      <c r="G69" s="14">
        <v>6359400</v>
      </c>
      <c r="H69" s="14">
        <f t="shared" si="1"/>
        <v>-4.465880671668454E-2</v>
      </c>
    </row>
    <row r="70" spans="1:8" x14ac:dyDescent="0.25">
      <c r="A70" s="46">
        <v>44658</v>
      </c>
      <c r="B70" s="14">
        <v>53.880001</v>
      </c>
      <c r="C70" s="14">
        <v>54.84</v>
      </c>
      <c r="D70" s="14">
        <v>53.5</v>
      </c>
      <c r="E70" s="14">
        <v>54.380001</v>
      </c>
      <c r="F70" s="14">
        <v>52.089478</v>
      </c>
      <c r="G70" s="14">
        <v>4998700</v>
      </c>
      <c r="H70" s="14">
        <f t="shared" si="1"/>
        <v>3.7397157816010385E-4</v>
      </c>
    </row>
    <row r="71" spans="1:8" x14ac:dyDescent="0.25">
      <c r="A71" s="46">
        <v>44659</v>
      </c>
      <c r="B71" s="14">
        <v>54.5</v>
      </c>
      <c r="C71" s="14">
        <v>55.439999</v>
      </c>
      <c r="D71" s="14">
        <v>54.119999</v>
      </c>
      <c r="E71" s="14">
        <v>55.029998999999997</v>
      </c>
      <c r="F71" s="14">
        <v>52.712100999999997</v>
      </c>
      <c r="G71" s="14">
        <v>3747400</v>
      </c>
      <c r="H71" s="14">
        <f t="shared" si="1"/>
        <v>1.1588766355140168E-2</v>
      </c>
    </row>
    <row r="72" spans="1:8" x14ac:dyDescent="0.25">
      <c r="A72" s="46">
        <v>44662</v>
      </c>
      <c r="B72" s="14">
        <v>54.360000999999997</v>
      </c>
      <c r="C72" s="14">
        <v>56.23</v>
      </c>
      <c r="D72" s="14">
        <v>54.360000999999997</v>
      </c>
      <c r="E72" s="14">
        <v>54.889999000000003</v>
      </c>
      <c r="F72" s="14">
        <v>52.577995000000001</v>
      </c>
      <c r="G72" s="14">
        <v>4101900</v>
      </c>
      <c r="H72" s="14">
        <f t="shared" si="1"/>
        <v>1.478208945766335E-3</v>
      </c>
    </row>
    <row r="73" spans="1:8" x14ac:dyDescent="0.25">
      <c r="A73" s="46">
        <v>44663</v>
      </c>
      <c r="B73" s="14">
        <v>55.330002</v>
      </c>
      <c r="C73" s="14">
        <v>55.779998999999997</v>
      </c>
      <c r="D73" s="14">
        <v>54.119999</v>
      </c>
      <c r="E73" s="14">
        <v>54.240001999999997</v>
      </c>
      <c r="F73" s="14">
        <v>51.955376000000001</v>
      </c>
      <c r="G73" s="14">
        <v>3987300</v>
      </c>
      <c r="H73" s="14">
        <f t="shared" si="1"/>
        <v>-4.4150477480674466E-3</v>
      </c>
    </row>
    <row r="74" spans="1:8" x14ac:dyDescent="0.25">
      <c r="A74" s="46">
        <v>44664</v>
      </c>
      <c r="B74" s="14">
        <v>54.09</v>
      </c>
      <c r="C74" s="14">
        <v>55.470001000000003</v>
      </c>
      <c r="D74" s="14">
        <v>53.959999000000003</v>
      </c>
      <c r="E74" s="14">
        <v>55.119999</v>
      </c>
      <c r="F74" s="14">
        <v>52.798309000000003</v>
      </c>
      <c r="G74" s="14">
        <v>3787000</v>
      </c>
      <c r="H74" s="14">
        <f t="shared" si="1"/>
        <v>-2.9563932549222516E-3</v>
      </c>
    </row>
    <row r="75" spans="1:8" x14ac:dyDescent="0.25">
      <c r="A75" s="46">
        <v>44665</v>
      </c>
      <c r="B75" s="14">
        <v>55.200001</v>
      </c>
      <c r="C75" s="14">
        <v>55.470001000000003</v>
      </c>
      <c r="D75" s="14">
        <v>53.98</v>
      </c>
      <c r="E75" s="14">
        <v>54.150002000000001</v>
      </c>
      <c r="F75" s="14">
        <v>51.869171000000001</v>
      </c>
      <c r="G75" s="14">
        <v>4452200</v>
      </c>
      <c r="H75" s="14">
        <f t="shared" si="1"/>
        <v>3.7066346127967442E-4</v>
      </c>
    </row>
    <row r="76" spans="1:8" x14ac:dyDescent="0.25">
      <c r="A76" s="46">
        <v>44669</v>
      </c>
      <c r="B76" s="14">
        <v>53.830002</v>
      </c>
      <c r="C76" s="14">
        <v>54.75</v>
      </c>
      <c r="D76" s="14">
        <v>53.669998</v>
      </c>
      <c r="E76" s="14">
        <v>54.560001</v>
      </c>
      <c r="F76" s="14">
        <v>52.261901999999999</v>
      </c>
      <c r="G76" s="14">
        <v>4115300</v>
      </c>
      <c r="H76" s="14">
        <f t="shared" si="1"/>
        <v>-1.4357261948869937E-3</v>
      </c>
    </row>
    <row r="77" spans="1:8" x14ac:dyDescent="0.25">
      <c r="A77" s="46">
        <v>44670</v>
      </c>
      <c r="B77" s="14">
        <v>54.16</v>
      </c>
      <c r="C77" s="14">
        <v>55.220001000000003</v>
      </c>
      <c r="D77" s="14">
        <v>54.16</v>
      </c>
      <c r="E77" s="14">
        <v>55.169998</v>
      </c>
      <c r="F77" s="14">
        <v>52.846203000000003</v>
      </c>
      <c r="G77" s="14">
        <v>4698300</v>
      </c>
      <c r="H77" s="14">
        <f t="shared" si="1"/>
        <v>9.1299053150699638E-3</v>
      </c>
    </row>
    <row r="78" spans="1:8" x14ac:dyDescent="0.25">
      <c r="A78" s="46">
        <v>44671</v>
      </c>
      <c r="B78" s="14">
        <v>55.32</v>
      </c>
      <c r="C78" s="14">
        <v>55.360000999999997</v>
      </c>
      <c r="D78" s="14">
        <v>54.759998000000003</v>
      </c>
      <c r="E78" s="14">
        <v>54.860000999999997</v>
      </c>
      <c r="F78" s="14">
        <v>52.549258999999999</v>
      </c>
      <c r="G78" s="14">
        <v>4937900</v>
      </c>
      <c r="H78" s="14">
        <f t="shared" si="1"/>
        <v>1.1078249630723791E-2</v>
      </c>
    </row>
    <row r="79" spans="1:8" x14ac:dyDescent="0.25">
      <c r="A79" s="46">
        <v>44672</v>
      </c>
      <c r="B79" s="14">
        <v>55.23</v>
      </c>
      <c r="C79" s="14">
        <v>55.860000999999997</v>
      </c>
      <c r="D79" s="14">
        <v>54.549999</v>
      </c>
      <c r="E79" s="14">
        <v>54.77</v>
      </c>
      <c r="F79" s="14">
        <v>52.463051</v>
      </c>
      <c r="G79" s="14">
        <v>4408600</v>
      </c>
      <c r="H79" s="14">
        <f t="shared" si="1"/>
        <v>-3.8348978756355123E-3</v>
      </c>
    </row>
    <row r="80" spans="1:8" x14ac:dyDescent="0.25">
      <c r="A80" s="46">
        <v>44673</v>
      </c>
      <c r="B80" s="14">
        <v>54.599997999999999</v>
      </c>
      <c r="C80" s="14">
        <v>54.830002</v>
      </c>
      <c r="D80" s="14">
        <v>53.080002</v>
      </c>
      <c r="E80" s="14">
        <v>53.169998</v>
      </c>
      <c r="F80" s="14">
        <v>50.930439</v>
      </c>
      <c r="G80" s="14">
        <v>4914800</v>
      </c>
      <c r="H80" s="14">
        <f t="shared" si="1"/>
        <v>-2.6947699852386764E-2</v>
      </c>
    </row>
    <row r="81" spans="1:8" x14ac:dyDescent="0.25">
      <c r="A81" s="46">
        <v>44676</v>
      </c>
      <c r="B81" s="14">
        <v>52.93</v>
      </c>
      <c r="C81" s="14">
        <v>53.880001</v>
      </c>
      <c r="D81" s="14">
        <v>52.709999000000003</v>
      </c>
      <c r="E81" s="14">
        <v>53.630001</v>
      </c>
      <c r="F81" s="14">
        <v>51.371066999999996</v>
      </c>
      <c r="G81" s="14">
        <v>5503600</v>
      </c>
      <c r="H81" s="14">
        <f t="shared" si="1"/>
        <v>-2.323555551737392E-3</v>
      </c>
    </row>
    <row r="82" spans="1:8" x14ac:dyDescent="0.25">
      <c r="A82" s="46">
        <v>44677</v>
      </c>
      <c r="B82" s="14">
        <v>53.59</v>
      </c>
      <c r="C82" s="14">
        <v>53.959999000000003</v>
      </c>
      <c r="D82" s="14">
        <v>52.48</v>
      </c>
      <c r="E82" s="14">
        <v>53.099997999999999</v>
      </c>
      <c r="F82" s="14">
        <v>50.863391999999997</v>
      </c>
      <c r="G82" s="14">
        <v>4951700</v>
      </c>
      <c r="H82" s="14">
        <f t="shared" si="1"/>
        <v>-4.3634794984535041E-3</v>
      </c>
    </row>
    <row r="83" spans="1:8" x14ac:dyDescent="0.25">
      <c r="A83" s="46">
        <v>44678</v>
      </c>
      <c r="B83" s="14">
        <v>52.990001999999997</v>
      </c>
      <c r="C83" s="14">
        <v>53.889999000000003</v>
      </c>
      <c r="D83" s="14">
        <v>52</v>
      </c>
      <c r="E83" s="14">
        <v>52.060001</v>
      </c>
      <c r="F83" s="14">
        <v>49.867203000000003</v>
      </c>
      <c r="G83" s="14">
        <v>4905700</v>
      </c>
      <c r="H83" s="14">
        <f t="shared" si="1"/>
        <v>-9.1463414634145312E-3</v>
      </c>
    </row>
    <row r="84" spans="1:8" x14ac:dyDescent="0.25">
      <c r="A84" s="46">
        <v>44679</v>
      </c>
      <c r="B84" s="14">
        <v>52.470001000000003</v>
      </c>
      <c r="C84" s="14">
        <v>54.049999</v>
      </c>
      <c r="D84" s="14">
        <v>52.150002000000001</v>
      </c>
      <c r="E84" s="14">
        <v>53.77</v>
      </c>
      <c r="F84" s="14">
        <v>51.505177000000003</v>
      </c>
      <c r="G84" s="14">
        <v>6008500</v>
      </c>
      <c r="H84" s="14">
        <f t="shared" si="1"/>
        <v>2.884653846153773E-3</v>
      </c>
    </row>
    <row r="85" spans="1:8" x14ac:dyDescent="0.25">
      <c r="A85" s="46">
        <v>44680</v>
      </c>
      <c r="B85" s="14">
        <v>51.52</v>
      </c>
      <c r="C85" s="14">
        <v>53.98</v>
      </c>
      <c r="D85" s="14">
        <v>51.52</v>
      </c>
      <c r="E85" s="14">
        <v>51.919998</v>
      </c>
      <c r="F85" s="14">
        <v>49.733092999999997</v>
      </c>
      <c r="G85" s="14">
        <v>8341100</v>
      </c>
      <c r="H85" s="14">
        <f t="shared" si="1"/>
        <v>-1.2080574800361399E-2</v>
      </c>
    </row>
    <row r="86" spans="1:8" x14ac:dyDescent="0.25">
      <c r="A86" s="46">
        <v>44683</v>
      </c>
      <c r="B86" s="14">
        <v>51.970001000000003</v>
      </c>
      <c r="C86" s="14">
        <v>53.220001000000003</v>
      </c>
      <c r="D86" s="14">
        <v>51.459999000000003</v>
      </c>
      <c r="E86" s="14">
        <v>53.150002000000001</v>
      </c>
      <c r="F86" s="14">
        <v>50.911293000000001</v>
      </c>
      <c r="G86" s="14">
        <v>6139800</v>
      </c>
      <c r="H86" s="14">
        <f t="shared" si="1"/>
        <v>-3.8820522774326199E-4</v>
      </c>
    </row>
    <row r="87" spans="1:8" x14ac:dyDescent="0.25">
      <c r="A87" s="46">
        <v>44684</v>
      </c>
      <c r="B87" s="14">
        <v>53.279998999999997</v>
      </c>
      <c r="C87" s="14">
        <v>54.25</v>
      </c>
      <c r="D87" s="14">
        <v>53.02</v>
      </c>
      <c r="E87" s="14">
        <v>53.459999000000003</v>
      </c>
      <c r="F87" s="14">
        <v>51.208229000000003</v>
      </c>
      <c r="G87" s="14">
        <v>8059000</v>
      </c>
      <c r="H87" s="14">
        <f t="shared" si="1"/>
        <v>3.0314827639231101E-2</v>
      </c>
    </row>
    <row r="88" spans="1:8" x14ac:dyDescent="0.25">
      <c r="A88" s="46">
        <v>44685</v>
      </c>
      <c r="B88" s="14">
        <v>53.48</v>
      </c>
      <c r="C88" s="14">
        <v>54.490001999999997</v>
      </c>
      <c r="D88" s="14">
        <v>52.32</v>
      </c>
      <c r="E88" s="14">
        <v>54.419998</v>
      </c>
      <c r="F88" s="14">
        <v>52.127789</v>
      </c>
      <c r="G88" s="14">
        <v>9500200</v>
      </c>
      <c r="H88" s="14">
        <f t="shared" si="1"/>
        <v>-1.3202565069785011E-2</v>
      </c>
    </row>
    <row r="89" spans="1:8" x14ac:dyDescent="0.25">
      <c r="A89" s="46">
        <v>44686</v>
      </c>
      <c r="B89" s="14">
        <v>51.209999000000003</v>
      </c>
      <c r="C89" s="14">
        <v>51.82</v>
      </c>
      <c r="D89" s="14">
        <v>47.290000999999997</v>
      </c>
      <c r="E89" s="14">
        <v>48.040000999999997</v>
      </c>
      <c r="F89" s="14">
        <v>46.016528999999998</v>
      </c>
      <c r="G89" s="14">
        <v>19285100</v>
      </c>
      <c r="H89" s="14">
        <f t="shared" si="1"/>
        <v>-9.6139124617737104E-2</v>
      </c>
    </row>
    <row r="90" spans="1:8" x14ac:dyDescent="0.25">
      <c r="A90" s="46">
        <v>44687</v>
      </c>
      <c r="B90" s="14">
        <v>48</v>
      </c>
      <c r="C90" s="14">
        <v>49.639999000000003</v>
      </c>
      <c r="D90" s="14">
        <v>47.029998999999997</v>
      </c>
      <c r="E90" s="14">
        <v>48.810001</v>
      </c>
      <c r="F90" s="14">
        <v>46.754089</v>
      </c>
      <c r="G90" s="14">
        <v>11281200</v>
      </c>
      <c r="H90" s="14">
        <f t="shared" si="1"/>
        <v>-5.4980332946070742E-3</v>
      </c>
    </row>
    <row r="91" spans="1:8" x14ac:dyDescent="0.25">
      <c r="A91" s="46">
        <v>44690</v>
      </c>
      <c r="B91" s="14">
        <v>48.080002</v>
      </c>
      <c r="C91" s="14">
        <v>50.919998</v>
      </c>
      <c r="D91" s="14">
        <v>47.669998</v>
      </c>
      <c r="E91" s="14">
        <v>49.259998000000003</v>
      </c>
      <c r="F91" s="14">
        <v>47.185130999999998</v>
      </c>
      <c r="G91" s="14">
        <v>12832100</v>
      </c>
      <c r="H91" s="14">
        <f t="shared" si="1"/>
        <v>4.5361047105274555E-3</v>
      </c>
    </row>
    <row r="92" spans="1:8" x14ac:dyDescent="0.25">
      <c r="A92" s="46">
        <v>44691</v>
      </c>
      <c r="B92" s="14">
        <v>49.970001000000003</v>
      </c>
      <c r="C92" s="14">
        <v>50.889999000000003</v>
      </c>
      <c r="D92" s="14">
        <v>48.380001</v>
      </c>
      <c r="E92" s="14">
        <v>48.59</v>
      </c>
      <c r="F92" s="14">
        <v>46.543362000000002</v>
      </c>
      <c r="G92" s="14">
        <v>7614900</v>
      </c>
      <c r="H92" s="14">
        <f t="shared" si="1"/>
        <v>1.4894126909759997E-2</v>
      </c>
    </row>
    <row r="93" spans="1:8" x14ac:dyDescent="0.25">
      <c r="A93" s="46">
        <v>44692</v>
      </c>
      <c r="B93" s="14">
        <v>48.310001</v>
      </c>
      <c r="C93" s="14">
        <v>48.950001</v>
      </c>
      <c r="D93" s="14">
        <v>46.470001000000003</v>
      </c>
      <c r="E93" s="14">
        <v>46.580002</v>
      </c>
      <c r="F93" s="14">
        <v>44.618023000000001</v>
      </c>
      <c r="G93" s="14">
        <v>7085300</v>
      </c>
      <c r="H93" s="14">
        <f t="shared" si="1"/>
        <v>-3.9479122788773746E-2</v>
      </c>
    </row>
    <row r="94" spans="1:8" x14ac:dyDescent="0.25">
      <c r="A94" s="46">
        <v>44693</v>
      </c>
      <c r="B94" s="14">
        <v>45.98</v>
      </c>
      <c r="C94" s="14">
        <v>47.82</v>
      </c>
      <c r="D94" s="14">
        <v>45.189999</v>
      </c>
      <c r="E94" s="14">
        <v>46.16</v>
      </c>
      <c r="F94" s="14">
        <v>44.215710000000001</v>
      </c>
      <c r="G94" s="14">
        <v>8920400</v>
      </c>
      <c r="H94" s="14">
        <f t="shared" si="1"/>
        <v>-2.7544694909733325E-2</v>
      </c>
    </row>
    <row r="95" spans="1:8" x14ac:dyDescent="0.25">
      <c r="A95" s="46">
        <v>44694</v>
      </c>
      <c r="B95" s="14">
        <v>46.459999000000003</v>
      </c>
      <c r="C95" s="14">
        <v>46.759998000000003</v>
      </c>
      <c r="D95" s="14">
        <v>45.720001000000003</v>
      </c>
      <c r="E95" s="14">
        <v>46.650002000000001</v>
      </c>
      <c r="F95" s="14">
        <v>44.685077999999997</v>
      </c>
      <c r="G95" s="14">
        <v>6455200</v>
      </c>
      <c r="H95" s="14">
        <f t="shared" si="1"/>
        <v>1.1728302981374394E-2</v>
      </c>
    </row>
    <row r="96" spans="1:8" x14ac:dyDescent="0.25">
      <c r="A96" s="46">
        <v>44697</v>
      </c>
      <c r="B96" s="14">
        <v>46.490001999999997</v>
      </c>
      <c r="C96" s="14">
        <v>46.490001999999997</v>
      </c>
      <c r="D96" s="14">
        <v>44.91</v>
      </c>
      <c r="E96" s="14">
        <v>45.09</v>
      </c>
      <c r="F96" s="14">
        <v>43.190781000000001</v>
      </c>
      <c r="G96" s="14">
        <v>6940600</v>
      </c>
      <c r="H96" s="14">
        <f t="shared" si="1"/>
        <v>-5.9055189726118966E-3</v>
      </c>
    </row>
    <row r="97" spans="1:8" x14ac:dyDescent="0.25">
      <c r="A97" s="46">
        <v>44698</v>
      </c>
      <c r="B97" s="14">
        <v>45.639999000000003</v>
      </c>
      <c r="C97" s="14">
        <v>47.119999</v>
      </c>
      <c r="D97" s="14">
        <v>45.400002000000001</v>
      </c>
      <c r="E97" s="14">
        <v>46.919998</v>
      </c>
      <c r="F97" s="14">
        <v>44.943699000000002</v>
      </c>
      <c r="G97" s="14">
        <v>5704500</v>
      </c>
      <c r="H97" s="14">
        <f t="shared" si="1"/>
        <v>1.0910754843019399E-2</v>
      </c>
    </row>
    <row r="98" spans="1:8" x14ac:dyDescent="0.25">
      <c r="A98" s="46">
        <v>44699</v>
      </c>
      <c r="B98" s="14">
        <v>46.099997999999999</v>
      </c>
      <c r="C98" s="14">
        <v>46.779998999999997</v>
      </c>
      <c r="D98" s="14">
        <v>44.650002000000001</v>
      </c>
      <c r="E98" s="14">
        <v>44.939999</v>
      </c>
      <c r="F98" s="14">
        <v>43.047096000000003</v>
      </c>
      <c r="G98" s="14">
        <v>5883200</v>
      </c>
      <c r="H98" s="14">
        <f t="shared" si="1"/>
        <v>-1.6519823060800798E-2</v>
      </c>
    </row>
    <row r="99" spans="1:8" x14ac:dyDescent="0.25">
      <c r="A99" s="46">
        <v>44700</v>
      </c>
      <c r="B99" s="14">
        <v>44.619999</v>
      </c>
      <c r="C99" s="14">
        <v>45.330002</v>
      </c>
      <c r="D99" s="14">
        <v>44.02</v>
      </c>
      <c r="E99" s="14">
        <v>44.619999</v>
      </c>
      <c r="F99" s="14">
        <v>42.740577999999999</v>
      </c>
      <c r="G99" s="14">
        <v>7668700</v>
      </c>
      <c r="H99" s="14">
        <f t="shared" si="1"/>
        <v>-1.4109786602025221E-2</v>
      </c>
    </row>
    <row r="100" spans="1:8" x14ac:dyDescent="0.25">
      <c r="A100" s="46">
        <v>44701</v>
      </c>
      <c r="B100" s="14">
        <v>44.959999000000003</v>
      </c>
      <c r="C100" s="14">
        <v>45.32</v>
      </c>
      <c r="D100" s="14">
        <v>43.279998999999997</v>
      </c>
      <c r="E100" s="14">
        <v>44.310001</v>
      </c>
      <c r="F100" s="14">
        <v>42.443629999999999</v>
      </c>
      <c r="G100" s="14">
        <v>7445800</v>
      </c>
      <c r="H100" s="14">
        <f t="shared" si="1"/>
        <v>-1.6810563380281862E-2</v>
      </c>
    </row>
    <row r="101" spans="1:8" x14ac:dyDescent="0.25">
      <c r="A101" s="46">
        <v>44704</v>
      </c>
      <c r="B101" s="14">
        <v>44.740001999999997</v>
      </c>
      <c r="C101" s="14">
        <v>45.349997999999999</v>
      </c>
      <c r="D101" s="14">
        <v>44</v>
      </c>
      <c r="E101" s="14">
        <v>45.189999</v>
      </c>
      <c r="F101" s="14">
        <v>43.286572</v>
      </c>
      <c r="G101" s="14">
        <v>6122500</v>
      </c>
      <c r="H101" s="14">
        <f t="shared" si="1"/>
        <v>5.545294336382363E-3</v>
      </c>
    </row>
    <row r="102" spans="1:8" x14ac:dyDescent="0.25">
      <c r="A102" s="46">
        <v>44705</v>
      </c>
      <c r="B102" s="14">
        <v>44.400002000000001</v>
      </c>
      <c r="C102" s="14">
        <v>45.630001</v>
      </c>
      <c r="D102" s="14">
        <v>43.619999</v>
      </c>
      <c r="E102" s="14">
        <v>44.18</v>
      </c>
      <c r="F102" s="14">
        <v>42.319107000000002</v>
      </c>
      <c r="G102" s="14">
        <v>8315100</v>
      </c>
      <c r="H102" s="14">
        <f t="shared" si="1"/>
        <v>-8.6363863636363947E-3</v>
      </c>
    </row>
    <row r="103" spans="1:8" x14ac:dyDescent="0.25">
      <c r="A103" s="46">
        <v>44706</v>
      </c>
      <c r="B103" s="14">
        <v>43.869999</v>
      </c>
      <c r="C103" s="14">
        <v>45.130001</v>
      </c>
      <c r="D103" s="14">
        <v>43.869999</v>
      </c>
      <c r="E103" s="14">
        <v>44.810001</v>
      </c>
      <c r="F103" s="14">
        <v>42.922581000000001</v>
      </c>
      <c r="G103" s="14">
        <v>7522100</v>
      </c>
      <c r="H103" s="14">
        <f t="shared" si="1"/>
        <v>5.7313160415248809E-3</v>
      </c>
    </row>
    <row r="104" spans="1:8" x14ac:dyDescent="0.25">
      <c r="A104" s="46">
        <v>44707</v>
      </c>
      <c r="B104" s="14">
        <v>45.68</v>
      </c>
      <c r="C104" s="14">
        <v>46.810001</v>
      </c>
      <c r="D104" s="14">
        <v>45.490001999999997</v>
      </c>
      <c r="E104" s="14">
        <v>46.470001000000003</v>
      </c>
      <c r="F104" s="14">
        <v>44.512650000000001</v>
      </c>
      <c r="G104" s="14">
        <v>6299000</v>
      </c>
      <c r="H104" s="14">
        <f t="shared" si="1"/>
        <v>3.6927354386308453E-2</v>
      </c>
    </row>
    <row r="105" spans="1:8" x14ac:dyDescent="0.25">
      <c r="A105" s="46">
        <v>44708</v>
      </c>
      <c r="B105" s="14">
        <v>47.220001000000003</v>
      </c>
      <c r="C105" s="14">
        <v>48.830002</v>
      </c>
      <c r="D105" s="14">
        <v>47.049999</v>
      </c>
      <c r="E105" s="14">
        <v>48.82</v>
      </c>
      <c r="F105" s="14">
        <v>46.763668000000003</v>
      </c>
      <c r="G105" s="14">
        <v>8695400</v>
      </c>
      <c r="H105" s="14">
        <f t="shared" si="1"/>
        <v>3.4293183807730054E-2</v>
      </c>
    </row>
    <row r="106" spans="1:8" x14ac:dyDescent="0.25">
      <c r="A106" s="46">
        <v>44712</v>
      </c>
      <c r="B106" s="14">
        <v>48.439999</v>
      </c>
      <c r="C106" s="14">
        <v>49.299999</v>
      </c>
      <c r="D106" s="14">
        <v>47.32</v>
      </c>
      <c r="E106" s="14">
        <v>48.669998</v>
      </c>
      <c r="F106" s="14">
        <v>46.831028000000003</v>
      </c>
      <c r="G106" s="14">
        <v>17674900</v>
      </c>
      <c r="H106" s="14">
        <f t="shared" si="1"/>
        <v>1.434649339737526E-3</v>
      </c>
    </row>
    <row r="107" spans="1:8" x14ac:dyDescent="0.25">
      <c r="A107" s="46">
        <v>44713</v>
      </c>
      <c r="B107" s="14">
        <v>49.080002</v>
      </c>
      <c r="C107" s="14">
        <v>49.080002</v>
      </c>
      <c r="D107" s="14">
        <v>46.810001</v>
      </c>
      <c r="E107" s="14">
        <v>46.970001000000003</v>
      </c>
      <c r="F107" s="14">
        <v>45.195267000000001</v>
      </c>
      <c r="G107" s="14">
        <v>7174800</v>
      </c>
      <c r="H107" s="14">
        <f t="shared" si="1"/>
        <v>-1.0777662721893511E-2</v>
      </c>
    </row>
    <row r="108" spans="1:8" x14ac:dyDescent="0.25">
      <c r="A108" s="46">
        <v>44714</v>
      </c>
      <c r="B108" s="14">
        <v>46.860000999999997</v>
      </c>
      <c r="C108" s="14">
        <v>47.779998999999997</v>
      </c>
      <c r="D108" s="14">
        <v>46.450001</v>
      </c>
      <c r="E108" s="14">
        <v>47.77</v>
      </c>
      <c r="F108" s="14">
        <v>45.965034000000003</v>
      </c>
      <c r="G108" s="14">
        <v>5287700</v>
      </c>
      <c r="H108" s="14">
        <f t="shared" si="1"/>
        <v>-7.6906642236559408E-3</v>
      </c>
    </row>
    <row r="109" spans="1:8" x14ac:dyDescent="0.25">
      <c r="A109" s="46">
        <v>44715</v>
      </c>
      <c r="B109" s="14">
        <v>47.32</v>
      </c>
      <c r="C109" s="14">
        <v>47.549999</v>
      </c>
      <c r="D109" s="14">
        <v>46.790000999999997</v>
      </c>
      <c r="E109" s="14">
        <v>47.09</v>
      </c>
      <c r="F109" s="14">
        <v>45.310726000000003</v>
      </c>
      <c r="G109" s="14">
        <v>6122200</v>
      </c>
      <c r="H109" s="14">
        <f t="shared" si="1"/>
        <v>7.3196984430634604E-3</v>
      </c>
    </row>
    <row r="110" spans="1:8" x14ac:dyDescent="0.25">
      <c r="A110" s="46">
        <v>44718</v>
      </c>
      <c r="B110" s="14">
        <v>47.990001999999997</v>
      </c>
      <c r="C110" s="14">
        <v>48.759998000000003</v>
      </c>
      <c r="D110" s="14">
        <v>47.470001000000003</v>
      </c>
      <c r="E110" s="14">
        <v>47.669998</v>
      </c>
      <c r="F110" s="14">
        <v>45.868805000000002</v>
      </c>
      <c r="G110" s="14">
        <v>5350100</v>
      </c>
      <c r="H110" s="14">
        <f t="shared" si="1"/>
        <v>4.8443398551469841E-3</v>
      </c>
    </row>
    <row r="111" spans="1:8" x14ac:dyDescent="0.25">
      <c r="A111" s="46">
        <v>44719</v>
      </c>
      <c r="B111" s="14">
        <v>46.900002000000001</v>
      </c>
      <c r="C111" s="14">
        <v>47.669998</v>
      </c>
      <c r="D111" s="14">
        <v>46.68</v>
      </c>
      <c r="E111" s="14">
        <v>47.509998000000003</v>
      </c>
      <c r="F111" s="14">
        <v>45.714851000000003</v>
      </c>
      <c r="G111" s="14">
        <v>5114200</v>
      </c>
      <c r="H111" s="14">
        <f t="shared" si="1"/>
        <v>-1.6642110456243753E-2</v>
      </c>
    </row>
    <row r="112" spans="1:8" x14ac:dyDescent="0.25">
      <c r="A112" s="46">
        <v>44720</v>
      </c>
      <c r="B112" s="14">
        <v>47.82</v>
      </c>
      <c r="C112" s="14">
        <v>48.139999000000003</v>
      </c>
      <c r="D112" s="14">
        <v>47.299999</v>
      </c>
      <c r="E112" s="14">
        <v>47.68</v>
      </c>
      <c r="F112" s="14">
        <v>45.878436999999998</v>
      </c>
      <c r="G112" s="14">
        <v>4401800</v>
      </c>
      <c r="H112" s="14">
        <f t="shared" si="1"/>
        <v>1.3281898029134487E-2</v>
      </c>
    </row>
    <row r="113" spans="1:8" x14ac:dyDescent="0.25">
      <c r="A113" s="46">
        <v>44721</v>
      </c>
      <c r="B113" s="14">
        <v>47.200001</v>
      </c>
      <c r="C113" s="14">
        <v>47.439999</v>
      </c>
      <c r="D113" s="14">
        <v>46.43</v>
      </c>
      <c r="E113" s="14">
        <v>46.689999</v>
      </c>
      <c r="F113" s="14">
        <v>44.925837999999999</v>
      </c>
      <c r="G113" s="14">
        <v>5139100</v>
      </c>
      <c r="H113" s="14">
        <f t="shared" si="1"/>
        <v>-1.8393213919518314E-2</v>
      </c>
    </row>
    <row r="114" spans="1:8" x14ac:dyDescent="0.25">
      <c r="A114" s="46">
        <v>44722</v>
      </c>
      <c r="B114" s="14">
        <v>44.349997999999999</v>
      </c>
      <c r="C114" s="14">
        <v>45.580002</v>
      </c>
      <c r="D114" s="14">
        <v>44.279998999999997</v>
      </c>
      <c r="E114" s="14">
        <v>44.279998999999997</v>
      </c>
      <c r="F114" s="14">
        <v>42.606898999999999</v>
      </c>
      <c r="G114" s="14">
        <v>8764800</v>
      </c>
      <c r="H114" s="14">
        <f t="shared" si="1"/>
        <v>-4.6306289037260417E-2</v>
      </c>
    </row>
    <row r="115" spans="1:8" x14ac:dyDescent="0.25">
      <c r="A115" s="46">
        <v>44725</v>
      </c>
      <c r="B115" s="14">
        <v>43.009998000000003</v>
      </c>
      <c r="C115" s="14">
        <v>43.970001000000003</v>
      </c>
      <c r="D115" s="14">
        <v>42.669998</v>
      </c>
      <c r="E115" s="14">
        <v>42.93</v>
      </c>
      <c r="F115" s="14">
        <v>41.307907</v>
      </c>
      <c r="G115" s="14">
        <v>9224400</v>
      </c>
      <c r="H115" s="14">
        <f t="shared" si="1"/>
        <v>-1.211985122221885E-2</v>
      </c>
    </row>
    <row r="116" spans="1:8" x14ac:dyDescent="0.25">
      <c r="A116" s="46">
        <v>44726</v>
      </c>
      <c r="B116" s="14">
        <v>43.200001</v>
      </c>
      <c r="C116" s="14">
        <v>43.59</v>
      </c>
      <c r="D116" s="14">
        <v>42.209999000000003</v>
      </c>
      <c r="E116" s="14">
        <v>42.580002</v>
      </c>
      <c r="F116" s="14">
        <v>40.971133999999999</v>
      </c>
      <c r="G116" s="14">
        <v>5288400</v>
      </c>
      <c r="H116" s="14">
        <f t="shared" si="1"/>
        <v>-1.0780384850264002E-2</v>
      </c>
    </row>
    <row r="117" spans="1:8" x14ac:dyDescent="0.25">
      <c r="A117" s="46">
        <v>44727</v>
      </c>
      <c r="B117" s="14">
        <v>42.970001000000003</v>
      </c>
      <c r="C117" s="14">
        <v>44.049999</v>
      </c>
      <c r="D117" s="14">
        <v>42.580002</v>
      </c>
      <c r="E117" s="14">
        <v>43.509998000000003</v>
      </c>
      <c r="F117" s="14">
        <v>41.865993000000003</v>
      </c>
      <c r="G117" s="14">
        <v>8232200</v>
      </c>
      <c r="H117" s="14">
        <f t="shared" si="1"/>
        <v>8.765766613735293E-3</v>
      </c>
    </row>
    <row r="118" spans="1:8" x14ac:dyDescent="0.25">
      <c r="A118" s="46">
        <v>44728</v>
      </c>
      <c r="B118" s="14">
        <v>42.290000999999997</v>
      </c>
      <c r="C118" s="14">
        <v>42.5</v>
      </c>
      <c r="D118" s="14">
        <v>40.520000000000003</v>
      </c>
      <c r="E118" s="14">
        <v>41.080002</v>
      </c>
      <c r="F118" s="14">
        <v>39.527813000000002</v>
      </c>
      <c r="G118" s="14">
        <v>9954900</v>
      </c>
      <c r="H118" s="14">
        <f t="shared" si="1"/>
        <v>-4.8379565599832475E-2</v>
      </c>
    </row>
    <row r="119" spans="1:8" x14ac:dyDescent="0.25">
      <c r="A119" s="46">
        <v>44729</v>
      </c>
      <c r="B119" s="14">
        <v>41.509998000000003</v>
      </c>
      <c r="C119" s="14">
        <v>42.57</v>
      </c>
      <c r="D119" s="14">
        <v>41.43</v>
      </c>
      <c r="E119" s="14">
        <v>42.209999000000003</v>
      </c>
      <c r="F119" s="14">
        <v>40.615116</v>
      </c>
      <c r="G119" s="14">
        <v>21193800</v>
      </c>
      <c r="H119" s="14">
        <f t="shared" si="1"/>
        <v>2.245804540967411E-2</v>
      </c>
    </row>
    <row r="120" spans="1:8" x14ac:dyDescent="0.25">
      <c r="A120" s="46">
        <v>44733</v>
      </c>
      <c r="B120" s="14">
        <v>42.700001</v>
      </c>
      <c r="C120" s="14">
        <v>43.470001000000003</v>
      </c>
      <c r="D120" s="14">
        <v>42.200001</v>
      </c>
      <c r="E120" s="14">
        <v>42.290000999999997</v>
      </c>
      <c r="F120" s="14">
        <v>40.692089000000003</v>
      </c>
      <c r="G120" s="14">
        <v>7628500</v>
      </c>
      <c r="H120" s="14">
        <f t="shared" si="1"/>
        <v>4.6463975380159339E-3</v>
      </c>
    </row>
    <row r="121" spans="1:8" x14ac:dyDescent="0.25">
      <c r="A121" s="46">
        <v>44734</v>
      </c>
      <c r="B121" s="14">
        <v>41.880001</v>
      </c>
      <c r="C121" s="14">
        <v>43.66</v>
      </c>
      <c r="D121" s="14">
        <v>41.830002</v>
      </c>
      <c r="E121" s="14">
        <v>43.130001</v>
      </c>
      <c r="F121" s="14">
        <v>41.500346999999998</v>
      </c>
      <c r="G121" s="14">
        <v>7343000</v>
      </c>
      <c r="H121" s="14">
        <f t="shared" si="1"/>
        <v>-8.7677486073993727E-3</v>
      </c>
    </row>
    <row r="122" spans="1:8" x14ac:dyDescent="0.25">
      <c r="A122" s="46">
        <v>44735</v>
      </c>
      <c r="B122" s="14">
        <v>42.169998</v>
      </c>
      <c r="C122" s="14">
        <v>43.110000999999997</v>
      </c>
      <c r="D122" s="14">
        <v>42.049999</v>
      </c>
      <c r="E122" s="14">
        <v>42.970001000000003</v>
      </c>
      <c r="F122" s="14">
        <v>41.346393999999997</v>
      </c>
      <c r="G122" s="14">
        <v>5244700</v>
      </c>
      <c r="H122" s="14">
        <f t="shared" si="1"/>
        <v>5.2593112474630388E-3</v>
      </c>
    </row>
    <row r="123" spans="1:8" x14ac:dyDescent="0.25">
      <c r="A123" s="46">
        <v>44736</v>
      </c>
      <c r="B123" s="14">
        <v>43.349997999999999</v>
      </c>
      <c r="C123" s="14">
        <v>45.779998999999997</v>
      </c>
      <c r="D123" s="14">
        <v>43.220001000000003</v>
      </c>
      <c r="E123" s="14">
        <v>45.669998</v>
      </c>
      <c r="F123" s="14">
        <v>43.944378</v>
      </c>
      <c r="G123" s="14">
        <v>20444400</v>
      </c>
      <c r="H123" s="14">
        <f t="shared" si="1"/>
        <v>2.7824067249086148E-2</v>
      </c>
    </row>
    <row r="124" spans="1:8" x14ac:dyDescent="0.25">
      <c r="A124" s="46">
        <v>44739</v>
      </c>
      <c r="B124" s="14">
        <v>45.869999</v>
      </c>
      <c r="C124" s="14">
        <v>45.939999</v>
      </c>
      <c r="D124" s="14">
        <v>44.220001000000003</v>
      </c>
      <c r="E124" s="14">
        <v>44.380001</v>
      </c>
      <c r="F124" s="14">
        <v>42.703121000000003</v>
      </c>
      <c r="G124" s="14">
        <v>4703400</v>
      </c>
      <c r="H124" s="14">
        <f t="shared" si="1"/>
        <v>7.7124786122363771E-3</v>
      </c>
    </row>
    <row r="125" spans="1:8" x14ac:dyDescent="0.25">
      <c r="A125" s="46">
        <v>44740</v>
      </c>
      <c r="B125" s="14">
        <v>43.400002000000001</v>
      </c>
      <c r="C125" s="14">
        <v>44.48</v>
      </c>
      <c r="D125" s="14">
        <v>42.599997999999999</v>
      </c>
      <c r="E125" s="14">
        <v>42.650002000000001</v>
      </c>
      <c r="F125" s="14">
        <v>41.038490000000003</v>
      </c>
      <c r="G125" s="14">
        <v>5435600</v>
      </c>
      <c r="H125" s="14">
        <f t="shared" si="1"/>
        <v>-3.6635073798392814E-2</v>
      </c>
    </row>
    <row r="126" spans="1:8" x14ac:dyDescent="0.25">
      <c r="A126" s="46">
        <v>44741</v>
      </c>
      <c r="B126" s="14">
        <v>42.580002</v>
      </c>
      <c r="C126" s="14">
        <v>43.029998999999997</v>
      </c>
      <c r="D126" s="14">
        <v>42.299999</v>
      </c>
      <c r="E126" s="14">
        <v>42.669998</v>
      </c>
      <c r="F126" s="14">
        <v>41.057735000000001</v>
      </c>
      <c r="G126" s="14">
        <v>3517100</v>
      </c>
      <c r="H126" s="14">
        <f t="shared" si="1"/>
        <v>-7.0422303775694584E-3</v>
      </c>
    </row>
    <row r="127" spans="1:8" x14ac:dyDescent="0.25">
      <c r="A127" s="46">
        <v>44742</v>
      </c>
      <c r="B127" s="14">
        <v>42.419998</v>
      </c>
      <c r="C127" s="14">
        <v>42.419998</v>
      </c>
      <c r="D127" s="14">
        <v>41.02</v>
      </c>
      <c r="E127" s="14">
        <v>41.669998</v>
      </c>
      <c r="F127" s="14">
        <v>40.095509</v>
      </c>
      <c r="G127" s="14">
        <v>6571700</v>
      </c>
      <c r="H127" s="14">
        <f t="shared" si="1"/>
        <v>-3.0260024356028814E-2</v>
      </c>
    </row>
    <row r="128" spans="1:8" x14ac:dyDescent="0.25">
      <c r="A128" s="46">
        <v>44743</v>
      </c>
      <c r="B128" s="14">
        <v>41.939999</v>
      </c>
      <c r="C128" s="14">
        <v>43.040000999999997</v>
      </c>
      <c r="D128" s="14">
        <v>41.759998000000003</v>
      </c>
      <c r="E128" s="14">
        <v>42.889999000000003</v>
      </c>
      <c r="F128" s="14">
        <v>41.269416999999997</v>
      </c>
      <c r="G128" s="14">
        <v>4950800</v>
      </c>
      <c r="H128" s="14">
        <f t="shared" si="1"/>
        <v>1.8039931740614357E-2</v>
      </c>
    </row>
    <row r="129" spans="1:8" x14ac:dyDescent="0.25">
      <c r="A129" s="46">
        <v>44747</v>
      </c>
      <c r="B129" s="14">
        <v>42.259998000000003</v>
      </c>
      <c r="C129" s="14">
        <v>43.959999000000003</v>
      </c>
      <c r="D129" s="14">
        <v>41.889999000000003</v>
      </c>
      <c r="E129" s="14">
        <v>43.93</v>
      </c>
      <c r="F129" s="14">
        <v>42.270125999999998</v>
      </c>
      <c r="G129" s="14">
        <v>6413700</v>
      </c>
      <c r="H129" s="14">
        <f t="shared" si="1"/>
        <v>7.7826272884401471E-4</v>
      </c>
    </row>
    <row r="130" spans="1:8" x14ac:dyDescent="0.25">
      <c r="A130" s="46">
        <v>44748</v>
      </c>
      <c r="B130" s="14">
        <v>44.400002000000001</v>
      </c>
      <c r="C130" s="14">
        <v>44.959999000000003</v>
      </c>
      <c r="D130" s="14">
        <v>43.560001</v>
      </c>
      <c r="E130" s="14">
        <v>43.720001000000003</v>
      </c>
      <c r="F130" s="14">
        <v>42.068058000000001</v>
      </c>
      <c r="G130" s="14">
        <v>6444000</v>
      </c>
      <c r="H130" s="14">
        <f t="shared" si="1"/>
        <v>3.9866365239111134E-2</v>
      </c>
    </row>
    <row r="131" spans="1:8" x14ac:dyDescent="0.25">
      <c r="A131" s="46">
        <v>44749</v>
      </c>
      <c r="B131" s="14">
        <v>43.720001000000003</v>
      </c>
      <c r="C131" s="14">
        <v>44.07</v>
      </c>
      <c r="D131" s="14">
        <v>43.189999</v>
      </c>
      <c r="E131" s="14">
        <v>43.82</v>
      </c>
      <c r="F131" s="14">
        <v>42.164276000000001</v>
      </c>
      <c r="G131" s="14">
        <v>6216100</v>
      </c>
      <c r="H131" s="14">
        <f t="shared" si="1"/>
        <v>-8.4940769399890481E-3</v>
      </c>
    </row>
    <row r="132" spans="1:8" x14ac:dyDescent="0.25">
      <c r="A132" s="46">
        <v>44750</v>
      </c>
      <c r="B132" s="14">
        <v>43.400002000000001</v>
      </c>
      <c r="C132" s="14">
        <v>43.830002</v>
      </c>
      <c r="D132" s="14">
        <v>42.75</v>
      </c>
      <c r="E132" s="14">
        <v>43.139999000000003</v>
      </c>
      <c r="F132" s="14">
        <v>41.509968000000001</v>
      </c>
      <c r="G132" s="14">
        <v>3716300</v>
      </c>
      <c r="H132" s="14">
        <f t="shared" ref="H132:H195" si="2">(D132/D131-1)/(A132-A131)</f>
        <v>-1.0187520495196112E-2</v>
      </c>
    </row>
    <row r="133" spans="1:8" x14ac:dyDescent="0.25">
      <c r="A133" s="46">
        <v>44753</v>
      </c>
      <c r="B133" s="14">
        <v>43.02</v>
      </c>
      <c r="C133" s="14">
        <v>43.16</v>
      </c>
      <c r="D133" s="14">
        <v>42.389999000000003</v>
      </c>
      <c r="E133" s="14">
        <v>42.830002</v>
      </c>
      <c r="F133" s="14">
        <v>41.211692999999997</v>
      </c>
      <c r="G133" s="14">
        <v>5986800</v>
      </c>
      <c r="H133" s="14">
        <f t="shared" si="2"/>
        <v>-2.8070253411305681E-3</v>
      </c>
    </row>
    <row r="134" spans="1:8" x14ac:dyDescent="0.25">
      <c r="A134" s="46">
        <v>44754</v>
      </c>
      <c r="B134" s="14">
        <v>43.060001</v>
      </c>
      <c r="C134" s="14">
        <v>43.950001</v>
      </c>
      <c r="D134" s="14">
        <v>42.869999</v>
      </c>
      <c r="E134" s="14">
        <v>43.200001</v>
      </c>
      <c r="F134" s="14">
        <v>41.567706999999999</v>
      </c>
      <c r="G134" s="14">
        <v>4751000</v>
      </c>
      <c r="H134" s="14">
        <f t="shared" si="2"/>
        <v>1.1323425603289028E-2</v>
      </c>
    </row>
    <row r="135" spans="1:8" x14ac:dyDescent="0.25">
      <c r="A135" s="46">
        <v>44755</v>
      </c>
      <c r="B135" s="14">
        <v>42.200001</v>
      </c>
      <c r="C135" s="14">
        <v>43.150002000000001</v>
      </c>
      <c r="D135" s="14">
        <v>41.939999</v>
      </c>
      <c r="E135" s="14">
        <v>42.490001999999997</v>
      </c>
      <c r="F135" s="14">
        <v>40.884532999999998</v>
      </c>
      <c r="G135" s="14">
        <v>4439900</v>
      </c>
      <c r="H135" s="14">
        <f t="shared" si="2"/>
        <v>-2.1693492458443986E-2</v>
      </c>
    </row>
    <row r="136" spans="1:8" x14ac:dyDescent="0.25">
      <c r="A136" s="46">
        <v>44756</v>
      </c>
      <c r="B136" s="14">
        <v>42.200001</v>
      </c>
      <c r="C136" s="14">
        <v>42.360000999999997</v>
      </c>
      <c r="D136" s="14">
        <v>41.220001000000003</v>
      </c>
      <c r="E136" s="14">
        <v>42.029998999999997</v>
      </c>
      <c r="F136" s="14">
        <v>40.44191</v>
      </c>
      <c r="G136" s="14">
        <v>3624800</v>
      </c>
      <c r="H136" s="14">
        <f t="shared" si="2"/>
        <v>-1.7167334696407521E-2</v>
      </c>
    </row>
    <row r="137" spans="1:8" x14ac:dyDescent="0.25">
      <c r="A137" s="46">
        <v>44757</v>
      </c>
      <c r="B137" s="14">
        <v>42.990001999999997</v>
      </c>
      <c r="C137" s="14">
        <v>43.959999000000003</v>
      </c>
      <c r="D137" s="14">
        <v>42.849997999999999</v>
      </c>
      <c r="E137" s="14">
        <v>43.610000999999997</v>
      </c>
      <c r="F137" s="14">
        <v>41.962215</v>
      </c>
      <c r="G137" s="14">
        <v>6407300</v>
      </c>
      <c r="H137" s="14">
        <f t="shared" si="2"/>
        <v>3.9543836983410019E-2</v>
      </c>
    </row>
    <row r="138" spans="1:8" x14ac:dyDescent="0.25">
      <c r="A138" s="46">
        <v>44760</v>
      </c>
      <c r="B138" s="14">
        <v>43.98</v>
      </c>
      <c r="C138" s="14">
        <v>44.73</v>
      </c>
      <c r="D138" s="14">
        <v>43.349997999999999</v>
      </c>
      <c r="E138" s="14">
        <v>43.59</v>
      </c>
      <c r="F138" s="14">
        <v>41.942974</v>
      </c>
      <c r="G138" s="14">
        <v>4544300</v>
      </c>
      <c r="H138" s="14">
        <f t="shared" si="2"/>
        <v>3.8895373266217468E-3</v>
      </c>
    </row>
    <row r="139" spans="1:8" x14ac:dyDescent="0.25">
      <c r="A139" s="46">
        <v>44761</v>
      </c>
      <c r="B139" s="14">
        <v>43.889999000000003</v>
      </c>
      <c r="C139" s="14">
        <v>45.490001999999997</v>
      </c>
      <c r="D139" s="14">
        <v>43.889999000000003</v>
      </c>
      <c r="E139" s="14">
        <v>45.380001</v>
      </c>
      <c r="F139" s="14">
        <v>43.66534</v>
      </c>
      <c r="G139" s="14">
        <v>4290500</v>
      </c>
      <c r="H139" s="14">
        <f t="shared" si="2"/>
        <v>1.2456771047602011E-2</v>
      </c>
    </row>
    <row r="140" spans="1:8" x14ac:dyDescent="0.25">
      <c r="A140" s="46">
        <v>44762</v>
      </c>
      <c r="B140" s="14">
        <v>45.59</v>
      </c>
      <c r="C140" s="14">
        <v>46.470001000000003</v>
      </c>
      <c r="D140" s="14">
        <v>45.419998</v>
      </c>
      <c r="E140" s="14">
        <v>46.189999</v>
      </c>
      <c r="F140" s="14">
        <v>44.444729000000002</v>
      </c>
      <c r="G140" s="14">
        <v>4066000</v>
      </c>
      <c r="H140" s="14">
        <f t="shared" si="2"/>
        <v>3.4859854975161753E-2</v>
      </c>
    </row>
    <row r="141" spans="1:8" x14ac:dyDescent="0.25">
      <c r="A141" s="46">
        <v>44763</v>
      </c>
      <c r="B141" s="14">
        <v>46.080002</v>
      </c>
      <c r="C141" s="14">
        <v>46.669998</v>
      </c>
      <c r="D141" s="14">
        <v>45.849997999999999</v>
      </c>
      <c r="E141" s="14">
        <v>46.650002000000001</v>
      </c>
      <c r="F141" s="14">
        <v>44.887352</v>
      </c>
      <c r="G141" s="14">
        <v>2964100</v>
      </c>
      <c r="H141" s="14">
        <f t="shared" si="2"/>
        <v>9.4671954851253126E-3</v>
      </c>
    </row>
    <row r="142" spans="1:8" x14ac:dyDescent="0.25">
      <c r="A142" s="46">
        <v>44764</v>
      </c>
      <c r="B142" s="14">
        <v>46.59</v>
      </c>
      <c r="C142" s="14">
        <v>47.369999</v>
      </c>
      <c r="D142" s="14">
        <v>46.360000999999997</v>
      </c>
      <c r="E142" s="14">
        <v>46.68</v>
      </c>
      <c r="F142" s="14">
        <v>44.916218000000001</v>
      </c>
      <c r="G142" s="14">
        <v>4908200</v>
      </c>
      <c r="H142" s="14">
        <f t="shared" si="2"/>
        <v>1.1123293833077197E-2</v>
      </c>
    </row>
    <row r="143" spans="1:8" x14ac:dyDescent="0.25">
      <c r="A143" s="46">
        <v>44767</v>
      </c>
      <c r="B143" s="14">
        <v>46.68</v>
      </c>
      <c r="C143" s="14">
        <v>47.040000999999997</v>
      </c>
      <c r="D143" s="14">
        <v>46.139999000000003</v>
      </c>
      <c r="E143" s="14">
        <v>46.560001</v>
      </c>
      <c r="F143" s="14">
        <v>44.800755000000002</v>
      </c>
      <c r="G143" s="14">
        <v>4042600</v>
      </c>
      <c r="H143" s="14">
        <f t="shared" si="2"/>
        <v>-1.5818377570785043E-3</v>
      </c>
    </row>
    <row r="144" spans="1:8" x14ac:dyDescent="0.25">
      <c r="A144" s="46">
        <v>44768</v>
      </c>
      <c r="B144" s="14">
        <v>45.389999000000003</v>
      </c>
      <c r="C144" s="14">
        <v>45.790000999999997</v>
      </c>
      <c r="D144" s="14">
        <v>45.25</v>
      </c>
      <c r="E144" s="14">
        <v>45.66</v>
      </c>
      <c r="F144" s="14">
        <v>43.934756999999998</v>
      </c>
      <c r="G144" s="14">
        <v>3834200</v>
      </c>
      <c r="H144" s="14">
        <f t="shared" si="2"/>
        <v>-1.9289098814241457E-2</v>
      </c>
    </row>
    <row r="145" spans="1:8" x14ac:dyDescent="0.25">
      <c r="A145" s="46">
        <v>44769</v>
      </c>
      <c r="B145" s="14">
        <v>45.950001</v>
      </c>
      <c r="C145" s="14">
        <v>47.52</v>
      </c>
      <c r="D145" s="14">
        <v>45.830002</v>
      </c>
      <c r="E145" s="14">
        <v>47.18</v>
      </c>
      <c r="F145" s="14">
        <v>45.397323999999998</v>
      </c>
      <c r="G145" s="14">
        <v>4123000</v>
      </c>
      <c r="H145" s="14">
        <f t="shared" si="2"/>
        <v>1.2817723756906041E-2</v>
      </c>
    </row>
    <row r="146" spans="1:8" x14ac:dyDescent="0.25">
      <c r="A146" s="46">
        <v>44770</v>
      </c>
      <c r="B146" s="14">
        <v>47.369999</v>
      </c>
      <c r="C146" s="14">
        <v>48.240001999999997</v>
      </c>
      <c r="D146" s="14">
        <v>46.48</v>
      </c>
      <c r="E146" s="14">
        <v>48.209999000000003</v>
      </c>
      <c r="F146" s="14">
        <v>46.388401000000002</v>
      </c>
      <c r="G146" s="14">
        <v>4914700</v>
      </c>
      <c r="H146" s="14">
        <f t="shared" si="2"/>
        <v>1.4182805403325061E-2</v>
      </c>
    </row>
    <row r="147" spans="1:8" x14ac:dyDescent="0.25">
      <c r="A147" s="46">
        <v>44771</v>
      </c>
      <c r="B147" s="14">
        <v>49.130001</v>
      </c>
      <c r="C147" s="14">
        <v>49.73</v>
      </c>
      <c r="D147" s="14">
        <v>48.380001</v>
      </c>
      <c r="E147" s="14">
        <v>48.630001</v>
      </c>
      <c r="F147" s="14">
        <v>46.792541999999997</v>
      </c>
      <c r="G147" s="14">
        <v>7241400</v>
      </c>
      <c r="H147" s="14">
        <f t="shared" si="2"/>
        <v>4.0877818416523271E-2</v>
      </c>
    </row>
    <row r="148" spans="1:8" x14ac:dyDescent="0.25">
      <c r="A148" s="46">
        <v>44774</v>
      </c>
      <c r="B148" s="14">
        <v>47.849997999999999</v>
      </c>
      <c r="C148" s="14">
        <v>49.34</v>
      </c>
      <c r="D148" s="14">
        <v>47.650002000000001</v>
      </c>
      <c r="E148" s="14">
        <v>48.939999</v>
      </c>
      <c r="F148" s="14">
        <v>47.090823999999998</v>
      </c>
      <c r="G148" s="14">
        <v>4805800</v>
      </c>
      <c r="H148" s="14">
        <f t="shared" si="2"/>
        <v>-5.0296195735919742E-3</v>
      </c>
    </row>
    <row r="149" spans="1:8" x14ac:dyDescent="0.25">
      <c r="A149" s="46">
        <v>44775</v>
      </c>
      <c r="B149" s="14">
        <v>48.689999</v>
      </c>
      <c r="C149" s="14">
        <v>48.84</v>
      </c>
      <c r="D149" s="14">
        <v>47.75</v>
      </c>
      <c r="E149" s="14">
        <v>48.43</v>
      </c>
      <c r="F149" s="14">
        <v>46.600098000000003</v>
      </c>
      <c r="G149" s="14">
        <v>5250700</v>
      </c>
      <c r="H149" s="14">
        <f t="shared" si="2"/>
        <v>2.0985938258721859E-3</v>
      </c>
    </row>
    <row r="150" spans="1:8" x14ac:dyDescent="0.25">
      <c r="A150" s="46">
        <v>44776</v>
      </c>
      <c r="B150" s="14">
        <v>49</v>
      </c>
      <c r="C150" s="14">
        <v>50.82</v>
      </c>
      <c r="D150" s="14">
        <v>49</v>
      </c>
      <c r="E150" s="14">
        <v>50.48</v>
      </c>
      <c r="F150" s="14">
        <v>48.572636000000003</v>
      </c>
      <c r="G150" s="14">
        <v>8749800</v>
      </c>
      <c r="H150" s="14">
        <f t="shared" si="2"/>
        <v>2.6178010471204161E-2</v>
      </c>
    </row>
    <row r="151" spans="1:8" x14ac:dyDescent="0.25">
      <c r="A151" s="46">
        <v>44777</v>
      </c>
      <c r="B151" s="14">
        <v>50.099997999999999</v>
      </c>
      <c r="C151" s="14">
        <v>50.189999</v>
      </c>
      <c r="D151" s="14">
        <v>46.66</v>
      </c>
      <c r="E151" s="14">
        <v>47.869999</v>
      </c>
      <c r="F151" s="14">
        <v>46.061248999999997</v>
      </c>
      <c r="G151" s="14">
        <v>10604500</v>
      </c>
      <c r="H151" s="14">
        <f t="shared" si="2"/>
        <v>-4.7755102040816344E-2</v>
      </c>
    </row>
    <row r="152" spans="1:8" x14ac:dyDescent="0.25">
      <c r="A152" s="46">
        <v>44778</v>
      </c>
      <c r="B152" s="14">
        <v>47.330002</v>
      </c>
      <c r="C152" s="14">
        <v>47.66</v>
      </c>
      <c r="D152" s="14">
        <v>46.689999</v>
      </c>
      <c r="E152" s="14">
        <v>47.279998999999997</v>
      </c>
      <c r="F152" s="14">
        <v>45.493549000000002</v>
      </c>
      <c r="G152" s="14">
        <v>5487400</v>
      </c>
      <c r="H152" s="14">
        <f t="shared" si="2"/>
        <v>6.4292756108019766E-4</v>
      </c>
    </row>
    <row r="153" spans="1:8" x14ac:dyDescent="0.25">
      <c r="A153" s="46">
        <v>44781</v>
      </c>
      <c r="B153" s="14">
        <v>47.630001</v>
      </c>
      <c r="C153" s="14">
        <v>49</v>
      </c>
      <c r="D153" s="14">
        <v>47.200001</v>
      </c>
      <c r="E153" s="14">
        <v>47.610000999999997</v>
      </c>
      <c r="F153" s="14">
        <v>45.811076999999997</v>
      </c>
      <c r="G153" s="14">
        <v>4786100</v>
      </c>
      <c r="H153" s="14">
        <f t="shared" si="2"/>
        <v>3.6410509811034184E-3</v>
      </c>
    </row>
    <row r="154" spans="1:8" x14ac:dyDescent="0.25">
      <c r="A154" s="46">
        <v>44782</v>
      </c>
      <c r="B154" s="14">
        <v>47.57</v>
      </c>
      <c r="C154" s="14">
        <v>48.02</v>
      </c>
      <c r="D154" s="14">
        <v>47.02</v>
      </c>
      <c r="E154" s="14">
        <v>48</v>
      </c>
      <c r="F154" s="14">
        <v>46.186340000000001</v>
      </c>
      <c r="G154" s="14">
        <v>6075100</v>
      </c>
      <c r="H154" s="14">
        <f t="shared" si="2"/>
        <v>-3.8135804276783203E-3</v>
      </c>
    </row>
    <row r="155" spans="1:8" x14ac:dyDescent="0.25">
      <c r="A155" s="46">
        <v>44783</v>
      </c>
      <c r="B155" s="14">
        <v>48.860000999999997</v>
      </c>
      <c r="C155" s="14">
        <v>49.290000999999997</v>
      </c>
      <c r="D155" s="14">
        <v>48.470001000000003</v>
      </c>
      <c r="E155" s="14">
        <v>48.5</v>
      </c>
      <c r="F155" s="14">
        <v>46.667450000000002</v>
      </c>
      <c r="G155" s="14">
        <v>4848400</v>
      </c>
      <c r="H155" s="14">
        <f t="shared" si="2"/>
        <v>3.0837962569119526E-2</v>
      </c>
    </row>
    <row r="156" spans="1:8" x14ac:dyDescent="0.25">
      <c r="A156" s="46">
        <v>44784</v>
      </c>
      <c r="B156" s="14">
        <v>48.869999</v>
      </c>
      <c r="C156" s="14">
        <v>49.52</v>
      </c>
      <c r="D156" s="14">
        <v>48.130001</v>
      </c>
      <c r="E156" s="14">
        <v>48.57</v>
      </c>
      <c r="F156" s="14">
        <v>46.734802000000002</v>
      </c>
      <c r="G156" s="14">
        <v>4581900</v>
      </c>
      <c r="H156" s="14">
        <f t="shared" si="2"/>
        <v>-7.0146480913009235E-3</v>
      </c>
    </row>
    <row r="157" spans="1:8" x14ac:dyDescent="0.25">
      <c r="A157" s="46">
        <v>44785</v>
      </c>
      <c r="B157" s="14">
        <v>48.950001</v>
      </c>
      <c r="C157" s="14">
        <v>49.48</v>
      </c>
      <c r="D157" s="14">
        <v>48.68</v>
      </c>
      <c r="E157" s="14">
        <v>49.439999</v>
      </c>
      <c r="F157" s="14">
        <v>47.571925999999998</v>
      </c>
      <c r="G157" s="14">
        <v>2885800</v>
      </c>
      <c r="H157" s="14">
        <f t="shared" si="2"/>
        <v>1.1427363153389436E-2</v>
      </c>
    </row>
    <row r="158" spans="1:8" x14ac:dyDescent="0.25">
      <c r="A158" s="46">
        <v>44788</v>
      </c>
      <c r="B158" s="14">
        <v>49.169998</v>
      </c>
      <c r="C158" s="14">
        <v>49.240001999999997</v>
      </c>
      <c r="D158" s="14">
        <v>48.200001</v>
      </c>
      <c r="E158" s="14">
        <v>48.68</v>
      </c>
      <c r="F158" s="14">
        <v>46.840645000000002</v>
      </c>
      <c r="G158" s="14">
        <v>3710000</v>
      </c>
      <c r="H158" s="14">
        <f t="shared" si="2"/>
        <v>-3.2867639003012852E-3</v>
      </c>
    </row>
    <row r="159" spans="1:8" x14ac:dyDescent="0.25">
      <c r="A159" s="46">
        <v>44789</v>
      </c>
      <c r="B159" s="14">
        <v>48.689999</v>
      </c>
      <c r="C159" s="14">
        <v>50.169998</v>
      </c>
      <c r="D159" s="14">
        <v>48.580002</v>
      </c>
      <c r="E159" s="14">
        <v>49.5</v>
      </c>
      <c r="F159" s="14">
        <v>47.629662000000003</v>
      </c>
      <c r="G159" s="14">
        <v>5314600</v>
      </c>
      <c r="H159" s="14">
        <f t="shared" si="2"/>
        <v>7.8838380107086881E-3</v>
      </c>
    </row>
    <row r="160" spans="1:8" x14ac:dyDescent="0.25">
      <c r="A160" s="46">
        <v>44790</v>
      </c>
      <c r="B160" s="14">
        <v>48.889999000000003</v>
      </c>
      <c r="C160" s="14">
        <v>49.029998999999997</v>
      </c>
      <c r="D160" s="14">
        <v>48.240001999999997</v>
      </c>
      <c r="E160" s="14">
        <v>48.57</v>
      </c>
      <c r="F160" s="14">
        <v>46.734802000000002</v>
      </c>
      <c r="G160" s="14">
        <v>3832300</v>
      </c>
      <c r="H160" s="14">
        <f t="shared" si="2"/>
        <v>-6.9987646357034805E-3</v>
      </c>
    </row>
    <row r="161" spans="1:8" x14ac:dyDescent="0.25">
      <c r="A161" s="46">
        <v>44791</v>
      </c>
      <c r="B161" s="14">
        <v>48.389999000000003</v>
      </c>
      <c r="C161" s="14">
        <v>48.720001000000003</v>
      </c>
      <c r="D161" s="14">
        <v>47.82</v>
      </c>
      <c r="E161" s="14">
        <v>48.540000999999997</v>
      </c>
      <c r="F161" s="14">
        <v>46.705936000000001</v>
      </c>
      <c r="G161" s="14">
        <v>3534100</v>
      </c>
      <c r="H161" s="14">
        <f t="shared" si="2"/>
        <v>-8.7065087600949331E-3</v>
      </c>
    </row>
    <row r="162" spans="1:8" x14ac:dyDescent="0.25">
      <c r="A162" s="46">
        <v>44792</v>
      </c>
      <c r="B162" s="14">
        <v>47.849997999999999</v>
      </c>
      <c r="C162" s="14">
        <v>48.080002</v>
      </c>
      <c r="D162" s="14">
        <v>46.549999</v>
      </c>
      <c r="E162" s="14">
        <v>47.07</v>
      </c>
      <c r="F162" s="14">
        <v>45.291477</v>
      </c>
      <c r="G162" s="14">
        <v>4377500</v>
      </c>
      <c r="H162" s="14">
        <f t="shared" si="2"/>
        <v>-2.6557946465913806E-2</v>
      </c>
    </row>
    <row r="163" spans="1:8" x14ac:dyDescent="0.25">
      <c r="A163" s="46">
        <v>44795</v>
      </c>
      <c r="B163" s="14">
        <v>46.700001</v>
      </c>
      <c r="C163" s="14">
        <v>46.700001</v>
      </c>
      <c r="D163" s="14">
        <v>45.330002</v>
      </c>
      <c r="E163" s="14">
        <v>45.389999000000003</v>
      </c>
      <c r="F163" s="14">
        <v>43.674956999999999</v>
      </c>
      <c r="G163" s="14">
        <v>4322500</v>
      </c>
      <c r="H163" s="14">
        <f t="shared" si="2"/>
        <v>-8.7361047347533916E-3</v>
      </c>
    </row>
    <row r="164" spans="1:8" x14ac:dyDescent="0.25">
      <c r="A164" s="46">
        <v>44796</v>
      </c>
      <c r="B164" s="14">
        <v>45.32</v>
      </c>
      <c r="C164" s="14">
        <v>46.360000999999997</v>
      </c>
      <c r="D164" s="14">
        <v>45.16</v>
      </c>
      <c r="E164" s="14">
        <v>45.43</v>
      </c>
      <c r="F164" s="14">
        <v>43.713448</v>
      </c>
      <c r="G164" s="14">
        <v>4307200</v>
      </c>
      <c r="H164" s="14">
        <f t="shared" si="2"/>
        <v>-3.7503197109941544E-3</v>
      </c>
    </row>
    <row r="165" spans="1:8" x14ac:dyDescent="0.25">
      <c r="A165" s="46">
        <v>44797</v>
      </c>
      <c r="B165" s="14">
        <v>45.23</v>
      </c>
      <c r="C165" s="14">
        <v>46.259998000000003</v>
      </c>
      <c r="D165" s="14">
        <v>45.169998</v>
      </c>
      <c r="E165" s="14">
        <v>45.529998999999997</v>
      </c>
      <c r="F165" s="14">
        <v>43.809666</v>
      </c>
      <c r="G165" s="14">
        <v>4212100</v>
      </c>
      <c r="H165" s="14">
        <f t="shared" si="2"/>
        <v>2.2139061116033254E-4</v>
      </c>
    </row>
    <row r="166" spans="1:8" x14ac:dyDescent="0.25">
      <c r="A166" s="46">
        <v>44798</v>
      </c>
      <c r="B166" s="14">
        <v>45.73</v>
      </c>
      <c r="C166" s="14">
        <v>46.619999</v>
      </c>
      <c r="D166" s="14">
        <v>45.560001</v>
      </c>
      <c r="E166" s="14">
        <v>46.59</v>
      </c>
      <c r="F166" s="14">
        <v>44.829613000000002</v>
      </c>
      <c r="G166" s="14">
        <v>3227800</v>
      </c>
      <c r="H166" s="14">
        <f t="shared" si="2"/>
        <v>8.6341159457212768E-3</v>
      </c>
    </row>
    <row r="167" spans="1:8" x14ac:dyDescent="0.25">
      <c r="A167" s="46">
        <v>44799</v>
      </c>
      <c r="B167" s="14">
        <v>47.029998999999997</v>
      </c>
      <c r="C167" s="14">
        <v>47.209999000000003</v>
      </c>
      <c r="D167" s="14">
        <v>44.509998000000003</v>
      </c>
      <c r="E167" s="14">
        <v>44.529998999999997</v>
      </c>
      <c r="F167" s="14">
        <v>42.847450000000002</v>
      </c>
      <c r="G167" s="14">
        <v>3978200</v>
      </c>
      <c r="H167" s="14">
        <f t="shared" si="2"/>
        <v>-2.3046597387036849E-2</v>
      </c>
    </row>
    <row r="168" spans="1:8" x14ac:dyDescent="0.25">
      <c r="A168" s="46">
        <v>44802</v>
      </c>
      <c r="B168" s="14">
        <v>44.259998000000003</v>
      </c>
      <c r="C168" s="14">
        <v>44.849997999999999</v>
      </c>
      <c r="D168" s="14">
        <v>43.900002000000001</v>
      </c>
      <c r="E168" s="14">
        <v>44.459999000000003</v>
      </c>
      <c r="F168" s="14">
        <v>42.780098000000002</v>
      </c>
      <c r="G168" s="14">
        <v>4539100</v>
      </c>
      <c r="H168" s="14">
        <f t="shared" si="2"/>
        <v>-4.5682320632771294E-3</v>
      </c>
    </row>
    <row r="169" spans="1:8" x14ac:dyDescent="0.25">
      <c r="A169" s="46">
        <v>44803</v>
      </c>
      <c r="B169" s="14">
        <v>44.869999</v>
      </c>
      <c r="C169" s="14">
        <v>45.060001</v>
      </c>
      <c r="D169" s="14">
        <v>44.080002</v>
      </c>
      <c r="E169" s="14">
        <v>44.450001</v>
      </c>
      <c r="F169" s="14">
        <v>42.770480999999997</v>
      </c>
      <c r="G169" s="14">
        <v>4274900</v>
      </c>
      <c r="H169" s="14">
        <f t="shared" si="2"/>
        <v>4.1002276036343765E-3</v>
      </c>
    </row>
    <row r="170" spans="1:8" x14ac:dyDescent="0.25">
      <c r="A170" s="46">
        <v>44804</v>
      </c>
      <c r="B170" s="14">
        <v>44.689999</v>
      </c>
      <c r="C170" s="14">
        <v>44.810001</v>
      </c>
      <c r="D170" s="14">
        <v>43.91</v>
      </c>
      <c r="E170" s="14">
        <v>44.130001</v>
      </c>
      <c r="F170" s="14">
        <v>42.673774999999999</v>
      </c>
      <c r="G170" s="14">
        <v>7289300</v>
      </c>
      <c r="H170" s="14">
        <f t="shared" si="2"/>
        <v>-3.8566695164851117E-3</v>
      </c>
    </row>
    <row r="171" spans="1:8" x14ac:dyDescent="0.25">
      <c r="A171" s="46">
        <v>44805</v>
      </c>
      <c r="B171" s="14">
        <v>43.990001999999997</v>
      </c>
      <c r="C171" s="14">
        <v>44.799999</v>
      </c>
      <c r="D171" s="14">
        <v>43.630001</v>
      </c>
      <c r="E171" s="14">
        <v>44.77</v>
      </c>
      <c r="F171" s="14">
        <v>43.292659999999998</v>
      </c>
      <c r="G171" s="14">
        <v>4660500</v>
      </c>
      <c r="H171" s="14">
        <f t="shared" si="2"/>
        <v>-6.3766567979958166E-3</v>
      </c>
    </row>
    <row r="172" spans="1:8" x14ac:dyDescent="0.25">
      <c r="A172" s="46">
        <v>44806</v>
      </c>
      <c r="B172" s="14">
        <v>45.189999</v>
      </c>
      <c r="C172" s="14">
        <v>45.459999000000003</v>
      </c>
      <c r="D172" s="14">
        <v>43.830002</v>
      </c>
      <c r="E172" s="14">
        <v>44.110000999999997</v>
      </c>
      <c r="F172" s="14">
        <v>42.654434000000002</v>
      </c>
      <c r="G172" s="14">
        <v>4203000</v>
      </c>
      <c r="H172" s="14">
        <f t="shared" si="2"/>
        <v>4.5840246485440161E-3</v>
      </c>
    </row>
    <row r="173" spans="1:8" x14ac:dyDescent="0.25">
      <c r="A173" s="46">
        <v>44810</v>
      </c>
      <c r="B173" s="14">
        <v>44.220001000000003</v>
      </c>
      <c r="C173" s="14">
        <v>44.290000999999997</v>
      </c>
      <c r="D173" s="14">
        <v>42.93</v>
      </c>
      <c r="E173" s="14">
        <v>43.040000999999997</v>
      </c>
      <c r="F173" s="14">
        <v>41.619743</v>
      </c>
      <c r="G173" s="14">
        <v>6219900</v>
      </c>
      <c r="H173" s="14">
        <f t="shared" si="2"/>
        <v>-5.1334813993391959E-3</v>
      </c>
    </row>
    <row r="174" spans="1:8" x14ac:dyDescent="0.25">
      <c r="A174" s="46">
        <v>44811</v>
      </c>
      <c r="B174" s="14">
        <v>43.150002000000001</v>
      </c>
      <c r="C174" s="14">
        <v>44.869999</v>
      </c>
      <c r="D174" s="14">
        <v>43.09</v>
      </c>
      <c r="E174" s="14">
        <v>44.66</v>
      </c>
      <c r="F174" s="14">
        <v>43.186283000000003</v>
      </c>
      <c r="G174" s="14">
        <v>4814700</v>
      </c>
      <c r="H174" s="14">
        <f t="shared" si="2"/>
        <v>3.7269974376894499E-3</v>
      </c>
    </row>
    <row r="175" spans="1:8" x14ac:dyDescent="0.25">
      <c r="A175" s="46">
        <v>44812</v>
      </c>
      <c r="B175" s="14">
        <v>44.360000999999997</v>
      </c>
      <c r="C175" s="14">
        <v>44.52</v>
      </c>
      <c r="D175" s="14">
        <v>43.560001</v>
      </c>
      <c r="E175" s="14">
        <v>44.25</v>
      </c>
      <c r="F175" s="14">
        <v>42.789817999999997</v>
      </c>
      <c r="G175" s="14">
        <v>5945800</v>
      </c>
      <c r="H175" s="14">
        <f t="shared" si="2"/>
        <v>1.0907426317010804E-2</v>
      </c>
    </row>
    <row r="176" spans="1:8" x14ac:dyDescent="0.25">
      <c r="A176" s="46">
        <v>44813</v>
      </c>
      <c r="B176" s="14">
        <v>44.380001</v>
      </c>
      <c r="C176" s="14">
        <v>45.16</v>
      </c>
      <c r="D176" s="14">
        <v>44.27</v>
      </c>
      <c r="E176" s="14">
        <v>45.099997999999999</v>
      </c>
      <c r="F176" s="14">
        <v>43.611767</v>
      </c>
      <c r="G176" s="14">
        <v>4264800</v>
      </c>
      <c r="H176" s="14">
        <f t="shared" si="2"/>
        <v>1.629933387742577E-2</v>
      </c>
    </row>
    <row r="177" spans="1:8" x14ac:dyDescent="0.25">
      <c r="A177" s="46">
        <v>44816</v>
      </c>
      <c r="B177" s="14">
        <v>45.369999</v>
      </c>
      <c r="C177" s="14">
        <v>45.849997999999999</v>
      </c>
      <c r="D177" s="14">
        <v>45.110000999999997</v>
      </c>
      <c r="E177" s="14">
        <v>45.52</v>
      </c>
      <c r="F177" s="14">
        <v>44.017910000000001</v>
      </c>
      <c r="G177" s="14">
        <v>4737500</v>
      </c>
      <c r="H177" s="14">
        <f t="shared" si="2"/>
        <v>6.3248324674346117E-3</v>
      </c>
    </row>
    <row r="178" spans="1:8" x14ac:dyDescent="0.25">
      <c r="A178" s="46">
        <v>44817</v>
      </c>
      <c r="B178" s="14">
        <v>44.150002000000001</v>
      </c>
      <c r="C178" s="14">
        <v>44.389999000000003</v>
      </c>
      <c r="D178" s="14">
        <v>42.610000999999997</v>
      </c>
      <c r="E178" s="14">
        <v>42.790000999999997</v>
      </c>
      <c r="F178" s="14">
        <v>41.377994999999999</v>
      </c>
      <c r="G178" s="14">
        <v>6326400</v>
      </c>
      <c r="H178" s="14">
        <f t="shared" si="2"/>
        <v>-5.5420083009973808E-2</v>
      </c>
    </row>
    <row r="179" spans="1:8" x14ac:dyDescent="0.25">
      <c r="A179" s="46">
        <v>44818</v>
      </c>
      <c r="B179" s="14">
        <v>42.889999000000003</v>
      </c>
      <c r="C179" s="14">
        <v>42.919998</v>
      </c>
      <c r="D179" s="14">
        <v>41.880001</v>
      </c>
      <c r="E179" s="14">
        <v>42.57</v>
      </c>
      <c r="F179" s="14">
        <v>41.165249000000003</v>
      </c>
      <c r="G179" s="14">
        <v>7176200</v>
      </c>
      <c r="H179" s="14">
        <f t="shared" si="2"/>
        <v>-1.713212820623955E-2</v>
      </c>
    </row>
    <row r="180" spans="1:8" x14ac:dyDescent="0.25">
      <c r="A180" s="46">
        <v>44819</v>
      </c>
      <c r="B180" s="14">
        <v>42.490001999999997</v>
      </c>
      <c r="C180" s="14">
        <v>43.830002</v>
      </c>
      <c r="D180" s="14">
        <v>42.43</v>
      </c>
      <c r="E180" s="14">
        <v>42.66</v>
      </c>
      <c r="F180" s="14">
        <v>41.252285000000001</v>
      </c>
      <c r="G180" s="14">
        <v>6821600</v>
      </c>
      <c r="H180" s="14">
        <f t="shared" si="2"/>
        <v>1.3132736076104656E-2</v>
      </c>
    </row>
    <row r="181" spans="1:8" x14ac:dyDescent="0.25">
      <c r="A181" s="46">
        <v>44820</v>
      </c>
      <c r="B181" s="14">
        <v>41.849997999999999</v>
      </c>
      <c r="C181" s="14">
        <v>42.139999000000003</v>
      </c>
      <c r="D181" s="14">
        <v>41.139999000000003</v>
      </c>
      <c r="E181" s="14">
        <v>42</v>
      </c>
      <c r="F181" s="14">
        <v>40.614058999999997</v>
      </c>
      <c r="G181" s="14">
        <v>9313600</v>
      </c>
      <c r="H181" s="14">
        <f t="shared" si="2"/>
        <v>-3.040304030167329E-2</v>
      </c>
    </row>
    <row r="182" spans="1:8" x14ac:dyDescent="0.25">
      <c r="A182" s="46">
        <v>44823</v>
      </c>
      <c r="B182" s="14">
        <v>41.77</v>
      </c>
      <c r="C182" s="14">
        <v>41.869999</v>
      </c>
      <c r="D182" s="14">
        <v>41.080002</v>
      </c>
      <c r="E182" s="14">
        <v>41.349997999999999</v>
      </c>
      <c r="F182" s="14">
        <v>39.985503999999999</v>
      </c>
      <c r="G182" s="14">
        <v>6713000</v>
      </c>
      <c r="H182" s="14">
        <f t="shared" si="2"/>
        <v>-4.8612057574433837E-4</v>
      </c>
    </row>
    <row r="183" spans="1:8" x14ac:dyDescent="0.25">
      <c r="A183" s="46">
        <v>44824</v>
      </c>
      <c r="B183" s="14">
        <v>41.040000999999997</v>
      </c>
      <c r="C183" s="14">
        <v>41.040000999999997</v>
      </c>
      <c r="D183" s="14">
        <v>39.709999000000003</v>
      </c>
      <c r="E183" s="14">
        <v>39.900002000000001</v>
      </c>
      <c r="F183" s="14">
        <v>38.583362999999999</v>
      </c>
      <c r="G183" s="14">
        <v>7587800</v>
      </c>
      <c r="H183" s="14">
        <f t="shared" si="2"/>
        <v>-3.3349633235168707E-2</v>
      </c>
    </row>
    <row r="184" spans="1:8" x14ac:dyDescent="0.25">
      <c r="A184" s="46">
        <v>44825</v>
      </c>
      <c r="B184" s="14">
        <v>40.040000999999997</v>
      </c>
      <c r="C184" s="14">
        <v>40.310001</v>
      </c>
      <c r="D184" s="14">
        <v>38.799999</v>
      </c>
      <c r="E184" s="14">
        <v>38.93</v>
      </c>
      <c r="F184" s="14">
        <v>37.645367</v>
      </c>
      <c r="G184" s="14">
        <v>6350400</v>
      </c>
      <c r="H184" s="14">
        <f t="shared" si="2"/>
        <v>-2.2916142606802969E-2</v>
      </c>
    </row>
    <row r="185" spans="1:8" x14ac:dyDescent="0.25">
      <c r="A185" s="46">
        <v>44826</v>
      </c>
      <c r="B185" s="14">
        <v>38.849997999999999</v>
      </c>
      <c r="C185" s="14">
        <v>38.93</v>
      </c>
      <c r="D185" s="14">
        <v>38.009998000000003</v>
      </c>
      <c r="E185" s="14">
        <v>38.299999</v>
      </c>
      <c r="F185" s="14">
        <v>37.036160000000002</v>
      </c>
      <c r="G185" s="14">
        <v>5490500</v>
      </c>
      <c r="H185" s="14">
        <f t="shared" si="2"/>
        <v>-2.0360851040228001E-2</v>
      </c>
    </row>
    <row r="186" spans="1:8" x14ac:dyDescent="0.25">
      <c r="A186" s="46">
        <v>44827</v>
      </c>
      <c r="B186" s="14">
        <v>38.029998999999997</v>
      </c>
      <c r="C186" s="14">
        <v>38.220001000000003</v>
      </c>
      <c r="D186" s="14">
        <v>37.5</v>
      </c>
      <c r="E186" s="14">
        <v>38.189999</v>
      </c>
      <c r="F186" s="14">
        <v>36.929786999999997</v>
      </c>
      <c r="G186" s="14">
        <v>5161200</v>
      </c>
      <c r="H186" s="14">
        <f t="shared" si="2"/>
        <v>-1.3417469793079229E-2</v>
      </c>
    </row>
    <row r="187" spans="1:8" x14ac:dyDescent="0.25">
      <c r="A187" s="46">
        <v>44830</v>
      </c>
      <c r="B187" s="14">
        <v>38.159999999999997</v>
      </c>
      <c r="C187" s="14">
        <v>39.099997999999999</v>
      </c>
      <c r="D187" s="14">
        <v>38.099997999999999</v>
      </c>
      <c r="E187" s="14">
        <v>38.130001</v>
      </c>
      <c r="F187" s="14">
        <v>36.871765000000003</v>
      </c>
      <c r="G187" s="14">
        <v>5571700</v>
      </c>
      <c r="H187" s="14">
        <f t="shared" si="2"/>
        <v>5.3333155555555694E-3</v>
      </c>
    </row>
    <row r="188" spans="1:8" x14ac:dyDescent="0.25">
      <c r="A188" s="46">
        <v>44831</v>
      </c>
      <c r="B188" s="14">
        <v>38.520000000000003</v>
      </c>
      <c r="C188" s="14">
        <v>38.590000000000003</v>
      </c>
      <c r="D188" s="14">
        <v>37.270000000000003</v>
      </c>
      <c r="E188" s="14">
        <v>37.57</v>
      </c>
      <c r="F188" s="14">
        <v>36.330241999999998</v>
      </c>
      <c r="G188" s="14">
        <v>5298000</v>
      </c>
      <c r="H188" s="14">
        <f t="shared" si="2"/>
        <v>-2.1784725553003814E-2</v>
      </c>
    </row>
    <row r="189" spans="1:8" x14ac:dyDescent="0.25">
      <c r="A189" s="46">
        <v>44832</v>
      </c>
      <c r="B189" s="14">
        <v>37.599997999999999</v>
      </c>
      <c r="C189" s="14">
        <v>38.82</v>
      </c>
      <c r="D189" s="14">
        <v>37.549999</v>
      </c>
      <c r="E189" s="14">
        <v>38.610000999999997</v>
      </c>
      <c r="F189" s="14">
        <v>37.335929999999998</v>
      </c>
      <c r="G189" s="14">
        <v>4452700</v>
      </c>
      <c r="H189" s="14">
        <f t="shared" si="2"/>
        <v>7.5127180037561914E-3</v>
      </c>
    </row>
    <row r="190" spans="1:8" x14ac:dyDescent="0.25">
      <c r="A190" s="46">
        <v>44833</v>
      </c>
      <c r="B190" s="14">
        <v>37.959999000000003</v>
      </c>
      <c r="C190" s="14">
        <v>38.060001</v>
      </c>
      <c r="D190" s="14">
        <v>37.279998999999997</v>
      </c>
      <c r="E190" s="14">
        <v>37.689999</v>
      </c>
      <c r="F190" s="14">
        <v>36.446285000000003</v>
      </c>
      <c r="G190" s="14">
        <v>4211800</v>
      </c>
      <c r="H190" s="14">
        <f t="shared" si="2"/>
        <v>-7.1904129744451151E-3</v>
      </c>
    </row>
    <row r="191" spans="1:8" x14ac:dyDescent="0.25">
      <c r="A191" s="46">
        <v>44834</v>
      </c>
      <c r="B191" s="14">
        <v>37.409999999999997</v>
      </c>
      <c r="C191" s="14">
        <v>37.959999000000003</v>
      </c>
      <c r="D191" s="14">
        <v>36.759998000000003</v>
      </c>
      <c r="E191" s="14">
        <v>36.810001</v>
      </c>
      <c r="F191" s="14">
        <v>35.595325000000003</v>
      </c>
      <c r="G191" s="14">
        <v>5953300</v>
      </c>
      <c r="H191" s="14">
        <f t="shared" si="2"/>
        <v>-1.394852505226718E-2</v>
      </c>
    </row>
    <row r="192" spans="1:8" x14ac:dyDescent="0.25">
      <c r="A192" s="46">
        <v>44837</v>
      </c>
      <c r="B192" s="14">
        <v>36.939999</v>
      </c>
      <c r="C192" s="14">
        <v>37.619999</v>
      </c>
      <c r="D192" s="14">
        <v>36.18</v>
      </c>
      <c r="E192" s="14">
        <v>37.220001000000003</v>
      </c>
      <c r="F192" s="14">
        <v>35.991790999999999</v>
      </c>
      <c r="G192" s="14">
        <v>8930300</v>
      </c>
      <c r="H192" s="14">
        <f t="shared" si="2"/>
        <v>-5.2593220126581075E-3</v>
      </c>
    </row>
    <row r="193" spans="1:8" x14ac:dyDescent="0.25">
      <c r="A193" s="46">
        <v>44838</v>
      </c>
      <c r="B193" s="14">
        <v>38.110000999999997</v>
      </c>
      <c r="C193" s="14">
        <v>39.18</v>
      </c>
      <c r="D193" s="14">
        <v>38.090000000000003</v>
      </c>
      <c r="E193" s="14">
        <v>38.669998</v>
      </c>
      <c r="F193" s="14">
        <v>37.393948000000002</v>
      </c>
      <c r="G193" s="14">
        <v>8189800</v>
      </c>
      <c r="H193" s="14">
        <f t="shared" si="2"/>
        <v>5.2791597567717119E-2</v>
      </c>
    </row>
    <row r="194" spans="1:8" x14ac:dyDescent="0.25">
      <c r="A194" s="46">
        <v>44839</v>
      </c>
      <c r="B194" s="14">
        <v>38.25</v>
      </c>
      <c r="C194" s="14">
        <v>39.490001999999997</v>
      </c>
      <c r="D194" s="14">
        <v>38.18</v>
      </c>
      <c r="E194" s="14">
        <v>39.119999</v>
      </c>
      <c r="F194" s="14">
        <v>37.829101999999999</v>
      </c>
      <c r="G194" s="14">
        <v>7290500</v>
      </c>
      <c r="H194" s="14">
        <f t="shared" si="2"/>
        <v>2.3628248884219882E-3</v>
      </c>
    </row>
    <row r="195" spans="1:8" x14ac:dyDescent="0.25">
      <c r="A195" s="46">
        <v>44840</v>
      </c>
      <c r="B195" s="14">
        <v>38.950001</v>
      </c>
      <c r="C195" s="14">
        <v>39.630001</v>
      </c>
      <c r="D195" s="14">
        <v>38.840000000000003</v>
      </c>
      <c r="E195" s="14">
        <v>38.889999000000003</v>
      </c>
      <c r="F195" s="14">
        <v>37.606689000000003</v>
      </c>
      <c r="G195" s="14">
        <v>6471800</v>
      </c>
      <c r="H195" s="14">
        <f t="shared" si="2"/>
        <v>1.7286537454164641E-2</v>
      </c>
    </row>
    <row r="196" spans="1:8" x14ac:dyDescent="0.25">
      <c r="A196" s="46">
        <v>44841</v>
      </c>
      <c r="B196" s="14">
        <v>38.509998000000003</v>
      </c>
      <c r="C196" s="14">
        <v>38.580002</v>
      </c>
      <c r="D196" s="14">
        <v>37.419998</v>
      </c>
      <c r="E196" s="14">
        <v>37.549999</v>
      </c>
      <c r="F196" s="14">
        <v>36.310901999999999</v>
      </c>
      <c r="G196" s="14">
        <v>6731600</v>
      </c>
      <c r="H196" s="14">
        <f t="shared" ref="H196:H259" si="3">(D196/D195-1)/(A196-A195)</f>
        <v>-3.6560298661174162E-2</v>
      </c>
    </row>
    <row r="197" spans="1:8" x14ac:dyDescent="0.25">
      <c r="A197" s="46">
        <v>44844</v>
      </c>
      <c r="B197" s="14">
        <v>37.909999999999997</v>
      </c>
      <c r="C197" s="14">
        <v>38.090000000000003</v>
      </c>
      <c r="D197" s="14">
        <v>37.290000999999997</v>
      </c>
      <c r="E197" s="14">
        <v>37.560001</v>
      </c>
      <c r="F197" s="14">
        <v>36.320576000000003</v>
      </c>
      <c r="G197" s="14">
        <v>5192100</v>
      </c>
      <c r="H197" s="14">
        <f t="shared" si="3"/>
        <v>-1.1579993492606411E-3</v>
      </c>
    </row>
    <row r="198" spans="1:8" x14ac:dyDescent="0.25">
      <c r="A198" s="46">
        <v>44845</v>
      </c>
      <c r="B198" s="14">
        <v>37.209999000000003</v>
      </c>
      <c r="C198" s="14">
        <v>37.799999</v>
      </c>
      <c r="D198" s="14">
        <v>36.619999</v>
      </c>
      <c r="E198" s="14">
        <v>36.950001</v>
      </c>
      <c r="F198" s="14">
        <v>35.730705</v>
      </c>
      <c r="G198" s="14">
        <v>6222400</v>
      </c>
      <c r="H198" s="14">
        <f t="shared" si="3"/>
        <v>-1.7967336605863804E-2</v>
      </c>
    </row>
    <row r="199" spans="1:8" x14ac:dyDescent="0.25">
      <c r="A199" s="46">
        <v>44846</v>
      </c>
      <c r="B199" s="14">
        <v>36.990001999999997</v>
      </c>
      <c r="C199" s="14">
        <v>37.240001999999997</v>
      </c>
      <c r="D199" s="14">
        <v>36.610000999999997</v>
      </c>
      <c r="E199" s="14">
        <v>37.130001</v>
      </c>
      <c r="F199" s="14">
        <v>35.904766000000002</v>
      </c>
      <c r="G199" s="14">
        <v>6324300</v>
      </c>
      <c r="H199" s="14">
        <f t="shared" si="3"/>
        <v>-2.7302021499242546E-4</v>
      </c>
    </row>
    <row r="200" spans="1:8" x14ac:dyDescent="0.25">
      <c r="A200" s="46">
        <v>44847</v>
      </c>
      <c r="B200" s="14">
        <v>36.209999000000003</v>
      </c>
      <c r="C200" s="14">
        <v>38.340000000000003</v>
      </c>
      <c r="D200" s="14">
        <v>35.919998</v>
      </c>
      <c r="E200" s="14">
        <v>37.959999000000003</v>
      </c>
      <c r="F200" s="14">
        <v>36.707374999999999</v>
      </c>
      <c r="G200" s="14">
        <v>7866600</v>
      </c>
      <c r="H200" s="14">
        <f t="shared" si="3"/>
        <v>-1.8847390908293016E-2</v>
      </c>
    </row>
    <row r="201" spans="1:8" x14ac:dyDescent="0.25">
      <c r="A201" s="46">
        <v>44848</v>
      </c>
      <c r="B201" s="14">
        <v>38.299999</v>
      </c>
      <c r="C201" s="14">
        <v>38.459999000000003</v>
      </c>
      <c r="D201" s="14">
        <v>37.009998000000003</v>
      </c>
      <c r="E201" s="14">
        <v>37.080002</v>
      </c>
      <c r="F201" s="14">
        <v>35.856422000000002</v>
      </c>
      <c r="G201" s="14">
        <v>5716900</v>
      </c>
      <c r="H201" s="14">
        <f t="shared" si="3"/>
        <v>3.034521327089168E-2</v>
      </c>
    </row>
    <row r="202" spans="1:8" x14ac:dyDescent="0.25">
      <c r="A202" s="46">
        <v>44851</v>
      </c>
      <c r="B202" s="14">
        <v>38.009998000000003</v>
      </c>
      <c r="C202" s="14">
        <v>38.450001</v>
      </c>
      <c r="D202" s="14">
        <v>37.790000999999997</v>
      </c>
      <c r="E202" s="14">
        <v>37.849997999999999</v>
      </c>
      <c r="F202" s="14">
        <v>36.601005999999998</v>
      </c>
      <c r="G202" s="14">
        <v>5976000</v>
      </c>
      <c r="H202" s="14">
        <f t="shared" si="3"/>
        <v>7.0251557430508109E-3</v>
      </c>
    </row>
    <row r="203" spans="1:8" x14ac:dyDescent="0.25">
      <c r="A203" s="46">
        <v>44852</v>
      </c>
      <c r="B203" s="14">
        <v>38.990001999999997</v>
      </c>
      <c r="C203" s="14">
        <v>39.32</v>
      </c>
      <c r="D203" s="14">
        <v>38.159999999999997</v>
      </c>
      <c r="E203" s="14">
        <v>38.5</v>
      </c>
      <c r="F203" s="14">
        <v>37.229557</v>
      </c>
      <c r="G203" s="14">
        <v>5326500</v>
      </c>
      <c r="H203" s="14">
        <f t="shared" si="3"/>
        <v>9.7909232656543388E-3</v>
      </c>
    </row>
    <row r="204" spans="1:8" x14ac:dyDescent="0.25">
      <c r="A204" s="46">
        <v>44853</v>
      </c>
      <c r="B204" s="14">
        <v>38.279998999999997</v>
      </c>
      <c r="C204" s="14">
        <v>38.639999000000003</v>
      </c>
      <c r="D204" s="14">
        <v>37.279998999999997</v>
      </c>
      <c r="E204" s="14">
        <v>37.810001</v>
      </c>
      <c r="F204" s="14">
        <v>36.562325000000001</v>
      </c>
      <c r="G204" s="14">
        <v>5097700</v>
      </c>
      <c r="H204" s="14">
        <f t="shared" si="3"/>
        <v>-2.3060822851153073E-2</v>
      </c>
    </row>
    <row r="205" spans="1:8" x14ac:dyDescent="0.25">
      <c r="A205" s="46">
        <v>44854</v>
      </c>
      <c r="B205" s="14">
        <v>37.700001</v>
      </c>
      <c r="C205" s="14">
        <v>38.659999999999997</v>
      </c>
      <c r="D205" s="14">
        <v>37.479999999999997</v>
      </c>
      <c r="E205" s="14">
        <v>37.619999</v>
      </c>
      <c r="F205" s="14">
        <v>36.378590000000003</v>
      </c>
      <c r="G205" s="14">
        <v>5105200</v>
      </c>
      <c r="H205" s="14">
        <f t="shared" si="3"/>
        <v>5.364833834893723E-3</v>
      </c>
    </row>
    <row r="206" spans="1:8" x14ac:dyDescent="0.25">
      <c r="A206" s="46">
        <v>44855</v>
      </c>
      <c r="B206" s="14">
        <v>37.409999999999997</v>
      </c>
      <c r="C206" s="14">
        <v>38.450001</v>
      </c>
      <c r="D206" s="14">
        <v>37.080002</v>
      </c>
      <c r="E206" s="14">
        <v>38.409999999999997</v>
      </c>
      <c r="F206" s="14">
        <v>37.142524999999999</v>
      </c>
      <c r="G206" s="14">
        <v>4449300</v>
      </c>
      <c r="H206" s="14">
        <f t="shared" si="3"/>
        <v>-1.0672305229455614E-2</v>
      </c>
    </row>
    <row r="207" spans="1:8" x14ac:dyDescent="0.25">
      <c r="A207" s="46">
        <v>44858</v>
      </c>
      <c r="B207" s="14">
        <v>38.409999999999997</v>
      </c>
      <c r="C207" s="14">
        <v>38.82</v>
      </c>
      <c r="D207" s="14">
        <v>37.599997999999999</v>
      </c>
      <c r="E207" s="14">
        <v>38.68</v>
      </c>
      <c r="F207" s="14">
        <v>37.403618000000002</v>
      </c>
      <c r="G207" s="14">
        <v>5899100</v>
      </c>
      <c r="H207" s="14">
        <f t="shared" si="3"/>
        <v>4.6745412796903212E-3</v>
      </c>
    </row>
    <row r="208" spans="1:8" x14ac:dyDescent="0.25">
      <c r="A208" s="46">
        <v>44859</v>
      </c>
      <c r="B208" s="14">
        <v>38.610000999999997</v>
      </c>
      <c r="C208" s="14">
        <v>39.119999</v>
      </c>
      <c r="D208" s="14">
        <v>38.139999000000003</v>
      </c>
      <c r="E208" s="14">
        <v>38.970001000000003</v>
      </c>
      <c r="F208" s="14">
        <v>37.684052000000001</v>
      </c>
      <c r="G208" s="14">
        <v>6544200</v>
      </c>
      <c r="H208" s="14">
        <f t="shared" si="3"/>
        <v>1.4361729487326169E-2</v>
      </c>
    </row>
    <row r="209" spans="1:8" x14ac:dyDescent="0.25">
      <c r="A209" s="46">
        <v>44860</v>
      </c>
      <c r="B209" s="14">
        <v>38.990001999999997</v>
      </c>
      <c r="C209" s="14">
        <v>40.560001</v>
      </c>
      <c r="D209" s="14">
        <v>38.919998</v>
      </c>
      <c r="E209" s="14">
        <v>39.57</v>
      </c>
      <c r="F209" s="14">
        <v>38.264251999999999</v>
      </c>
      <c r="G209" s="14">
        <v>5856200</v>
      </c>
      <c r="H209" s="14">
        <f t="shared" si="3"/>
        <v>2.0450944427135243E-2</v>
      </c>
    </row>
    <row r="210" spans="1:8" x14ac:dyDescent="0.25">
      <c r="A210" s="46">
        <v>44861</v>
      </c>
      <c r="B210" s="14">
        <v>39.700001</v>
      </c>
      <c r="C210" s="14">
        <v>40.630001</v>
      </c>
      <c r="D210" s="14">
        <v>39.619999</v>
      </c>
      <c r="E210" s="14">
        <v>39.849997999999999</v>
      </c>
      <c r="F210" s="14">
        <v>38.535007</v>
      </c>
      <c r="G210" s="14">
        <v>6130400</v>
      </c>
      <c r="H210" s="14">
        <f t="shared" si="3"/>
        <v>1.7985638128758419E-2</v>
      </c>
    </row>
    <row r="211" spans="1:8" x14ac:dyDescent="0.25">
      <c r="A211" s="46">
        <v>44862</v>
      </c>
      <c r="B211" s="14">
        <v>38.799999</v>
      </c>
      <c r="C211" s="14">
        <v>40.409999999999997</v>
      </c>
      <c r="D211" s="14">
        <v>38.479999999999997</v>
      </c>
      <c r="E211" s="14">
        <v>40.32</v>
      </c>
      <c r="F211" s="14">
        <v>38.989502000000002</v>
      </c>
      <c r="G211" s="14">
        <v>7750500</v>
      </c>
      <c r="H211" s="14">
        <f t="shared" si="3"/>
        <v>-2.8773322281002711E-2</v>
      </c>
    </row>
    <row r="212" spans="1:8" x14ac:dyDescent="0.25">
      <c r="A212" s="46">
        <v>44865</v>
      </c>
      <c r="B212" s="14">
        <v>40.349997999999999</v>
      </c>
      <c r="C212" s="14">
        <v>40.610000999999997</v>
      </c>
      <c r="D212" s="14">
        <v>39.419998</v>
      </c>
      <c r="E212" s="14">
        <v>39.840000000000003</v>
      </c>
      <c r="F212" s="14">
        <v>38.525337</v>
      </c>
      <c r="G212" s="14">
        <v>6860700</v>
      </c>
      <c r="H212" s="14">
        <f t="shared" si="3"/>
        <v>8.1427408177408758E-3</v>
      </c>
    </row>
    <row r="213" spans="1:8" x14ac:dyDescent="0.25">
      <c r="A213" s="46">
        <v>44866</v>
      </c>
      <c r="B213" s="14">
        <v>40.520000000000003</v>
      </c>
      <c r="C213" s="14">
        <v>40.840000000000003</v>
      </c>
      <c r="D213" s="14">
        <v>39.299999</v>
      </c>
      <c r="E213" s="14">
        <v>39.810001</v>
      </c>
      <c r="F213" s="14">
        <v>38.496333999999997</v>
      </c>
      <c r="G213" s="14">
        <v>4960300</v>
      </c>
      <c r="H213" s="14">
        <f t="shared" si="3"/>
        <v>-3.044114817053023E-3</v>
      </c>
    </row>
    <row r="214" spans="1:8" x14ac:dyDescent="0.25">
      <c r="A214" s="46">
        <v>44867</v>
      </c>
      <c r="B214" s="14">
        <v>39.919998</v>
      </c>
      <c r="C214" s="14">
        <v>40</v>
      </c>
      <c r="D214" s="14">
        <v>38.009998000000003</v>
      </c>
      <c r="E214" s="14">
        <v>38.060001</v>
      </c>
      <c r="F214" s="14">
        <v>36.804073000000002</v>
      </c>
      <c r="G214" s="14">
        <v>8531900</v>
      </c>
      <c r="H214" s="14">
        <f t="shared" si="3"/>
        <v>-3.282445376143639E-2</v>
      </c>
    </row>
    <row r="215" spans="1:8" x14ac:dyDescent="0.25">
      <c r="A215" s="46">
        <v>44868</v>
      </c>
      <c r="B215" s="14">
        <v>39.909999999999997</v>
      </c>
      <c r="C215" s="14">
        <v>40.93</v>
      </c>
      <c r="D215" s="14">
        <v>38.409999999999997</v>
      </c>
      <c r="E215" s="14">
        <v>38.82</v>
      </c>
      <c r="F215" s="14">
        <v>37.538994000000002</v>
      </c>
      <c r="G215" s="14">
        <v>14052700</v>
      </c>
      <c r="H215" s="14">
        <f t="shared" si="3"/>
        <v>1.0523599606608647E-2</v>
      </c>
    </row>
    <row r="216" spans="1:8" x14ac:dyDescent="0.25">
      <c r="A216" s="46">
        <v>44869</v>
      </c>
      <c r="B216" s="14">
        <v>39.470001000000003</v>
      </c>
      <c r="C216" s="14">
        <v>40.779998999999997</v>
      </c>
      <c r="D216" s="14">
        <v>39.029998999999997</v>
      </c>
      <c r="E216" s="14">
        <v>40.07</v>
      </c>
      <c r="F216" s="14">
        <v>38.747753000000003</v>
      </c>
      <c r="G216" s="14">
        <v>7329900</v>
      </c>
      <c r="H216" s="14">
        <f t="shared" si="3"/>
        <v>1.6141603749023625E-2</v>
      </c>
    </row>
    <row r="217" spans="1:8" x14ac:dyDescent="0.25">
      <c r="A217" s="46">
        <v>44872</v>
      </c>
      <c r="B217" s="14">
        <v>40.369999</v>
      </c>
      <c r="C217" s="14">
        <v>40.659999999999997</v>
      </c>
      <c r="D217" s="14">
        <v>39.369999</v>
      </c>
      <c r="E217" s="14">
        <v>40.580002</v>
      </c>
      <c r="F217" s="14">
        <v>39.240924999999997</v>
      </c>
      <c r="G217" s="14">
        <v>5258300</v>
      </c>
      <c r="H217" s="14">
        <f t="shared" si="3"/>
        <v>2.9037493271094985E-3</v>
      </c>
    </row>
    <row r="218" spans="1:8" x14ac:dyDescent="0.25">
      <c r="A218" s="46">
        <v>44873</v>
      </c>
      <c r="B218" s="14">
        <v>40.580002</v>
      </c>
      <c r="C218" s="14">
        <v>42.240001999999997</v>
      </c>
      <c r="D218" s="14">
        <v>40.220001000000003</v>
      </c>
      <c r="E218" s="14">
        <v>41.599997999999999</v>
      </c>
      <c r="F218" s="14">
        <v>40.227263999999998</v>
      </c>
      <c r="G218" s="14">
        <v>7889100</v>
      </c>
      <c r="H218" s="14">
        <f t="shared" si="3"/>
        <v>2.159009452857763E-2</v>
      </c>
    </row>
    <row r="219" spans="1:8" x14ac:dyDescent="0.25">
      <c r="A219" s="46">
        <v>44874</v>
      </c>
      <c r="B219" s="14">
        <v>41.349997999999999</v>
      </c>
      <c r="C219" s="14">
        <v>41.459999000000003</v>
      </c>
      <c r="D219" s="14">
        <v>40.490001999999997</v>
      </c>
      <c r="E219" s="14">
        <v>40.57</v>
      </c>
      <c r="F219" s="14">
        <v>39.231251</v>
      </c>
      <c r="G219" s="14">
        <v>5208100</v>
      </c>
      <c r="H219" s="14">
        <f t="shared" si="3"/>
        <v>6.7131027669540266E-3</v>
      </c>
    </row>
    <row r="220" spans="1:8" x14ac:dyDescent="0.25">
      <c r="A220" s="46">
        <v>44875</v>
      </c>
      <c r="B220" s="14">
        <v>42.490001999999997</v>
      </c>
      <c r="C220" s="14">
        <v>44.799999</v>
      </c>
      <c r="D220" s="14">
        <v>42.259998000000003</v>
      </c>
      <c r="E220" s="14">
        <v>44.66</v>
      </c>
      <c r="F220" s="14">
        <v>43.186283000000003</v>
      </c>
      <c r="G220" s="14">
        <v>9206000</v>
      </c>
      <c r="H220" s="14">
        <f t="shared" si="3"/>
        <v>4.3714396457673832E-2</v>
      </c>
    </row>
    <row r="221" spans="1:8" x14ac:dyDescent="0.25">
      <c r="A221" s="46">
        <v>44876</v>
      </c>
      <c r="B221" s="14">
        <v>45</v>
      </c>
      <c r="C221" s="14">
        <v>46.990001999999997</v>
      </c>
      <c r="D221" s="14">
        <v>44.740001999999997</v>
      </c>
      <c r="E221" s="14">
        <v>46.509998000000003</v>
      </c>
      <c r="F221" s="14">
        <v>44.975234999999998</v>
      </c>
      <c r="G221" s="14">
        <v>7298800</v>
      </c>
      <c r="H221" s="14">
        <f t="shared" si="3"/>
        <v>5.8684432498079975E-2</v>
      </c>
    </row>
    <row r="222" spans="1:8" x14ac:dyDescent="0.25">
      <c r="A222" s="46">
        <v>44879</v>
      </c>
      <c r="B222" s="14">
        <v>46.34</v>
      </c>
      <c r="C222" s="14">
        <v>46.889999000000003</v>
      </c>
      <c r="D222" s="14">
        <v>45.849997999999999</v>
      </c>
      <c r="E222" s="14">
        <v>45.91</v>
      </c>
      <c r="F222" s="14">
        <v>44.395035</v>
      </c>
      <c r="G222" s="14">
        <v>6188100</v>
      </c>
      <c r="H222" s="14">
        <f t="shared" si="3"/>
        <v>8.2699742987644154E-3</v>
      </c>
    </row>
    <row r="223" spans="1:8" x14ac:dyDescent="0.25">
      <c r="A223" s="46">
        <v>44880</v>
      </c>
      <c r="B223" s="14">
        <v>47.07</v>
      </c>
      <c r="C223" s="14">
        <v>47.130001</v>
      </c>
      <c r="D223" s="14">
        <v>46.029998999999997</v>
      </c>
      <c r="E223" s="14">
        <v>47.02</v>
      </c>
      <c r="F223" s="14">
        <v>45.468406999999999</v>
      </c>
      <c r="G223" s="14">
        <v>5466800</v>
      </c>
      <c r="H223" s="14">
        <f t="shared" si="3"/>
        <v>3.9258671287183411E-3</v>
      </c>
    </row>
    <row r="224" spans="1:8" x14ac:dyDescent="0.25">
      <c r="A224" s="46">
        <v>44881</v>
      </c>
      <c r="B224" s="14">
        <v>46.279998999999997</v>
      </c>
      <c r="C224" s="14">
        <v>46.459999000000003</v>
      </c>
      <c r="D224" s="14">
        <v>45.310001</v>
      </c>
      <c r="E224" s="14">
        <v>45.490001999999997</v>
      </c>
      <c r="F224" s="14">
        <v>43.988903000000001</v>
      </c>
      <c r="G224" s="14">
        <v>5263300</v>
      </c>
      <c r="H224" s="14">
        <f t="shared" si="3"/>
        <v>-1.5641929516444164E-2</v>
      </c>
    </row>
    <row r="225" spans="1:8" x14ac:dyDescent="0.25">
      <c r="A225" s="46">
        <v>44882</v>
      </c>
      <c r="B225" s="14">
        <v>44.66</v>
      </c>
      <c r="C225" s="14">
        <v>45.650002000000001</v>
      </c>
      <c r="D225" s="14">
        <v>44.57</v>
      </c>
      <c r="E225" s="14">
        <v>45.470001000000003</v>
      </c>
      <c r="F225" s="14">
        <v>43.969558999999997</v>
      </c>
      <c r="G225" s="14">
        <v>3617200</v>
      </c>
      <c r="H225" s="14">
        <f t="shared" si="3"/>
        <v>-1.6331957264798969E-2</v>
      </c>
    </row>
    <row r="226" spans="1:8" x14ac:dyDescent="0.25">
      <c r="A226" s="46">
        <v>44883</v>
      </c>
      <c r="B226" s="14">
        <v>46.119999</v>
      </c>
      <c r="C226" s="14">
        <v>46.150002000000001</v>
      </c>
      <c r="D226" s="14">
        <v>45.25</v>
      </c>
      <c r="E226" s="14">
        <v>45.68</v>
      </c>
      <c r="F226" s="14">
        <v>44.172634000000002</v>
      </c>
      <c r="G226" s="14">
        <v>3792000</v>
      </c>
      <c r="H226" s="14">
        <f t="shared" si="3"/>
        <v>1.5256899259591616E-2</v>
      </c>
    </row>
    <row r="227" spans="1:8" x14ac:dyDescent="0.25">
      <c r="A227" s="46">
        <v>44886</v>
      </c>
      <c r="B227" s="14">
        <v>45.360000999999997</v>
      </c>
      <c r="C227" s="14">
        <v>45.599997999999999</v>
      </c>
      <c r="D227" s="14">
        <v>44.540000999999997</v>
      </c>
      <c r="E227" s="14">
        <v>44.73</v>
      </c>
      <c r="F227" s="14">
        <v>43.253979000000001</v>
      </c>
      <c r="G227" s="14">
        <v>4096100</v>
      </c>
      <c r="H227" s="14">
        <f t="shared" si="3"/>
        <v>-5.2301952117863966E-3</v>
      </c>
    </row>
    <row r="228" spans="1:8" x14ac:dyDescent="0.25">
      <c r="A228" s="46">
        <v>44887</v>
      </c>
      <c r="B228" s="14">
        <v>44.880001</v>
      </c>
      <c r="C228" s="14">
        <v>45.16</v>
      </c>
      <c r="D228" s="14">
        <v>44.41</v>
      </c>
      <c r="E228" s="14">
        <v>45.130001</v>
      </c>
      <c r="F228" s="14">
        <v>43.640780999999997</v>
      </c>
      <c r="G228" s="14">
        <v>3817000</v>
      </c>
      <c r="H228" s="14">
        <f t="shared" si="3"/>
        <v>-2.9187471280029964E-3</v>
      </c>
    </row>
    <row r="229" spans="1:8" x14ac:dyDescent="0.25">
      <c r="A229" s="46">
        <v>44888</v>
      </c>
      <c r="B229" s="14">
        <v>45.349997999999999</v>
      </c>
      <c r="C229" s="14">
        <v>45.779998999999997</v>
      </c>
      <c r="D229" s="14">
        <v>45.110000999999997</v>
      </c>
      <c r="E229" s="14">
        <v>45.23</v>
      </c>
      <c r="F229" s="14">
        <v>43.737476000000001</v>
      </c>
      <c r="G229" s="14">
        <v>4981600</v>
      </c>
      <c r="H229" s="14">
        <f t="shared" si="3"/>
        <v>1.5762238234631853E-2</v>
      </c>
    </row>
    <row r="230" spans="1:8" x14ac:dyDescent="0.25">
      <c r="A230" s="46">
        <v>44890</v>
      </c>
      <c r="B230" s="14">
        <v>44.669998</v>
      </c>
      <c r="C230" s="14">
        <v>45.209999000000003</v>
      </c>
      <c r="D230" s="14">
        <v>44.560001</v>
      </c>
      <c r="E230" s="14">
        <v>45.040000999999997</v>
      </c>
      <c r="F230" s="14">
        <v>43.553744999999999</v>
      </c>
      <c r="G230" s="14">
        <v>2329800</v>
      </c>
      <c r="H230" s="14">
        <f t="shared" si="3"/>
        <v>-6.0962091310970967E-3</v>
      </c>
    </row>
    <row r="231" spans="1:8" x14ac:dyDescent="0.25">
      <c r="A231" s="46">
        <v>44893</v>
      </c>
      <c r="B231" s="14">
        <v>45</v>
      </c>
      <c r="C231" s="14">
        <v>45.389999000000003</v>
      </c>
      <c r="D231" s="14">
        <v>44.25</v>
      </c>
      <c r="E231" s="14">
        <v>44.330002</v>
      </c>
      <c r="F231" s="14">
        <v>42.867176000000001</v>
      </c>
      <c r="G231" s="14">
        <v>5878400</v>
      </c>
      <c r="H231" s="14">
        <f t="shared" si="3"/>
        <v>-2.3189781047506428E-3</v>
      </c>
    </row>
    <row r="232" spans="1:8" x14ac:dyDescent="0.25">
      <c r="A232" s="46">
        <v>44894</v>
      </c>
      <c r="B232" s="14">
        <v>44.599997999999999</v>
      </c>
      <c r="C232" s="14">
        <v>44.66</v>
      </c>
      <c r="D232" s="14">
        <v>43.619999</v>
      </c>
      <c r="E232" s="14">
        <v>43.77</v>
      </c>
      <c r="F232" s="14">
        <v>42.325648999999999</v>
      </c>
      <c r="G232" s="14">
        <v>4421400</v>
      </c>
      <c r="H232" s="14">
        <f t="shared" si="3"/>
        <v>-1.4237310734463327E-2</v>
      </c>
    </row>
    <row r="233" spans="1:8" x14ac:dyDescent="0.25">
      <c r="A233" s="46">
        <v>44895</v>
      </c>
      <c r="B233" s="14">
        <v>43.84</v>
      </c>
      <c r="C233" s="14">
        <v>45.630001</v>
      </c>
      <c r="D233" s="14">
        <v>43.529998999999997</v>
      </c>
      <c r="E233" s="14">
        <v>45.439999</v>
      </c>
      <c r="F233" s="14">
        <v>44.162520999999998</v>
      </c>
      <c r="G233" s="14">
        <v>8882300</v>
      </c>
      <c r="H233" s="14">
        <f t="shared" si="3"/>
        <v>-2.0632737749490815E-3</v>
      </c>
    </row>
    <row r="234" spans="1:8" x14ac:dyDescent="0.25">
      <c r="A234" s="46">
        <v>44896</v>
      </c>
      <c r="B234" s="14">
        <v>45.360000999999997</v>
      </c>
      <c r="C234" s="14">
        <v>46.09</v>
      </c>
      <c r="D234" s="14">
        <v>45.049999</v>
      </c>
      <c r="E234" s="14">
        <v>45.16</v>
      </c>
      <c r="F234" s="14">
        <v>43.890396000000003</v>
      </c>
      <c r="G234" s="14">
        <v>4785600</v>
      </c>
      <c r="H234" s="14">
        <f t="shared" si="3"/>
        <v>3.4918447850182721E-2</v>
      </c>
    </row>
    <row r="235" spans="1:8" x14ac:dyDescent="0.25">
      <c r="A235" s="46">
        <v>44897</v>
      </c>
      <c r="B235" s="14">
        <v>44.810001</v>
      </c>
      <c r="C235" s="14">
        <v>45.450001</v>
      </c>
      <c r="D235" s="14">
        <v>44.380001</v>
      </c>
      <c r="E235" s="14">
        <v>45.200001</v>
      </c>
      <c r="F235" s="14">
        <v>43.929271999999997</v>
      </c>
      <c r="G235" s="14">
        <v>4338000</v>
      </c>
      <c r="H235" s="14">
        <f t="shared" si="3"/>
        <v>-1.4872319974968295E-2</v>
      </c>
    </row>
    <row r="236" spans="1:8" x14ac:dyDescent="0.25">
      <c r="A236" s="46">
        <v>44900</v>
      </c>
      <c r="B236" s="14">
        <v>44.849997999999999</v>
      </c>
      <c r="C236" s="14">
        <v>44.919998</v>
      </c>
      <c r="D236" s="14">
        <v>43.82</v>
      </c>
      <c r="E236" s="14">
        <v>43.939999</v>
      </c>
      <c r="F236" s="14">
        <v>42.704692999999999</v>
      </c>
      <c r="G236" s="14">
        <v>4641100</v>
      </c>
      <c r="H236" s="14">
        <f t="shared" si="3"/>
        <v>-4.2061062594388092E-3</v>
      </c>
    </row>
    <row r="237" spans="1:8" x14ac:dyDescent="0.25">
      <c r="A237" s="46">
        <v>44901</v>
      </c>
      <c r="B237" s="14">
        <v>43.73</v>
      </c>
      <c r="C237" s="14">
        <v>43.82</v>
      </c>
      <c r="D237" s="14">
        <v>42.740001999999997</v>
      </c>
      <c r="E237" s="14">
        <v>43.349997999999999</v>
      </c>
      <c r="F237" s="14">
        <v>42.131275000000002</v>
      </c>
      <c r="G237" s="14">
        <v>8691500</v>
      </c>
      <c r="H237" s="14">
        <f t="shared" si="3"/>
        <v>-2.4646234596074956E-2</v>
      </c>
    </row>
    <row r="238" spans="1:8" x14ac:dyDescent="0.25">
      <c r="A238" s="46">
        <v>44902</v>
      </c>
      <c r="B238" s="14">
        <v>43.099997999999999</v>
      </c>
      <c r="C238" s="14">
        <v>43.919998</v>
      </c>
      <c r="D238" s="14">
        <v>42.959999000000003</v>
      </c>
      <c r="E238" s="14">
        <v>43.16</v>
      </c>
      <c r="F238" s="14">
        <v>41.946621</v>
      </c>
      <c r="G238" s="14">
        <v>5533200</v>
      </c>
      <c r="H238" s="14">
        <f t="shared" si="3"/>
        <v>5.1473324685387123E-3</v>
      </c>
    </row>
    <row r="239" spans="1:8" x14ac:dyDescent="0.25">
      <c r="A239" s="46">
        <v>44903</v>
      </c>
      <c r="B239" s="14">
        <v>43.5</v>
      </c>
      <c r="C239" s="14">
        <v>44.16</v>
      </c>
      <c r="D239" s="14">
        <v>43.259998000000003</v>
      </c>
      <c r="E239" s="14">
        <v>43.880001</v>
      </c>
      <c r="F239" s="14">
        <v>42.646380999999998</v>
      </c>
      <c r="G239" s="14">
        <v>3855000</v>
      </c>
      <c r="H239" s="14">
        <f t="shared" si="3"/>
        <v>6.9832171085477679E-3</v>
      </c>
    </row>
    <row r="240" spans="1:8" x14ac:dyDescent="0.25">
      <c r="A240" s="46">
        <v>44904</v>
      </c>
      <c r="B240" s="14">
        <v>43.529998999999997</v>
      </c>
      <c r="C240" s="14">
        <v>44.049999</v>
      </c>
      <c r="D240" s="14">
        <v>43.310001</v>
      </c>
      <c r="E240" s="14">
        <v>43.639999000000003</v>
      </c>
      <c r="F240" s="14">
        <v>42.413128</v>
      </c>
      <c r="G240" s="14">
        <v>4083600</v>
      </c>
      <c r="H240" s="14">
        <f t="shared" si="3"/>
        <v>1.1558715282418142E-3</v>
      </c>
    </row>
    <row r="241" spans="1:8" x14ac:dyDescent="0.25">
      <c r="A241" s="46">
        <v>44907</v>
      </c>
      <c r="B241" s="14">
        <v>43.700001</v>
      </c>
      <c r="C241" s="14">
        <v>43.73</v>
      </c>
      <c r="D241" s="14">
        <v>43.09</v>
      </c>
      <c r="E241" s="14">
        <v>43.720001000000003</v>
      </c>
      <c r="F241" s="14">
        <v>42.490875000000003</v>
      </c>
      <c r="G241" s="14">
        <v>4238100</v>
      </c>
      <c r="H241" s="14">
        <f t="shared" si="3"/>
        <v>-1.6932270832010765E-3</v>
      </c>
    </row>
    <row r="242" spans="1:8" x14ac:dyDescent="0.25">
      <c r="A242" s="46">
        <v>44908</v>
      </c>
      <c r="B242" s="14">
        <v>45.360000999999997</v>
      </c>
      <c r="C242" s="14">
        <v>45.860000999999997</v>
      </c>
      <c r="D242" s="14">
        <v>43.32</v>
      </c>
      <c r="E242" s="14">
        <v>43.720001000000003</v>
      </c>
      <c r="F242" s="14">
        <v>42.490875000000003</v>
      </c>
      <c r="G242" s="14">
        <v>5656600</v>
      </c>
      <c r="H242" s="14">
        <f t="shared" si="3"/>
        <v>5.3376653515895267E-3</v>
      </c>
    </row>
    <row r="243" spans="1:8" x14ac:dyDescent="0.25">
      <c r="A243" s="46">
        <v>44909</v>
      </c>
      <c r="B243" s="14">
        <v>43.610000999999997</v>
      </c>
      <c r="C243" s="14">
        <v>44.290000999999997</v>
      </c>
      <c r="D243" s="14">
        <v>42.900002000000001</v>
      </c>
      <c r="E243" s="14">
        <v>43.75</v>
      </c>
      <c r="F243" s="14">
        <v>42.520035</v>
      </c>
      <c r="G243" s="14">
        <v>5659400</v>
      </c>
      <c r="H243" s="14">
        <f t="shared" si="3"/>
        <v>-9.6952446906740652E-3</v>
      </c>
    </row>
    <row r="244" spans="1:8" x14ac:dyDescent="0.25">
      <c r="A244" s="46">
        <v>44910</v>
      </c>
      <c r="B244" s="14">
        <v>43.060001</v>
      </c>
      <c r="C244" s="14">
        <v>43.150002000000001</v>
      </c>
      <c r="D244" s="14">
        <v>42.009998000000003</v>
      </c>
      <c r="E244" s="14">
        <v>42.290000999999997</v>
      </c>
      <c r="F244" s="14">
        <v>41.101078000000001</v>
      </c>
      <c r="G244" s="14">
        <v>5167300</v>
      </c>
      <c r="H244" s="14">
        <f t="shared" si="3"/>
        <v>-2.0746013018833831E-2</v>
      </c>
    </row>
    <row r="245" spans="1:8" x14ac:dyDescent="0.25">
      <c r="A245" s="46">
        <v>44911</v>
      </c>
      <c r="B245" s="14">
        <v>42.040000999999997</v>
      </c>
      <c r="C245" s="14">
        <v>42.150002000000001</v>
      </c>
      <c r="D245" s="14">
        <v>40.619999</v>
      </c>
      <c r="E245" s="14">
        <v>41</v>
      </c>
      <c r="F245" s="14">
        <v>39.847346999999999</v>
      </c>
      <c r="G245" s="14">
        <v>14561000</v>
      </c>
      <c r="H245" s="14">
        <f t="shared" si="3"/>
        <v>-3.3087337923700999E-2</v>
      </c>
    </row>
    <row r="246" spans="1:8" x14ac:dyDescent="0.25">
      <c r="A246" s="46">
        <v>44914</v>
      </c>
      <c r="B246" s="14">
        <v>41.080002</v>
      </c>
      <c r="C246" s="14">
        <v>41.41</v>
      </c>
      <c r="D246" s="14">
        <v>40.639999000000003</v>
      </c>
      <c r="E246" s="14">
        <v>41.34</v>
      </c>
      <c r="F246" s="14">
        <v>40.177784000000003</v>
      </c>
      <c r="G246" s="14">
        <v>7817400</v>
      </c>
      <c r="H246" s="14">
        <f t="shared" si="3"/>
        <v>1.6412276786777666E-4</v>
      </c>
    </row>
    <row r="247" spans="1:8" x14ac:dyDescent="0.25">
      <c r="A247" s="46">
        <v>44915</v>
      </c>
      <c r="B247" s="14">
        <v>41.439999</v>
      </c>
      <c r="C247" s="14">
        <v>41.470001000000003</v>
      </c>
      <c r="D247" s="14">
        <v>40.650002000000001</v>
      </c>
      <c r="E247" s="14">
        <v>40.970001000000003</v>
      </c>
      <c r="F247" s="14">
        <v>39.818192000000003</v>
      </c>
      <c r="G247" s="14">
        <v>4273300</v>
      </c>
      <c r="H247" s="14">
        <f t="shared" si="3"/>
        <v>2.4613681708007817E-4</v>
      </c>
    </row>
    <row r="248" spans="1:8" x14ac:dyDescent="0.25">
      <c r="A248" s="46">
        <v>44916</v>
      </c>
      <c r="B248" s="14">
        <v>41.27</v>
      </c>
      <c r="C248" s="14">
        <v>41.5</v>
      </c>
      <c r="D248" s="14">
        <v>41.009998000000003</v>
      </c>
      <c r="E248" s="14">
        <v>41.279998999999997</v>
      </c>
      <c r="F248" s="14">
        <v>40.119472999999999</v>
      </c>
      <c r="G248" s="14">
        <v>4050000</v>
      </c>
      <c r="H248" s="14">
        <f t="shared" si="3"/>
        <v>8.8559897241826668E-3</v>
      </c>
    </row>
    <row r="249" spans="1:8" x14ac:dyDescent="0.25">
      <c r="A249" s="46">
        <v>44917</v>
      </c>
      <c r="B249" s="14">
        <v>40.630001</v>
      </c>
      <c r="C249" s="14">
        <v>40.720001000000003</v>
      </c>
      <c r="D249" s="14">
        <v>39.479999999999997</v>
      </c>
      <c r="E249" s="14">
        <v>40.119999</v>
      </c>
      <c r="F249" s="14">
        <v>38.992085000000003</v>
      </c>
      <c r="G249" s="14">
        <v>3930500</v>
      </c>
      <c r="H249" s="14">
        <f t="shared" si="3"/>
        <v>-3.7307926715821949E-2</v>
      </c>
    </row>
    <row r="250" spans="1:8" x14ac:dyDescent="0.25">
      <c r="A250" s="46">
        <v>44918</v>
      </c>
      <c r="B250" s="14">
        <v>39.860000999999997</v>
      </c>
      <c r="C250" s="14">
        <v>40.330002</v>
      </c>
      <c r="D250" s="14">
        <v>39.529998999999997</v>
      </c>
      <c r="E250" s="14">
        <v>40.169998</v>
      </c>
      <c r="F250" s="14">
        <v>39.040675999999998</v>
      </c>
      <c r="G250" s="14">
        <v>2421200</v>
      </c>
      <c r="H250" s="14">
        <f t="shared" si="3"/>
        <v>1.2664387031409152E-3</v>
      </c>
    </row>
    <row r="251" spans="1:8" x14ac:dyDescent="0.25">
      <c r="A251" s="46">
        <v>44922</v>
      </c>
      <c r="B251" s="14">
        <v>40.110000999999997</v>
      </c>
      <c r="C251" s="14">
        <v>40.369999</v>
      </c>
      <c r="D251" s="14">
        <v>39.700001</v>
      </c>
      <c r="E251" s="14">
        <v>40.080002</v>
      </c>
      <c r="F251" s="14">
        <v>38.953212999999998</v>
      </c>
      <c r="G251" s="14">
        <v>3953700</v>
      </c>
      <c r="H251" s="14">
        <f t="shared" si="3"/>
        <v>1.0751454863431875E-3</v>
      </c>
    </row>
    <row r="252" spans="1:8" x14ac:dyDescent="0.25">
      <c r="A252" s="46">
        <v>44923</v>
      </c>
      <c r="B252" s="14">
        <v>40.060001</v>
      </c>
      <c r="C252" s="14">
        <v>40.400002000000001</v>
      </c>
      <c r="D252" s="14">
        <v>39.759998000000003</v>
      </c>
      <c r="E252" s="14">
        <v>39.919998</v>
      </c>
      <c r="F252" s="14">
        <v>38.797710000000002</v>
      </c>
      <c r="G252" s="14">
        <v>3551000</v>
      </c>
      <c r="H252" s="14">
        <f t="shared" si="3"/>
        <v>1.5112594077768549E-3</v>
      </c>
    </row>
    <row r="253" spans="1:8" x14ac:dyDescent="0.25">
      <c r="A253" s="46">
        <v>44924</v>
      </c>
      <c r="B253" s="14">
        <v>40.270000000000003</v>
      </c>
      <c r="C253" s="14">
        <v>41.919998</v>
      </c>
      <c r="D253" s="14">
        <v>40.07</v>
      </c>
      <c r="E253" s="14">
        <v>41.82</v>
      </c>
      <c r="F253" s="14">
        <v>40.644295</v>
      </c>
      <c r="G253" s="14">
        <v>6385400</v>
      </c>
      <c r="H253" s="14">
        <f t="shared" si="3"/>
        <v>7.7968313781102694E-3</v>
      </c>
    </row>
    <row r="254" spans="1:8" x14ac:dyDescent="0.25">
      <c r="A254" s="46">
        <v>44925</v>
      </c>
      <c r="B254" s="14">
        <v>41.240001999999997</v>
      </c>
      <c r="C254" s="14">
        <v>41.490001999999997</v>
      </c>
      <c r="D254" s="14">
        <v>40.98</v>
      </c>
      <c r="E254" s="14">
        <v>41.470001000000003</v>
      </c>
      <c r="F254" s="14">
        <v>40.304133999999998</v>
      </c>
      <c r="G254" s="14">
        <v>4430300</v>
      </c>
      <c r="H254" s="14">
        <f t="shared" si="3"/>
        <v>2.2710257050162053E-2</v>
      </c>
    </row>
    <row r="255" spans="1:8" x14ac:dyDescent="0.25">
      <c r="A255" s="46">
        <v>44929</v>
      </c>
      <c r="B255" s="14">
        <v>42.080002</v>
      </c>
      <c r="C255" s="14">
        <v>42.66</v>
      </c>
      <c r="D255" s="14">
        <v>41.540000999999997</v>
      </c>
      <c r="E255" s="14">
        <v>42.150002000000001</v>
      </c>
      <c r="F255" s="14">
        <v>40.965018999999998</v>
      </c>
      <c r="G255" s="14">
        <v>4494900</v>
      </c>
      <c r="H255" s="14">
        <f t="shared" si="3"/>
        <v>3.4163067349926579E-3</v>
      </c>
    </row>
    <row r="256" spans="1:8" x14ac:dyDescent="0.25">
      <c r="A256" s="46">
        <v>44930</v>
      </c>
      <c r="B256" s="14">
        <v>42.790000999999997</v>
      </c>
      <c r="C256" s="14">
        <v>43.34</v>
      </c>
      <c r="D256" s="14">
        <v>42.279998999999997</v>
      </c>
      <c r="E256" s="14">
        <v>43.09</v>
      </c>
      <c r="F256" s="14">
        <v>41.878585999999999</v>
      </c>
      <c r="G256" s="14">
        <v>3743500</v>
      </c>
      <c r="H256" s="14">
        <f t="shared" si="3"/>
        <v>1.7814106456087941E-2</v>
      </c>
    </row>
    <row r="257" spans="1:8" x14ac:dyDescent="0.25">
      <c r="A257" s="46">
        <v>44931</v>
      </c>
      <c r="B257" s="14">
        <v>43.009998000000003</v>
      </c>
      <c r="C257" s="14">
        <v>43.360000999999997</v>
      </c>
      <c r="D257" s="14">
        <v>42.529998999999997</v>
      </c>
      <c r="E257" s="14">
        <v>43.099997999999999</v>
      </c>
      <c r="F257" s="14">
        <v>41.888309</v>
      </c>
      <c r="G257" s="14">
        <v>3748100</v>
      </c>
      <c r="H257" s="14">
        <f t="shared" si="3"/>
        <v>5.9129613508268619E-3</v>
      </c>
    </row>
    <row r="258" spans="1:8" x14ac:dyDescent="0.25">
      <c r="A258" s="46">
        <v>44932</v>
      </c>
      <c r="B258" s="14">
        <v>43.619999</v>
      </c>
      <c r="C258" s="14">
        <v>45.450001</v>
      </c>
      <c r="D258" s="14">
        <v>43.060001</v>
      </c>
      <c r="E258" s="14">
        <v>45.110000999999997</v>
      </c>
      <c r="F258" s="14">
        <v>43.841800999999997</v>
      </c>
      <c r="G258" s="14">
        <v>5293700</v>
      </c>
      <c r="H258" s="14">
        <f t="shared" si="3"/>
        <v>1.2461838995105667E-2</v>
      </c>
    </row>
    <row r="259" spans="1:8" x14ac:dyDescent="0.25">
      <c r="A259" s="46">
        <v>44935</v>
      </c>
      <c r="B259" s="14">
        <v>44.759998000000003</v>
      </c>
      <c r="C259" s="14">
        <v>45.439999</v>
      </c>
      <c r="D259" s="14">
        <v>43.439999</v>
      </c>
      <c r="E259" s="14">
        <v>43.52</v>
      </c>
      <c r="F259" s="14">
        <v>42.296497000000002</v>
      </c>
      <c r="G259" s="14">
        <v>7096400</v>
      </c>
      <c r="H259" s="14">
        <f t="shared" si="3"/>
        <v>2.9416162809657496E-3</v>
      </c>
    </row>
    <row r="260" spans="1:8" x14ac:dyDescent="0.25">
      <c r="A260" s="46">
        <v>44936</v>
      </c>
      <c r="B260" s="14">
        <v>43.32</v>
      </c>
      <c r="C260" s="14">
        <v>45.130001</v>
      </c>
      <c r="D260" s="14">
        <v>43.32</v>
      </c>
      <c r="E260" s="14">
        <v>45.09</v>
      </c>
      <c r="F260" s="14">
        <v>43.822361000000001</v>
      </c>
      <c r="G260" s="14">
        <v>4432600</v>
      </c>
      <c r="H260" s="14">
        <f t="shared" ref="H260:H323" si="4">(D260/D259-1)/(A260-A259)</f>
        <v>-2.7624079825600001E-3</v>
      </c>
    </row>
    <row r="261" spans="1:8" x14ac:dyDescent="0.25">
      <c r="A261" s="46">
        <v>44937</v>
      </c>
      <c r="B261" s="14">
        <v>45.689999</v>
      </c>
      <c r="C261" s="14">
        <v>46.689999</v>
      </c>
      <c r="D261" s="14">
        <v>45.52</v>
      </c>
      <c r="E261" s="14">
        <v>46.610000999999997</v>
      </c>
      <c r="F261" s="14">
        <v>45.299629000000003</v>
      </c>
      <c r="G261" s="14">
        <v>5456800</v>
      </c>
      <c r="H261" s="14">
        <f t="shared" si="4"/>
        <v>5.0784856879039664E-2</v>
      </c>
    </row>
    <row r="262" spans="1:8" x14ac:dyDescent="0.25">
      <c r="A262" s="46">
        <v>44938</v>
      </c>
      <c r="B262" s="14">
        <v>46.73</v>
      </c>
      <c r="C262" s="14">
        <v>46.799999</v>
      </c>
      <c r="D262" s="14">
        <v>45.82</v>
      </c>
      <c r="E262" s="14">
        <v>46.43</v>
      </c>
      <c r="F262" s="14">
        <v>45.124687000000002</v>
      </c>
      <c r="G262" s="14">
        <v>3812200</v>
      </c>
      <c r="H262" s="14">
        <f t="shared" si="4"/>
        <v>6.5905096660807683E-3</v>
      </c>
    </row>
    <row r="263" spans="1:8" x14ac:dyDescent="0.25">
      <c r="A263" s="46">
        <v>44939</v>
      </c>
      <c r="B263" s="14">
        <v>45.720001000000003</v>
      </c>
      <c r="C263" s="14">
        <v>46.299999</v>
      </c>
      <c r="D263" s="14">
        <v>45.439999</v>
      </c>
      <c r="E263" s="14">
        <v>46.259998000000003</v>
      </c>
      <c r="F263" s="14">
        <v>44.959465000000002</v>
      </c>
      <c r="G263" s="14">
        <v>3128400</v>
      </c>
      <c r="H263" s="14">
        <f t="shared" si="4"/>
        <v>-8.2933435181143933E-3</v>
      </c>
    </row>
    <row r="264" spans="1:8" x14ac:dyDescent="0.25">
      <c r="A264" s="46">
        <v>44943</v>
      </c>
      <c r="B264" s="14">
        <v>46.23</v>
      </c>
      <c r="C264" s="14">
        <v>47.110000999999997</v>
      </c>
      <c r="D264" s="14">
        <v>46.049999</v>
      </c>
      <c r="E264" s="14">
        <v>46.77</v>
      </c>
      <c r="F264" s="14">
        <v>45.455131999999999</v>
      </c>
      <c r="G264" s="14">
        <v>5214200</v>
      </c>
      <c r="H264" s="14">
        <f t="shared" si="4"/>
        <v>3.3560740175192505E-3</v>
      </c>
    </row>
    <row r="265" spans="1:8" x14ac:dyDescent="0.25">
      <c r="A265" s="46">
        <v>44944</v>
      </c>
      <c r="B265" s="14">
        <v>47</v>
      </c>
      <c r="C265" s="14">
        <v>47.400002000000001</v>
      </c>
      <c r="D265" s="14">
        <v>45.959999000000003</v>
      </c>
      <c r="E265" s="14">
        <v>45.98</v>
      </c>
      <c r="F265" s="14">
        <v>44.687344000000003</v>
      </c>
      <c r="G265" s="14">
        <v>3429500</v>
      </c>
      <c r="H265" s="14">
        <f t="shared" si="4"/>
        <v>-1.9543974365775485E-3</v>
      </c>
    </row>
    <row r="266" spans="1:8" x14ac:dyDescent="0.25">
      <c r="A266" s="46">
        <v>44945</v>
      </c>
      <c r="B266" s="14">
        <v>45.650002000000001</v>
      </c>
      <c r="C266" s="14">
        <v>45.93</v>
      </c>
      <c r="D266" s="14">
        <v>44.939999</v>
      </c>
      <c r="E266" s="14">
        <v>45.540000999999997</v>
      </c>
      <c r="F266" s="14">
        <v>44.259712</v>
      </c>
      <c r="G266" s="14">
        <v>5616300</v>
      </c>
      <c r="H266" s="14">
        <f t="shared" si="4"/>
        <v>-2.2193211971131777E-2</v>
      </c>
    </row>
    <row r="267" spans="1:8" x14ac:dyDescent="0.25">
      <c r="A267" s="46">
        <v>44946</v>
      </c>
      <c r="B267" s="14">
        <v>45.759998000000003</v>
      </c>
      <c r="C267" s="14">
        <v>46.73</v>
      </c>
      <c r="D267" s="14">
        <v>45.540000999999997</v>
      </c>
      <c r="E267" s="14">
        <v>46.66</v>
      </c>
      <c r="F267" s="14">
        <v>45.348221000000002</v>
      </c>
      <c r="G267" s="14">
        <v>3435000</v>
      </c>
      <c r="H267" s="14">
        <f t="shared" si="4"/>
        <v>1.3351179647333788E-2</v>
      </c>
    </row>
    <row r="268" spans="1:8" x14ac:dyDescent="0.25">
      <c r="A268" s="46">
        <v>44949</v>
      </c>
      <c r="B268" s="14">
        <v>46.939999</v>
      </c>
      <c r="C268" s="14">
        <v>47.84</v>
      </c>
      <c r="D268" s="14">
        <v>46.57</v>
      </c>
      <c r="E268" s="14">
        <v>47.66</v>
      </c>
      <c r="F268" s="14">
        <v>46.32011</v>
      </c>
      <c r="G268" s="14">
        <v>3254700</v>
      </c>
      <c r="H268" s="14">
        <f t="shared" si="4"/>
        <v>7.5391522279501339E-3</v>
      </c>
    </row>
    <row r="269" spans="1:8" x14ac:dyDescent="0.25">
      <c r="A269" s="46">
        <v>44950</v>
      </c>
      <c r="B269" s="14">
        <v>47.279998999999997</v>
      </c>
      <c r="C269" s="14">
        <v>47.419998</v>
      </c>
      <c r="D269" s="14">
        <v>46.509998000000003</v>
      </c>
      <c r="E269" s="14">
        <v>46.689999</v>
      </c>
      <c r="F269" s="14">
        <v>45.377380000000002</v>
      </c>
      <c r="G269" s="14">
        <v>4864400</v>
      </c>
      <c r="H269" s="14">
        <f t="shared" si="4"/>
        <v>-1.2884260253381852E-3</v>
      </c>
    </row>
    <row r="270" spans="1:8" x14ac:dyDescent="0.25">
      <c r="A270" s="46">
        <v>44951</v>
      </c>
      <c r="B270" s="14">
        <v>46.470001000000003</v>
      </c>
      <c r="C270" s="14">
        <v>49.07</v>
      </c>
      <c r="D270" s="14">
        <v>46.32</v>
      </c>
      <c r="E270" s="14">
        <v>48.93</v>
      </c>
      <c r="F270" s="14">
        <v>47.554409</v>
      </c>
      <c r="G270" s="14">
        <v>5955700</v>
      </c>
      <c r="H270" s="14">
        <f t="shared" si="4"/>
        <v>-4.0851001541647447E-3</v>
      </c>
    </row>
    <row r="271" spans="1:8" x14ac:dyDescent="0.25">
      <c r="A271" s="46">
        <v>44952</v>
      </c>
      <c r="B271" s="14">
        <v>49.459999000000003</v>
      </c>
      <c r="C271" s="14">
        <v>49.470001000000003</v>
      </c>
      <c r="D271" s="14">
        <v>48.16</v>
      </c>
      <c r="E271" s="14">
        <v>49.16</v>
      </c>
      <c r="F271" s="14">
        <v>47.777939000000003</v>
      </c>
      <c r="G271" s="14">
        <v>4153100</v>
      </c>
      <c r="H271" s="14">
        <f t="shared" si="4"/>
        <v>3.9723661485319361E-2</v>
      </c>
    </row>
    <row r="272" spans="1:8" x14ac:dyDescent="0.25">
      <c r="A272" s="46">
        <v>44953</v>
      </c>
      <c r="B272" s="14">
        <v>48.970001000000003</v>
      </c>
      <c r="C272" s="14">
        <v>49.700001</v>
      </c>
      <c r="D272" s="14">
        <v>48.880001</v>
      </c>
      <c r="E272" s="14">
        <v>49</v>
      </c>
      <c r="F272" s="14">
        <v>47.622439999999997</v>
      </c>
      <c r="G272" s="14">
        <v>3901300</v>
      </c>
      <c r="H272" s="14">
        <f t="shared" si="4"/>
        <v>1.4950186877076499E-2</v>
      </c>
    </row>
    <row r="273" spans="1:8" x14ac:dyDescent="0.25">
      <c r="A273" s="46">
        <v>44956</v>
      </c>
      <c r="B273" s="14">
        <v>48.32</v>
      </c>
      <c r="C273" s="14">
        <v>49.889999000000003</v>
      </c>
      <c r="D273" s="14">
        <v>48.310001</v>
      </c>
      <c r="E273" s="14">
        <v>48.889999000000003</v>
      </c>
      <c r="F273" s="14">
        <v>47.515526000000001</v>
      </c>
      <c r="G273" s="14">
        <v>4066900</v>
      </c>
      <c r="H273" s="14">
        <f t="shared" si="4"/>
        <v>-3.8870702969093784E-3</v>
      </c>
    </row>
    <row r="274" spans="1:8" x14ac:dyDescent="0.25">
      <c r="A274" s="46">
        <v>44957</v>
      </c>
      <c r="B274" s="14">
        <v>48.91</v>
      </c>
      <c r="C274" s="14">
        <v>49.549999</v>
      </c>
      <c r="D274" s="14">
        <v>48.799999</v>
      </c>
      <c r="E274" s="14">
        <v>49.5</v>
      </c>
      <c r="F274" s="14">
        <v>48.108378999999999</v>
      </c>
      <c r="G274" s="14">
        <v>4325300</v>
      </c>
      <c r="H274" s="14">
        <f t="shared" si="4"/>
        <v>1.0142785962683032E-2</v>
      </c>
    </row>
    <row r="275" spans="1:8" x14ac:dyDescent="0.25">
      <c r="A275" s="46">
        <v>44958</v>
      </c>
      <c r="B275" s="14">
        <v>49.259998000000003</v>
      </c>
      <c r="C275" s="14">
        <v>50.75</v>
      </c>
      <c r="D275" s="14">
        <v>48.689999</v>
      </c>
      <c r="E275" s="14">
        <v>50.400002000000001</v>
      </c>
      <c r="F275" s="14">
        <v>48.983077999999999</v>
      </c>
      <c r="G275" s="14">
        <v>4565200</v>
      </c>
      <c r="H275" s="14">
        <f t="shared" si="4"/>
        <v>-2.2540984068463166E-3</v>
      </c>
    </row>
    <row r="276" spans="1:8" x14ac:dyDescent="0.25">
      <c r="A276" s="46">
        <v>44959</v>
      </c>
      <c r="B276" s="14">
        <v>50.75</v>
      </c>
      <c r="C276" s="14">
        <v>52.23</v>
      </c>
      <c r="D276" s="14">
        <v>50.689999</v>
      </c>
      <c r="E276" s="14">
        <v>51.66</v>
      </c>
      <c r="F276" s="14">
        <v>50.207653000000001</v>
      </c>
      <c r="G276" s="14">
        <v>6390000</v>
      </c>
      <c r="H276" s="14">
        <f t="shared" si="4"/>
        <v>4.1076197187845498E-2</v>
      </c>
    </row>
    <row r="277" spans="1:8" x14ac:dyDescent="0.25">
      <c r="A277" s="46">
        <v>44960</v>
      </c>
      <c r="B277" s="14">
        <v>50.310001</v>
      </c>
      <c r="C277" s="14">
        <v>51.310001</v>
      </c>
      <c r="D277" s="14">
        <v>50.110000999999997</v>
      </c>
      <c r="E277" s="14">
        <v>50.66</v>
      </c>
      <c r="F277" s="14">
        <v>49.235767000000003</v>
      </c>
      <c r="G277" s="14">
        <v>3808200</v>
      </c>
      <c r="H277" s="14">
        <f t="shared" si="4"/>
        <v>-1.1442059803552285E-2</v>
      </c>
    </row>
    <row r="278" spans="1:8" x14ac:dyDescent="0.25">
      <c r="A278" s="46">
        <v>44963</v>
      </c>
      <c r="B278" s="14">
        <v>50.029998999999997</v>
      </c>
      <c r="C278" s="14">
        <v>50.400002000000001</v>
      </c>
      <c r="D278" s="14">
        <v>49.650002000000001</v>
      </c>
      <c r="E278" s="14">
        <v>49.98</v>
      </c>
      <c r="F278" s="14">
        <v>48.574883</v>
      </c>
      <c r="G278" s="14">
        <v>3141600</v>
      </c>
      <c r="H278" s="14">
        <f t="shared" si="4"/>
        <v>-3.0599280969880369E-3</v>
      </c>
    </row>
    <row r="279" spans="1:8" x14ac:dyDescent="0.25">
      <c r="A279" s="46">
        <v>44964</v>
      </c>
      <c r="B279" s="14">
        <v>49.77</v>
      </c>
      <c r="C279" s="14">
        <v>50.369999</v>
      </c>
      <c r="D279" s="14">
        <v>49.07</v>
      </c>
      <c r="E279" s="14">
        <v>50.169998</v>
      </c>
      <c r="F279" s="14">
        <v>48.759540999999999</v>
      </c>
      <c r="G279" s="14">
        <v>3538100</v>
      </c>
      <c r="H279" s="14">
        <f t="shared" si="4"/>
        <v>-1.1681812218255261E-2</v>
      </c>
    </row>
    <row r="280" spans="1:8" x14ac:dyDescent="0.25">
      <c r="A280" s="46">
        <v>44965</v>
      </c>
      <c r="B280" s="14">
        <v>49.599997999999999</v>
      </c>
      <c r="C280" s="14">
        <v>50</v>
      </c>
      <c r="D280" s="14">
        <v>48.830002</v>
      </c>
      <c r="E280" s="14">
        <v>49.16</v>
      </c>
      <c r="F280" s="14">
        <v>47.777939000000003</v>
      </c>
      <c r="G280" s="14">
        <v>3429700</v>
      </c>
      <c r="H280" s="14">
        <f t="shared" si="4"/>
        <v>-4.8909313226003226E-3</v>
      </c>
    </row>
    <row r="281" spans="1:8" x14ac:dyDescent="0.25">
      <c r="A281" s="46">
        <v>44966</v>
      </c>
      <c r="B281" s="14">
        <v>49.75</v>
      </c>
      <c r="C281" s="14">
        <v>49.849997999999999</v>
      </c>
      <c r="D281" s="14">
        <v>48.150002000000001</v>
      </c>
      <c r="E281" s="14">
        <v>48.389999000000003</v>
      </c>
      <c r="F281" s="14">
        <v>47.029586999999999</v>
      </c>
      <c r="G281" s="14">
        <v>3072400</v>
      </c>
      <c r="H281" s="14">
        <f t="shared" si="4"/>
        <v>-1.3925864676393007E-2</v>
      </c>
    </row>
    <row r="282" spans="1:8" x14ac:dyDescent="0.25">
      <c r="A282" s="46">
        <v>44967</v>
      </c>
      <c r="B282" s="14">
        <v>48.080002</v>
      </c>
      <c r="C282" s="14">
        <v>48.330002</v>
      </c>
      <c r="D282" s="14">
        <v>47.650002000000001</v>
      </c>
      <c r="E282" s="14">
        <v>48.080002</v>
      </c>
      <c r="F282" s="14">
        <v>46.728306000000003</v>
      </c>
      <c r="G282" s="14">
        <v>3745100</v>
      </c>
      <c r="H282" s="14">
        <f t="shared" si="4"/>
        <v>-1.038421556036484E-2</v>
      </c>
    </row>
    <row r="283" spans="1:8" x14ac:dyDescent="0.25">
      <c r="A283" s="46">
        <v>44970</v>
      </c>
      <c r="B283" s="14">
        <v>48.200001</v>
      </c>
      <c r="C283" s="14">
        <v>49.02</v>
      </c>
      <c r="D283" s="14">
        <v>47.919998</v>
      </c>
      <c r="E283" s="14">
        <v>48.93</v>
      </c>
      <c r="F283" s="14">
        <v>47.554409</v>
      </c>
      <c r="G283" s="14">
        <v>4744300</v>
      </c>
      <c r="H283" s="14">
        <f t="shared" si="4"/>
        <v>1.8887442369187231E-3</v>
      </c>
    </row>
    <row r="284" spans="1:8" x14ac:dyDescent="0.25">
      <c r="A284" s="46">
        <v>44971</v>
      </c>
      <c r="B284" s="14">
        <v>48.73</v>
      </c>
      <c r="C284" s="14">
        <v>49.189999</v>
      </c>
      <c r="D284" s="14">
        <v>48.209999000000003</v>
      </c>
      <c r="E284" s="14">
        <v>48.799999</v>
      </c>
      <c r="F284" s="14">
        <v>47.428058999999998</v>
      </c>
      <c r="G284" s="14">
        <v>3919700</v>
      </c>
      <c r="H284" s="14">
        <f t="shared" si="4"/>
        <v>6.0517740422276756E-3</v>
      </c>
    </row>
    <row r="285" spans="1:8" x14ac:dyDescent="0.25">
      <c r="A285" s="46">
        <v>44972</v>
      </c>
      <c r="B285" s="14">
        <v>48.41</v>
      </c>
      <c r="C285" s="14">
        <v>49.66</v>
      </c>
      <c r="D285" s="14">
        <v>48.209999000000003</v>
      </c>
      <c r="E285" s="14">
        <v>49.650002000000001</v>
      </c>
      <c r="F285" s="14">
        <v>48.254165999999998</v>
      </c>
      <c r="G285" s="14">
        <v>3708100</v>
      </c>
      <c r="H285" s="14">
        <f t="shared" si="4"/>
        <v>0</v>
      </c>
    </row>
    <row r="286" spans="1:8" x14ac:dyDescent="0.25">
      <c r="A286" s="46">
        <v>44973</v>
      </c>
      <c r="B286" s="14">
        <v>48.619999</v>
      </c>
      <c r="C286" s="14">
        <v>49.189999</v>
      </c>
      <c r="D286" s="14">
        <v>48.290000999999997</v>
      </c>
      <c r="E286" s="14">
        <v>48.66</v>
      </c>
      <c r="F286" s="14">
        <v>47.291995999999997</v>
      </c>
      <c r="G286" s="14">
        <v>3760400</v>
      </c>
      <c r="H286" s="14">
        <f t="shared" si="4"/>
        <v>1.6594482816727485E-3</v>
      </c>
    </row>
    <row r="287" spans="1:8" x14ac:dyDescent="0.25">
      <c r="A287" s="46">
        <v>44974</v>
      </c>
      <c r="B287" s="14">
        <v>48.560001</v>
      </c>
      <c r="C287" s="14">
        <v>48.700001</v>
      </c>
      <c r="D287" s="14">
        <v>47.75</v>
      </c>
      <c r="E287" s="14">
        <v>48.240001999999997</v>
      </c>
      <c r="F287" s="14">
        <v>46.883803999999998</v>
      </c>
      <c r="G287" s="14">
        <v>5511900</v>
      </c>
      <c r="H287" s="14">
        <f t="shared" si="4"/>
        <v>-1.1182459905105357E-2</v>
      </c>
    </row>
    <row r="288" spans="1:8" x14ac:dyDescent="0.25">
      <c r="A288" s="46">
        <v>44978</v>
      </c>
      <c r="B288" s="14">
        <v>47.889999000000003</v>
      </c>
      <c r="C288" s="14">
        <v>48.810001</v>
      </c>
      <c r="D288" s="14">
        <v>47.82</v>
      </c>
      <c r="E288" s="14">
        <v>47.889999000000003</v>
      </c>
      <c r="F288" s="14">
        <v>46.543640000000003</v>
      </c>
      <c r="G288" s="14">
        <v>5947900</v>
      </c>
      <c r="H288" s="14">
        <f t="shared" si="4"/>
        <v>3.6649214659684182E-4</v>
      </c>
    </row>
    <row r="289" spans="1:8" x14ac:dyDescent="0.25">
      <c r="A289" s="46">
        <v>44979</v>
      </c>
      <c r="B289" s="14">
        <v>48.119999</v>
      </c>
      <c r="C289" s="14">
        <v>48.330002</v>
      </c>
      <c r="D289" s="14">
        <v>47.400002000000001</v>
      </c>
      <c r="E289" s="14">
        <v>47.849997999999999</v>
      </c>
      <c r="F289" s="14">
        <v>46.504767999999999</v>
      </c>
      <c r="G289" s="14">
        <v>7391900</v>
      </c>
      <c r="H289" s="14">
        <f t="shared" si="4"/>
        <v>-8.7828941865327748E-3</v>
      </c>
    </row>
    <row r="290" spans="1:8" x14ac:dyDescent="0.25">
      <c r="A290" s="46">
        <v>44980</v>
      </c>
      <c r="B290" s="14">
        <v>45.41</v>
      </c>
      <c r="C290" s="14">
        <v>45.889999000000003</v>
      </c>
      <c r="D290" s="14">
        <v>43.709999000000003</v>
      </c>
      <c r="E290" s="14">
        <v>45.349997999999999</v>
      </c>
      <c r="F290" s="14">
        <v>44.075049999999997</v>
      </c>
      <c r="G290" s="14">
        <v>12458900</v>
      </c>
      <c r="H290" s="14">
        <f t="shared" si="4"/>
        <v>-7.7848161272229377E-2</v>
      </c>
    </row>
    <row r="291" spans="1:8" x14ac:dyDescent="0.25">
      <c r="A291" s="46">
        <v>44981</v>
      </c>
      <c r="B291" s="14">
        <v>44.709999000000003</v>
      </c>
      <c r="C291" s="14">
        <v>45.25</v>
      </c>
      <c r="D291" s="14">
        <v>44.310001</v>
      </c>
      <c r="E291" s="14">
        <v>45.07</v>
      </c>
      <c r="F291" s="14">
        <v>43.802920999999998</v>
      </c>
      <c r="G291" s="14">
        <v>5795000</v>
      </c>
      <c r="H291" s="14">
        <f t="shared" si="4"/>
        <v>1.3726882034474475E-2</v>
      </c>
    </row>
    <row r="292" spans="1:8" x14ac:dyDescent="0.25">
      <c r="A292" s="46">
        <v>44984</v>
      </c>
      <c r="B292" s="14">
        <v>45.32</v>
      </c>
      <c r="C292" s="14">
        <v>45.849997999999999</v>
      </c>
      <c r="D292" s="14">
        <v>45.080002</v>
      </c>
      <c r="E292" s="14">
        <v>45.799999</v>
      </c>
      <c r="F292" s="14">
        <v>44.512402000000002</v>
      </c>
      <c r="G292" s="14">
        <v>5187700</v>
      </c>
      <c r="H292" s="14">
        <f t="shared" si="4"/>
        <v>5.7925297722290674E-3</v>
      </c>
    </row>
    <row r="293" spans="1:8" x14ac:dyDescent="0.25">
      <c r="A293" s="46">
        <v>44985</v>
      </c>
      <c r="B293" s="14">
        <v>45.709999000000003</v>
      </c>
      <c r="C293" s="14">
        <v>46.310001</v>
      </c>
      <c r="D293" s="14">
        <v>45.580002</v>
      </c>
      <c r="E293" s="14">
        <v>45.900002000000001</v>
      </c>
      <c r="F293" s="14">
        <v>44.609591999999999</v>
      </c>
      <c r="G293" s="14">
        <v>5338800</v>
      </c>
      <c r="H293" s="14">
        <f t="shared" si="4"/>
        <v>1.1091392586894733E-2</v>
      </c>
    </row>
    <row r="294" spans="1:8" x14ac:dyDescent="0.25">
      <c r="A294" s="46">
        <v>44986</v>
      </c>
      <c r="B294" s="14">
        <v>45.68</v>
      </c>
      <c r="C294" s="14">
        <v>46.27</v>
      </c>
      <c r="D294" s="14">
        <v>45.380001</v>
      </c>
      <c r="E294" s="14">
        <v>45.75</v>
      </c>
      <c r="F294" s="14">
        <v>44.463805999999998</v>
      </c>
      <c r="G294" s="14">
        <v>4236400</v>
      </c>
      <c r="H294" s="14">
        <f t="shared" si="4"/>
        <v>-4.3879111720969144E-3</v>
      </c>
    </row>
    <row r="295" spans="1:8" x14ac:dyDescent="0.25">
      <c r="A295" s="46">
        <v>44987</v>
      </c>
      <c r="B295" s="14">
        <v>45.5</v>
      </c>
      <c r="C295" s="14">
        <v>45.740001999999997</v>
      </c>
      <c r="D295" s="14">
        <v>45.310001</v>
      </c>
      <c r="E295" s="14">
        <v>45.580002</v>
      </c>
      <c r="F295" s="14">
        <v>44.298583999999998</v>
      </c>
      <c r="G295" s="14">
        <v>4142300</v>
      </c>
      <c r="H295" s="14">
        <f t="shared" si="4"/>
        <v>-1.5425297147966255E-3</v>
      </c>
    </row>
    <row r="296" spans="1:8" x14ac:dyDescent="0.25">
      <c r="A296" s="46">
        <v>44988</v>
      </c>
      <c r="B296" s="14">
        <v>45.93</v>
      </c>
      <c r="C296" s="14">
        <v>46.240001999999997</v>
      </c>
      <c r="D296" s="14">
        <v>45.810001</v>
      </c>
      <c r="E296" s="14">
        <v>46.040000999999997</v>
      </c>
      <c r="F296" s="14">
        <v>44.745654999999999</v>
      </c>
      <c r="G296" s="14">
        <v>3744200</v>
      </c>
      <c r="H296" s="14">
        <f t="shared" si="4"/>
        <v>1.1035091347713744E-2</v>
      </c>
    </row>
    <row r="297" spans="1:8" x14ac:dyDescent="0.25">
      <c r="A297" s="46">
        <v>44991</v>
      </c>
      <c r="B297" s="14">
        <v>45.950001</v>
      </c>
      <c r="C297" s="14">
        <v>46.099997999999999</v>
      </c>
      <c r="D297" s="14">
        <v>44.639999000000003</v>
      </c>
      <c r="E297" s="14">
        <v>44.75</v>
      </c>
      <c r="F297" s="14">
        <v>43.491923999999997</v>
      </c>
      <c r="G297" s="14">
        <v>5972800</v>
      </c>
      <c r="H297" s="14">
        <f t="shared" si="4"/>
        <v>-8.5134393833928481E-3</v>
      </c>
    </row>
    <row r="298" spans="1:8" x14ac:dyDescent="0.25">
      <c r="A298" s="46">
        <v>44992</v>
      </c>
      <c r="B298" s="14">
        <v>44.860000999999997</v>
      </c>
      <c r="C298" s="14">
        <v>45.09</v>
      </c>
      <c r="D298" s="14">
        <v>43.830002</v>
      </c>
      <c r="E298" s="14">
        <v>43.98</v>
      </c>
      <c r="F298" s="14">
        <v>42.743568000000003</v>
      </c>
      <c r="G298" s="14">
        <v>5326600</v>
      </c>
      <c r="H298" s="14">
        <f t="shared" si="4"/>
        <v>-1.8145094492497682E-2</v>
      </c>
    </row>
    <row r="299" spans="1:8" x14ac:dyDescent="0.25">
      <c r="A299" s="46">
        <v>44993</v>
      </c>
      <c r="B299" s="14">
        <v>43.849997999999999</v>
      </c>
      <c r="C299" s="14">
        <v>44.34</v>
      </c>
      <c r="D299" s="14">
        <v>43.16</v>
      </c>
      <c r="E299" s="14">
        <v>44.259998000000003</v>
      </c>
      <c r="F299" s="14">
        <v>43.015697000000003</v>
      </c>
      <c r="G299" s="14">
        <v>6096600</v>
      </c>
      <c r="H299" s="14">
        <f t="shared" si="4"/>
        <v>-1.5286378494803743E-2</v>
      </c>
    </row>
    <row r="300" spans="1:8" x14ac:dyDescent="0.25">
      <c r="A300" s="46">
        <v>44994</v>
      </c>
      <c r="B300" s="14">
        <v>44.02</v>
      </c>
      <c r="C300" s="14">
        <v>44.279998999999997</v>
      </c>
      <c r="D300" s="14">
        <v>42.919998</v>
      </c>
      <c r="E300" s="14">
        <v>42.950001</v>
      </c>
      <c r="F300" s="14">
        <v>41.979644999999998</v>
      </c>
      <c r="G300" s="14">
        <v>4091600</v>
      </c>
      <c r="H300" s="14">
        <f t="shared" si="4"/>
        <v>-5.5607506950879904E-3</v>
      </c>
    </row>
    <row r="301" spans="1:8" x14ac:dyDescent="0.25">
      <c r="A301" s="46">
        <v>44995</v>
      </c>
      <c r="B301" s="14">
        <v>42.75</v>
      </c>
      <c r="C301" s="14">
        <v>42.869999</v>
      </c>
      <c r="D301" s="14">
        <v>41.669998</v>
      </c>
      <c r="E301" s="14">
        <v>42.040000999999997</v>
      </c>
      <c r="F301" s="14">
        <v>41.090201999999998</v>
      </c>
      <c r="G301" s="14">
        <v>4526700</v>
      </c>
      <c r="H301" s="14">
        <f t="shared" si="4"/>
        <v>-2.9123952894872018E-2</v>
      </c>
    </row>
    <row r="302" spans="1:8" x14ac:dyDescent="0.25">
      <c r="A302" s="46">
        <v>44998</v>
      </c>
      <c r="B302" s="14">
        <v>41.619999</v>
      </c>
      <c r="C302" s="14">
        <v>41.880001</v>
      </c>
      <c r="D302" s="14">
        <v>41.02</v>
      </c>
      <c r="E302" s="14">
        <v>41.09</v>
      </c>
      <c r="F302" s="14">
        <v>40.161662999999997</v>
      </c>
      <c r="G302" s="14">
        <v>5946300</v>
      </c>
      <c r="H302" s="14">
        <f t="shared" si="4"/>
        <v>-5.1995682841165331E-3</v>
      </c>
    </row>
    <row r="303" spans="1:8" x14ac:dyDescent="0.25">
      <c r="A303" s="46">
        <v>44999</v>
      </c>
      <c r="B303" s="14">
        <v>41.779998999999997</v>
      </c>
      <c r="C303" s="14">
        <v>41.950001</v>
      </c>
      <c r="D303" s="14">
        <v>40.619999</v>
      </c>
      <c r="E303" s="14">
        <v>41.16</v>
      </c>
      <c r="F303" s="14">
        <v>40.230083</v>
      </c>
      <c r="G303" s="14">
        <v>6368400</v>
      </c>
      <c r="H303" s="14">
        <f t="shared" si="4"/>
        <v>-9.7513651877133567E-3</v>
      </c>
    </row>
    <row r="304" spans="1:8" x14ac:dyDescent="0.25">
      <c r="A304" s="46">
        <v>45000</v>
      </c>
      <c r="B304" s="14">
        <v>40.490001999999997</v>
      </c>
      <c r="C304" s="14">
        <v>40.939999</v>
      </c>
      <c r="D304" s="14">
        <v>40.130001</v>
      </c>
      <c r="E304" s="14">
        <v>40.810001</v>
      </c>
      <c r="F304" s="14">
        <v>39.887993000000002</v>
      </c>
      <c r="G304" s="14">
        <v>5740600</v>
      </c>
      <c r="H304" s="14">
        <f t="shared" si="4"/>
        <v>-1.2062974201451859E-2</v>
      </c>
    </row>
    <row r="305" spans="1:8" x14ac:dyDescent="0.25">
      <c r="A305" s="46">
        <v>45001</v>
      </c>
      <c r="B305" s="14">
        <v>40.279998999999997</v>
      </c>
      <c r="C305" s="14">
        <v>41.619999</v>
      </c>
      <c r="D305" s="14">
        <v>40.229999999999997</v>
      </c>
      <c r="E305" s="14">
        <v>41.450001</v>
      </c>
      <c r="F305" s="14">
        <v>40.513531</v>
      </c>
      <c r="G305" s="14">
        <v>6022400</v>
      </c>
      <c r="H305" s="14">
        <f t="shared" si="4"/>
        <v>2.4918763395993526E-3</v>
      </c>
    </row>
    <row r="306" spans="1:8" x14ac:dyDescent="0.25">
      <c r="A306" s="46">
        <v>45002</v>
      </c>
      <c r="B306" s="14">
        <v>41.150002000000001</v>
      </c>
      <c r="C306" s="14">
        <v>42.310001</v>
      </c>
      <c r="D306" s="14">
        <v>40.939999</v>
      </c>
      <c r="E306" s="14">
        <v>42.060001</v>
      </c>
      <c r="F306" s="14">
        <v>41.109752999999998</v>
      </c>
      <c r="G306" s="14">
        <v>11506800</v>
      </c>
      <c r="H306" s="14">
        <f t="shared" si="4"/>
        <v>1.7648496147153914E-2</v>
      </c>
    </row>
    <row r="307" spans="1:8" x14ac:dyDescent="0.25">
      <c r="A307" s="46">
        <v>45005</v>
      </c>
      <c r="B307" s="14">
        <v>42.099997999999999</v>
      </c>
      <c r="C307" s="14">
        <v>43.470001000000003</v>
      </c>
      <c r="D307" s="14">
        <v>42</v>
      </c>
      <c r="E307" s="14">
        <v>43.040000999999997</v>
      </c>
      <c r="F307" s="14">
        <v>42.067611999999997</v>
      </c>
      <c r="G307" s="14">
        <v>6199700</v>
      </c>
      <c r="H307" s="14">
        <f t="shared" si="4"/>
        <v>8.6305245553783827E-3</v>
      </c>
    </row>
    <row r="308" spans="1:8" x14ac:dyDescent="0.25">
      <c r="A308" s="46">
        <v>45006</v>
      </c>
      <c r="B308" s="14">
        <v>43.139999000000003</v>
      </c>
      <c r="C308" s="14">
        <v>43.98</v>
      </c>
      <c r="D308" s="14">
        <v>43.099997999999999</v>
      </c>
      <c r="E308" s="14">
        <v>43.75</v>
      </c>
      <c r="F308" s="14">
        <v>42.761566000000002</v>
      </c>
      <c r="G308" s="14">
        <v>6122800</v>
      </c>
      <c r="H308" s="14">
        <f t="shared" si="4"/>
        <v>2.6190428571428503E-2</v>
      </c>
    </row>
    <row r="309" spans="1:8" x14ac:dyDescent="0.25">
      <c r="A309" s="46">
        <v>45007</v>
      </c>
      <c r="B309" s="14">
        <v>43.59</v>
      </c>
      <c r="C309" s="14">
        <v>44.09</v>
      </c>
      <c r="D309" s="14">
        <v>42.830002</v>
      </c>
      <c r="E309" s="14">
        <v>42.860000999999997</v>
      </c>
      <c r="F309" s="14">
        <v>41.891677999999999</v>
      </c>
      <c r="G309" s="14">
        <v>5087900</v>
      </c>
      <c r="H309" s="14">
        <f t="shared" si="4"/>
        <v>-6.2644086433599755E-3</v>
      </c>
    </row>
    <row r="310" spans="1:8" x14ac:dyDescent="0.25">
      <c r="A310" s="46">
        <v>45008</v>
      </c>
      <c r="B310" s="14">
        <v>43.09</v>
      </c>
      <c r="C310" s="14">
        <v>43.200001</v>
      </c>
      <c r="D310" s="14">
        <v>42.02</v>
      </c>
      <c r="E310" s="14">
        <v>42.450001</v>
      </c>
      <c r="F310" s="14">
        <v>41.490943999999999</v>
      </c>
      <c r="G310" s="14">
        <v>4808700</v>
      </c>
      <c r="H310" s="14">
        <f t="shared" si="4"/>
        <v>-1.8912023398924838E-2</v>
      </c>
    </row>
    <row r="311" spans="1:8" x14ac:dyDescent="0.25">
      <c r="A311" s="46">
        <v>45009</v>
      </c>
      <c r="B311" s="14">
        <v>42.209999000000003</v>
      </c>
      <c r="C311" s="14">
        <v>42.860000999999997</v>
      </c>
      <c r="D311" s="14">
        <v>41.66</v>
      </c>
      <c r="E311" s="14">
        <v>42.66</v>
      </c>
      <c r="F311" s="14">
        <v>41.696193999999998</v>
      </c>
      <c r="G311" s="14">
        <v>4541800</v>
      </c>
      <c r="H311" s="14">
        <f t="shared" si="4"/>
        <v>-8.5673488814851373E-3</v>
      </c>
    </row>
    <row r="312" spans="1:8" x14ac:dyDescent="0.25">
      <c r="A312" s="46">
        <v>45012</v>
      </c>
      <c r="B312" s="14">
        <v>42.77</v>
      </c>
      <c r="C312" s="14">
        <v>43.02</v>
      </c>
      <c r="D312" s="14">
        <v>42.549999</v>
      </c>
      <c r="E312" s="14">
        <v>42.599997999999999</v>
      </c>
      <c r="F312" s="14">
        <v>41.637546999999998</v>
      </c>
      <c r="G312" s="14">
        <v>4040300</v>
      </c>
      <c r="H312" s="14">
        <f t="shared" si="4"/>
        <v>7.121131381020958E-3</v>
      </c>
    </row>
    <row r="313" spans="1:8" x14ac:dyDescent="0.25">
      <c r="A313" s="46">
        <v>45013</v>
      </c>
      <c r="B313" s="14">
        <v>42.720001000000003</v>
      </c>
      <c r="C313" s="14">
        <v>43</v>
      </c>
      <c r="D313" s="14">
        <v>42.560001</v>
      </c>
      <c r="E313" s="14">
        <v>42.869999</v>
      </c>
      <c r="F313" s="14">
        <v>41.901446999999997</v>
      </c>
      <c r="G313" s="14">
        <v>2827200</v>
      </c>
      <c r="H313" s="14">
        <f t="shared" si="4"/>
        <v>2.3506463537170674E-4</v>
      </c>
    </row>
    <row r="314" spans="1:8" x14ac:dyDescent="0.25">
      <c r="A314" s="46">
        <v>45014</v>
      </c>
      <c r="B314" s="14">
        <v>43.200001</v>
      </c>
      <c r="C314" s="14">
        <v>43.669998</v>
      </c>
      <c r="D314" s="14">
        <v>43.200001</v>
      </c>
      <c r="E314" s="14">
        <v>43.630001</v>
      </c>
      <c r="F314" s="14">
        <v>42.644283000000001</v>
      </c>
      <c r="G314" s="14">
        <v>3588000</v>
      </c>
      <c r="H314" s="14">
        <f t="shared" si="4"/>
        <v>1.5037593631635593E-2</v>
      </c>
    </row>
    <row r="315" spans="1:8" x14ac:dyDescent="0.25">
      <c r="A315" s="46">
        <v>45015</v>
      </c>
      <c r="B315" s="14">
        <v>44.16</v>
      </c>
      <c r="C315" s="14">
        <v>44.330002</v>
      </c>
      <c r="D315" s="14">
        <v>43.630001</v>
      </c>
      <c r="E315" s="14">
        <v>43.91</v>
      </c>
      <c r="F315" s="14">
        <v>42.917952999999997</v>
      </c>
      <c r="G315" s="14">
        <v>3459600</v>
      </c>
      <c r="H315" s="14">
        <f t="shared" si="4"/>
        <v>9.95370347329394E-3</v>
      </c>
    </row>
    <row r="316" spans="1:8" x14ac:dyDescent="0.25">
      <c r="A316" s="46">
        <v>45016</v>
      </c>
      <c r="B316" s="14">
        <v>44.080002</v>
      </c>
      <c r="C316" s="14">
        <v>44.419998</v>
      </c>
      <c r="D316" s="14">
        <v>43.740001999999997</v>
      </c>
      <c r="E316" s="14">
        <v>44.369999</v>
      </c>
      <c r="F316" s="14">
        <v>43.367561000000002</v>
      </c>
      <c r="G316" s="14">
        <v>4053600</v>
      </c>
      <c r="H316" s="14">
        <f t="shared" si="4"/>
        <v>2.5212238707030821E-3</v>
      </c>
    </row>
    <row r="317" spans="1:8" x14ac:dyDescent="0.25">
      <c r="A317" s="46">
        <v>45019</v>
      </c>
      <c r="B317" s="14">
        <v>44.150002000000001</v>
      </c>
      <c r="C317" s="14">
        <v>44.349997999999999</v>
      </c>
      <c r="D317" s="14">
        <v>43.84</v>
      </c>
      <c r="E317" s="14">
        <v>44.279998999999997</v>
      </c>
      <c r="F317" s="14">
        <v>43.279594000000003</v>
      </c>
      <c r="G317" s="14">
        <v>3539700</v>
      </c>
      <c r="H317" s="14">
        <f t="shared" si="4"/>
        <v>7.6206367495523786E-4</v>
      </c>
    </row>
    <row r="318" spans="1:8" x14ac:dyDescent="0.25">
      <c r="A318" s="46">
        <v>45020</v>
      </c>
      <c r="B318" s="14">
        <v>44.630001</v>
      </c>
      <c r="C318" s="14">
        <v>44.630001</v>
      </c>
      <c r="D318" s="14">
        <v>43.830002</v>
      </c>
      <c r="E318" s="14">
        <v>44.330002</v>
      </c>
      <c r="F318" s="14">
        <v>43.328468000000001</v>
      </c>
      <c r="G318" s="14">
        <v>3509200</v>
      </c>
      <c r="H318" s="14">
        <f t="shared" si="4"/>
        <v>-2.280565693431047E-4</v>
      </c>
    </row>
    <row r="319" spans="1:8" x14ac:dyDescent="0.25">
      <c r="A319" s="46">
        <v>45021</v>
      </c>
      <c r="B319" s="14">
        <v>44.25</v>
      </c>
      <c r="C319" s="14">
        <v>44.259998000000003</v>
      </c>
      <c r="D319" s="14">
        <v>43.700001</v>
      </c>
      <c r="E319" s="14">
        <v>43.849997999999999</v>
      </c>
      <c r="F319" s="14">
        <v>42.859305999999997</v>
      </c>
      <c r="G319" s="14">
        <v>3836500</v>
      </c>
      <c r="H319" s="14">
        <f t="shared" si="4"/>
        <v>-2.9660276994739609E-3</v>
      </c>
    </row>
    <row r="320" spans="1:8" x14ac:dyDescent="0.25">
      <c r="A320" s="46">
        <v>45022</v>
      </c>
      <c r="B320" s="14">
        <v>43.639999000000003</v>
      </c>
      <c r="C320" s="14">
        <v>43.830002</v>
      </c>
      <c r="D320" s="14">
        <v>43.240001999999997</v>
      </c>
      <c r="E320" s="14">
        <v>43.57</v>
      </c>
      <c r="F320" s="14">
        <v>42.585636000000001</v>
      </c>
      <c r="G320" s="14">
        <v>3629600</v>
      </c>
      <c r="H320" s="14">
        <f t="shared" si="4"/>
        <v>-1.052629266530225E-2</v>
      </c>
    </row>
    <row r="321" spans="1:8" x14ac:dyDescent="0.25">
      <c r="A321" s="46">
        <v>45026</v>
      </c>
      <c r="B321" s="14">
        <v>43.09</v>
      </c>
      <c r="C321" s="14">
        <v>43.669998</v>
      </c>
      <c r="D321" s="14">
        <v>43.09</v>
      </c>
      <c r="E321" s="14">
        <v>43.400002000000001</v>
      </c>
      <c r="F321" s="14">
        <v>42.419476000000003</v>
      </c>
      <c r="G321" s="14">
        <v>3279500</v>
      </c>
      <c r="H321" s="14">
        <f t="shared" si="4"/>
        <v>-8.6726406719403459E-4</v>
      </c>
    </row>
    <row r="322" spans="1:8" x14ac:dyDescent="0.25">
      <c r="A322" s="46">
        <v>45027</v>
      </c>
      <c r="B322" s="14">
        <v>43.290000999999997</v>
      </c>
      <c r="C322" s="14">
        <v>43.720001000000003</v>
      </c>
      <c r="D322" s="14">
        <v>43.02</v>
      </c>
      <c r="E322" s="14">
        <v>43.5</v>
      </c>
      <c r="F322" s="14">
        <v>42.517220000000002</v>
      </c>
      <c r="G322" s="14">
        <v>3668600</v>
      </c>
      <c r="H322" s="14">
        <f t="shared" si="4"/>
        <v>-1.6245068461360201E-3</v>
      </c>
    </row>
    <row r="323" spans="1:8" x14ac:dyDescent="0.25">
      <c r="A323" s="46">
        <v>45028</v>
      </c>
      <c r="B323" s="14">
        <v>43.959999000000003</v>
      </c>
      <c r="C323" s="14">
        <v>44.110000999999997</v>
      </c>
      <c r="D323" s="14">
        <v>42.490001999999997</v>
      </c>
      <c r="E323" s="14">
        <v>42.779998999999997</v>
      </c>
      <c r="F323" s="14">
        <v>41.813488</v>
      </c>
      <c r="G323" s="14">
        <v>4312300</v>
      </c>
      <c r="H323" s="14">
        <f t="shared" si="4"/>
        <v>-1.2319804741980578E-2</v>
      </c>
    </row>
    <row r="324" spans="1:8" x14ac:dyDescent="0.25">
      <c r="A324" s="46">
        <v>45029</v>
      </c>
      <c r="B324" s="14">
        <v>42.970001000000003</v>
      </c>
      <c r="C324" s="14">
        <v>43.619999</v>
      </c>
      <c r="D324" s="14">
        <v>42.860000999999997</v>
      </c>
      <c r="E324" s="14">
        <v>43.610000999999997</v>
      </c>
      <c r="F324" s="14">
        <v>42.624732999999999</v>
      </c>
      <c r="G324" s="14">
        <v>3875600</v>
      </c>
      <c r="H324" s="14">
        <f t="shared" ref="H324:H387" si="5">(D324/D323-1)/(A324-A323)</f>
        <v>8.7079073331179924E-3</v>
      </c>
    </row>
    <row r="325" spans="1:8" x14ac:dyDescent="0.25">
      <c r="A325" s="46">
        <v>45030</v>
      </c>
      <c r="B325" s="14">
        <v>43.540000999999997</v>
      </c>
      <c r="C325" s="14">
        <v>44.16</v>
      </c>
      <c r="D325" s="14">
        <v>43.139999000000003</v>
      </c>
      <c r="E325" s="14">
        <v>43.529998999999997</v>
      </c>
      <c r="F325" s="14">
        <v>42.546534999999999</v>
      </c>
      <c r="G325" s="14">
        <v>3603700</v>
      </c>
      <c r="H325" s="14">
        <f t="shared" si="5"/>
        <v>6.5328509908342269E-3</v>
      </c>
    </row>
    <row r="326" spans="1:8" x14ac:dyDescent="0.25">
      <c r="A326" s="46">
        <v>45033</v>
      </c>
      <c r="B326" s="14">
        <v>44</v>
      </c>
      <c r="C326" s="14">
        <v>44</v>
      </c>
      <c r="D326" s="14">
        <v>43.450001</v>
      </c>
      <c r="E326" s="14">
        <v>43.779998999999997</v>
      </c>
      <c r="F326" s="14">
        <v>42.790886</v>
      </c>
      <c r="G326" s="14">
        <v>3693300</v>
      </c>
      <c r="H326" s="14">
        <f t="shared" si="5"/>
        <v>2.3953176262242839E-3</v>
      </c>
    </row>
    <row r="327" spans="1:8" x14ac:dyDescent="0.25">
      <c r="A327" s="46">
        <v>45034</v>
      </c>
      <c r="B327" s="14">
        <v>44.139999000000003</v>
      </c>
      <c r="C327" s="14">
        <v>44.400002000000001</v>
      </c>
      <c r="D327" s="14">
        <v>43.860000999999997</v>
      </c>
      <c r="E327" s="14">
        <v>44.040000999999997</v>
      </c>
      <c r="F327" s="14">
        <v>43.045017000000001</v>
      </c>
      <c r="G327" s="14">
        <v>3709800</v>
      </c>
      <c r="H327" s="14">
        <f t="shared" si="5"/>
        <v>9.436133269594027E-3</v>
      </c>
    </row>
    <row r="328" spans="1:8" x14ac:dyDescent="0.25">
      <c r="A328" s="46">
        <v>45035</v>
      </c>
      <c r="B328" s="14">
        <v>43.849997999999999</v>
      </c>
      <c r="C328" s="14">
        <v>44.150002000000001</v>
      </c>
      <c r="D328" s="14">
        <v>43.529998999999997</v>
      </c>
      <c r="E328" s="14">
        <v>43.709999000000003</v>
      </c>
      <c r="F328" s="14">
        <v>42.722473000000001</v>
      </c>
      <c r="G328" s="14">
        <v>4043300</v>
      </c>
      <c r="H328" s="14">
        <f t="shared" si="5"/>
        <v>-7.5239852365712734E-3</v>
      </c>
    </row>
    <row r="329" spans="1:8" x14ac:dyDescent="0.25">
      <c r="A329" s="46">
        <v>45036</v>
      </c>
      <c r="B329" s="14">
        <v>43.349997999999999</v>
      </c>
      <c r="C329" s="14">
        <v>43.709999000000003</v>
      </c>
      <c r="D329" s="14">
        <v>43.220001000000003</v>
      </c>
      <c r="E329" s="14">
        <v>43.380001</v>
      </c>
      <c r="F329" s="14">
        <v>42.399929</v>
      </c>
      <c r="G329" s="14">
        <v>3624400</v>
      </c>
      <c r="H329" s="14">
        <f t="shared" si="5"/>
        <v>-7.1214796030661942E-3</v>
      </c>
    </row>
    <row r="330" spans="1:8" x14ac:dyDescent="0.25">
      <c r="A330" s="46">
        <v>45037</v>
      </c>
      <c r="B330" s="14">
        <v>43.369999</v>
      </c>
      <c r="C330" s="14">
        <v>43.369999</v>
      </c>
      <c r="D330" s="14">
        <v>42.759998000000003</v>
      </c>
      <c r="E330" s="14">
        <v>43.110000999999997</v>
      </c>
      <c r="F330" s="14">
        <v>42.136032</v>
      </c>
      <c r="G330" s="14">
        <v>3139200</v>
      </c>
      <c r="H330" s="14">
        <f t="shared" si="5"/>
        <v>-1.0643289897193653E-2</v>
      </c>
    </row>
    <row r="331" spans="1:8" x14ac:dyDescent="0.25">
      <c r="A331" s="46">
        <v>45040</v>
      </c>
      <c r="B331" s="14">
        <v>43.279998999999997</v>
      </c>
      <c r="C331" s="14">
        <v>44.139999000000003</v>
      </c>
      <c r="D331" s="14">
        <v>43.18</v>
      </c>
      <c r="E331" s="14">
        <v>43.860000999999997</v>
      </c>
      <c r="F331" s="14">
        <v>42.869083000000003</v>
      </c>
      <c r="G331" s="14">
        <v>4216500</v>
      </c>
      <c r="H331" s="14">
        <f t="shared" si="5"/>
        <v>3.2741036766808693E-3</v>
      </c>
    </row>
    <row r="332" spans="1:8" x14ac:dyDescent="0.25">
      <c r="A332" s="46">
        <v>45041</v>
      </c>
      <c r="B332" s="14">
        <v>43.580002</v>
      </c>
      <c r="C332" s="14">
        <v>44.18</v>
      </c>
      <c r="D332" s="14">
        <v>43.549999</v>
      </c>
      <c r="E332" s="14">
        <v>44.009998000000003</v>
      </c>
      <c r="F332" s="14">
        <v>43.015697000000003</v>
      </c>
      <c r="G332" s="14">
        <v>5938300</v>
      </c>
      <c r="H332" s="14">
        <f t="shared" si="5"/>
        <v>8.5687586845761832E-3</v>
      </c>
    </row>
    <row r="333" spans="1:8" x14ac:dyDescent="0.25">
      <c r="A333" s="46">
        <v>45042</v>
      </c>
      <c r="B333" s="14">
        <v>43.5</v>
      </c>
      <c r="C333" s="14">
        <v>44.43</v>
      </c>
      <c r="D333" s="14">
        <v>43.220001000000003</v>
      </c>
      <c r="E333" s="14">
        <v>43.360000999999997</v>
      </c>
      <c r="F333" s="14">
        <v>42.380378999999998</v>
      </c>
      <c r="G333" s="14">
        <v>8552700</v>
      </c>
      <c r="H333" s="14">
        <f t="shared" si="5"/>
        <v>-7.5774513795051623E-3</v>
      </c>
    </row>
    <row r="334" spans="1:8" x14ac:dyDescent="0.25">
      <c r="A334" s="46">
        <v>45043</v>
      </c>
      <c r="B334" s="14">
        <v>45.139999000000003</v>
      </c>
      <c r="C334" s="14">
        <v>45.860000999999997</v>
      </c>
      <c r="D334" s="14">
        <v>44.040000999999997</v>
      </c>
      <c r="E334" s="14">
        <v>45.560001</v>
      </c>
      <c r="F334" s="14">
        <v>44.530678000000002</v>
      </c>
      <c r="G334" s="14">
        <v>11144600</v>
      </c>
      <c r="H334" s="14">
        <f t="shared" si="5"/>
        <v>1.89726973861013E-2</v>
      </c>
    </row>
    <row r="335" spans="1:8" x14ac:dyDescent="0.25">
      <c r="A335" s="46">
        <v>45044</v>
      </c>
      <c r="B335" s="14">
        <v>45.52</v>
      </c>
      <c r="C335" s="14">
        <v>46.669998</v>
      </c>
      <c r="D335" s="14">
        <v>45.389999000000003</v>
      </c>
      <c r="E335" s="14">
        <v>46.43</v>
      </c>
      <c r="F335" s="14">
        <v>45.381022999999999</v>
      </c>
      <c r="G335" s="14">
        <v>6704400</v>
      </c>
      <c r="H335" s="14">
        <f t="shared" si="5"/>
        <v>3.0653904844371027E-2</v>
      </c>
    </row>
    <row r="336" spans="1:8" x14ac:dyDescent="0.25">
      <c r="A336" s="46">
        <v>45047</v>
      </c>
      <c r="B336" s="14">
        <v>46.02</v>
      </c>
      <c r="C336" s="14">
        <v>46.349997999999999</v>
      </c>
      <c r="D336" s="14">
        <v>45.41</v>
      </c>
      <c r="E336" s="14">
        <v>45.66</v>
      </c>
      <c r="F336" s="14">
        <v>44.628418000000003</v>
      </c>
      <c r="G336" s="14">
        <v>4220800</v>
      </c>
      <c r="H336" s="14">
        <f t="shared" si="5"/>
        <v>1.4688257649001871E-4</v>
      </c>
    </row>
    <row r="337" spans="1:8" x14ac:dyDescent="0.25">
      <c r="A337" s="46">
        <v>45048</v>
      </c>
      <c r="B337" s="14">
        <v>45.610000999999997</v>
      </c>
      <c r="C337" s="14">
        <v>45.66</v>
      </c>
      <c r="D337" s="14">
        <v>44.52</v>
      </c>
      <c r="E337" s="14">
        <v>45.119999</v>
      </c>
      <c r="F337" s="14">
        <v>44.100616000000002</v>
      </c>
      <c r="G337" s="14">
        <v>4035100</v>
      </c>
      <c r="H337" s="14">
        <f t="shared" si="5"/>
        <v>-1.9599207223078507E-2</v>
      </c>
    </row>
    <row r="338" spans="1:8" x14ac:dyDescent="0.25">
      <c r="A338" s="46">
        <v>45049</v>
      </c>
      <c r="B338" s="14">
        <v>45.290000999999997</v>
      </c>
      <c r="C338" s="14">
        <v>45.77</v>
      </c>
      <c r="D338" s="14">
        <v>44.610000999999997</v>
      </c>
      <c r="E338" s="14">
        <v>44.77</v>
      </c>
      <c r="F338" s="14">
        <v>43.758526000000003</v>
      </c>
      <c r="G338" s="14">
        <v>4686200</v>
      </c>
      <c r="H338" s="14">
        <f t="shared" si="5"/>
        <v>2.0215858041328083E-3</v>
      </c>
    </row>
    <row r="339" spans="1:8" x14ac:dyDescent="0.25">
      <c r="A339" s="46">
        <v>45050</v>
      </c>
      <c r="B339" s="14">
        <v>44.970001000000003</v>
      </c>
      <c r="C339" s="14">
        <v>44.98</v>
      </c>
      <c r="D339" s="14">
        <v>44.279998999999997</v>
      </c>
      <c r="E339" s="14">
        <v>44.380001</v>
      </c>
      <c r="F339" s="14">
        <v>43.377335000000002</v>
      </c>
      <c r="G339" s="14">
        <v>3301500</v>
      </c>
      <c r="H339" s="14">
        <f t="shared" si="5"/>
        <v>-7.3974891863374248E-3</v>
      </c>
    </row>
    <row r="340" spans="1:8" x14ac:dyDescent="0.25">
      <c r="A340" s="46">
        <v>45051</v>
      </c>
      <c r="B340" s="14">
        <v>44.720001000000003</v>
      </c>
      <c r="C340" s="14">
        <v>45.709999000000003</v>
      </c>
      <c r="D340" s="14">
        <v>44.630001</v>
      </c>
      <c r="E340" s="14">
        <v>45.630001</v>
      </c>
      <c r="F340" s="14">
        <v>44.599094000000001</v>
      </c>
      <c r="G340" s="14">
        <v>5206400</v>
      </c>
      <c r="H340" s="14">
        <f t="shared" si="5"/>
        <v>7.9042910547491019E-3</v>
      </c>
    </row>
    <row r="341" spans="1:8" x14ac:dyDescent="0.25">
      <c r="A341" s="46">
        <v>45054</v>
      </c>
      <c r="B341" s="14">
        <v>45.790000999999997</v>
      </c>
      <c r="C341" s="14">
        <v>46.34</v>
      </c>
      <c r="D341" s="14">
        <v>45.470001000000003</v>
      </c>
      <c r="E341" s="14">
        <v>46.209999000000003</v>
      </c>
      <c r="F341" s="14">
        <v>45.165989000000003</v>
      </c>
      <c r="G341" s="14">
        <v>3781700</v>
      </c>
      <c r="H341" s="14">
        <f t="shared" si="5"/>
        <v>6.2738067158008741E-3</v>
      </c>
    </row>
    <row r="342" spans="1:8" x14ac:dyDescent="0.25">
      <c r="A342" s="46">
        <v>45055</v>
      </c>
      <c r="B342" s="14">
        <v>45.91</v>
      </c>
      <c r="C342" s="14">
        <v>46.380001</v>
      </c>
      <c r="D342" s="14">
        <v>45.52</v>
      </c>
      <c r="E342" s="14">
        <v>45.810001</v>
      </c>
      <c r="F342" s="14">
        <v>44.775027999999999</v>
      </c>
      <c r="G342" s="14">
        <v>3785000</v>
      </c>
      <c r="H342" s="14">
        <f t="shared" si="5"/>
        <v>1.099604110411212E-3</v>
      </c>
    </row>
    <row r="343" spans="1:8" x14ac:dyDescent="0.25">
      <c r="A343" s="46">
        <v>45056</v>
      </c>
      <c r="B343" s="14">
        <v>46.209999000000003</v>
      </c>
      <c r="C343" s="14">
        <v>46.349997999999999</v>
      </c>
      <c r="D343" s="14">
        <v>45.240001999999997</v>
      </c>
      <c r="E343" s="14">
        <v>45.82</v>
      </c>
      <c r="F343" s="14">
        <v>44.784798000000002</v>
      </c>
      <c r="G343" s="14">
        <v>4297800</v>
      </c>
      <c r="H343" s="14">
        <f t="shared" si="5"/>
        <v>-6.1510984182777673E-3</v>
      </c>
    </row>
    <row r="344" spans="1:8" x14ac:dyDescent="0.25">
      <c r="A344" s="46">
        <v>45057</v>
      </c>
      <c r="B344" s="14">
        <v>45.830002</v>
      </c>
      <c r="C344" s="14">
        <v>45.900002000000001</v>
      </c>
      <c r="D344" s="14">
        <v>45.470001000000003</v>
      </c>
      <c r="E344" s="14">
        <v>45.779998999999997</v>
      </c>
      <c r="F344" s="14">
        <v>44.745705000000001</v>
      </c>
      <c r="G344" s="14">
        <v>3847500</v>
      </c>
      <c r="H344" s="14">
        <f t="shared" si="5"/>
        <v>5.0839741342187938E-3</v>
      </c>
    </row>
    <row r="345" spans="1:8" x14ac:dyDescent="0.25">
      <c r="A345" s="46">
        <v>45058</v>
      </c>
      <c r="B345" s="14">
        <v>45.700001</v>
      </c>
      <c r="C345" s="14">
        <v>45.830002</v>
      </c>
      <c r="D345" s="14">
        <v>44.639999000000003</v>
      </c>
      <c r="E345" s="14">
        <v>44.91</v>
      </c>
      <c r="F345" s="14">
        <v>43.895358999999999</v>
      </c>
      <c r="G345" s="14">
        <v>3690400</v>
      </c>
      <c r="H345" s="14">
        <f t="shared" si="5"/>
        <v>-1.8253837293735753E-2</v>
      </c>
    </row>
    <row r="346" spans="1:8" x14ac:dyDescent="0.25">
      <c r="A346" s="46">
        <v>45061</v>
      </c>
      <c r="B346" s="14">
        <v>44.91</v>
      </c>
      <c r="C346" s="14">
        <v>45.48</v>
      </c>
      <c r="D346" s="14">
        <v>44.560001</v>
      </c>
      <c r="E346" s="14">
        <v>45.130001</v>
      </c>
      <c r="F346" s="14">
        <v>44.110393999999999</v>
      </c>
      <c r="G346" s="14">
        <v>4196500</v>
      </c>
      <c r="H346" s="14">
        <f t="shared" si="5"/>
        <v>-5.9735664420605217E-4</v>
      </c>
    </row>
    <row r="347" spans="1:8" x14ac:dyDescent="0.25">
      <c r="A347" s="46">
        <v>45062</v>
      </c>
      <c r="B347" s="14">
        <v>44.619999</v>
      </c>
      <c r="C347" s="14">
        <v>44.619999</v>
      </c>
      <c r="D347" s="14">
        <v>43.02</v>
      </c>
      <c r="E347" s="14">
        <v>43.029998999999997</v>
      </c>
      <c r="F347" s="14">
        <v>42.057834999999997</v>
      </c>
      <c r="G347" s="14">
        <v>5570900</v>
      </c>
      <c r="H347" s="14">
        <f t="shared" si="5"/>
        <v>-3.4560165292635392E-2</v>
      </c>
    </row>
    <row r="348" spans="1:8" x14ac:dyDescent="0.25">
      <c r="A348" s="46">
        <v>45063</v>
      </c>
      <c r="B348" s="14">
        <v>43.060001</v>
      </c>
      <c r="C348" s="14">
        <v>43.959999000000003</v>
      </c>
      <c r="D348" s="14">
        <v>42.959999000000003</v>
      </c>
      <c r="E348" s="14">
        <v>43.880001</v>
      </c>
      <c r="F348" s="14">
        <v>42.888634000000003</v>
      </c>
      <c r="G348" s="14">
        <v>4442500</v>
      </c>
      <c r="H348" s="14">
        <f t="shared" si="5"/>
        <v>-1.3947233844723295E-3</v>
      </c>
    </row>
    <row r="349" spans="1:8" x14ac:dyDescent="0.25">
      <c r="A349" s="46">
        <v>45064</v>
      </c>
      <c r="B349" s="14">
        <v>43.810001</v>
      </c>
      <c r="C349" s="14">
        <v>44.18</v>
      </c>
      <c r="D349" s="14">
        <v>43.439999</v>
      </c>
      <c r="E349" s="14">
        <v>44.119999</v>
      </c>
      <c r="F349" s="14">
        <v>43.123202999999997</v>
      </c>
      <c r="G349" s="14">
        <v>3240800</v>
      </c>
      <c r="H349" s="14">
        <f t="shared" si="5"/>
        <v>1.1173184617625287E-2</v>
      </c>
    </row>
    <row r="350" spans="1:8" x14ac:dyDescent="0.25">
      <c r="A350" s="46">
        <v>45065</v>
      </c>
      <c r="B350" s="14">
        <v>44.09</v>
      </c>
      <c r="C350" s="14">
        <v>44.189999</v>
      </c>
      <c r="D350" s="14">
        <v>43.150002000000001</v>
      </c>
      <c r="E350" s="14">
        <v>43.48</v>
      </c>
      <c r="F350" s="14">
        <v>42.497669000000002</v>
      </c>
      <c r="G350" s="14">
        <v>4278000</v>
      </c>
      <c r="H350" s="14">
        <f t="shared" si="5"/>
        <v>-6.6758058627026662E-3</v>
      </c>
    </row>
    <row r="351" spans="1:8" x14ac:dyDescent="0.25">
      <c r="A351" s="46">
        <v>45068</v>
      </c>
      <c r="B351" s="14">
        <v>43.919998</v>
      </c>
      <c r="C351" s="14">
        <v>44.23</v>
      </c>
      <c r="D351" s="14">
        <v>43.75</v>
      </c>
      <c r="E351" s="14">
        <v>44.119999</v>
      </c>
      <c r="F351" s="14">
        <v>43.123202999999997</v>
      </c>
      <c r="G351" s="14">
        <v>4693200</v>
      </c>
      <c r="H351" s="14">
        <f t="shared" si="5"/>
        <v>4.6349785414455296E-3</v>
      </c>
    </row>
    <row r="352" spans="1:8" x14ac:dyDescent="0.25">
      <c r="A352" s="46">
        <v>45069</v>
      </c>
      <c r="B352" s="14">
        <v>44</v>
      </c>
      <c r="C352" s="14">
        <v>44.18</v>
      </c>
      <c r="D352" s="14">
        <v>43.150002000000001</v>
      </c>
      <c r="E352" s="14">
        <v>43.779998999999997</v>
      </c>
      <c r="F352" s="14">
        <v>42.790886</v>
      </c>
      <c r="G352" s="14">
        <v>4139000</v>
      </c>
      <c r="H352" s="14">
        <f t="shared" si="5"/>
        <v>-1.3714239999999989E-2</v>
      </c>
    </row>
    <row r="353" spans="1:8" x14ac:dyDescent="0.25">
      <c r="A353" s="46">
        <v>45070</v>
      </c>
      <c r="B353" s="14">
        <v>43.959999000000003</v>
      </c>
      <c r="C353" s="14">
        <v>44.009998000000003</v>
      </c>
      <c r="D353" s="14">
        <v>43.040000999999997</v>
      </c>
      <c r="E353" s="14">
        <v>43.299999</v>
      </c>
      <c r="F353" s="14">
        <v>42.321731999999997</v>
      </c>
      <c r="G353" s="14">
        <v>3486900</v>
      </c>
      <c r="H353" s="14">
        <f t="shared" si="5"/>
        <v>-2.5492698702540562E-3</v>
      </c>
    </row>
    <row r="354" spans="1:8" x14ac:dyDescent="0.25">
      <c r="A354" s="46">
        <v>45071</v>
      </c>
      <c r="B354" s="14">
        <v>43.09</v>
      </c>
      <c r="C354" s="14">
        <v>43.68</v>
      </c>
      <c r="D354" s="14">
        <v>42.93</v>
      </c>
      <c r="E354" s="14">
        <v>43.619999</v>
      </c>
      <c r="F354" s="14">
        <v>42.634506000000002</v>
      </c>
      <c r="G354" s="14">
        <v>6799900</v>
      </c>
      <c r="H354" s="14">
        <f t="shared" si="5"/>
        <v>-2.5557852566033823E-3</v>
      </c>
    </row>
    <row r="355" spans="1:8" x14ac:dyDescent="0.25">
      <c r="A355" s="46">
        <v>45072</v>
      </c>
      <c r="B355" s="14">
        <v>43.560001</v>
      </c>
      <c r="C355" s="14">
        <v>44.549999</v>
      </c>
      <c r="D355" s="14">
        <v>43.52</v>
      </c>
      <c r="E355" s="14">
        <v>44.360000999999997</v>
      </c>
      <c r="F355" s="14">
        <v>43.357787999999999</v>
      </c>
      <c r="G355" s="14">
        <v>5128400</v>
      </c>
      <c r="H355" s="14">
        <f t="shared" si="5"/>
        <v>1.3743303051479305E-2</v>
      </c>
    </row>
    <row r="356" spans="1:8" x14ac:dyDescent="0.25">
      <c r="A356" s="46">
        <v>45076</v>
      </c>
      <c r="B356" s="14">
        <v>44.25</v>
      </c>
      <c r="C356" s="14">
        <v>44.48</v>
      </c>
      <c r="D356" s="14">
        <v>43.34</v>
      </c>
      <c r="E356" s="14">
        <v>43.619999</v>
      </c>
      <c r="F356" s="14">
        <v>42.634506000000002</v>
      </c>
      <c r="G356" s="14">
        <v>4906600</v>
      </c>
      <c r="H356" s="14">
        <f t="shared" si="5"/>
        <v>-1.0340073529411797E-3</v>
      </c>
    </row>
    <row r="357" spans="1:8" x14ac:dyDescent="0.25">
      <c r="A357" s="46">
        <v>45077</v>
      </c>
      <c r="B357" s="14">
        <v>43.259998000000003</v>
      </c>
      <c r="C357" s="14">
        <v>43.259998000000003</v>
      </c>
      <c r="D357" s="14">
        <v>42.009998000000003</v>
      </c>
      <c r="E357" s="14">
        <v>42.540000999999997</v>
      </c>
      <c r="F357" s="14">
        <v>41.818584000000001</v>
      </c>
      <c r="G357" s="14">
        <v>7695800</v>
      </c>
      <c r="H357" s="14">
        <f t="shared" si="5"/>
        <v>-3.068763267189667E-2</v>
      </c>
    </row>
    <row r="358" spans="1:8" x14ac:dyDescent="0.25">
      <c r="A358" s="46">
        <v>45078</v>
      </c>
      <c r="B358" s="14">
        <v>42.799999</v>
      </c>
      <c r="C358" s="14">
        <v>43.59</v>
      </c>
      <c r="D358" s="14">
        <v>42.529998999999997</v>
      </c>
      <c r="E358" s="14">
        <v>43.259998000000003</v>
      </c>
      <c r="F358" s="14">
        <v>42.526370999999997</v>
      </c>
      <c r="G358" s="14">
        <v>5235300</v>
      </c>
      <c r="H358" s="14">
        <f t="shared" si="5"/>
        <v>1.2378029629994014E-2</v>
      </c>
    </row>
    <row r="359" spans="1:8" x14ac:dyDescent="0.25">
      <c r="A359" s="46">
        <v>45079</v>
      </c>
      <c r="B359" s="14">
        <v>43.330002</v>
      </c>
      <c r="C359" s="14">
        <v>44.48</v>
      </c>
      <c r="D359" s="14">
        <v>43.27</v>
      </c>
      <c r="E359" s="14">
        <v>44.389999000000003</v>
      </c>
      <c r="F359" s="14">
        <v>43.637206999999997</v>
      </c>
      <c r="G359" s="14">
        <v>4641600</v>
      </c>
      <c r="H359" s="14">
        <f t="shared" si="5"/>
        <v>1.7399506640007445E-2</v>
      </c>
    </row>
    <row r="360" spans="1:8" x14ac:dyDescent="0.25">
      <c r="A360" s="46">
        <v>45082</v>
      </c>
      <c r="B360" s="14">
        <v>44.77</v>
      </c>
      <c r="C360" s="14">
        <v>45.34</v>
      </c>
      <c r="D360" s="14">
        <v>44.290000999999997</v>
      </c>
      <c r="E360" s="14">
        <v>45.290000999999997</v>
      </c>
      <c r="F360" s="14">
        <v>44.521949999999997</v>
      </c>
      <c r="G360" s="14">
        <v>5661800</v>
      </c>
      <c r="H360" s="14">
        <f t="shared" si="5"/>
        <v>7.8576457900007366E-3</v>
      </c>
    </row>
    <row r="361" spans="1:8" x14ac:dyDescent="0.25">
      <c r="A361" s="46">
        <v>45083</v>
      </c>
      <c r="B361" s="14">
        <v>45.220001000000003</v>
      </c>
      <c r="C361" s="14">
        <v>45.369999</v>
      </c>
      <c r="D361" s="14">
        <v>44.84</v>
      </c>
      <c r="E361" s="14">
        <v>45.18</v>
      </c>
      <c r="F361" s="14">
        <v>44.413815</v>
      </c>
      <c r="G361" s="14">
        <v>4537600</v>
      </c>
      <c r="H361" s="14">
        <f t="shared" si="5"/>
        <v>1.2418130223117663E-2</v>
      </c>
    </row>
    <row r="362" spans="1:8" x14ac:dyDescent="0.25">
      <c r="A362" s="46">
        <v>45084</v>
      </c>
      <c r="B362" s="14">
        <v>45.240001999999997</v>
      </c>
      <c r="C362" s="14">
        <v>45.77</v>
      </c>
      <c r="D362" s="14">
        <v>44.849997999999999</v>
      </c>
      <c r="E362" s="14">
        <v>45.060001</v>
      </c>
      <c r="F362" s="14">
        <v>44.295848999999997</v>
      </c>
      <c r="G362" s="14">
        <v>5663700</v>
      </c>
      <c r="H362" s="14">
        <f t="shared" si="5"/>
        <v>2.2297056199804821E-4</v>
      </c>
    </row>
    <row r="363" spans="1:8" x14ac:dyDescent="0.25">
      <c r="A363" s="46">
        <v>45085</v>
      </c>
      <c r="B363" s="14">
        <v>45.549999</v>
      </c>
      <c r="C363" s="14">
        <v>46.060001</v>
      </c>
      <c r="D363" s="14">
        <v>45.349997999999999</v>
      </c>
      <c r="E363" s="14">
        <v>45.610000999999997</v>
      </c>
      <c r="F363" s="14">
        <v>44.836525000000002</v>
      </c>
      <c r="G363" s="14">
        <v>5308400</v>
      </c>
      <c r="H363" s="14">
        <f t="shared" si="5"/>
        <v>1.114827251497319E-2</v>
      </c>
    </row>
    <row r="364" spans="1:8" x14ac:dyDescent="0.25">
      <c r="A364" s="46">
        <v>45086</v>
      </c>
      <c r="B364" s="14">
        <v>45.639999000000003</v>
      </c>
      <c r="C364" s="14">
        <v>46.540000999999997</v>
      </c>
      <c r="D364" s="14">
        <v>45.639999000000003</v>
      </c>
      <c r="E364" s="14">
        <v>45.810001</v>
      </c>
      <c r="F364" s="14">
        <v>45.033130999999997</v>
      </c>
      <c r="G364" s="14">
        <v>5049500</v>
      </c>
      <c r="H364" s="14">
        <f t="shared" si="5"/>
        <v>6.3947301607378826E-3</v>
      </c>
    </row>
    <row r="365" spans="1:8" x14ac:dyDescent="0.25">
      <c r="A365" s="46">
        <v>45089</v>
      </c>
      <c r="B365" s="14">
        <v>45.849997999999999</v>
      </c>
      <c r="C365" s="14">
        <v>45.919998</v>
      </c>
      <c r="D365" s="14">
        <v>45.02</v>
      </c>
      <c r="E365" s="14">
        <v>45.119999</v>
      </c>
      <c r="F365" s="14">
        <v>44.354832000000002</v>
      </c>
      <c r="G365" s="14">
        <v>6150600</v>
      </c>
      <c r="H365" s="14">
        <f t="shared" si="5"/>
        <v>-4.5281844404364184E-3</v>
      </c>
    </row>
    <row r="366" spans="1:8" x14ac:dyDescent="0.25">
      <c r="A366" s="46">
        <v>45090</v>
      </c>
      <c r="B366" s="14">
        <v>45.299999</v>
      </c>
      <c r="C366" s="14">
        <v>45.619999</v>
      </c>
      <c r="D366" s="14">
        <v>45.009998000000003</v>
      </c>
      <c r="E366" s="14">
        <v>45.52</v>
      </c>
      <c r="F366" s="14">
        <v>44.748050999999997</v>
      </c>
      <c r="G366" s="14">
        <v>4215700</v>
      </c>
      <c r="H366" s="14">
        <f t="shared" si="5"/>
        <v>-2.221679253665565E-4</v>
      </c>
    </row>
    <row r="367" spans="1:8" x14ac:dyDescent="0.25">
      <c r="A367" s="46">
        <v>45091</v>
      </c>
      <c r="B367" s="14">
        <v>45.59</v>
      </c>
      <c r="C367" s="14">
        <v>45.709999000000003</v>
      </c>
      <c r="D367" s="14">
        <v>44.639999000000003</v>
      </c>
      <c r="E367" s="14">
        <v>45.07</v>
      </c>
      <c r="F367" s="14">
        <v>44.305675999999998</v>
      </c>
      <c r="G367" s="14">
        <v>4655100</v>
      </c>
      <c r="H367" s="14">
        <f t="shared" si="5"/>
        <v>-8.220373615657528E-3</v>
      </c>
    </row>
    <row r="368" spans="1:8" x14ac:dyDescent="0.25">
      <c r="A368" s="46">
        <v>45092</v>
      </c>
      <c r="B368" s="14">
        <v>44.939999</v>
      </c>
      <c r="C368" s="14">
        <v>45.700001</v>
      </c>
      <c r="D368" s="14">
        <v>44.380001</v>
      </c>
      <c r="E368" s="14">
        <v>45.619999</v>
      </c>
      <c r="F368" s="14">
        <v>44.846347999999999</v>
      </c>
      <c r="G368" s="14">
        <v>5059700</v>
      </c>
      <c r="H368" s="14">
        <f t="shared" si="5"/>
        <v>-5.8243280874625825E-3</v>
      </c>
    </row>
    <row r="369" spans="1:8" x14ac:dyDescent="0.25">
      <c r="A369" s="46">
        <v>45093</v>
      </c>
      <c r="B369" s="14">
        <v>45.610000999999997</v>
      </c>
      <c r="C369" s="14">
        <v>45.75</v>
      </c>
      <c r="D369" s="14">
        <v>44.919998</v>
      </c>
      <c r="E369" s="14">
        <v>45.060001</v>
      </c>
      <c r="F369" s="14">
        <v>44.295848999999997</v>
      </c>
      <c r="G369" s="14">
        <v>8591400</v>
      </c>
      <c r="H369" s="14">
        <f t="shared" si="5"/>
        <v>1.2167575210284554E-2</v>
      </c>
    </row>
    <row r="370" spans="1:8" x14ac:dyDescent="0.25">
      <c r="A370" s="46">
        <v>45097</v>
      </c>
      <c r="B370" s="14">
        <v>44.93</v>
      </c>
      <c r="C370" s="14">
        <v>45.48</v>
      </c>
      <c r="D370" s="14">
        <v>44.619999</v>
      </c>
      <c r="E370" s="14">
        <v>44.84</v>
      </c>
      <c r="F370" s="14">
        <v>44.079574999999998</v>
      </c>
      <c r="G370" s="14">
        <v>4175500</v>
      </c>
      <c r="H370" s="14">
        <f t="shared" si="5"/>
        <v>-1.6696294153886737E-3</v>
      </c>
    </row>
    <row r="371" spans="1:8" x14ac:dyDescent="0.25">
      <c r="A371" s="46">
        <v>45098</v>
      </c>
      <c r="B371" s="14">
        <v>44.82</v>
      </c>
      <c r="C371" s="14">
        <v>44.82</v>
      </c>
      <c r="D371" s="14">
        <v>44.080002</v>
      </c>
      <c r="E371" s="14">
        <v>44.099997999999999</v>
      </c>
      <c r="F371" s="14">
        <v>43.352131</v>
      </c>
      <c r="G371" s="14">
        <v>3745700</v>
      </c>
      <c r="H371" s="14">
        <f t="shared" si="5"/>
        <v>-1.2102129361320713E-2</v>
      </c>
    </row>
    <row r="372" spans="1:8" x14ac:dyDescent="0.25">
      <c r="A372" s="46">
        <v>45099</v>
      </c>
      <c r="B372" s="14">
        <v>44.150002000000001</v>
      </c>
      <c r="C372" s="14">
        <v>44.150002000000001</v>
      </c>
      <c r="D372" s="14">
        <v>43.610000999999997</v>
      </c>
      <c r="E372" s="14">
        <v>43.869999</v>
      </c>
      <c r="F372" s="14">
        <v>43.126026000000003</v>
      </c>
      <c r="G372" s="14">
        <v>3621500</v>
      </c>
      <c r="H372" s="14">
        <f t="shared" si="5"/>
        <v>-1.0662454144171885E-2</v>
      </c>
    </row>
    <row r="373" spans="1:8" x14ac:dyDescent="0.25">
      <c r="A373" s="46">
        <v>45100</v>
      </c>
      <c r="B373" s="14">
        <v>43.48</v>
      </c>
      <c r="C373" s="14">
        <v>43.799999</v>
      </c>
      <c r="D373" s="14">
        <v>43.110000999999997</v>
      </c>
      <c r="E373" s="14">
        <v>43.369999</v>
      </c>
      <c r="F373" s="14">
        <v>42.634506000000002</v>
      </c>
      <c r="G373" s="14">
        <v>6229100</v>
      </c>
      <c r="H373" s="14">
        <f t="shared" si="5"/>
        <v>-1.1465259998503563E-2</v>
      </c>
    </row>
    <row r="374" spans="1:8" x14ac:dyDescent="0.25">
      <c r="A374" s="46">
        <v>45103</v>
      </c>
      <c r="B374" s="14">
        <v>43.459999000000003</v>
      </c>
      <c r="C374" s="14">
        <v>43.759998000000003</v>
      </c>
      <c r="D374" s="14">
        <v>43.259998000000003</v>
      </c>
      <c r="E374" s="14">
        <v>43.459999000000003</v>
      </c>
      <c r="F374" s="14">
        <v>42.72298</v>
      </c>
      <c r="G374" s="14">
        <v>3551500</v>
      </c>
      <c r="H374" s="14">
        <f t="shared" si="5"/>
        <v>1.1598004834191638E-3</v>
      </c>
    </row>
    <row r="375" spans="1:8" x14ac:dyDescent="0.25">
      <c r="A375" s="46">
        <v>45104</v>
      </c>
      <c r="B375" s="14">
        <v>43.580002</v>
      </c>
      <c r="C375" s="14">
        <v>44.549999</v>
      </c>
      <c r="D375" s="14">
        <v>43.48</v>
      </c>
      <c r="E375" s="14">
        <v>44.470001000000003</v>
      </c>
      <c r="F375" s="14">
        <v>43.715854999999998</v>
      </c>
      <c r="G375" s="14">
        <v>4758900</v>
      </c>
      <c r="H375" s="14">
        <f t="shared" si="5"/>
        <v>5.0855758245758054E-3</v>
      </c>
    </row>
    <row r="376" spans="1:8" x14ac:dyDescent="0.25">
      <c r="A376" s="46">
        <v>45105</v>
      </c>
      <c r="B376" s="14">
        <v>44.43</v>
      </c>
      <c r="C376" s="14">
        <v>44.849997999999999</v>
      </c>
      <c r="D376" s="14">
        <v>44.240001999999997</v>
      </c>
      <c r="E376" s="14">
        <v>44.84</v>
      </c>
      <c r="F376" s="14">
        <v>44.079574999999998</v>
      </c>
      <c r="G376" s="14">
        <v>4186200</v>
      </c>
      <c r="H376" s="14">
        <f t="shared" si="5"/>
        <v>1.7479346826126951E-2</v>
      </c>
    </row>
    <row r="377" spans="1:8" x14ac:dyDescent="0.25">
      <c r="A377" s="46">
        <v>45106</v>
      </c>
      <c r="B377" s="14">
        <v>44.91</v>
      </c>
      <c r="C377" s="14">
        <v>44.91</v>
      </c>
      <c r="D377" s="14">
        <v>44.330002</v>
      </c>
      <c r="E377" s="14">
        <v>44.599997999999999</v>
      </c>
      <c r="F377" s="14">
        <v>43.843646999999997</v>
      </c>
      <c r="G377" s="14">
        <v>3278400</v>
      </c>
      <c r="H377" s="14">
        <f t="shared" si="5"/>
        <v>2.0343579550472501E-3</v>
      </c>
    </row>
    <row r="378" spans="1:8" x14ac:dyDescent="0.25">
      <c r="A378" s="46">
        <v>45107</v>
      </c>
      <c r="B378" s="14">
        <v>45</v>
      </c>
      <c r="C378" s="14">
        <v>45.130001</v>
      </c>
      <c r="D378" s="14">
        <v>44.290000999999997</v>
      </c>
      <c r="E378" s="14">
        <v>44.689999</v>
      </c>
      <c r="F378" s="14">
        <v>43.932121000000002</v>
      </c>
      <c r="G378" s="14">
        <v>5212100</v>
      </c>
      <c r="H378" s="14">
        <f t="shared" si="5"/>
        <v>-9.0234600034544421E-4</v>
      </c>
    </row>
    <row r="379" spans="1:8" x14ac:dyDescent="0.25">
      <c r="A379" s="46">
        <v>45110</v>
      </c>
      <c r="B379" s="14">
        <v>44.66</v>
      </c>
      <c r="C379" s="14">
        <v>45.830002</v>
      </c>
      <c r="D379" s="14">
        <v>44.599997999999999</v>
      </c>
      <c r="E379" s="14">
        <v>45.23</v>
      </c>
      <c r="F379" s="14">
        <v>44.462963000000002</v>
      </c>
      <c r="G379" s="14">
        <v>2771300</v>
      </c>
      <c r="H379" s="14">
        <f t="shared" si="5"/>
        <v>2.3330849175942823E-3</v>
      </c>
    </row>
    <row r="380" spans="1:8" x14ac:dyDescent="0.25">
      <c r="A380" s="46">
        <v>45112</v>
      </c>
      <c r="B380" s="14">
        <v>45.23</v>
      </c>
      <c r="C380" s="14">
        <v>45.27</v>
      </c>
      <c r="D380" s="14">
        <v>44.630001</v>
      </c>
      <c r="E380" s="14">
        <v>45.029998999999997</v>
      </c>
      <c r="F380" s="14">
        <v>44.266354</v>
      </c>
      <c r="G380" s="14">
        <v>3394000</v>
      </c>
      <c r="H380" s="14">
        <f t="shared" si="5"/>
        <v>3.3635651732544236E-4</v>
      </c>
    </row>
    <row r="381" spans="1:8" x14ac:dyDescent="0.25">
      <c r="A381" s="46">
        <v>45113</v>
      </c>
      <c r="B381" s="14">
        <v>44.27</v>
      </c>
      <c r="C381" s="14">
        <v>44.450001</v>
      </c>
      <c r="D381" s="14">
        <v>43.549999</v>
      </c>
      <c r="E381" s="14">
        <v>43.849997999999999</v>
      </c>
      <c r="F381" s="14">
        <v>43.106364999999997</v>
      </c>
      <c r="G381" s="14">
        <v>4572500</v>
      </c>
      <c r="H381" s="14">
        <f t="shared" si="5"/>
        <v>-2.4199013573851347E-2</v>
      </c>
    </row>
    <row r="382" spans="1:8" x14ac:dyDescent="0.25">
      <c r="A382" s="46">
        <v>45114</v>
      </c>
      <c r="B382" s="14">
        <v>43.689999</v>
      </c>
      <c r="C382" s="14">
        <v>44.57</v>
      </c>
      <c r="D382" s="14">
        <v>43.68</v>
      </c>
      <c r="E382" s="14">
        <v>44.259998000000003</v>
      </c>
      <c r="F382" s="14">
        <v>43.509414999999997</v>
      </c>
      <c r="G382" s="14">
        <v>4252800</v>
      </c>
      <c r="H382" s="14">
        <f t="shared" si="5"/>
        <v>2.9850976575223065E-3</v>
      </c>
    </row>
    <row r="383" spans="1:8" x14ac:dyDescent="0.25">
      <c r="A383" s="46">
        <v>45117</v>
      </c>
      <c r="B383" s="14">
        <v>44.130001</v>
      </c>
      <c r="C383" s="14">
        <v>45.759998000000003</v>
      </c>
      <c r="D383" s="14">
        <v>44.119999</v>
      </c>
      <c r="E383" s="14">
        <v>45.669998</v>
      </c>
      <c r="F383" s="14">
        <v>44.895499999999998</v>
      </c>
      <c r="G383" s="14">
        <v>4703700</v>
      </c>
      <c r="H383" s="14">
        <f t="shared" si="5"/>
        <v>3.35774572649572E-3</v>
      </c>
    </row>
    <row r="384" spans="1:8" x14ac:dyDescent="0.25">
      <c r="A384" s="46">
        <v>45118</v>
      </c>
      <c r="B384" s="14">
        <v>46</v>
      </c>
      <c r="C384" s="14">
        <v>47.349997999999999</v>
      </c>
      <c r="D384" s="14">
        <v>45.959999000000003</v>
      </c>
      <c r="E384" s="14">
        <v>46.900002000000001</v>
      </c>
      <c r="F384" s="14">
        <v>46.104644999999998</v>
      </c>
      <c r="G384" s="14">
        <v>4998800</v>
      </c>
      <c r="H384" s="14">
        <f t="shared" si="5"/>
        <v>4.1704443374987354E-2</v>
      </c>
    </row>
    <row r="385" spans="1:8" x14ac:dyDescent="0.25">
      <c r="A385" s="46">
        <v>45119</v>
      </c>
      <c r="B385" s="14">
        <v>47.5</v>
      </c>
      <c r="C385" s="14">
        <v>47.529998999999997</v>
      </c>
      <c r="D385" s="14">
        <v>46.330002</v>
      </c>
      <c r="E385" s="14">
        <v>46.41</v>
      </c>
      <c r="F385" s="14">
        <v>45.622954999999997</v>
      </c>
      <c r="G385" s="14">
        <v>4969600</v>
      </c>
      <c r="H385" s="14">
        <f t="shared" si="5"/>
        <v>8.0505441264260291E-3</v>
      </c>
    </row>
    <row r="386" spans="1:8" x14ac:dyDescent="0.25">
      <c r="A386" s="46">
        <v>45120</v>
      </c>
      <c r="B386" s="14">
        <v>46.720001000000003</v>
      </c>
      <c r="C386" s="14">
        <v>46.810001</v>
      </c>
      <c r="D386" s="14">
        <v>46.080002</v>
      </c>
      <c r="E386" s="14">
        <v>46.130001</v>
      </c>
      <c r="F386" s="14">
        <v>45.347701999999998</v>
      </c>
      <c r="G386" s="14">
        <v>4172600</v>
      </c>
      <c r="H386" s="14">
        <f t="shared" si="5"/>
        <v>-5.3960714268909138E-3</v>
      </c>
    </row>
    <row r="387" spans="1:8" x14ac:dyDescent="0.25">
      <c r="A387" s="46">
        <v>45121</v>
      </c>
      <c r="B387" s="14">
        <v>46.049999</v>
      </c>
      <c r="C387" s="14">
        <v>46.720001000000003</v>
      </c>
      <c r="D387" s="14">
        <v>45.82</v>
      </c>
      <c r="E387" s="14">
        <v>46.5</v>
      </c>
      <c r="F387" s="14">
        <v>45.711426000000003</v>
      </c>
      <c r="G387" s="14">
        <v>4131800</v>
      </c>
      <c r="H387" s="14">
        <f t="shared" si="5"/>
        <v>-5.6424042689928733E-3</v>
      </c>
    </row>
    <row r="388" spans="1:8" x14ac:dyDescent="0.25">
      <c r="A388" s="46">
        <v>45124</v>
      </c>
      <c r="B388" s="14">
        <v>46.060001</v>
      </c>
      <c r="C388" s="14">
        <v>47.369999</v>
      </c>
      <c r="D388" s="14">
        <v>45.959999000000003</v>
      </c>
      <c r="E388" s="14">
        <v>47.189999</v>
      </c>
      <c r="F388" s="14">
        <v>46.389724999999999</v>
      </c>
      <c r="G388" s="14">
        <v>5192400</v>
      </c>
      <c r="H388" s="14">
        <f t="shared" ref="H388:H451" si="6">(D388/D387-1)/(A388-A387)</f>
        <v>1.0184708278772419E-3</v>
      </c>
    </row>
    <row r="389" spans="1:8" x14ac:dyDescent="0.25">
      <c r="A389" s="46">
        <v>45125</v>
      </c>
      <c r="B389" s="14">
        <v>46.919998</v>
      </c>
      <c r="C389" s="14">
        <v>48.09</v>
      </c>
      <c r="D389" s="14">
        <v>46.919998</v>
      </c>
      <c r="E389" s="14">
        <v>48.029998999999997</v>
      </c>
      <c r="F389" s="14">
        <v>47.215480999999997</v>
      </c>
      <c r="G389" s="14">
        <v>5550100</v>
      </c>
      <c r="H389" s="14">
        <f t="shared" si="6"/>
        <v>2.0887707155955226E-2</v>
      </c>
    </row>
    <row r="390" spans="1:8" x14ac:dyDescent="0.25">
      <c r="A390" s="46">
        <v>45126</v>
      </c>
      <c r="B390" s="14">
        <v>48.220001000000003</v>
      </c>
      <c r="C390" s="14">
        <v>49.099997999999999</v>
      </c>
      <c r="D390" s="14">
        <v>47.959999000000003</v>
      </c>
      <c r="E390" s="14">
        <v>49.029998999999997</v>
      </c>
      <c r="F390" s="14">
        <v>48.198521</v>
      </c>
      <c r="G390" s="14">
        <v>6063200</v>
      </c>
      <c r="H390" s="14">
        <f t="shared" si="6"/>
        <v>2.2165410151978371E-2</v>
      </c>
    </row>
    <row r="391" spans="1:8" x14ac:dyDescent="0.25">
      <c r="A391" s="46">
        <v>45127</v>
      </c>
      <c r="B391" s="14">
        <v>48.779998999999997</v>
      </c>
      <c r="C391" s="14">
        <v>48.959999000000003</v>
      </c>
      <c r="D391" s="14">
        <v>48.02</v>
      </c>
      <c r="E391" s="14">
        <v>48.84</v>
      </c>
      <c r="F391" s="14">
        <v>48.011744999999998</v>
      </c>
      <c r="G391" s="14">
        <v>9336800</v>
      </c>
      <c r="H391" s="14">
        <f t="shared" si="6"/>
        <v>1.2510634122406827E-3</v>
      </c>
    </row>
    <row r="392" spans="1:8" x14ac:dyDescent="0.25">
      <c r="A392" s="46">
        <v>45128</v>
      </c>
      <c r="B392" s="14">
        <v>49.209999000000003</v>
      </c>
      <c r="C392" s="14">
        <v>49.349997999999999</v>
      </c>
      <c r="D392" s="14">
        <v>48.310001</v>
      </c>
      <c r="E392" s="14">
        <v>48.34</v>
      </c>
      <c r="F392" s="14">
        <v>47.520221999999997</v>
      </c>
      <c r="G392" s="14">
        <v>10663500</v>
      </c>
      <c r="H392" s="14">
        <f t="shared" si="6"/>
        <v>6.0391711786755842E-3</v>
      </c>
    </row>
    <row r="393" spans="1:8" x14ac:dyDescent="0.25">
      <c r="A393" s="46">
        <v>45131</v>
      </c>
      <c r="B393" s="14">
        <v>48.400002000000001</v>
      </c>
      <c r="C393" s="14">
        <v>48.970001000000003</v>
      </c>
      <c r="D393" s="14">
        <v>48.139999000000003</v>
      </c>
      <c r="E393" s="14">
        <v>48.939999</v>
      </c>
      <c r="F393" s="14">
        <v>48.110045999999997</v>
      </c>
      <c r="G393" s="14">
        <v>4705500</v>
      </c>
      <c r="H393" s="14">
        <f t="shared" si="6"/>
        <v>-1.1729938348237952E-3</v>
      </c>
    </row>
    <row r="394" spans="1:8" x14ac:dyDescent="0.25">
      <c r="A394" s="46">
        <v>45132</v>
      </c>
      <c r="B394" s="14">
        <v>49.07</v>
      </c>
      <c r="C394" s="14">
        <v>49.48</v>
      </c>
      <c r="D394" s="14">
        <v>48.080002</v>
      </c>
      <c r="E394" s="14">
        <v>48.310001</v>
      </c>
      <c r="F394" s="14">
        <v>47.490734000000003</v>
      </c>
      <c r="G394" s="14">
        <v>6411300</v>
      </c>
      <c r="H394" s="14">
        <f t="shared" si="6"/>
        <v>-1.2463024770732467E-3</v>
      </c>
    </row>
    <row r="395" spans="1:8" x14ac:dyDescent="0.25">
      <c r="A395" s="46">
        <v>45133</v>
      </c>
      <c r="B395" s="14">
        <v>48.110000999999997</v>
      </c>
      <c r="C395" s="14">
        <v>48.869999</v>
      </c>
      <c r="D395" s="14">
        <v>48.110000999999997</v>
      </c>
      <c r="E395" s="14">
        <v>48.799999</v>
      </c>
      <c r="F395" s="14">
        <v>47.97242</v>
      </c>
      <c r="G395" s="14">
        <v>6636800</v>
      </c>
      <c r="H395" s="14">
        <f t="shared" si="6"/>
        <v>6.2393924193249184E-4</v>
      </c>
    </row>
    <row r="396" spans="1:8" x14ac:dyDescent="0.25">
      <c r="A396" s="46">
        <v>45134</v>
      </c>
      <c r="B396" s="14">
        <v>45.560001</v>
      </c>
      <c r="C396" s="14">
        <v>46.07</v>
      </c>
      <c r="D396" s="14">
        <v>43.299999</v>
      </c>
      <c r="E396" s="14">
        <v>43.66</v>
      </c>
      <c r="F396" s="14">
        <v>42.919589999999999</v>
      </c>
      <c r="G396" s="14">
        <v>15740800</v>
      </c>
      <c r="H396" s="14">
        <f t="shared" si="6"/>
        <v>-9.9979253793821332E-2</v>
      </c>
    </row>
    <row r="397" spans="1:8" x14ac:dyDescent="0.25">
      <c r="A397" s="46">
        <v>45135</v>
      </c>
      <c r="B397" s="14">
        <v>43.98</v>
      </c>
      <c r="C397" s="14">
        <v>45.84</v>
      </c>
      <c r="D397" s="14">
        <v>43.970001000000003</v>
      </c>
      <c r="E397" s="14">
        <v>45.009998000000003</v>
      </c>
      <c r="F397" s="14">
        <v>44.246693</v>
      </c>
      <c r="G397" s="14">
        <v>9570100</v>
      </c>
      <c r="H397" s="14">
        <f t="shared" si="6"/>
        <v>1.5473487655276896E-2</v>
      </c>
    </row>
    <row r="398" spans="1:8" x14ac:dyDescent="0.25">
      <c r="A398" s="46">
        <v>45138</v>
      </c>
      <c r="B398" s="14">
        <v>45.139999000000003</v>
      </c>
      <c r="C398" s="14">
        <v>45.639999000000003</v>
      </c>
      <c r="D398" s="14">
        <v>44.349997999999999</v>
      </c>
      <c r="E398" s="14">
        <v>44.509998000000003</v>
      </c>
      <c r="F398" s="14">
        <v>43.755172999999999</v>
      </c>
      <c r="G398" s="14">
        <v>8017600</v>
      </c>
      <c r="H398" s="14">
        <f t="shared" si="6"/>
        <v>2.8807292196028436E-3</v>
      </c>
    </row>
    <row r="399" spans="1:8" x14ac:dyDescent="0.25">
      <c r="A399" s="46">
        <v>45139</v>
      </c>
      <c r="B399" s="14">
        <v>44.150002000000001</v>
      </c>
      <c r="C399" s="14">
        <v>44.360000999999997</v>
      </c>
      <c r="D399" s="14">
        <v>43.549999</v>
      </c>
      <c r="E399" s="14">
        <v>43.560001</v>
      </c>
      <c r="F399" s="14">
        <v>42.821280999999999</v>
      </c>
      <c r="G399" s="14">
        <v>4807600</v>
      </c>
      <c r="H399" s="14">
        <f t="shared" si="6"/>
        <v>-1.8038309719878631E-2</v>
      </c>
    </row>
    <row r="400" spans="1:8" x14ac:dyDescent="0.25">
      <c r="A400" s="46">
        <v>45140</v>
      </c>
      <c r="B400" s="14">
        <v>43.16</v>
      </c>
      <c r="C400" s="14">
        <v>43.900002000000001</v>
      </c>
      <c r="D400" s="14">
        <v>42.810001</v>
      </c>
      <c r="E400" s="14">
        <v>43.759998000000003</v>
      </c>
      <c r="F400" s="14">
        <v>43.017890999999999</v>
      </c>
      <c r="G400" s="14">
        <v>5540000</v>
      </c>
      <c r="H400" s="14">
        <f t="shared" si="6"/>
        <v>-1.6991917726565275E-2</v>
      </c>
    </row>
    <row r="401" spans="1:8" x14ac:dyDescent="0.25">
      <c r="A401" s="46">
        <v>45141</v>
      </c>
      <c r="B401" s="14">
        <v>43.580002</v>
      </c>
      <c r="C401" s="14">
        <v>43.869999</v>
      </c>
      <c r="D401" s="14">
        <v>43.32</v>
      </c>
      <c r="E401" s="14">
        <v>43.610000999999997</v>
      </c>
      <c r="F401" s="14">
        <v>42.870441</v>
      </c>
      <c r="G401" s="14">
        <v>3928800</v>
      </c>
      <c r="H401" s="14">
        <f t="shared" si="6"/>
        <v>1.1913080777550045E-2</v>
      </c>
    </row>
    <row r="402" spans="1:8" x14ac:dyDescent="0.25">
      <c r="A402" s="46">
        <v>45142</v>
      </c>
      <c r="B402" s="14">
        <v>43.66</v>
      </c>
      <c r="C402" s="14">
        <v>43.939999</v>
      </c>
      <c r="D402" s="14">
        <v>42.950001</v>
      </c>
      <c r="E402" s="14">
        <v>43.049999</v>
      </c>
      <c r="F402" s="14">
        <v>42.319935000000001</v>
      </c>
      <c r="G402" s="14">
        <v>3951400</v>
      </c>
      <c r="H402" s="14">
        <f t="shared" si="6"/>
        <v>-8.5410664819944859E-3</v>
      </c>
    </row>
    <row r="403" spans="1:8" x14ac:dyDescent="0.25">
      <c r="A403" s="46">
        <v>45145</v>
      </c>
      <c r="B403" s="14">
        <v>43.330002</v>
      </c>
      <c r="C403" s="14">
        <v>43.919998</v>
      </c>
      <c r="D403" s="14">
        <v>42.860000999999997</v>
      </c>
      <c r="E403" s="14">
        <v>43.849997999999999</v>
      </c>
      <c r="F403" s="14">
        <v>43.106364999999997</v>
      </c>
      <c r="G403" s="14">
        <v>4230800</v>
      </c>
      <c r="H403" s="14">
        <f t="shared" si="6"/>
        <v>-6.9848659607718577E-4</v>
      </c>
    </row>
    <row r="404" spans="1:8" x14ac:dyDescent="0.25">
      <c r="A404" s="46">
        <v>45146</v>
      </c>
      <c r="B404" s="14">
        <v>43.279998999999997</v>
      </c>
      <c r="C404" s="14">
        <v>43.580002</v>
      </c>
      <c r="D404" s="14">
        <v>42.52</v>
      </c>
      <c r="E404" s="14">
        <v>43.52</v>
      </c>
      <c r="F404" s="14">
        <v>42.781967000000002</v>
      </c>
      <c r="G404" s="14">
        <v>3910600</v>
      </c>
      <c r="H404" s="14">
        <f t="shared" si="6"/>
        <v>-7.932827626392136E-3</v>
      </c>
    </row>
    <row r="405" spans="1:8" x14ac:dyDescent="0.25">
      <c r="A405" s="46">
        <v>45147</v>
      </c>
      <c r="B405" s="14">
        <v>43.709999000000003</v>
      </c>
      <c r="C405" s="14">
        <v>44</v>
      </c>
      <c r="D405" s="14">
        <v>43.34</v>
      </c>
      <c r="E405" s="14">
        <v>43.669998</v>
      </c>
      <c r="F405" s="14">
        <v>42.929417000000001</v>
      </c>
      <c r="G405" s="14">
        <v>3942700</v>
      </c>
      <c r="H405" s="14">
        <f t="shared" si="6"/>
        <v>1.9285042333019753E-2</v>
      </c>
    </row>
    <row r="406" spans="1:8" x14ac:dyDescent="0.25">
      <c r="A406" s="46">
        <v>45148</v>
      </c>
      <c r="B406" s="14">
        <v>44.16</v>
      </c>
      <c r="C406" s="14">
        <v>44.259998000000003</v>
      </c>
      <c r="D406" s="14">
        <v>43.049999</v>
      </c>
      <c r="E406" s="14">
        <v>43.290000999999997</v>
      </c>
      <c r="F406" s="14">
        <v>42.555861999999998</v>
      </c>
      <c r="G406" s="14">
        <v>3126100</v>
      </c>
      <c r="H406" s="14">
        <f t="shared" si="6"/>
        <v>-6.6913013382556841E-3</v>
      </c>
    </row>
    <row r="407" spans="1:8" x14ac:dyDescent="0.25">
      <c r="A407" s="46">
        <v>45149</v>
      </c>
      <c r="B407" s="14">
        <v>43.360000999999997</v>
      </c>
      <c r="C407" s="14">
        <v>44.59</v>
      </c>
      <c r="D407" s="14">
        <v>43.34</v>
      </c>
      <c r="E407" s="14">
        <v>44.5</v>
      </c>
      <c r="F407" s="14">
        <v>43.745345999999998</v>
      </c>
      <c r="G407" s="14">
        <v>6826900</v>
      </c>
      <c r="H407" s="14">
        <f t="shared" si="6"/>
        <v>6.7363764630983258E-3</v>
      </c>
    </row>
    <row r="408" spans="1:8" x14ac:dyDescent="0.25">
      <c r="A408" s="46">
        <v>45152</v>
      </c>
      <c r="B408" s="14">
        <v>44.209999000000003</v>
      </c>
      <c r="C408" s="14">
        <v>44.349997999999999</v>
      </c>
      <c r="D408" s="14">
        <v>43.689999</v>
      </c>
      <c r="E408" s="14">
        <v>44.029998999999997</v>
      </c>
      <c r="F408" s="14">
        <v>43.28331</v>
      </c>
      <c r="G408" s="14">
        <v>4229900</v>
      </c>
      <c r="H408" s="14">
        <f t="shared" si="6"/>
        <v>2.6918858637132725E-3</v>
      </c>
    </row>
    <row r="409" spans="1:8" x14ac:dyDescent="0.25">
      <c r="A409" s="46">
        <v>45153</v>
      </c>
      <c r="B409" s="14">
        <v>43.619999</v>
      </c>
      <c r="C409" s="14">
        <v>43.68</v>
      </c>
      <c r="D409" s="14">
        <v>42.939999</v>
      </c>
      <c r="E409" s="14">
        <v>43.580002</v>
      </c>
      <c r="F409" s="14">
        <v>42.840946000000002</v>
      </c>
      <c r="G409" s="14">
        <v>4240500</v>
      </c>
      <c r="H409" s="14">
        <f t="shared" si="6"/>
        <v>-1.7166400026697226E-2</v>
      </c>
    </row>
    <row r="410" spans="1:8" x14ac:dyDescent="0.25">
      <c r="A410" s="46">
        <v>45154</v>
      </c>
      <c r="B410" s="14">
        <v>43.470001000000003</v>
      </c>
      <c r="C410" s="14">
        <v>43.5</v>
      </c>
      <c r="D410" s="14">
        <v>42.790000999999997</v>
      </c>
      <c r="E410" s="14">
        <v>42.93</v>
      </c>
      <c r="F410" s="14">
        <v>42.201965000000001</v>
      </c>
      <c r="G410" s="14">
        <v>4181800</v>
      </c>
      <c r="H410" s="14">
        <f t="shared" si="6"/>
        <v>-3.4931998950443743E-3</v>
      </c>
    </row>
    <row r="411" spans="1:8" x14ac:dyDescent="0.25">
      <c r="A411" s="46">
        <v>45155</v>
      </c>
      <c r="B411" s="14">
        <v>43.310001</v>
      </c>
      <c r="C411" s="14">
        <v>43.389999000000003</v>
      </c>
      <c r="D411" s="14">
        <v>42.75</v>
      </c>
      <c r="E411" s="14">
        <v>42.950001</v>
      </c>
      <c r="F411" s="14">
        <v>42.221629999999998</v>
      </c>
      <c r="G411" s="14">
        <v>3892000</v>
      </c>
      <c r="H411" s="14">
        <f t="shared" si="6"/>
        <v>-9.3482119806442832E-4</v>
      </c>
    </row>
    <row r="412" spans="1:8" x14ac:dyDescent="0.25">
      <c r="A412" s="46">
        <v>45156</v>
      </c>
      <c r="B412" s="14">
        <v>42.580002</v>
      </c>
      <c r="C412" s="14">
        <v>43.279998999999997</v>
      </c>
      <c r="D412" s="14">
        <v>42.23</v>
      </c>
      <c r="E412" s="14">
        <v>42.990001999999997</v>
      </c>
      <c r="F412" s="14">
        <v>42.260956</v>
      </c>
      <c r="G412" s="14">
        <v>3801000</v>
      </c>
      <c r="H412" s="14">
        <f t="shared" si="6"/>
        <v>-1.2163742690058599E-2</v>
      </c>
    </row>
    <row r="413" spans="1:8" x14ac:dyDescent="0.25">
      <c r="A413" s="46">
        <v>45159</v>
      </c>
      <c r="B413" s="14">
        <v>42.990001999999997</v>
      </c>
      <c r="C413" s="14">
        <v>43.259998000000003</v>
      </c>
      <c r="D413" s="14">
        <v>42.759998000000003</v>
      </c>
      <c r="E413" s="14">
        <v>43.040000999999997</v>
      </c>
      <c r="F413" s="14">
        <v>42.310104000000003</v>
      </c>
      <c r="G413" s="14">
        <v>3385900</v>
      </c>
      <c r="H413" s="14">
        <f t="shared" si="6"/>
        <v>4.1834241060857797E-3</v>
      </c>
    </row>
    <row r="414" spans="1:8" x14ac:dyDescent="0.25">
      <c r="A414" s="46">
        <v>45160</v>
      </c>
      <c r="B414" s="14">
        <v>43.09</v>
      </c>
      <c r="C414" s="14">
        <v>43.560001</v>
      </c>
      <c r="D414" s="14">
        <v>43.040000999999997</v>
      </c>
      <c r="E414" s="14">
        <v>43.27</v>
      </c>
      <c r="F414" s="14">
        <v>42.536205000000002</v>
      </c>
      <c r="G414" s="14">
        <v>3875300</v>
      </c>
      <c r="H414" s="14">
        <f t="shared" si="6"/>
        <v>6.5482463306008043E-3</v>
      </c>
    </row>
    <row r="415" spans="1:8" x14ac:dyDescent="0.25">
      <c r="A415" s="46">
        <v>45161</v>
      </c>
      <c r="B415" s="14">
        <v>43.279998999999997</v>
      </c>
      <c r="C415" s="14">
        <v>44.200001</v>
      </c>
      <c r="D415" s="14">
        <v>43.25</v>
      </c>
      <c r="E415" s="14">
        <v>43.900002000000001</v>
      </c>
      <c r="F415" s="14">
        <v>43.155521</v>
      </c>
      <c r="G415" s="14">
        <v>5024600</v>
      </c>
      <c r="H415" s="14">
        <f t="shared" si="6"/>
        <v>4.8791588085697057E-3</v>
      </c>
    </row>
    <row r="416" spans="1:8" x14ac:dyDescent="0.25">
      <c r="A416" s="46">
        <v>45162</v>
      </c>
      <c r="B416" s="14">
        <v>43.869999</v>
      </c>
      <c r="C416" s="14">
        <v>44.240001999999997</v>
      </c>
      <c r="D416" s="14">
        <v>43.110000999999997</v>
      </c>
      <c r="E416" s="14">
        <v>43.139999000000003</v>
      </c>
      <c r="F416" s="14">
        <v>42.408408999999999</v>
      </c>
      <c r="G416" s="14">
        <v>4477100</v>
      </c>
      <c r="H416" s="14">
        <f t="shared" si="6"/>
        <v>-3.2369710982659283E-3</v>
      </c>
    </row>
    <row r="417" spans="1:8" x14ac:dyDescent="0.25">
      <c r="A417" s="46">
        <v>45163</v>
      </c>
      <c r="B417" s="14">
        <v>43.73</v>
      </c>
      <c r="C417" s="14">
        <v>44.349997999999999</v>
      </c>
      <c r="D417" s="14">
        <v>43.380001</v>
      </c>
      <c r="E417" s="14">
        <v>43.59</v>
      </c>
      <c r="F417" s="14">
        <v>42.850777000000001</v>
      </c>
      <c r="G417" s="14">
        <v>7250700</v>
      </c>
      <c r="H417" s="14">
        <f t="shared" si="6"/>
        <v>6.263047871420957E-3</v>
      </c>
    </row>
    <row r="418" spans="1:8" x14ac:dyDescent="0.25">
      <c r="A418" s="46">
        <v>45166</v>
      </c>
      <c r="B418" s="14">
        <v>43.889999000000003</v>
      </c>
      <c r="C418" s="14">
        <v>44.049999</v>
      </c>
      <c r="D418" s="14">
        <v>43.549999</v>
      </c>
      <c r="E418" s="14">
        <v>43.869999</v>
      </c>
      <c r="F418" s="14">
        <v>43.126026000000003</v>
      </c>
      <c r="G418" s="14">
        <v>4203100</v>
      </c>
      <c r="H418" s="14">
        <f t="shared" si="6"/>
        <v>1.3062701404732795E-3</v>
      </c>
    </row>
    <row r="419" spans="1:8" x14ac:dyDescent="0.25">
      <c r="A419" s="46">
        <v>45167</v>
      </c>
      <c r="B419" s="14">
        <v>44.009998000000003</v>
      </c>
      <c r="C419" s="14">
        <v>44.700001</v>
      </c>
      <c r="D419" s="14">
        <v>43.919998</v>
      </c>
      <c r="E419" s="14">
        <v>44.32</v>
      </c>
      <c r="F419" s="14">
        <v>43.568398000000002</v>
      </c>
      <c r="G419" s="14">
        <v>4135100</v>
      </c>
      <c r="H419" s="14">
        <f t="shared" si="6"/>
        <v>8.4959588632826932E-3</v>
      </c>
    </row>
    <row r="420" spans="1:8" x14ac:dyDescent="0.25">
      <c r="A420" s="46">
        <v>45168</v>
      </c>
      <c r="B420" s="14">
        <v>44.32</v>
      </c>
      <c r="C420" s="14">
        <v>44.869999</v>
      </c>
      <c r="D420" s="14">
        <v>44.259998000000003</v>
      </c>
      <c r="E420" s="14">
        <v>44.75</v>
      </c>
      <c r="F420" s="14">
        <v>43.991100000000003</v>
      </c>
      <c r="G420" s="14">
        <v>3595300</v>
      </c>
      <c r="H420" s="14">
        <f t="shared" si="6"/>
        <v>7.7413482578028159E-3</v>
      </c>
    </row>
    <row r="421" spans="1:8" x14ac:dyDescent="0.25">
      <c r="A421" s="46">
        <v>45169</v>
      </c>
      <c r="B421" s="14">
        <v>44.599997999999999</v>
      </c>
      <c r="C421" s="14">
        <v>45.34</v>
      </c>
      <c r="D421" s="14">
        <v>44.549999</v>
      </c>
      <c r="E421" s="14">
        <v>44.779998999999997</v>
      </c>
      <c r="F421" s="14">
        <v>44.267899</v>
      </c>
      <c r="G421" s="14">
        <v>7844400</v>
      </c>
      <c r="H421" s="14">
        <f t="shared" si="6"/>
        <v>6.5522144849621267E-3</v>
      </c>
    </row>
    <row r="422" spans="1:8" x14ac:dyDescent="0.25">
      <c r="A422" s="46">
        <v>45170</v>
      </c>
      <c r="B422" s="14">
        <v>45.209999000000003</v>
      </c>
      <c r="C422" s="14">
        <v>45.540000999999997</v>
      </c>
      <c r="D422" s="14">
        <v>44.869999</v>
      </c>
      <c r="E422" s="14">
        <v>45.099997999999999</v>
      </c>
      <c r="F422" s="14">
        <v>44.584240000000001</v>
      </c>
      <c r="G422" s="14">
        <v>4176400</v>
      </c>
      <c r="H422" s="14">
        <f t="shared" si="6"/>
        <v>7.1829406775070215E-3</v>
      </c>
    </row>
    <row r="423" spans="1:8" x14ac:dyDescent="0.25">
      <c r="A423" s="46">
        <v>45174</v>
      </c>
      <c r="B423" s="14">
        <v>44.880001</v>
      </c>
      <c r="C423" s="14">
        <v>44.880001</v>
      </c>
      <c r="D423" s="14">
        <v>44.040000999999997</v>
      </c>
      <c r="E423" s="14">
        <v>44.290000999999997</v>
      </c>
      <c r="F423" s="14">
        <v>43.783504000000001</v>
      </c>
      <c r="G423" s="14">
        <v>5668100</v>
      </c>
      <c r="H423" s="14">
        <f t="shared" si="6"/>
        <v>-4.6244596528740856E-3</v>
      </c>
    </row>
    <row r="424" spans="1:8" x14ac:dyDescent="0.25">
      <c r="A424" s="46">
        <v>45175</v>
      </c>
      <c r="B424" s="14">
        <v>44.169998</v>
      </c>
      <c r="C424" s="14">
        <v>44.32</v>
      </c>
      <c r="D424" s="14">
        <v>43.43</v>
      </c>
      <c r="E424" s="14">
        <v>44.119999</v>
      </c>
      <c r="F424" s="14">
        <v>43.615448000000001</v>
      </c>
      <c r="G424" s="14">
        <v>4617300</v>
      </c>
      <c r="H424" s="14">
        <f t="shared" si="6"/>
        <v>-1.3851066897114683E-2</v>
      </c>
    </row>
    <row r="425" spans="1:8" x14ac:dyDescent="0.25">
      <c r="A425" s="46">
        <v>45176</v>
      </c>
      <c r="B425" s="14">
        <v>43.639999000000003</v>
      </c>
      <c r="C425" s="14">
        <v>43.709999000000003</v>
      </c>
      <c r="D425" s="14">
        <v>42.810001</v>
      </c>
      <c r="E425" s="14">
        <v>43.119999</v>
      </c>
      <c r="F425" s="14">
        <v>42.626883999999997</v>
      </c>
      <c r="G425" s="14">
        <v>5296000</v>
      </c>
      <c r="H425" s="14">
        <f t="shared" si="6"/>
        <v>-1.4275823163711676E-2</v>
      </c>
    </row>
    <row r="426" spans="1:8" x14ac:dyDescent="0.25">
      <c r="A426" s="46">
        <v>45177</v>
      </c>
      <c r="B426" s="14">
        <v>42.919998</v>
      </c>
      <c r="C426" s="14">
        <v>43.48</v>
      </c>
      <c r="D426" s="14">
        <v>42.84</v>
      </c>
      <c r="E426" s="14">
        <v>43.43</v>
      </c>
      <c r="F426" s="14">
        <v>42.933337999999999</v>
      </c>
      <c r="G426" s="14">
        <v>4208600</v>
      </c>
      <c r="H426" s="14">
        <f t="shared" si="6"/>
        <v>7.0074747253578984E-4</v>
      </c>
    </row>
    <row r="427" spans="1:8" x14ac:dyDescent="0.25">
      <c r="A427" s="46">
        <v>45180</v>
      </c>
      <c r="B427" s="14">
        <v>43.700001</v>
      </c>
      <c r="C427" s="14">
        <v>43.939999</v>
      </c>
      <c r="D427" s="14">
        <v>43.43</v>
      </c>
      <c r="E427" s="14">
        <v>43.509998000000003</v>
      </c>
      <c r="F427" s="14">
        <v>43.012424000000003</v>
      </c>
      <c r="G427" s="14">
        <v>3848800</v>
      </c>
      <c r="H427" s="14">
        <f t="shared" si="6"/>
        <v>4.5907251789604571E-3</v>
      </c>
    </row>
    <row r="428" spans="1:8" x14ac:dyDescent="0.25">
      <c r="A428" s="46">
        <v>45181</v>
      </c>
      <c r="B428" s="14">
        <v>43.400002000000001</v>
      </c>
      <c r="C428" s="14">
        <v>43.98</v>
      </c>
      <c r="D428" s="14">
        <v>43.32</v>
      </c>
      <c r="E428" s="14">
        <v>43.509998000000003</v>
      </c>
      <c r="F428" s="14">
        <v>43.012424000000003</v>
      </c>
      <c r="G428" s="14">
        <v>4788300</v>
      </c>
      <c r="H428" s="14">
        <f t="shared" si="6"/>
        <v>-2.5328114206769614E-3</v>
      </c>
    </row>
    <row r="429" spans="1:8" x14ac:dyDescent="0.25">
      <c r="A429" s="46">
        <v>45182</v>
      </c>
      <c r="B429" s="14">
        <v>43.689999</v>
      </c>
      <c r="C429" s="14">
        <v>43.970001000000003</v>
      </c>
      <c r="D429" s="14">
        <v>43.43</v>
      </c>
      <c r="E429" s="14">
        <v>43.709999000000003</v>
      </c>
      <c r="F429" s="14">
        <v>43.210140000000003</v>
      </c>
      <c r="G429" s="14">
        <v>3583700</v>
      </c>
      <c r="H429" s="14">
        <f t="shared" si="6"/>
        <v>2.5392428439519055E-3</v>
      </c>
    </row>
    <row r="430" spans="1:8" x14ac:dyDescent="0.25">
      <c r="A430" s="46">
        <v>45183</v>
      </c>
      <c r="B430" s="14">
        <v>43.970001000000003</v>
      </c>
      <c r="C430" s="14">
        <v>44.459999000000003</v>
      </c>
      <c r="D430" s="14">
        <v>43.720001000000003</v>
      </c>
      <c r="E430" s="14">
        <v>44.360000999999997</v>
      </c>
      <c r="F430" s="14">
        <v>43.852702999999998</v>
      </c>
      <c r="G430" s="14">
        <v>4078400</v>
      </c>
      <c r="H430" s="14">
        <f t="shared" si="6"/>
        <v>6.6774349527976007E-3</v>
      </c>
    </row>
    <row r="431" spans="1:8" x14ac:dyDescent="0.25">
      <c r="A431" s="46">
        <v>45184</v>
      </c>
      <c r="B431" s="14">
        <v>44.459999000000003</v>
      </c>
      <c r="C431" s="14">
        <v>44.799999</v>
      </c>
      <c r="D431" s="14">
        <v>44.27</v>
      </c>
      <c r="E431" s="14">
        <v>44.560001</v>
      </c>
      <c r="F431" s="14">
        <v>44.050418999999998</v>
      </c>
      <c r="G431" s="14">
        <v>7598200</v>
      </c>
      <c r="H431" s="14">
        <f t="shared" si="6"/>
        <v>1.2580031734217068E-2</v>
      </c>
    </row>
    <row r="432" spans="1:8" x14ac:dyDescent="0.25">
      <c r="A432" s="46">
        <v>45187</v>
      </c>
      <c r="B432" s="14">
        <v>44.34</v>
      </c>
      <c r="C432" s="14">
        <v>44.459999000000003</v>
      </c>
      <c r="D432" s="14">
        <v>43.810001</v>
      </c>
      <c r="E432" s="14">
        <v>43.91</v>
      </c>
      <c r="F432" s="14">
        <v>43.407851999999998</v>
      </c>
      <c r="G432" s="14">
        <v>4580500</v>
      </c>
      <c r="H432" s="14">
        <f t="shared" si="6"/>
        <v>-3.4635870792862158E-3</v>
      </c>
    </row>
    <row r="433" spans="1:8" x14ac:dyDescent="0.25">
      <c r="A433" s="46">
        <v>45188</v>
      </c>
      <c r="B433" s="14">
        <v>43.630001</v>
      </c>
      <c r="C433" s="14">
        <v>44.09</v>
      </c>
      <c r="D433" s="14">
        <v>43.419998</v>
      </c>
      <c r="E433" s="14">
        <v>43.619999</v>
      </c>
      <c r="F433" s="14">
        <v>43.121166000000002</v>
      </c>
      <c r="G433" s="14">
        <v>4308500</v>
      </c>
      <c r="H433" s="14">
        <f t="shared" si="6"/>
        <v>-8.9021454256529298E-3</v>
      </c>
    </row>
    <row r="434" spans="1:8" x14ac:dyDescent="0.25">
      <c r="A434" s="46">
        <v>45189</v>
      </c>
      <c r="B434" s="14">
        <v>43.740001999999997</v>
      </c>
      <c r="C434" s="14">
        <v>44.540000999999997</v>
      </c>
      <c r="D434" s="14">
        <v>43.669998</v>
      </c>
      <c r="E434" s="14">
        <v>43.689999</v>
      </c>
      <c r="F434" s="14">
        <v>43.190365</v>
      </c>
      <c r="G434" s="14">
        <v>4127600</v>
      </c>
      <c r="H434" s="14">
        <f t="shared" si="6"/>
        <v>5.7577156037640354E-3</v>
      </c>
    </row>
    <row r="435" spans="1:8" x14ac:dyDescent="0.25">
      <c r="A435" s="46">
        <v>45190</v>
      </c>
      <c r="B435" s="14">
        <v>43.380001</v>
      </c>
      <c r="C435" s="14">
        <v>45.209999000000003</v>
      </c>
      <c r="D435" s="14">
        <v>42.849997999999999</v>
      </c>
      <c r="E435" s="14">
        <v>43.919998</v>
      </c>
      <c r="F435" s="14">
        <v>43.417735999999998</v>
      </c>
      <c r="G435" s="14">
        <v>13887000</v>
      </c>
      <c r="H435" s="14">
        <f t="shared" si="6"/>
        <v>-1.877719344067752E-2</v>
      </c>
    </row>
    <row r="436" spans="1:8" x14ac:dyDescent="0.25">
      <c r="A436" s="46">
        <v>45191</v>
      </c>
      <c r="B436" s="14">
        <v>44.23</v>
      </c>
      <c r="C436" s="14">
        <v>44.84</v>
      </c>
      <c r="D436" s="14">
        <v>43</v>
      </c>
      <c r="E436" s="14">
        <v>43.130001</v>
      </c>
      <c r="F436" s="14">
        <v>42.636772000000001</v>
      </c>
      <c r="G436" s="14">
        <v>8277900</v>
      </c>
      <c r="H436" s="14">
        <f t="shared" si="6"/>
        <v>3.500630268407523E-3</v>
      </c>
    </row>
    <row r="437" spans="1:8" x14ac:dyDescent="0.25">
      <c r="A437" s="46">
        <v>45194</v>
      </c>
      <c r="B437" s="14">
        <v>42.849997999999999</v>
      </c>
      <c r="C437" s="14">
        <v>43.93</v>
      </c>
      <c r="D437" s="14">
        <v>42.57</v>
      </c>
      <c r="E437" s="14">
        <v>43.82</v>
      </c>
      <c r="F437" s="14">
        <v>43.318877999999998</v>
      </c>
      <c r="G437" s="14">
        <v>3948800</v>
      </c>
      <c r="H437" s="14">
        <f t="shared" si="6"/>
        <v>-3.3333333333333361E-3</v>
      </c>
    </row>
    <row r="438" spans="1:8" x14ac:dyDescent="0.25">
      <c r="A438" s="46">
        <v>45195</v>
      </c>
      <c r="B438" s="14">
        <v>43.549999</v>
      </c>
      <c r="C438" s="14">
        <v>44.240001999999997</v>
      </c>
      <c r="D438" s="14">
        <v>43.389999000000003</v>
      </c>
      <c r="E438" s="14">
        <v>43.490001999999997</v>
      </c>
      <c r="F438" s="14">
        <v>42.992652999999997</v>
      </c>
      <c r="G438" s="14">
        <v>5353400</v>
      </c>
      <c r="H438" s="14">
        <f t="shared" si="6"/>
        <v>1.9262367864693486E-2</v>
      </c>
    </row>
    <row r="439" spans="1:8" x14ac:dyDescent="0.25">
      <c r="A439" s="46">
        <v>45196</v>
      </c>
      <c r="B439" s="14">
        <v>43.560001</v>
      </c>
      <c r="C439" s="14">
        <v>43.759998000000003</v>
      </c>
      <c r="D439" s="14">
        <v>42.41</v>
      </c>
      <c r="E439" s="14">
        <v>42.889999000000003</v>
      </c>
      <c r="F439" s="14">
        <v>42.399512999999999</v>
      </c>
      <c r="G439" s="14">
        <v>5225600</v>
      </c>
      <c r="H439" s="14">
        <f t="shared" si="6"/>
        <v>-2.2585826747772098E-2</v>
      </c>
    </row>
    <row r="440" spans="1:8" x14ac:dyDescent="0.25">
      <c r="A440" s="46">
        <v>45197</v>
      </c>
      <c r="B440" s="14">
        <v>42.73</v>
      </c>
      <c r="C440" s="14">
        <v>43.889999000000003</v>
      </c>
      <c r="D440" s="14">
        <v>42.720001000000003</v>
      </c>
      <c r="E440" s="14">
        <v>43.650002000000001</v>
      </c>
      <c r="F440" s="14">
        <v>43.150826000000002</v>
      </c>
      <c r="G440" s="14">
        <v>4114900</v>
      </c>
      <c r="H440" s="14">
        <f t="shared" si="6"/>
        <v>7.3096203725537823E-3</v>
      </c>
    </row>
    <row r="441" spans="1:8" x14ac:dyDescent="0.25">
      <c r="A441" s="46">
        <v>45198</v>
      </c>
      <c r="B441" s="14">
        <v>44.09</v>
      </c>
      <c r="C441" s="14">
        <v>44.599997999999999</v>
      </c>
      <c r="D441" s="14">
        <v>43.91</v>
      </c>
      <c r="E441" s="14">
        <v>44.09</v>
      </c>
      <c r="F441" s="14">
        <v>43.585793000000002</v>
      </c>
      <c r="G441" s="14">
        <v>4792900</v>
      </c>
      <c r="H441" s="14">
        <f t="shared" si="6"/>
        <v>2.7855781183151018E-2</v>
      </c>
    </row>
    <row r="442" spans="1:8" x14ac:dyDescent="0.25">
      <c r="A442" s="46">
        <v>45201</v>
      </c>
      <c r="B442" s="14">
        <v>43.91</v>
      </c>
      <c r="C442" s="14">
        <v>44.040000999999997</v>
      </c>
      <c r="D442" s="14">
        <v>43.310001</v>
      </c>
      <c r="E442" s="14">
        <v>43.549999</v>
      </c>
      <c r="F442" s="14">
        <v>43.051968000000002</v>
      </c>
      <c r="G442" s="14">
        <v>3622900</v>
      </c>
      <c r="H442" s="14">
        <f t="shared" si="6"/>
        <v>-4.5547635314658512E-3</v>
      </c>
    </row>
    <row r="443" spans="1:8" x14ac:dyDescent="0.25">
      <c r="A443" s="46">
        <v>45202</v>
      </c>
      <c r="B443" s="14">
        <v>43.23</v>
      </c>
      <c r="C443" s="14">
        <v>43.75</v>
      </c>
      <c r="D443" s="14">
        <v>42.349997999999999</v>
      </c>
      <c r="E443" s="14">
        <v>42.509998000000003</v>
      </c>
      <c r="F443" s="14">
        <v>42.023860999999997</v>
      </c>
      <c r="G443" s="14">
        <v>3673200</v>
      </c>
      <c r="H443" s="14">
        <f t="shared" si="6"/>
        <v>-2.2165850330966297E-2</v>
      </c>
    </row>
    <row r="444" spans="1:8" x14ac:dyDescent="0.25">
      <c r="A444" s="46">
        <v>45203</v>
      </c>
      <c r="B444" s="14">
        <v>42.560001</v>
      </c>
      <c r="C444" s="14">
        <v>43.07</v>
      </c>
      <c r="D444" s="14">
        <v>42.540000999999997</v>
      </c>
      <c r="E444" s="14">
        <v>42.939999</v>
      </c>
      <c r="F444" s="14">
        <v>42.44894</v>
      </c>
      <c r="G444" s="14">
        <v>3875300</v>
      </c>
      <c r="H444" s="14">
        <f t="shared" si="6"/>
        <v>4.486493718370399E-3</v>
      </c>
    </row>
    <row r="445" spans="1:8" x14ac:dyDescent="0.25">
      <c r="A445" s="46">
        <v>45204</v>
      </c>
      <c r="B445" s="14">
        <v>43.09</v>
      </c>
      <c r="C445" s="14">
        <v>43.130001</v>
      </c>
      <c r="D445" s="14">
        <v>42.119999</v>
      </c>
      <c r="E445" s="14">
        <v>42.610000999999997</v>
      </c>
      <c r="F445" s="14">
        <v>42.122714999999999</v>
      </c>
      <c r="G445" s="14">
        <v>4116500</v>
      </c>
      <c r="H445" s="14">
        <f t="shared" si="6"/>
        <v>-9.8731074312855549E-3</v>
      </c>
    </row>
    <row r="446" spans="1:8" x14ac:dyDescent="0.25">
      <c r="A446" s="46">
        <v>45205</v>
      </c>
      <c r="B446" s="14">
        <v>42.220001000000003</v>
      </c>
      <c r="C446" s="14">
        <v>43.330002</v>
      </c>
      <c r="D446" s="14">
        <v>42.220001000000003</v>
      </c>
      <c r="E446" s="14">
        <v>43.009998000000003</v>
      </c>
      <c r="F446" s="14">
        <v>42.518138999999998</v>
      </c>
      <c r="G446" s="14">
        <v>4459000</v>
      </c>
      <c r="H446" s="14">
        <f t="shared" si="6"/>
        <v>2.374216580584454E-3</v>
      </c>
    </row>
    <row r="447" spans="1:8" x14ac:dyDescent="0.25">
      <c r="A447" s="46">
        <v>45208</v>
      </c>
      <c r="B447" s="14">
        <v>42.639999000000003</v>
      </c>
      <c r="C447" s="14">
        <v>43.639999000000003</v>
      </c>
      <c r="D447" s="14">
        <v>42.639999000000003</v>
      </c>
      <c r="E447" s="14">
        <v>43.349997999999999</v>
      </c>
      <c r="F447" s="14">
        <v>42.854252000000002</v>
      </c>
      <c r="G447" s="14">
        <v>4220200</v>
      </c>
      <c r="H447" s="14">
        <f t="shared" si="6"/>
        <v>3.3159481292606894E-3</v>
      </c>
    </row>
    <row r="448" spans="1:8" x14ac:dyDescent="0.25">
      <c r="A448" s="46">
        <v>45209</v>
      </c>
      <c r="B448" s="14">
        <v>43.48</v>
      </c>
      <c r="C448" s="14">
        <v>43.82</v>
      </c>
      <c r="D448" s="14">
        <v>43.27</v>
      </c>
      <c r="E448" s="14">
        <v>43.52</v>
      </c>
      <c r="F448" s="14">
        <v>43.022311999999999</v>
      </c>
      <c r="G448" s="14">
        <v>5265000</v>
      </c>
      <c r="H448" s="14">
        <f t="shared" si="6"/>
        <v>1.4774883085714841E-2</v>
      </c>
    </row>
    <row r="449" spans="1:8" x14ac:dyDescent="0.25">
      <c r="A449" s="46">
        <v>45210</v>
      </c>
      <c r="B449" s="14">
        <v>43.509998000000003</v>
      </c>
      <c r="C449" s="14">
        <v>43.66</v>
      </c>
      <c r="D449" s="14">
        <v>42.779998999999997</v>
      </c>
      <c r="E449" s="14">
        <v>43.049999</v>
      </c>
      <c r="F449" s="14">
        <v>42.557685999999997</v>
      </c>
      <c r="G449" s="14">
        <v>7473700</v>
      </c>
      <c r="H449" s="14">
        <f t="shared" si="6"/>
        <v>-1.1324266235267055E-2</v>
      </c>
    </row>
    <row r="450" spans="1:8" x14ac:dyDescent="0.25">
      <c r="A450" s="46">
        <v>45211</v>
      </c>
      <c r="B450" s="14">
        <v>43.130001</v>
      </c>
      <c r="C450" s="14">
        <v>43.130001</v>
      </c>
      <c r="D450" s="14">
        <v>42</v>
      </c>
      <c r="E450" s="14">
        <v>42.630001</v>
      </c>
      <c r="F450" s="14">
        <v>42.142490000000002</v>
      </c>
      <c r="G450" s="14">
        <v>5200500</v>
      </c>
      <c r="H450" s="14">
        <f t="shared" si="6"/>
        <v>-1.823279612512374E-2</v>
      </c>
    </row>
    <row r="451" spans="1:8" x14ac:dyDescent="0.25">
      <c r="A451" s="46">
        <v>45212</v>
      </c>
      <c r="B451" s="14">
        <v>42.540000999999997</v>
      </c>
      <c r="C451" s="14">
        <v>42.610000999999997</v>
      </c>
      <c r="D451" s="14">
        <v>41.27</v>
      </c>
      <c r="E451" s="14">
        <v>41.790000999999997</v>
      </c>
      <c r="F451" s="14">
        <v>41.312095999999997</v>
      </c>
      <c r="G451" s="14">
        <v>7025700</v>
      </c>
      <c r="H451" s="14">
        <f t="shared" si="6"/>
        <v>-1.7380952380952275E-2</v>
      </c>
    </row>
    <row r="452" spans="1:8" x14ac:dyDescent="0.25">
      <c r="A452" s="46">
        <v>45215</v>
      </c>
      <c r="B452" s="14">
        <v>42.139999000000003</v>
      </c>
      <c r="C452" s="14">
        <v>42.619999</v>
      </c>
      <c r="D452" s="14">
        <v>41.880001</v>
      </c>
      <c r="E452" s="14">
        <v>42.470001000000003</v>
      </c>
      <c r="F452" s="14">
        <v>41.984318000000002</v>
      </c>
      <c r="G452" s="14">
        <v>4359900</v>
      </c>
      <c r="H452" s="14">
        <f t="shared" ref="H452:H515" si="7">(D452/D451-1)/(A452-A451)</f>
        <v>4.9269122041838047E-3</v>
      </c>
    </row>
    <row r="453" spans="1:8" x14ac:dyDescent="0.25">
      <c r="A453" s="46">
        <v>45216</v>
      </c>
      <c r="B453" s="14">
        <v>42.029998999999997</v>
      </c>
      <c r="C453" s="14">
        <v>42.84</v>
      </c>
      <c r="D453" s="14">
        <v>41.93</v>
      </c>
      <c r="E453" s="14">
        <v>42.560001</v>
      </c>
      <c r="F453" s="14">
        <v>42.073292000000002</v>
      </c>
      <c r="G453" s="14">
        <v>3584600</v>
      </c>
      <c r="H453" s="14">
        <f t="shared" si="7"/>
        <v>1.1938633907864205E-3</v>
      </c>
    </row>
    <row r="454" spans="1:8" x14ac:dyDescent="0.25">
      <c r="A454" s="46">
        <v>45217</v>
      </c>
      <c r="B454" s="14">
        <v>42.439999</v>
      </c>
      <c r="C454" s="14">
        <v>42.540000999999997</v>
      </c>
      <c r="D454" s="14">
        <v>41.709999000000003</v>
      </c>
      <c r="E454" s="14">
        <v>41.889999000000003</v>
      </c>
      <c r="F454" s="14">
        <v>41.41095</v>
      </c>
      <c r="G454" s="14">
        <v>4796500</v>
      </c>
      <c r="H454" s="14">
        <f t="shared" si="7"/>
        <v>-5.2468638206534246E-3</v>
      </c>
    </row>
    <row r="455" spans="1:8" x14ac:dyDescent="0.25">
      <c r="A455" s="46">
        <v>45218</v>
      </c>
      <c r="B455" s="14">
        <v>41.759998000000003</v>
      </c>
      <c r="C455" s="14">
        <v>42.07</v>
      </c>
      <c r="D455" s="14">
        <v>40.959999000000003</v>
      </c>
      <c r="E455" s="14">
        <v>41.139999000000003</v>
      </c>
      <c r="F455" s="14">
        <v>40.669528999999997</v>
      </c>
      <c r="G455" s="14">
        <v>4586100</v>
      </c>
      <c r="H455" s="14">
        <f t="shared" si="7"/>
        <v>-1.7981299879676338E-2</v>
      </c>
    </row>
    <row r="456" spans="1:8" x14ac:dyDescent="0.25">
      <c r="A456" s="46">
        <v>45219</v>
      </c>
      <c r="B456" s="14">
        <v>41.16</v>
      </c>
      <c r="C456" s="14">
        <v>41.16</v>
      </c>
      <c r="D456" s="14">
        <v>40.689999</v>
      </c>
      <c r="E456" s="14">
        <v>40.759998000000003</v>
      </c>
      <c r="F456" s="14">
        <v>40.293872999999998</v>
      </c>
      <c r="G456" s="14">
        <v>4468900</v>
      </c>
      <c r="H456" s="14">
        <f t="shared" si="7"/>
        <v>-6.5917970359326006E-3</v>
      </c>
    </row>
    <row r="457" spans="1:8" x14ac:dyDescent="0.25">
      <c r="A457" s="46">
        <v>45222</v>
      </c>
      <c r="B457" s="14">
        <v>40.450001</v>
      </c>
      <c r="C457" s="14">
        <v>40.759998000000003</v>
      </c>
      <c r="D457" s="14">
        <v>40.130001</v>
      </c>
      <c r="E457" s="14">
        <v>40.169998</v>
      </c>
      <c r="F457" s="14">
        <v>39.710616999999999</v>
      </c>
      <c r="G457" s="14">
        <v>4857600</v>
      </c>
      <c r="H457" s="14">
        <f t="shared" si="7"/>
        <v>-4.5875154727823926E-3</v>
      </c>
    </row>
    <row r="458" spans="1:8" x14ac:dyDescent="0.25">
      <c r="A458" s="46">
        <v>45223</v>
      </c>
      <c r="B458" s="14">
        <v>40.509998000000003</v>
      </c>
      <c r="C458" s="14">
        <v>41.119999</v>
      </c>
      <c r="D458" s="14">
        <v>40.5</v>
      </c>
      <c r="E458" s="14">
        <v>40.990001999999997</v>
      </c>
      <c r="F458" s="14">
        <v>40.521244000000003</v>
      </c>
      <c r="G458" s="14">
        <v>4305400</v>
      </c>
      <c r="H458" s="14">
        <f t="shared" si="7"/>
        <v>9.2200097378516421E-3</v>
      </c>
    </row>
    <row r="459" spans="1:8" x14ac:dyDescent="0.25">
      <c r="A459" s="46">
        <v>45224</v>
      </c>
      <c r="B459" s="14">
        <v>40.720001000000003</v>
      </c>
      <c r="C459" s="14">
        <v>40.759998000000003</v>
      </c>
      <c r="D459" s="14">
        <v>39.209999000000003</v>
      </c>
      <c r="E459" s="14">
        <v>39.299999</v>
      </c>
      <c r="F459" s="14">
        <v>38.850571000000002</v>
      </c>
      <c r="G459" s="14">
        <v>5471700</v>
      </c>
      <c r="H459" s="14">
        <f t="shared" si="7"/>
        <v>-3.1851876543209756E-2</v>
      </c>
    </row>
    <row r="460" spans="1:8" x14ac:dyDescent="0.25">
      <c r="A460" s="46">
        <v>45225</v>
      </c>
      <c r="B460" s="14">
        <v>39.209999000000003</v>
      </c>
      <c r="C460" s="14">
        <v>39.520000000000003</v>
      </c>
      <c r="D460" s="14">
        <v>38.229999999999997</v>
      </c>
      <c r="E460" s="14">
        <v>38.360000999999997</v>
      </c>
      <c r="F460" s="14">
        <v>37.921322000000004</v>
      </c>
      <c r="G460" s="14">
        <v>5881300</v>
      </c>
      <c r="H460" s="14">
        <f t="shared" si="7"/>
        <v>-2.4993599209222284E-2</v>
      </c>
    </row>
    <row r="461" spans="1:8" x14ac:dyDescent="0.25">
      <c r="A461" s="46">
        <v>45226</v>
      </c>
      <c r="B461" s="14">
        <v>38.349997999999999</v>
      </c>
      <c r="C461" s="14">
        <v>38.659999999999997</v>
      </c>
      <c r="D461" s="14">
        <v>37.93</v>
      </c>
      <c r="E461" s="14">
        <v>37.990001999999997</v>
      </c>
      <c r="F461" s="14">
        <v>37.555553000000003</v>
      </c>
      <c r="G461" s="14">
        <v>5112000</v>
      </c>
      <c r="H461" s="14">
        <f t="shared" si="7"/>
        <v>-7.8472403871304719E-3</v>
      </c>
    </row>
    <row r="462" spans="1:8" x14ac:dyDescent="0.25">
      <c r="A462" s="46">
        <v>45229</v>
      </c>
      <c r="B462" s="14">
        <v>38.400002000000001</v>
      </c>
      <c r="C462" s="14">
        <v>38.759998000000003</v>
      </c>
      <c r="D462" s="14">
        <v>38.009998000000003</v>
      </c>
      <c r="E462" s="14">
        <v>38.639999000000003</v>
      </c>
      <c r="F462" s="14">
        <v>38.198115999999999</v>
      </c>
      <c r="G462" s="14">
        <v>4715600</v>
      </c>
      <c r="H462" s="14">
        <f t="shared" si="7"/>
        <v>7.0303190087006584E-4</v>
      </c>
    </row>
    <row r="463" spans="1:8" x14ac:dyDescent="0.25">
      <c r="A463" s="46">
        <v>45230</v>
      </c>
      <c r="B463" s="14">
        <v>38.689999</v>
      </c>
      <c r="C463" s="14">
        <v>39.32</v>
      </c>
      <c r="D463" s="14">
        <v>38.490001999999997</v>
      </c>
      <c r="E463" s="14">
        <v>39.229999999999997</v>
      </c>
      <c r="F463" s="14">
        <v>38.781368000000001</v>
      </c>
      <c r="G463" s="14">
        <v>6287900</v>
      </c>
      <c r="H463" s="14">
        <f t="shared" si="7"/>
        <v>1.2628361622118334E-2</v>
      </c>
    </row>
    <row r="464" spans="1:8" x14ac:dyDescent="0.25">
      <c r="A464" s="46">
        <v>45231</v>
      </c>
      <c r="B464" s="14">
        <v>39.139999000000003</v>
      </c>
      <c r="C464" s="14">
        <v>39.209999000000003</v>
      </c>
      <c r="D464" s="14">
        <v>38.220001000000003</v>
      </c>
      <c r="E464" s="14">
        <v>38.709999000000003</v>
      </c>
      <c r="F464" s="14">
        <v>38.267315000000004</v>
      </c>
      <c r="G464" s="14">
        <v>6530000</v>
      </c>
      <c r="H464" s="14">
        <f t="shared" si="7"/>
        <v>-7.0148346575817921E-3</v>
      </c>
    </row>
    <row r="465" spans="1:8" x14ac:dyDescent="0.25">
      <c r="A465" s="46">
        <v>45232</v>
      </c>
      <c r="B465" s="14">
        <v>39.150002000000001</v>
      </c>
      <c r="C465" s="14">
        <v>39.229999999999997</v>
      </c>
      <c r="D465" s="14">
        <v>38.240001999999997</v>
      </c>
      <c r="E465" s="14">
        <v>38.990001999999997</v>
      </c>
      <c r="F465" s="14">
        <v>38.544117</v>
      </c>
      <c r="G465" s="14">
        <v>6534500</v>
      </c>
      <c r="H465" s="14">
        <f t="shared" si="7"/>
        <v>5.2331238819158798E-4</v>
      </c>
    </row>
    <row r="466" spans="1:8" x14ac:dyDescent="0.25">
      <c r="A466" s="46">
        <v>45233</v>
      </c>
      <c r="B466" s="14">
        <v>39.619999</v>
      </c>
      <c r="C466" s="14">
        <v>40.720001000000003</v>
      </c>
      <c r="D466" s="14">
        <v>39.509998000000003</v>
      </c>
      <c r="E466" s="14">
        <v>40.540000999999997</v>
      </c>
      <c r="F466" s="14">
        <v>40.076388999999999</v>
      </c>
      <c r="G466" s="14">
        <v>6421100</v>
      </c>
      <c r="H466" s="14">
        <f t="shared" si="7"/>
        <v>3.3211190731632367E-2</v>
      </c>
    </row>
    <row r="467" spans="1:8" x14ac:dyDescent="0.25">
      <c r="A467" s="46">
        <v>45236</v>
      </c>
      <c r="B467" s="14">
        <v>40.639999000000003</v>
      </c>
      <c r="C467" s="14">
        <v>40.98</v>
      </c>
      <c r="D467" s="14">
        <v>40.029998999999997</v>
      </c>
      <c r="E467" s="14">
        <v>40.360000999999997</v>
      </c>
      <c r="F467" s="14">
        <v>39.898448999999999</v>
      </c>
      <c r="G467" s="14">
        <v>6439200</v>
      </c>
      <c r="H467" s="14">
        <f t="shared" si="7"/>
        <v>4.3870836608663755E-3</v>
      </c>
    </row>
    <row r="468" spans="1:8" x14ac:dyDescent="0.25">
      <c r="A468" s="46">
        <v>45237</v>
      </c>
      <c r="B468" s="14">
        <v>40.509998000000003</v>
      </c>
      <c r="C468" s="14">
        <v>40.830002</v>
      </c>
      <c r="D468" s="14">
        <v>40.150002000000001</v>
      </c>
      <c r="E468" s="14">
        <v>40.770000000000003</v>
      </c>
      <c r="F468" s="14">
        <v>40.303761000000002</v>
      </c>
      <c r="G468" s="14">
        <v>9193500</v>
      </c>
      <c r="H468" s="14">
        <f t="shared" si="7"/>
        <v>2.9978267049171059E-3</v>
      </c>
    </row>
    <row r="469" spans="1:8" x14ac:dyDescent="0.25">
      <c r="A469" s="46">
        <v>45238</v>
      </c>
      <c r="B469" s="14">
        <v>37.279998999999997</v>
      </c>
      <c r="C469" s="14">
        <v>40</v>
      </c>
      <c r="D469" s="14">
        <v>37.169998</v>
      </c>
      <c r="E469" s="14">
        <v>39.950001</v>
      </c>
      <c r="F469" s="14">
        <v>39.493136999999997</v>
      </c>
      <c r="G469" s="14">
        <v>18084300</v>
      </c>
      <c r="H469" s="14">
        <f t="shared" si="7"/>
        <v>-7.4221764671394075E-2</v>
      </c>
    </row>
    <row r="470" spans="1:8" x14ac:dyDescent="0.25">
      <c r="A470" s="46">
        <v>45239</v>
      </c>
      <c r="B470" s="14">
        <v>40.290000999999997</v>
      </c>
      <c r="C470" s="14">
        <v>40.889999000000003</v>
      </c>
      <c r="D470" s="14">
        <v>39.799999</v>
      </c>
      <c r="E470" s="14">
        <v>39.93</v>
      </c>
      <c r="F470" s="14">
        <v>39.473365999999999</v>
      </c>
      <c r="G470" s="14">
        <v>9425200</v>
      </c>
      <c r="H470" s="14">
        <f t="shared" si="7"/>
        <v>7.0756016720797232E-2</v>
      </c>
    </row>
    <row r="471" spans="1:8" x14ac:dyDescent="0.25">
      <c r="A471" s="46">
        <v>45240</v>
      </c>
      <c r="B471" s="14">
        <v>39.939999</v>
      </c>
      <c r="C471" s="14">
        <v>40</v>
      </c>
      <c r="D471" s="14">
        <v>39.349997999999999</v>
      </c>
      <c r="E471" s="14">
        <v>39.849997999999999</v>
      </c>
      <c r="F471" s="14">
        <v>39.394278999999997</v>
      </c>
      <c r="G471" s="14">
        <v>6277600</v>
      </c>
      <c r="H471" s="14">
        <f t="shared" si="7"/>
        <v>-1.130655807302916E-2</v>
      </c>
    </row>
    <row r="472" spans="1:8" x14ac:dyDescent="0.25">
      <c r="A472" s="46">
        <v>45243</v>
      </c>
      <c r="B472" s="14">
        <v>39.630001</v>
      </c>
      <c r="C472" s="14">
        <v>39.840000000000003</v>
      </c>
      <c r="D472" s="14">
        <v>38.599997999999999</v>
      </c>
      <c r="E472" s="14">
        <v>38.729999999999997</v>
      </c>
      <c r="F472" s="14">
        <v>38.287086000000002</v>
      </c>
      <c r="G472" s="14">
        <v>7650000</v>
      </c>
      <c r="H472" s="14">
        <f t="shared" si="7"/>
        <v>-6.3532404753870635E-3</v>
      </c>
    </row>
    <row r="473" spans="1:8" x14ac:dyDescent="0.25">
      <c r="A473" s="46">
        <v>45244</v>
      </c>
      <c r="B473" s="14">
        <v>39.599997999999999</v>
      </c>
      <c r="C473" s="14">
        <v>40.509998000000003</v>
      </c>
      <c r="D473" s="14">
        <v>39.529998999999997</v>
      </c>
      <c r="E473" s="14">
        <v>40.340000000000003</v>
      </c>
      <c r="F473" s="14">
        <v>39.878677000000003</v>
      </c>
      <c r="G473" s="14">
        <v>6885900</v>
      </c>
      <c r="H473" s="14">
        <f t="shared" si="7"/>
        <v>2.4093291403797457E-2</v>
      </c>
    </row>
    <row r="474" spans="1:8" x14ac:dyDescent="0.25">
      <c r="A474" s="46">
        <v>45245</v>
      </c>
      <c r="B474" s="14">
        <v>40.479999999999997</v>
      </c>
      <c r="C474" s="14">
        <v>41.419998</v>
      </c>
      <c r="D474" s="14">
        <v>40.450001</v>
      </c>
      <c r="E474" s="14">
        <v>40.619999</v>
      </c>
      <c r="F474" s="14">
        <v>40.155472000000003</v>
      </c>
      <c r="G474" s="14">
        <v>6825600</v>
      </c>
      <c r="H474" s="14">
        <f t="shared" si="7"/>
        <v>2.3273514375752979E-2</v>
      </c>
    </row>
    <row r="475" spans="1:8" x14ac:dyDescent="0.25">
      <c r="A475" s="46">
        <v>45246</v>
      </c>
      <c r="B475" s="14">
        <v>40.520000000000003</v>
      </c>
      <c r="C475" s="14">
        <v>40.720001000000003</v>
      </c>
      <c r="D475" s="14">
        <v>39.700001</v>
      </c>
      <c r="E475" s="14">
        <v>40.18</v>
      </c>
      <c r="F475" s="14">
        <v>39.720505000000003</v>
      </c>
      <c r="G475" s="14">
        <v>7486200</v>
      </c>
      <c r="H475" s="14">
        <f t="shared" si="7"/>
        <v>-1.8541408688716676E-2</v>
      </c>
    </row>
    <row r="476" spans="1:8" x14ac:dyDescent="0.25">
      <c r="A476" s="46">
        <v>45247</v>
      </c>
      <c r="B476" s="14">
        <v>40.5</v>
      </c>
      <c r="C476" s="14">
        <v>40.619999</v>
      </c>
      <c r="D476" s="14">
        <v>39.82</v>
      </c>
      <c r="E476" s="14">
        <v>40.139999000000003</v>
      </c>
      <c r="F476" s="14">
        <v>39.680962000000001</v>
      </c>
      <c r="G476" s="14">
        <v>5165300</v>
      </c>
      <c r="H476" s="14">
        <f t="shared" si="7"/>
        <v>3.0226447601349182E-3</v>
      </c>
    </row>
    <row r="477" spans="1:8" x14ac:dyDescent="0.25">
      <c r="A477" s="46">
        <v>45250</v>
      </c>
      <c r="B477" s="14">
        <v>40.009998000000003</v>
      </c>
      <c r="C477" s="14">
        <v>40.139999000000003</v>
      </c>
      <c r="D477" s="14">
        <v>39.200001</v>
      </c>
      <c r="E477" s="14">
        <v>39.450001</v>
      </c>
      <c r="F477" s="14">
        <v>38.998856000000004</v>
      </c>
      <c r="G477" s="14">
        <v>8480500</v>
      </c>
      <c r="H477" s="14">
        <f t="shared" si="7"/>
        <v>-5.1900133936045494E-3</v>
      </c>
    </row>
    <row r="478" spans="1:8" x14ac:dyDescent="0.25">
      <c r="A478" s="46">
        <v>45251</v>
      </c>
      <c r="B478" s="14">
        <v>39.259998000000003</v>
      </c>
      <c r="C478" s="14">
        <v>40.439999</v>
      </c>
      <c r="D478" s="14">
        <v>38.979999999999997</v>
      </c>
      <c r="E478" s="14">
        <v>40.389999000000003</v>
      </c>
      <c r="F478" s="14">
        <v>39.928103999999998</v>
      </c>
      <c r="G478" s="14">
        <v>11049900</v>
      </c>
      <c r="H478" s="14">
        <f t="shared" si="7"/>
        <v>-5.6122702649932243E-3</v>
      </c>
    </row>
    <row r="479" spans="1:8" x14ac:dyDescent="0.25">
      <c r="A479" s="46">
        <v>45252</v>
      </c>
      <c r="B479" s="14">
        <v>40.529998999999997</v>
      </c>
      <c r="C479" s="14">
        <v>41.860000999999997</v>
      </c>
      <c r="D479" s="14">
        <v>40.5</v>
      </c>
      <c r="E479" s="14">
        <v>41.639999000000003</v>
      </c>
      <c r="F479" s="14">
        <v>41.163811000000003</v>
      </c>
      <c r="G479" s="14">
        <v>8619000</v>
      </c>
      <c r="H479" s="14">
        <f t="shared" si="7"/>
        <v>3.8994356080041204E-2</v>
      </c>
    </row>
    <row r="480" spans="1:8" x14ac:dyDescent="0.25">
      <c r="A480" s="46">
        <v>45254</v>
      </c>
      <c r="B480" s="14">
        <v>41.669998</v>
      </c>
      <c r="C480" s="14">
        <v>41.790000999999997</v>
      </c>
      <c r="D480" s="14">
        <v>41.279998999999997</v>
      </c>
      <c r="E480" s="14">
        <v>41.48</v>
      </c>
      <c r="F480" s="14">
        <v>41.005642000000002</v>
      </c>
      <c r="G480" s="14">
        <v>2606500</v>
      </c>
      <c r="H480" s="14">
        <f t="shared" si="7"/>
        <v>9.62961728395062E-3</v>
      </c>
    </row>
    <row r="481" spans="1:8" x14ac:dyDescent="0.25">
      <c r="A481" s="46">
        <v>45257</v>
      </c>
      <c r="B481" s="14">
        <v>41.34</v>
      </c>
      <c r="C481" s="14">
        <v>41.580002</v>
      </c>
      <c r="D481" s="14">
        <v>40.75</v>
      </c>
      <c r="E481" s="14">
        <v>41.349997999999999</v>
      </c>
      <c r="F481" s="14">
        <v>40.877124999999999</v>
      </c>
      <c r="G481" s="14">
        <v>4966800</v>
      </c>
      <c r="H481" s="14">
        <f t="shared" si="7"/>
        <v>-4.2797077910135721E-3</v>
      </c>
    </row>
    <row r="482" spans="1:8" x14ac:dyDescent="0.25">
      <c r="A482" s="46">
        <v>45258</v>
      </c>
      <c r="B482" s="14">
        <v>40.970001000000003</v>
      </c>
      <c r="C482" s="14">
        <v>41.560001</v>
      </c>
      <c r="D482" s="14">
        <v>40.93</v>
      </c>
      <c r="E482" s="14">
        <v>41.130001</v>
      </c>
      <c r="F482" s="14">
        <v>40.659644999999998</v>
      </c>
      <c r="G482" s="14">
        <v>6503500</v>
      </c>
      <c r="H482" s="14">
        <f t="shared" si="7"/>
        <v>4.4171779141104484E-3</v>
      </c>
    </row>
    <row r="483" spans="1:8" x14ac:dyDescent="0.25">
      <c r="A483" s="46">
        <v>45259</v>
      </c>
      <c r="B483" s="14">
        <v>41.369999</v>
      </c>
      <c r="C483" s="14">
        <v>41.43</v>
      </c>
      <c r="D483" s="14">
        <v>40.580002</v>
      </c>
      <c r="E483" s="14">
        <v>40.639999000000003</v>
      </c>
      <c r="F483" s="14">
        <v>40.175243000000002</v>
      </c>
      <c r="G483" s="14">
        <v>7352700</v>
      </c>
      <c r="H483" s="14">
        <f t="shared" si="7"/>
        <v>-8.5511360860004437E-3</v>
      </c>
    </row>
    <row r="484" spans="1:8" x14ac:dyDescent="0.25">
      <c r="A484" s="46">
        <v>45260</v>
      </c>
      <c r="B484" s="14">
        <v>40.659999999999997</v>
      </c>
      <c r="C484" s="14">
        <v>41.029998999999997</v>
      </c>
      <c r="D484" s="14">
        <v>40.18</v>
      </c>
      <c r="E484" s="14">
        <v>41.009998000000003</v>
      </c>
      <c r="F484" s="14">
        <v>40.791946000000003</v>
      </c>
      <c r="G484" s="14">
        <v>11506800</v>
      </c>
      <c r="H484" s="14">
        <f t="shared" si="7"/>
        <v>-9.8571212490329296E-3</v>
      </c>
    </row>
    <row r="485" spans="1:8" x14ac:dyDescent="0.25">
      <c r="A485" s="46">
        <v>45261</v>
      </c>
      <c r="B485" s="14">
        <v>40.990001999999997</v>
      </c>
      <c r="C485" s="14">
        <v>41.889999000000003</v>
      </c>
      <c r="D485" s="14">
        <v>40.599997999999999</v>
      </c>
      <c r="E485" s="14">
        <v>41.73</v>
      </c>
      <c r="F485" s="14">
        <v>41.508121000000003</v>
      </c>
      <c r="G485" s="14">
        <v>6021300</v>
      </c>
      <c r="H485" s="14">
        <f t="shared" si="7"/>
        <v>1.04529118964658E-2</v>
      </c>
    </row>
    <row r="486" spans="1:8" x14ac:dyDescent="0.25">
      <c r="A486" s="46">
        <v>45264</v>
      </c>
      <c r="B486" s="14">
        <v>41.57</v>
      </c>
      <c r="C486" s="14">
        <v>42.080002</v>
      </c>
      <c r="D486" s="14">
        <v>41.389999000000003</v>
      </c>
      <c r="E486" s="14">
        <v>41.619999</v>
      </c>
      <c r="F486" s="14">
        <v>41.398705</v>
      </c>
      <c r="G486" s="14">
        <v>5197500</v>
      </c>
      <c r="H486" s="14">
        <f t="shared" si="7"/>
        <v>6.4860512226298335E-3</v>
      </c>
    </row>
    <row r="487" spans="1:8" x14ac:dyDescent="0.25">
      <c r="A487" s="46">
        <v>45265</v>
      </c>
      <c r="B487" s="14">
        <v>41.299999</v>
      </c>
      <c r="C487" s="14">
        <v>41.759998000000003</v>
      </c>
      <c r="D487" s="14">
        <v>40.990001999999997</v>
      </c>
      <c r="E487" s="14">
        <v>41.48</v>
      </c>
      <c r="F487" s="14">
        <v>41.259448999999996</v>
      </c>
      <c r="G487" s="14">
        <v>4517900</v>
      </c>
      <c r="H487" s="14">
        <f t="shared" si="7"/>
        <v>-9.6640978416067114E-3</v>
      </c>
    </row>
    <row r="488" spans="1:8" x14ac:dyDescent="0.25">
      <c r="A488" s="46">
        <v>45266</v>
      </c>
      <c r="B488" s="14">
        <v>41.720001000000003</v>
      </c>
      <c r="C488" s="14">
        <v>42.209999000000003</v>
      </c>
      <c r="D488" s="14">
        <v>41.439999</v>
      </c>
      <c r="E488" s="14">
        <v>41.470001000000003</v>
      </c>
      <c r="F488" s="14">
        <v>41.249504000000002</v>
      </c>
      <c r="G488" s="14">
        <v>4736800</v>
      </c>
      <c r="H488" s="14">
        <f t="shared" si="7"/>
        <v>1.0978213662931946E-2</v>
      </c>
    </row>
    <row r="489" spans="1:8" x14ac:dyDescent="0.25">
      <c r="A489" s="46">
        <v>45267</v>
      </c>
      <c r="B489" s="14">
        <v>41.68</v>
      </c>
      <c r="C489" s="14">
        <v>41.740001999999997</v>
      </c>
      <c r="D489" s="14">
        <v>41.34</v>
      </c>
      <c r="E489" s="14">
        <v>41.48</v>
      </c>
      <c r="F489" s="14">
        <v>41.259448999999996</v>
      </c>
      <c r="G489" s="14">
        <v>3940300</v>
      </c>
      <c r="H489" s="14">
        <f t="shared" si="7"/>
        <v>-2.4131033400844881E-3</v>
      </c>
    </row>
    <row r="490" spans="1:8" x14ac:dyDescent="0.25">
      <c r="A490" s="46">
        <v>45268</v>
      </c>
      <c r="B490" s="14">
        <v>41.360000999999997</v>
      </c>
      <c r="C490" s="14">
        <v>41.720001000000003</v>
      </c>
      <c r="D490" s="14">
        <v>41.16</v>
      </c>
      <c r="E490" s="14">
        <v>41.290000999999997</v>
      </c>
      <c r="F490" s="14">
        <v>41.070461000000002</v>
      </c>
      <c r="G490" s="14">
        <v>7243400</v>
      </c>
      <c r="H490" s="14">
        <f t="shared" si="7"/>
        <v>-4.3541364296082463E-3</v>
      </c>
    </row>
    <row r="491" spans="1:8" x14ac:dyDescent="0.25">
      <c r="A491" s="46">
        <v>45271</v>
      </c>
      <c r="B491" s="14">
        <v>40.740001999999997</v>
      </c>
      <c r="C491" s="14">
        <v>42.119999</v>
      </c>
      <c r="D491" s="14">
        <v>40.630001</v>
      </c>
      <c r="E491" s="14">
        <v>41.759998000000003</v>
      </c>
      <c r="F491" s="14">
        <v>41.537959999999998</v>
      </c>
      <c r="G491" s="14">
        <v>7045400</v>
      </c>
      <c r="H491" s="14">
        <f t="shared" si="7"/>
        <v>-4.2921849692257501E-3</v>
      </c>
    </row>
    <row r="492" spans="1:8" x14ac:dyDescent="0.25">
      <c r="A492" s="46">
        <v>45272</v>
      </c>
      <c r="B492" s="14">
        <v>41.77</v>
      </c>
      <c r="C492" s="14">
        <v>41.790000999999997</v>
      </c>
      <c r="D492" s="14">
        <v>40.909999999999997</v>
      </c>
      <c r="E492" s="14">
        <v>41.110000999999997</v>
      </c>
      <c r="F492" s="14">
        <v>40.891418000000002</v>
      </c>
      <c r="G492" s="14">
        <v>5839900</v>
      </c>
      <c r="H492" s="14">
        <f t="shared" si="7"/>
        <v>6.8914347307054147E-3</v>
      </c>
    </row>
    <row r="493" spans="1:8" x14ac:dyDescent="0.25">
      <c r="A493" s="46">
        <v>45273</v>
      </c>
      <c r="B493" s="14">
        <v>41.02</v>
      </c>
      <c r="C493" s="14">
        <v>41.98</v>
      </c>
      <c r="D493" s="14">
        <v>40.740001999999997</v>
      </c>
      <c r="E493" s="14">
        <v>41.959999000000003</v>
      </c>
      <c r="F493" s="14">
        <v>41.736896999999999</v>
      </c>
      <c r="G493" s="14">
        <v>6610400</v>
      </c>
      <c r="H493" s="14">
        <f t="shared" si="7"/>
        <v>-4.1554143241261388E-3</v>
      </c>
    </row>
    <row r="494" spans="1:8" x14ac:dyDescent="0.25">
      <c r="A494" s="46">
        <v>45274</v>
      </c>
      <c r="B494" s="14">
        <v>42.299999</v>
      </c>
      <c r="C494" s="14">
        <v>42.73</v>
      </c>
      <c r="D494" s="14">
        <v>41.990001999999997</v>
      </c>
      <c r="E494" s="14">
        <v>42.650002000000001</v>
      </c>
      <c r="F494" s="14">
        <v>42.423228999999999</v>
      </c>
      <c r="G494" s="14">
        <v>9011200</v>
      </c>
      <c r="H494" s="14">
        <f t="shared" si="7"/>
        <v>3.0682374536947776E-2</v>
      </c>
    </row>
    <row r="495" spans="1:8" x14ac:dyDescent="0.25">
      <c r="A495" s="46">
        <v>45275</v>
      </c>
      <c r="B495" s="14">
        <v>42.73</v>
      </c>
      <c r="C495" s="14">
        <v>42.93</v>
      </c>
      <c r="D495" s="14">
        <v>41.66</v>
      </c>
      <c r="E495" s="14">
        <v>41.75</v>
      </c>
      <c r="F495" s="14">
        <v>41.528015000000003</v>
      </c>
      <c r="G495" s="14">
        <v>43483200</v>
      </c>
      <c r="H495" s="14">
        <f t="shared" si="7"/>
        <v>-7.859061307022519E-3</v>
      </c>
    </row>
    <row r="496" spans="1:8" x14ac:dyDescent="0.25">
      <c r="A496" s="46">
        <v>45278</v>
      </c>
      <c r="B496" s="14">
        <v>41.529998999999997</v>
      </c>
      <c r="C496" s="14">
        <v>42.810001</v>
      </c>
      <c r="D496" s="14">
        <v>41.52</v>
      </c>
      <c r="E496" s="14">
        <v>42.52</v>
      </c>
      <c r="F496" s="14">
        <v>42.293919000000002</v>
      </c>
      <c r="G496" s="14">
        <v>6687300</v>
      </c>
      <c r="H496" s="14">
        <f t="shared" si="7"/>
        <v>-1.1201792286765395E-3</v>
      </c>
    </row>
    <row r="497" spans="1:8" x14ac:dyDescent="0.25">
      <c r="A497" s="46">
        <v>45279</v>
      </c>
      <c r="B497" s="14">
        <v>42.66</v>
      </c>
      <c r="C497" s="14">
        <v>44.27</v>
      </c>
      <c r="D497" s="14">
        <v>42.57</v>
      </c>
      <c r="E497" s="14">
        <v>43.669998</v>
      </c>
      <c r="F497" s="14">
        <v>43.437804999999997</v>
      </c>
      <c r="G497" s="14">
        <v>7351000</v>
      </c>
      <c r="H497" s="14">
        <f t="shared" si="7"/>
        <v>2.5289017341040498E-2</v>
      </c>
    </row>
    <row r="498" spans="1:8" x14ac:dyDescent="0.25">
      <c r="A498" s="46">
        <v>45280</v>
      </c>
      <c r="B498" s="14">
        <v>43.400002000000001</v>
      </c>
      <c r="C498" s="14">
        <v>43.82</v>
      </c>
      <c r="D498" s="14">
        <v>42.830002</v>
      </c>
      <c r="E498" s="14">
        <v>42.98</v>
      </c>
      <c r="F498" s="14">
        <v>42.751472</v>
      </c>
      <c r="G498" s="14">
        <v>5761900</v>
      </c>
      <c r="H498" s="14">
        <f t="shared" si="7"/>
        <v>6.1076344843786767E-3</v>
      </c>
    </row>
    <row r="499" spans="1:8" x14ac:dyDescent="0.25">
      <c r="A499" s="46">
        <v>45281</v>
      </c>
      <c r="B499" s="14">
        <v>43.330002</v>
      </c>
      <c r="C499" s="14">
        <v>43.759998000000003</v>
      </c>
      <c r="D499" s="14">
        <v>43.07</v>
      </c>
      <c r="E499" s="14">
        <v>43.73</v>
      </c>
      <c r="F499" s="14">
        <v>43.497486000000002</v>
      </c>
      <c r="G499" s="14">
        <v>3238300</v>
      </c>
      <c r="H499" s="14">
        <f t="shared" si="7"/>
        <v>5.6035019564089072E-3</v>
      </c>
    </row>
    <row r="500" spans="1:8" x14ac:dyDescent="0.25">
      <c r="A500" s="46">
        <v>45282</v>
      </c>
      <c r="B500" s="14">
        <v>43.560001</v>
      </c>
      <c r="C500" s="14">
        <v>44.07</v>
      </c>
      <c r="D500" s="14">
        <v>43.450001</v>
      </c>
      <c r="E500" s="14">
        <v>43.82</v>
      </c>
      <c r="F500" s="14">
        <v>43.587006000000002</v>
      </c>
      <c r="G500" s="14">
        <v>3330300</v>
      </c>
      <c r="H500" s="14">
        <f t="shared" si="7"/>
        <v>8.8228697469237005E-3</v>
      </c>
    </row>
    <row r="501" spans="1:8" x14ac:dyDescent="0.25">
      <c r="A501" s="46">
        <v>45286</v>
      </c>
      <c r="B501" s="14">
        <v>43.82</v>
      </c>
      <c r="C501" s="14">
        <v>43.84</v>
      </c>
      <c r="D501" s="14">
        <v>43.259998000000003</v>
      </c>
      <c r="E501" s="14">
        <v>43.48</v>
      </c>
      <c r="F501" s="14">
        <v>43.248814000000003</v>
      </c>
      <c r="G501" s="14">
        <v>3361100</v>
      </c>
      <c r="H501" s="14">
        <f t="shared" si="7"/>
        <v>-1.0932278229406622E-3</v>
      </c>
    </row>
    <row r="502" spans="1:8" x14ac:dyDescent="0.25">
      <c r="A502" s="46">
        <v>45287</v>
      </c>
      <c r="B502" s="14">
        <v>43.52</v>
      </c>
      <c r="C502" s="14">
        <v>43.66</v>
      </c>
      <c r="D502" s="14">
        <v>43.099997999999999</v>
      </c>
      <c r="E502" s="14">
        <v>43.380001</v>
      </c>
      <c r="F502" s="14">
        <v>43.149349000000001</v>
      </c>
      <c r="G502" s="14">
        <v>2623100</v>
      </c>
      <c r="H502" s="14">
        <f t="shared" si="7"/>
        <v>-3.6985669763555107E-3</v>
      </c>
    </row>
    <row r="503" spans="1:8" x14ac:dyDescent="0.25">
      <c r="A503" s="46">
        <v>45288</v>
      </c>
      <c r="B503" s="14">
        <v>43.369999</v>
      </c>
      <c r="C503" s="14">
        <v>43.599997999999999</v>
      </c>
      <c r="D503" s="14">
        <v>43.119999</v>
      </c>
      <c r="E503" s="14">
        <v>43.470001000000003</v>
      </c>
      <c r="F503" s="14">
        <v>43.238869000000001</v>
      </c>
      <c r="G503" s="14">
        <v>2767600</v>
      </c>
      <c r="H503" s="14">
        <f t="shared" si="7"/>
        <v>4.6406034636015114E-4</v>
      </c>
    </row>
    <row r="504" spans="1:8" x14ac:dyDescent="0.25">
      <c r="A504" s="46">
        <v>45289</v>
      </c>
      <c r="B504" s="14">
        <v>43.419998</v>
      </c>
      <c r="C504" s="14">
        <v>43.82</v>
      </c>
      <c r="D504" s="14">
        <v>43.360000999999997</v>
      </c>
      <c r="E504" s="14">
        <v>43.619999</v>
      </c>
      <c r="F504" s="14">
        <v>43.388069000000002</v>
      </c>
      <c r="G504" s="14">
        <v>4681700</v>
      </c>
      <c r="H504" s="14">
        <f t="shared" si="7"/>
        <v>5.5659092199884519E-3</v>
      </c>
    </row>
    <row r="505" spans="1:8" x14ac:dyDescent="0.25">
      <c r="A505" s="46">
        <v>45293</v>
      </c>
      <c r="B505" s="14">
        <v>43.259998000000003</v>
      </c>
      <c r="C505" s="14">
        <v>44.200001</v>
      </c>
      <c r="D505" s="14">
        <v>43.200001</v>
      </c>
      <c r="E505" s="14">
        <v>43.869999</v>
      </c>
      <c r="F505" s="14">
        <v>43.636741999999998</v>
      </c>
      <c r="G505" s="14">
        <v>5369300</v>
      </c>
      <c r="H505" s="14">
        <f t="shared" si="7"/>
        <v>-9.2250920381664603E-4</v>
      </c>
    </row>
    <row r="506" spans="1:8" x14ac:dyDescent="0.25">
      <c r="A506" s="46">
        <v>45294</v>
      </c>
      <c r="B506" s="14">
        <v>43.630001</v>
      </c>
      <c r="C506" s="14">
        <v>44.09</v>
      </c>
      <c r="D506" s="14">
        <v>42.959999000000003</v>
      </c>
      <c r="E506" s="14">
        <v>43.549999</v>
      </c>
      <c r="F506" s="14">
        <v>43.318443000000002</v>
      </c>
      <c r="G506" s="14">
        <v>6358100</v>
      </c>
      <c r="H506" s="14">
        <f t="shared" si="7"/>
        <v>-5.55560172324987E-3</v>
      </c>
    </row>
    <row r="507" spans="1:8" x14ac:dyDescent="0.25">
      <c r="A507" s="46">
        <v>45295</v>
      </c>
      <c r="B507" s="14">
        <v>43.529998999999997</v>
      </c>
      <c r="C507" s="14">
        <v>43.59</v>
      </c>
      <c r="D507" s="14">
        <v>42.41</v>
      </c>
      <c r="E507" s="14">
        <v>42.529998999999997</v>
      </c>
      <c r="F507" s="14">
        <v>42.303863999999997</v>
      </c>
      <c r="G507" s="14">
        <v>4778500</v>
      </c>
      <c r="H507" s="14">
        <f t="shared" si="7"/>
        <v>-1.2802584096894609E-2</v>
      </c>
    </row>
    <row r="508" spans="1:8" x14ac:dyDescent="0.25">
      <c r="A508" s="46">
        <v>45296</v>
      </c>
      <c r="B508" s="14">
        <v>42.529998999999997</v>
      </c>
      <c r="C508" s="14">
        <v>43.080002</v>
      </c>
      <c r="D508" s="14">
        <v>42.389999000000003</v>
      </c>
      <c r="E508" s="14">
        <v>42.790000999999997</v>
      </c>
      <c r="F508" s="14">
        <v>42.562485000000002</v>
      </c>
      <c r="G508" s="14">
        <v>3140300</v>
      </c>
      <c r="H508" s="14">
        <f t="shared" si="7"/>
        <v>-4.7161046922883365E-4</v>
      </c>
    </row>
    <row r="509" spans="1:8" x14ac:dyDescent="0.25">
      <c r="A509" s="46">
        <v>45299</v>
      </c>
      <c r="B509" s="14">
        <v>42.98</v>
      </c>
      <c r="C509" s="14">
        <v>42.98</v>
      </c>
      <c r="D509" s="14">
        <v>42.41</v>
      </c>
      <c r="E509" s="14">
        <v>42.84</v>
      </c>
      <c r="F509" s="14">
        <v>42.612217000000001</v>
      </c>
      <c r="G509" s="14">
        <v>4109400</v>
      </c>
      <c r="H509" s="14">
        <f t="shared" si="7"/>
        <v>1.5727766353560804E-4</v>
      </c>
    </row>
    <row r="510" spans="1:8" x14ac:dyDescent="0.25">
      <c r="A510" s="46">
        <v>45300</v>
      </c>
      <c r="B510" s="14">
        <v>42.290000999999997</v>
      </c>
      <c r="C510" s="14">
        <v>42.68</v>
      </c>
      <c r="D510" s="14">
        <v>41.959999000000003</v>
      </c>
      <c r="E510" s="14">
        <v>42.139999000000003</v>
      </c>
      <c r="F510" s="14">
        <v>41.915939000000002</v>
      </c>
      <c r="G510" s="14">
        <v>4937400</v>
      </c>
      <c r="H510" s="14">
        <f t="shared" si="7"/>
        <v>-1.0610728601744723E-2</v>
      </c>
    </row>
    <row r="511" spans="1:8" x14ac:dyDescent="0.25">
      <c r="A511" s="46">
        <v>45301</v>
      </c>
      <c r="B511" s="14">
        <v>42.110000999999997</v>
      </c>
      <c r="C511" s="14">
        <v>42.709999000000003</v>
      </c>
      <c r="D511" s="14">
        <v>41.939999</v>
      </c>
      <c r="E511" s="14">
        <v>42.560001</v>
      </c>
      <c r="F511" s="14">
        <v>42.333710000000004</v>
      </c>
      <c r="G511" s="14">
        <v>3755100</v>
      </c>
      <c r="H511" s="14">
        <f t="shared" si="7"/>
        <v>-4.7664443461981065E-4</v>
      </c>
    </row>
    <row r="512" spans="1:8" x14ac:dyDescent="0.25">
      <c r="A512" s="46">
        <v>45302</v>
      </c>
      <c r="B512" s="14">
        <v>42.509998000000003</v>
      </c>
      <c r="C512" s="14">
        <v>42.540000999999997</v>
      </c>
      <c r="D512" s="14">
        <v>41.490001999999997</v>
      </c>
      <c r="E512" s="14">
        <v>41.869999</v>
      </c>
      <c r="F512" s="14">
        <v>41.647373000000002</v>
      </c>
      <c r="G512" s="14">
        <v>4618500</v>
      </c>
      <c r="H512" s="14">
        <f t="shared" si="7"/>
        <v>-1.072954245897817E-2</v>
      </c>
    </row>
    <row r="513" spans="1:8" x14ac:dyDescent="0.25">
      <c r="A513" s="46">
        <v>45303</v>
      </c>
      <c r="B513" s="14">
        <v>41.959999000000003</v>
      </c>
      <c r="C513" s="14">
        <v>42.07</v>
      </c>
      <c r="D513" s="14">
        <v>41.060001</v>
      </c>
      <c r="E513" s="14">
        <v>41.209999000000003</v>
      </c>
      <c r="F513" s="14">
        <v>40.990882999999997</v>
      </c>
      <c r="G513" s="14">
        <v>5689000</v>
      </c>
      <c r="H513" s="14">
        <f t="shared" si="7"/>
        <v>-1.0363966721428364E-2</v>
      </c>
    </row>
    <row r="514" spans="1:8" x14ac:dyDescent="0.25">
      <c r="A514" s="46">
        <v>45307</v>
      </c>
      <c r="B514" s="14">
        <v>40.82</v>
      </c>
      <c r="C514" s="14">
        <v>40.950001</v>
      </c>
      <c r="D514" s="14">
        <v>40.159999999999997</v>
      </c>
      <c r="E514" s="14">
        <v>40.700001</v>
      </c>
      <c r="F514" s="14">
        <v>40.483597000000003</v>
      </c>
      <c r="G514" s="14">
        <v>6455400</v>
      </c>
      <c r="H514" s="14">
        <f t="shared" si="7"/>
        <v>-5.4797916346860376E-3</v>
      </c>
    </row>
    <row r="515" spans="1:8" x14ac:dyDescent="0.25">
      <c r="A515" s="46">
        <v>45308</v>
      </c>
      <c r="B515" s="14">
        <v>40.57</v>
      </c>
      <c r="C515" s="14">
        <v>40.880001</v>
      </c>
      <c r="D515" s="14">
        <v>40.279998999999997</v>
      </c>
      <c r="E515" s="14">
        <v>40.669998</v>
      </c>
      <c r="F515" s="14">
        <v>40.453754000000004</v>
      </c>
      <c r="G515" s="14">
        <v>6416400</v>
      </c>
      <c r="H515" s="14">
        <f t="shared" si="7"/>
        <v>2.9880229083665277E-3</v>
      </c>
    </row>
    <row r="516" spans="1:8" x14ac:dyDescent="0.25">
      <c r="A516" s="46">
        <v>45309</v>
      </c>
      <c r="B516" s="14">
        <v>40.630001</v>
      </c>
      <c r="C516" s="14">
        <v>40.880001</v>
      </c>
      <c r="D516" s="14">
        <v>40.340000000000003</v>
      </c>
      <c r="E516" s="14">
        <v>40.790000999999997</v>
      </c>
      <c r="F516" s="14">
        <v>40.573120000000003</v>
      </c>
      <c r="G516" s="14">
        <v>5751400</v>
      </c>
      <c r="H516" s="14">
        <f t="shared" ref="H516:H570" si="8">(D516/D515-1)/(A516-A515)</f>
        <v>1.4895978522742048E-3</v>
      </c>
    </row>
    <row r="517" spans="1:8" x14ac:dyDescent="0.25">
      <c r="A517" s="46">
        <v>45310</v>
      </c>
      <c r="B517" s="14">
        <v>41.029998999999997</v>
      </c>
      <c r="C517" s="14">
        <v>41.360000999999997</v>
      </c>
      <c r="D517" s="14">
        <v>40.5</v>
      </c>
      <c r="E517" s="14">
        <v>41.130001</v>
      </c>
      <c r="F517" s="14">
        <v>40.911312000000002</v>
      </c>
      <c r="G517" s="14">
        <v>4359500</v>
      </c>
      <c r="H517" s="14">
        <f t="shared" si="8"/>
        <v>3.9662865642042799E-3</v>
      </c>
    </row>
    <row r="518" spans="1:8" x14ac:dyDescent="0.25">
      <c r="A518" s="46">
        <v>45313</v>
      </c>
      <c r="B518" s="14">
        <v>41.310001</v>
      </c>
      <c r="C518" s="14">
        <v>41.689999</v>
      </c>
      <c r="D518" s="14">
        <v>40.880001</v>
      </c>
      <c r="E518" s="14">
        <v>41.060001</v>
      </c>
      <c r="F518" s="14">
        <v>40.841681999999999</v>
      </c>
      <c r="G518" s="14">
        <v>5559400</v>
      </c>
      <c r="H518" s="14">
        <f t="shared" si="8"/>
        <v>3.1275802469135825E-3</v>
      </c>
    </row>
    <row r="519" spans="1:8" x14ac:dyDescent="0.25">
      <c r="A519" s="46">
        <v>45314</v>
      </c>
      <c r="B519" s="14">
        <v>41.450001</v>
      </c>
      <c r="C519" s="14">
        <v>41.880001</v>
      </c>
      <c r="D519" s="14">
        <v>41.18</v>
      </c>
      <c r="E519" s="14">
        <v>41.41</v>
      </c>
      <c r="F519" s="14">
        <v>41.189822999999997</v>
      </c>
      <c r="G519" s="14">
        <v>5059600</v>
      </c>
      <c r="H519" s="14">
        <f t="shared" si="8"/>
        <v>7.3385272177464156E-3</v>
      </c>
    </row>
    <row r="520" spans="1:8" x14ac:dyDescent="0.25">
      <c r="A520" s="46">
        <v>45315</v>
      </c>
      <c r="B520" s="14">
        <v>42.619999</v>
      </c>
      <c r="C520" s="14">
        <v>42.889999000000003</v>
      </c>
      <c r="D520" s="14">
        <v>41.310001</v>
      </c>
      <c r="E520" s="14">
        <v>41.610000999999997</v>
      </c>
      <c r="F520" s="14">
        <v>41.388759999999998</v>
      </c>
      <c r="G520" s="14">
        <v>8647100</v>
      </c>
      <c r="H520" s="14">
        <f t="shared" si="8"/>
        <v>3.156896551724131E-3</v>
      </c>
    </row>
    <row r="521" spans="1:8" x14ac:dyDescent="0.25">
      <c r="A521" s="46">
        <v>45316</v>
      </c>
      <c r="B521" s="14">
        <v>41.900002000000001</v>
      </c>
      <c r="C521" s="14">
        <v>42.189999</v>
      </c>
      <c r="D521" s="14">
        <v>41.259998000000003</v>
      </c>
      <c r="E521" s="14">
        <v>42.16</v>
      </c>
      <c r="F521" s="14">
        <v>41.935833000000002</v>
      </c>
      <c r="G521" s="14">
        <v>6080200</v>
      </c>
      <c r="H521" s="14">
        <f t="shared" si="8"/>
        <v>-1.2104332798248407E-3</v>
      </c>
    </row>
    <row r="522" spans="1:8" x14ac:dyDescent="0.25">
      <c r="A522" s="46">
        <v>45317</v>
      </c>
      <c r="B522" s="14">
        <v>42.130001</v>
      </c>
      <c r="C522" s="14">
        <v>42.709999000000003</v>
      </c>
      <c r="D522" s="14">
        <v>42.130001</v>
      </c>
      <c r="E522" s="14">
        <v>42.689999</v>
      </c>
      <c r="F522" s="14">
        <v>42.463012999999997</v>
      </c>
      <c r="G522" s="14">
        <v>5936600</v>
      </c>
      <c r="H522" s="14">
        <f t="shared" si="8"/>
        <v>2.1085871114196353E-2</v>
      </c>
    </row>
    <row r="523" spans="1:8" x14ac:dyDescent="0.25">
      <c r="A523" s="46">
        <v>45320</v>
      </c>
      <c r="B523" s="14">
        <v>42.689999</v>
      </c>
      <c r="C523" s="14">
        <v>42.790000999999997</v>
      </c>
      <c r="D523" s="14">
        <v>42.029998999999997</v>
      </c>
      <c r="E523" s="14">
        <v>42.619999</v>
      </c>
      <c r="F523" s="14">
        <v>42.393386999999997</v>
      </c>
      <c r="G523" s="14">
        <v>4687400</v>
      </c>
      <c r="H523" s="14">
        <f t="shared" si="8"/>
        <v>-7.9121764084462887E-4</v>
      </c>
    </row>
    <row r="524" spans="1:8" x14ac:dyDescent="0.25">
      <c r="A524" s="46">
        <v>45321</v>
      </c>
      <c r="B524" s="14">
        <v>42.380001</v>
      </c>
      <c r="C524" s="14">
        <v>42.41</v>
      </c>
      <c r="D524" s="14">
        <v>41.919998</v>
      </c>
      <c r="E524" s="14">
        <v>41.950001</v>
      </c>
      <c r="F524" s="14">
        <v>41.726951999999997</v>
      </c>
      <c r="G524" s="14">
        <v>5073300</v>
      </c>
      <c r="H524" s="14">
        <f t="shared" si="8"/>
        <v>-2.6172020608422608E-3</v>
      </c>
    </row>
    <row r="525" spans="1:8" x14ac:dyDescent="0.25">
      <c r="A525" s="46">
        <v>45322</v>
      </c>
      <c r="B525" s="14">
        <v>41.970001000000003</v>
      </c>
      <c r="C525" s="14">
        <v>42.02</v>
      </c>
      <c r="D525" s="14">
        <v>40.970001000000003</v>
      </c>
      <c r="E525" s="14">
        <v>41.07</v>
      </c>
      <c r="F525" s="14">
        <v>40.851627000000001</v>
      </c>
      <c r="G525" s="14">
        <v>5923700</v>
      </c>
      <c r="H525" s="14">
        <f t="shared" si="8"/>
        <v>-2.2662143256781508E-2</v>
      </c>
    </row>
    <row r="526" spans="1:8" x14ac:dyDescent="0.25">
      <c r="A526" s="46">
        <v>45323</v>
      </c>
      <c r="B526" s="14">
        <v>41.400002000000001</v>
      </c>
      <c r="C526" s="14">
        <v>41.810001</v>
      </c>
      <c r="D526" s="14">
        <v>40.770000000000003</v>
      </c>
      <c r="E526" s="14">
        <v>41.700001</v>
      </c>
      <c r="F526" s="14">
        <v>41.478279000000001</v>
      </c>
      <c r="G526" s="14">
        <v>5670700</v>
      </c>
      <c r="H526" s="14">
        <f t="shared" si="8"/>
        <v>-4.8816449870235923E-3</v>
      </c>
    </row>
    <row r="527" spans="1:8" x14ac:dyDescent="0.25">
      <c r="A527" s="46">
        <v>45324</v>
      </c>
      <c r="B527" s="14">
        <v>41.560001</v>
      </c>
      <c r="C527" s="14">
        <v>41.98</v>
      </c>
      <c r="D527" s="14">
        <v>41.009998000000003</v>
      </c>
      <c r="E527" s="14">
        <v>41.939999</v>
      </c>
      <c r="F527" s="14">
        <v>41.717002999999998</v>
      </c>
      <c r="G527" s="14">
        <v>6097500</v>
      </c>
      <c r="H527" s="14">
        <f t="shared" si="8"/>
        <v>5.8866323276918209E-3</v>
      </c>
    </row>
    <row r="528" spans="1:8" x14ac:dyDescent="0.25">
      <c r="A528" s="46">
        <v>45327</v>
      </c>
      <c r="B528" s="14">
        <v>41.57</v>
      </c>
      <c r="C528" s="14">
        <v>41.57</v>
      </c>
      <c r="D528" s="14">
        <v>40.939999</v>
      </c>
      <c r="E528" s="14">
        <v>41.330002</v>
      </c>
      <c r="F528" s="14">
        <v>41.110249000000003</v>
      </c>
      <c r="G528" s="14">
        <v>5907200</v>
      </c>
      <c r="H528" s="14">
        <f t="shared" si="8"/>
        <v>-5.6895881828622485E-4</v>
      </c>
    </row>
    <row r="529" spans="1:8" x14ac:dyDescent="0.25">
      <c r="A529" s="46">
        <v>45328</v>
      </c>
      <c r="B529" s="14">
        <v>41.349997999999999</v>
      </c>
      <c r="C529" s="14">
        <v>42.740001999999997</v>
      </c>
      <c r="D529" s="14">
        <v>41.310001</v>
      </c>
      <c r="E529" s="14">
        <v>42.66</v>
      </c>
      <c r="F529" s="14">
        <v>42.433174000000001</v>
      </c>
      <c r="G529" s="14">
        <v>5946900</v>
      </c>
      <c r="H529" s="14">
        <f t="shared" si="8"/>
        <v>9.0376650961814242E-3</v>
      </c>
    </row>
    <row r="530" spans="1:8" x14ac:dyDescent="0.25">
      <c r="A530" s="46">
        <v>45329</v>
      </c>
      <c r="B530" s="14">
        <v>42.73</v>
      </c>
      <c r="C530" s="14">
        <v>42.889999000000003</v>
      </c>
      <c r="D530" s="14">
        <v>42.27</v>
      </c>
      <c r="E530" s="14">
        <v>42.34</v>
      </c>
      <c r="F530" s="14">
        <v>42.114876000000002</v>
      </c>
      <c r="G530" s="14">
        <v>4005500</v>
      </c>
      <c r="H530" s="14">
        <f t="shared" si="8"/>
        <v>2.3238900429946918E-2</v>
      </c>
    </row>
    <row r="531" spans="1:8" x14ac:dyDescent="0.25">
      <c r="A531" s="46">
        <v>45330</v>
      </c>
      <c r="B531" s="14">
        <v>42.25</v>
      </c>
      <c r="C531" s="14">
        <v>42.290000999999997</v>
      </c>
      <c r="D531" s="14">
        <v>41.639999000000003</v>
      </c>
      <c r="E531" s="14">
        <v>42.02</v>
      </c>
      <c r="F531" s="14">
        <v>41.796576999999999</v>
      </c>
      <c r="G531" s="14">
        <v>3314300</v>
      </c>
      <c r="H531" s="14">
        <f t="shared" si="8"/>
        <v>-1.490421102436712E-2</v>
      </c>
    </row>
    <row r="532" spans="1:8" x14ac:dyDescent="0.25">
      <c r="A532" s="46">
        <v>45331</v>
      </c>
      <c r="B532" s="14">
        <v>42.060001</v>
      </c>
      <c r="C532" s="14">
        <v>42.689999</v>
      </c>
      <c r="D532" s="14">
        <v>41.790000999999997</v>
      </c>
      <c r="E532" s="14">
        <v>42.43</v>
      </c>
      <c r="F532" s="14">
        <v>42.204399000000002</v>
      </c>
      <c r="G532" s="14">
        <v>5099000</v>
      </c>
      <c r="H532" s="14">
        <f t="shared" si="8"/>
        <v>3.6023535927556249E-3</v>
      </c>
    </row>
    <row r="533" spans="1:8" x14ac:dyDescent="0.25">
      <c r="A533" s="46">
        <v>45334</v>
      </c>
      <c r="B533" s="14">
        <v>42.48</v>
      </c>
      <c r="C533" s="14">
        <v>43.549999</v>
      </c>
      <c r="D533" s="14">
        <v>42.240001999999997</v>
      </c>
      <c r="E533" s="14">
        <v>43.490001999999997</v>
      </c>
      <c r="F533" s="14">
        <v>43.258761999999997</v>
      </c>
      <c r="G533" s="14">
        <v>5551000</v>
      </c>
      <c r="H533" s="14">
        <f t="shared" si="8"/>
        <v>3.589383339170841E-3</v>
      </c>
    </row>
    <row r="534" spans="1:8" x14ac:dyDescent="0.25">
      <c r="A534" s="46">
        <v>45335</v>
      </c>
      <c r="B534" s="14">
        <v>42.490001999999997</v>
      </c>
      <c r="C534" s="14">
        <v>42.5</v>
      </c>
      <c r="D534" s="14">
        <v>40.740001999999997</v>
      </c>
      <c r="E534" s="14">
        <v>41.130001</v>
      </c>
      <c r="F534" s="14">
        <v>40.911312000000002</v>
      </c>
      <c r="G534" s="14">
        <v>7188500</v>
      </c>
      <c r="H534" s="14">
        <f t="shared" si="8"/>
        <v>-3.5511361954954412E-2</v>
      </c>
    </row>
    <row r="535" spans="1:8" x14ac:dyDescent="0.25">
      <c r="A535" s="46">
        <v>45336</v>
      </c>
      <c r="B535" s="14">
        <v>41.279998999999997</v>
      </c>
      <c r="C535" s="14">
        <v>42.240001999999997</v>
      </c>
      <c r="D535" s="14">
        <v>40.830002</v>
      </c>
      <c r="E535" s="14">
        <v>42.18</v>
      </c>
      <c r="F535" s="14">
        <v>41.955727000000003</v>
      </c>
      <c r="G535" s="14">
        <v>5058300</v>
      </c>
      <c r="H535" s="14">
        <f t="shared" si="8"/>
        <v>2.2091309666603109E-3</v>
      </c>
    </row>
    <row r="536" spans="1:8" x14ac:dyDescent="0.25">
      <c r="A536" s="46">
        <v>45337</v>
      </c>
      <c r="B536" s="14">
        <v>42.490001999999997</v>
      </c>
      <c r="C536" s="14">
        <v>42.889999000000003</v>
      </c>
      <c r="D536" s="14">
        <v>42.43</v>
      </c>
      <c r="E536" s="14">
        <v>42.619999</v>
      </c>
      <c r="F536" s="14">
        <v>42.393386999999997</v>
      </c>
      <c r="G536" s="14">
        <v>4873300</v>
      </c>
      <c r="H536" s="14">
        <f t="shared" si="8"/>
        <v>3.9186821494644919E-2</v>
      </c>
    </row>
    <row r="537" spans="1:8" x14ac:dyDescent="0.25">
      <c r="A537" s="46">
        <v>45338</v>
      </c>
      <c r="B537" s="14">
        <v>42.209999000000003</v>
      </c>
      <c r="C537" s="14">
        <v>43.529998999999997</v>
      </c>
      <c r="D537" s="14">
        <v>42.139999000000003</v>
      </c>
      <c r="E537" s="14">
        <v>43.450001</v>
      </c>
      <c r="F537" s="14">
        <v>43.218975</v>
      </c>
      <c r="G537" s="14">
        <v>7091000</v>
      </c>
      <c r="H537" s="14">
        <f t="shared" si="8"/>
        <v>-6.834810275748171E-3</v>
      </c>
    </row>
    <row r="538" spans="1:8" x14ac:dyDescent="0.25">
      <c r="A538" s="46">
        <v>45342</v>
      </c>
      <c r="B538" s="14">
        <v>43</v>
      </c>
      <c r="C538" s="14">
        <v>43.75</v>
      </c>
      <c r="D538" s="14">
        <v>42.970001000000003</v>
      </c>
      <c r="E538" s="14">
        <v>43.59</v>
      </c>
      <c r="F538" s="14">
        <v>43.358231000000004</v>
      </c>
      <c r="G538" s="14">
        <v>6398000</v>
      </c>
      <c r="H538" s="14">
        <f t="shared" si="8"/>
        <v>4.9240746303766958E-3</v>
      </c>
    </row>
    <row r="539" spans="1:8" x14ac:dyDescent="0.25">
      <c r="A539" s="46">
        <v>45343</v>
      </c>
      <c r="B539" s="14">
        <v>43.34</v>
      </c>
      <c r="C539" s="14">
        <v>44.400002000000001</v>
      </c>
      <c r="D539" s="14">
        <v>43.09</v>
      </c>
      <c r="E539" s="14">
        <v>43.799999</v>
      </c>
      <c r="F539" s="14">
        <v>43.567112000000002</v>
      </c>
      <c r="G539" s="14">
        <v>6965100</v>
      </c>
      <c r="H539" s="14">
        <f t="shared" si="8"/>
        <v>2.7926226950751865E-3</v>
      </c>
    </row>
    <row r="540" spans="1:8" x14ac:dyDescent="0.25">
      <c r="A540" s="46">
        <v>45344</v>
      </c>
      <c r="B540" s="14">
        <v>43.369999</v>
      </c>
      <c r="C540" s="14">
        <v>44.650002000000001</v>
      </c>
      <c r="D540" s="14">
        <v>43.240001999999997</v>
      </c>
      <c r="E540" s="14">
        <v>44.279998999999997</v>
      </c>
      <c r="F540" s="14">
        <v>44.044559</v>
      </c>
      <c r="G540" s="14">
        <v>7552400</v>
      </c>
      <c r="H540" s="14">
        <f t="shared" si="8"/>
        <v>3.4811325133439208E-3</v>
      </c>
    </row>
    <row r="541" spans="1:8" x14ac:dyDescent="0.25">
      <c r="A541" s="46">
        <v>45345</v>
      </c>
      <c r="B541" s="14">
        <v>43.970001000000003</v>
      </c>
      <c r="C541" s="14">
        <v>44.43</v>
      </c>
      <c r="D541" s="14">
        <v>43.119999</v>
      </c>
      <c r="E541" s="14">
        <v>44.009998000000003</v>
      </c>
      <c r="F541" s="14">
        <v>43.775996999999997</v>
      </c>
      <c r="G541" s="14">
        <v>7144900</v>
      </c>
      <c r="H541" s="14">
        <f t="shared" si="8"/>
        <v>-2.7752773924477614E-3</v>
      </c>
    </row>
    <row r="542" spans="1:8" x14ac:dyDescent="0.25">
      <c r="A542" s="46">
        <v>45348</v>
      </c>
      <c r="B542" s="14">
        <v>44.049999</v>
      </c>
      <c r="C542" s="14">
        <v>44.16</v>
      </c>
      <c r="D542" s="14">
        <v>43.669998</v>
      </c>
      <c r="E542" s="14">
        <v>43.880001</v>
      </c>
      <c r="F542" s="14">
        <v>43.64669</v>
      </c>
      <c r="G542" s="14">
        <v>6007300</v>
      </c>
      <c r="H542" s="14">
        <f t="shared" si="8"/>
        <v>4.2516930485086606E-3</v>
      </c>
    </row>
    <row r="543" spans="1:8" x14ac:dyDescent="0.25">
      <c r="A543" s="46">
        <v>45349</v>
      </c>
      <c r="B543" s="14">
        <v>44.279998999999997</v>
      </c>
      <c r="C543" s="14">
        <v>44.790000999999997</v>
      </c>
      <c r="D543" s="14">
        <v>44.049999</v>
      </c>
      <c r="E543" s="14">
        <v>44.389999000000003</v>
      </c>
      <c r="F543" s="14">
        <v>44.153976</v>
      </c>
      <c r="G543" s="14">
        <v>12708100</v>
      </c>
      <c r="H543" s="14">
        <f t="shared" si="8"/>
        <v>8.7016491276230568E-3</v>
      </c>
    </row>
    <row r="544" spans="1:8" x14ac:dyDescent="0.25">
      <c r="A544" s="46">
        <v>45350</v>
      </c>
      <c r="B544" s="14">
        <v>47.650002000000001</v>
      </c>
      <c r="C544" s="14">
        <v>48.349997999999999</v>
      </c>
      <c r="D544" s="14">
        <v>46.529998999999997</v>
      </c>
      <c r="E544" s="14">
        <v>47.889999000000003</v>
      </c>
      <c r="F544" s="14">
        <v>47.635368</v>
      </c>
      <c r="G544" s="14">
        <v>23207900</v>
      </c>
      <c r="H544" s="14">
        <f t="shared" si="8"/>
        <v>5.6299660755951386E-2</v>
      </c>
    </row>
    <row r="545" spans="1:8" x14ac:dyDescent="0.25">
      <c r="A545" s="46">
        <v>45351</v>
      </c>
      <c r="B545" s="14">
        <v>47.950001</v>
      </c>
      <c r="C545" s="14">
        <v>47.98</v>
      </c>
      <c r="D545" s="14">
        <v>46.98</v>
      </c>
      <c r="E545" s="14">
        <v>47.279998999999997</v>
      </c>
      <c r="F545" s="14">
        <v>47.02861</v>
      </c>
      <c r="G545" s="14">
        <v>16165200</v>
      </c>
      <c r="H545" s="14">
        <f t="shared" si="8"/>
        <v>9.6712015833053666E-3</v>
      </c>
    </row>
    <row r="546" spans="1:8" x14ac:dyDescent="0.25">
      <c r="A546" s="46">
        <v>45352</v>
      </c>
      <c r="B546" s="14">
        <v>47.200001</v>
      </c>
      <c r="C546" s="14">
        <v>48.299999</v>
      </c>
      <c r="D546" s="14">
        <v>47.060001</v>
      </c>
      <c r="E546" s="14">
        <v>48.049999</v>
      </c>
      <c r="F546" s="14">
        <v>47.794517999999997</v>
      </c>
      <c r="G546" s="14">
        <v>8666400</v>
      </c>
      <c r="H546" s="14">
        <f t="shared" si="8"/>
        <v>1.702873563218521E-3</v>
      </c>
    </row>
    <row r="547" spans="1:8" x14ac:dyDescent="0.25">
      <c r="A547" s="46">
        <v>45355</v>
      </c>
      <c r="B547" s="14">
        <v>48.18</v>
      </c>
      <c r="C547" s="14">
        <v>49.310001</v>
      </c>
      <c r="D547" s="14">
        <v>48.040000999999997</v>
      </c>
      <c r="E547" s="14">
        <v>48.91</v>
      </c>
      <c r="F547" s="14">
        <v>48.649943999999998</v>
      </c>
      <c r="G547" s="14">
        <v>8449900</v>
      </c>
      <c r="H547" s="14">
        <f t="shared" si="8"/>
        <v>6.9414929818353661E-3</v>
      </c>
    </row>
    <row r="548" spans="1:8" x14ac:dyDescent="0.25">
      <c r="A548" s="46">
        <v>45356</v>
      </c>
      <c r="B548" s="14">
        <v>48.91</v>
      </c>
      <c r="C548" s="14">
        <v>50.450001</v>
      </c>
      <c r="D548" s="14">
        <v>48.869999</v>
      </c>
      <c r="E548" s="14">
        <v>50.09</v>
      </c>
      <c r="F548" s="14">
        <v>49.823669000000002</v>
      </c>
      <c r="G548" s="14">
        <v>12659500</v>
      </c>
      <c r="H548" s="14">
        <f t="shared" si="8"/>
        <v>1.7277226950932034E-2</v>
      </c>
    </row>
    <row r="549" spans="1:8" x14ac:dyDescent="0.25">
      <c r="A549" s="46">
        <v>45357</v>
      </c>
      <c r="B549" s="14">
        <v>50.32</v>
      </c>
      <c r="C549" s="14">
        <v>51.139999000000003</v>
      </c>
      <c r="D549" s="14">
        <v>50.32</v>
      </c>
      <c r="E549" s="14">
        <v>50.540000999999997</v>
      </c>
      <c r="F549" s="14">
        <v>50.271278000000002</v>
      </c>
      <c r="G549" s="14">
        <v>9615500</v>
      </c>
      <c r="H549" s="14">
        <f t="shared" si="8"/>
        <v>2.9670575602017024E-2</v>
      </c>
    </row>
    <row r="550" spans="1:8" x14ac:dyDescent="0.25">
      <c r="A550" s="46">
        <v>45358</v>
      </c>
      <c r="B550" s="14">
        <v>50.82</v>
      </c>
      <c r="C550" s="14">
        <v>51.049999</v>
      </c>
      <c r="D550" s="14">
        <v>50.34</v>
      </c>
      <c r="E550" s="14">
        <v>50.779998999999997</v>
      </c>
      <c r="F550" s="14">
        <v>50.509998000000003</v>
      </c>
      <c r="G550" s="14">
        <v>8912200</v>
      </c>
      <c r="H550" s="14">
        <f t="shared" si="8"/>
        <v>3.9745627980924958E-4</v>
      </c>
    </row>
    <row r="551" spans="1:8" x14ac:dyDescent="0.25">
      <c r="A551" s="46">
        <v>45359</v>
      </c>
      <c r="B551" s="14">
        <v>50.68</v>
      </c>
      <c r="C551" s="14">
        <v>50.900002000000001</v>
      </c>
      <c r="D551" s="14">
        <v>50.18</v>
      </c>
      <c r="E551" s="14">
        <v>50.369999</v>
      </c>
      <c r="F551" s="14">
        <v>50.369999</v>
      </c>
      <c r="G551" s="14">
        <v>8504700</v>
      </c>
      <c r="H551" s="14">
        <f t="shared" si="8"/>
        <v>-3.1783869686135002E-3</v>
      </c>
    </row>
    <row r="552" spans="1:8" x14ac:dyDescent="0.25">
      <c r="A552" s="46">
        <v>45362</v>
      </c>
      <c r="B552" s="14">
        <v>50.389999000000003</v>
      </c>
      <c r="C552" s="14">
        <v>51.950001</v>
      </c>
      <c r="D552" s="14">
        <v>50.380001</v>
      </c>
      <c r="E552" s="14">
        <v>51.549999</v>
      </c>
      <c r="F552" s="14">
        <v>51.549999</v>
      </c>
      <c r="G552" s="14">
        <v>10113600</v>
      </c>
      <c r="H552" s="14">
        <f t="shared" si="8"/>
        <v>1.3285571941012246E-3</v>
      </c>
    </row>
    <row r="553" spans="1:8" x14ac:dyDescent="0.25">
      <c r="A553" s="46">
        <v>45363</v>
      </c>
      <c r="B553" s="14">
        <v>51.73</v>
      </c>
      <c r="C553" s="14">
        <v>51.93</v>
      </c>
      <c r="D553" s="14">
        <v>50.68</v>
      </c>
      <c r="E553" s="14">
        <v>50.91</v>
      </c>
      <c r="F553" s="14">
        <v>50.91</v>
      </c>
      <c r="G553" s="14">
        <v>7857000</v>
      </c>
      <c r="H553" s="14">
        <f t="shared" si="8"/>
        <v>5.9547239786676975E-3</v>
      </c>
    </row>
    <row r="554" spans="1:8" x14ac:dyDescent="0.25">
      <c r="A554" s="46">
        <v>45364</v>
      </c>
      <c r="B554" s="14">
        <v>51.119999</v>
      </c>
      <c r="C554" s="14">
        <v>52.5</v>
      </c>
      <c r="D554" s="14">
        <v>51.09</v>
      </c>
      <c r="E554" s="14">
        <v>52.41</v>
      </c>
      <c r="F554" s="14">
        <v>52.41</v>
      </c>
      <c r="G554" s="14">
        <v>10333300</v>
      </c>
      <c r="H554" s="14">
        <f t="shared" si="8"/>
        <v>8.0899763220205756E-3</v>
      </c>
    </row>
    <row r="555" spans="1:8" x14ac:dyDescent="0.25">
      <c r="A555" s="46">
        <v>45365</v>
      </c>
      <c r="B555" s="14">
        <v>52.490001999999997</v>
      </c>
      <c r="C555" s="14">
        <v>52.82</v>
      </c>
      <c r="D555" s="14">
        <v>51.970001000000003</v>
      </c>
      <c r="E555" s="14">
        <v>52.25</v>
      </c>
      <c r="F555" s="14">
        <v>52.25</v>
      </c>
      <c r="G555" s="14">
        <v>7731500</v>
      </c>
      <c r="H555" s="14">
        <f t="shared" si="8"/>
        <v>1.7224525347426134E-2</v>
      </c>
    </row>
    <row r="556" spans="1:8" x14ac:dyDescent="0.25">
      <c r="A556" s="46">
        <v>45366</v>
      </c>
      <c r="B556" s="14">
        <v>51.970001000000003</v>
      </c>
      <c r="C556" s="14">
        <v>52.700001</v>
      </c>
      <c r="D556" s="14">
        <v>51.889999000000003</v>
      </c>
      <c r="E556" s="14">
        <v>52.200001</v>
      </c>
      <c r="F556" s="14">
        <v>52.200001</v>
      </c>
      <c r="G556" s="14">
        <v>11456700</v>
      </c>
      <c r="H556" s="14">
        <f t="shared" si="8"/>
        <v>-1.5393880789034142E-3</v>
      </c>
    </row>
    <row r="557" spans="1:8" x14ac:dyDescent="0.25">
      <c r="A557" s="46">
        <v>45369</v>
      </c>
      <c r="B557" s="14">
        <v>52.189999</v>
      </c>
      <c r="C557" s="14">
        <v>52.400002000000001</v>
      </c>
      <c r="D557" s="14">
        <v>51.32</v>
      </c>
      <c r="E557" s="14">
        <v>51.349997999999999</v>
      </c>
      <c r="F557" s="14">
        <v>51.349997999999999</v>
      </c>
      <c r="G557" s="14">
        <v>6435100</v>
      </c>
      <c r="H557" s="14">
        <f t="shared" si="8"/>
        <v>-3.661585475587851E-3</v>
      </c>
    </row>
    <row r="558" spans="1:8" x14ac:dyDescent="0.25">
      <c r="A558" s="46">
        <v>45370</v>
      </c>
      <c r="B558" s="14">
        <v>51.860000999999997</v>
      </c>
      <c r="C558" s="14">
        <v>52.459999000000003</v>
      </c>
      <c r="D558" s="14">
        <v>51.25</v>
      </c>
      <c r="E558" s="14">
        <v>51.82</v>
      </c>
      <c r="F558" s="14">
        <v>51.82</v>
      </c>
      <c r="G558" s="14">
        <v>6863700</v>
      </c>
      <c r="H558" s="14">
        <f t="shared" si="8"/>
        <v>-1.3639906469212759E-3</v>
      </c>
    </row>
    <row r="559" spans="1:8" x14ac:dyDescent="0.25">
      <c r="A559" s="46">
        <v>45371</v>
      </c>
      <c r="B559" s="14">
        <v>51.84</v>
      </c>
      <c r="C559" s="14">
        <v>52.27</v>
      </c>
      <c r="D559" s="14">
        <v>51.599997999999999</v>
      </c>
      <c r="E559" s="14">
        <v>51.970001000000003</v>
      </c>
      <c r="F559" s="14">
        <v>51.970001000000003</v>
      </c>
      <c r="G559" s="14">
        <v>6136300</v>
      </c>
      <c r="H559" s="14">
        <f t="shared" si="8"/>
        <v>6.8292292682927691E-3</v>
      </c>
    </row>
    <row r="560" spans="1:8" x14ac:dyDescent="0.25">
      <c r="A560" s="46">
        <v>45372</v>
      </c>
      <c r="B560" s="14">
        <v>51.84</v>
      </c>
      <c r="C560" s="14">
        <v>52.360000999999997</v>
      </c>
      <c r="D560" s="14">
        <v>51.68</v>
      </c>
      <c r="E560" s="14">
        <v>52</v>
      </c>
      <c r="F560" s="14">
        <v>52</v>
      </c>
      <c r="G560" s="14">
        <v>6756900</v>
      </c>
      <c r="H560" s="14">
        <f t="shared" si="8"/>
        <v>1.5504264166832371E-3</v>
      </c>
    </row>
    <row r="561" spans="1:8" x14ac:dyDescent="0.25">
      <c r="A561" s="46">
        <v>45373</v>
      </c>
      <c r="B561" s="14">
        <v>52.049999</v>
      </c>
      <c r="C561" s="14">
        <v>52.07</v>
      </c>
      <c r="D561" s="14">
        <v>51.400002000000001</v>
      </c>
      <c r="E561" s="14">
        <v>51.419998</v>
      </c>
      <c r="F561" s="14">
        <v>51.419998</v>
      </c>
      <c r="G561" s="14">
        <v>5071900</v>
      </c>
      <c r="H561" s="14">
        <f t="shared" si="8"/>
        <v>-5.4179179566563596E-3</v>
      </c>
    </row>
    <row r="562" spans="1:8" x14ac:dyDescent="0.25">
      <c r="A562" s="46">
        <v>45376</v>
      </c>
      <c r="B562" s="14">
        <v>51.330002</v>
      </c>
      <c r="C562" s="14">
        <v>51.73</v>
      </c>
      <c r="D562" s="14">
        <v>51.189999</v>
      </c>
      <c r="E562" s="14">
        <v>51.23</v>
      </c>
      <c r="F562" s="14">
        <v>51.23</v>
      </c>
      <c r="G562" s="14">
        <v>5621400</v>
      </c>
      <c r="H562" s="14">
        <f t="shared" si="8"/>
        <v>-1.3618871065413558E-3</v>
      </c>
    </row>
    <row r="563" spans="1:8" x14ac:dyDescent="0.25">
      <c r="A563" s="46">
        <v>45377</v>
      </c>
      <c r="B563" s="14">
        <v>51.459999000000003</v>
      </c>
      <c r="C563" s="14">
        <v>51.669998</v>
      </c>
      <c r="D563" s="14">
        <v>50.880001</v>
      </c>
      <c r="E563" s="14">
        <v>51.080002</v>
      </c>
      <c r="F563" s="14">
        <v>51.080002</v>
      </c>
      <c r="G563" s="14">
        <v>5995800</v>
      </c>
      <c r="H563" s="14">
        <f t="shared" si="8"/>
        <v>-6.0558313353356041E-3</v>
      </c>
    </row>
    <row r="564" spans="1:8" x14ac:dyDescent="0.25">
      <c r="A564" s="46">
        <v>45378</v>
      </c>
      <c r="B564" s="14">
        <v>51.450001</v>
      </c>
      <c r="C564" s="14">
        <v>52.040000999999997</v>
      </c>
      <c r="D564" s="14">
        <v>51.41</v>
      </c>
      <c r="E564" s="14">
        <v>51.919998</v>
      </c>
      <c r="F564" s="14">
        <v>51.919998</v>
      </c>
      <c r="G564" s="14">
        <v>4940600</v>
      </c>
      <c r="H564" s="14">
        <f t="shared" si="8"/>
        <v>1.0416646807848817E-2</v>
      </c>
    </row>
    <row r="565" spans="1:8" x14ac:dyDescent="0.25">
      <c r="A565" s="46">
        <v>45379</v>
      </c>
      <c r="B565" s="14">
        <v>52.099997999999999</v>
      </c>
      <c r="C565" s="14">
        <v>52.93</v>
      </c>
      <c r="D565" s="14">
        <v>52</v>
      </c>
      <c r="E565" s="14">
        <v>52.779998999999997</v>
      </c>
      <c r="F565" s="14">
        <v>52.779998999999997</v>
      </c>
      <c r="G565" s="14">
        <v>6816400</v>
      </c>
      <c r="H565" s="14">
        <f t="shared" si="8"/>
        <v>1.1476366465668297E-2</v>
      </c>
    </row>
    <row r="566" spans="1:8" x14ac:dyDescent="0.25">
      <c r="A566" s="46">
        <v>45383</v>
      </c>
      <c r="B566" s="14">
        <v>52.650002000000001</v>
      </c>
      <c r="C566" s="14">
        <v>52.919998</v>
      </c>
      <c r="D566" s="14">
        <v>51.84</v>
      </c>
      <c r="E566" s="14">
        <v>52.27</v>
      </c>
      <c r="F566" s="14">
        <v>52.27</v>
      </c>
      <c r="G566" s="14">
        <v>4646400</v>
      </c>
      <c r="H566" s="14">
        <f t="shared" si="8"/>
        <v>-7.6923076923074429E-4</v>
      </c>
    </row>
    <row r="567" spans="1:8" x14ac:dyDescent="0.25">
      <c r="A567" s="46">
        <v>45384</v>
      </c>
      <c r="B567" s="14">
        <v>52.080002</v>
      </c>
      <c r="C567" s="14">
        <v>52.389999000000003</v>
      </c>
      <c r="D567" s="14">
        <v>51.810001</v>
      </c>
      <c r="E567" s="14">
        <v>51.860000999999997</v>
      </c>
      <c r="F567" s="14">
        <v>51.860000999999997</v>
      </c>
      <c r="G567" s="14">
        <v>4449500</v>
      </c>
      <c r="H567" s="14">
        <f t="shared" si="8"/>
        <v>-5.7868441358033262E-4</v>
      </c>
    </row>
    <row r="568" spans="1:8" x14ac:dyDescent="0.25">
      <c r="A568" s="46">
        <v>45385</v>
      </c>
      <c r="B568" s="14">
        <v>51.75</v>
      </c>
      <c r="C568" s="14">
        <v>52.27</v>
      </c>
      <c r="D568" s="14">
        <v>51.52</v>
      </c>
      <c r="E568" s="14">
        <v>51.849997999999999</v>
      </c>
      <c r="F568" s="14">
        <v>51.849997999999999</v>
      </c>
      <c r="G568" s="14">
        <v>4459000</v>
      </c>
      <c r="H568" s="14">
        <f t="shared" si="8"/>
        <v>-5.5973942173828117E-3</v>
      </c>
    </row>
    <row r="569" spans="1:8" x14ac:dyDescent="0.25">
      <c r="A569" s="46">
        <v>45386</v>
      </c>
      <c r="B569" s="14">
        <v>52.41</v>
      </c>
      <c r="C569" s="14">
        <v>52.82</v>
      </c>
      <c r="D569" s="14">
        <v>51.330002</v>
      </c>
      <c r="E569" s="14">
        <v>51.400002000000001</v>
      </c>
      <c r="F569" s="14">
        <v>51.400002000000001</v>
      </c>
      <c r="G569" s="14">
        <v>4702900</v>
      </c>
      <c r="H569" s="14">
        <f t="shared" si="8"/>
        <v>-3.6878493788820021E-3</v>
      </c>
    </row>
    <row r="570" spans="1:8" x14ac:dyDescent="0.25">
      <c r="A570" s="46">
        <v>45387</v>
      </c>
      <c r="B570" s="14">
        <v>51.419998</v>
      </c>
      <c r="C570" s="14">
        <v>52.130001</v>
      </c>
      <c r="D570" s="14">
        <v>51.419998</v>
      </c>
      <c r="E570" s="14">
        <v>52.060001</v>
      </c>
      <c r="F570" s="14">
        <v>52.060001</v>
      </c>
      <c r="G570" s="14">
        <v>5326600</v>
      </c>
      <c r="H570" s="14">
        <f t="shared" si="8"/>
        <v>1.7532826123793921E-3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F7AE7-95A8-41AC-BBF7-7C0A827AF632}">
  <sheetPr codeName="Arkusz8">
    <tabColor theme="0" tint="-0.14999847407452621"/>
  </sheetPr>
  <dimension ref="A1:H570"/>
  <sheetViews>
    <sheetView topLeftCell="A537" workbookViewId="0">
      <selection activeCell="F547" sqref="F547"/>
    </sheetView>
  </sheetViews>
  <sheetFormatPr defaultRowHeight="15" x14ac:dyDescent="0.25"/>
  <cols>
    <col min="1" max="1" width="10.140625" bestFit="1" customWidth="1"/>
    <col min="2" max="5" width="10.5703125" bestFit="1" customWidth="1"/>
    <col min="6" max="6" width="11" bestFit="1" customWidth="1"/>
    <col min="7" max="7" width="10" bestFit="1" customWidth="1"/>
  </cols>
  <sheetData>
    <row r="1" spans="1:8" x14ac:dyDescent="0.25">
      <c r="A1" s="34" t="s">
        <v>32</v>
      </c>
      <c r="B1" s="34" t="s">
        <v>33</v>
      </c>
      <c r="C1" s="34" t="s">
        <v>34</v>
      </c>
      <c r="D1" s="34" t="s">
        <v>35</v>
      </c>
      <c r="E1" s="34" t="s">
        <v>36</v>
      </c>
      <c r="F1" s="34" t="s">
        <v>37</v>
      </c>
      <c r="G1" s="34" t="s">
        <v>38</v>
      </c>
      <c r="H1" s="34" t="s">
        <v>39</v>
      </c>
    </row>
    <row r="2" spans="1:8" x14ac:dyDescent="0.25">
      <c r="A2" s="46">
        <v>44560</v>
      </c>
      <c r="B2" s="14">
        <v>169.699997</v>
      </c>
      <c r="C2" s="14">
        <v>170.88800000000001</v>
      </c>
      <c r="D2" s="14">
        <v>168.524002</v>
      </c>
      <c r="E2" s="14">
        <v>168.64450099999999</v>
      </c>
      <c r="F2" s="14">
        <v>168.64450099999999</v>
      </c>
      <c r="G2" s="14">
        <v>37584000</v>
      </c>
      <c r="H2" s="14">
        <v>0</v>
      </c>
    </row>
    <row r="3" spans="1:8" x14ac:dyDescent="0.25">
      <c r="A3" s="46">
        <v>44561</v>
      </c>
      <c r="B3" s="14">
        <v>168.955994</v>
      </c>
      <c r="C3" s="14">
        <v>169.35000600000001</v>
      </c>
      <c r="D3" s="14">
        <v>166.558502</v>
      </c>
      <c r="E3" s="14">
        <v>166.716995</v>
      </c>
      <c r="F3" s="14">
        <v>166.716995</v>
      </c>
      <c r="G3" s="14">
        <v>47830000</v>
      </c>
      <c r="H3" s="14">
        <f>(D3/D2-1)/(A3-A2)</f>
        <v>-1.1663027086195044E-2</v>
      </c>
    </row>
    <row r="4" spans="1:8" x14ac:dyDescent="0.25">
      <c r="A4" s="46">
        <v>44564</v>
      </c>
      <c r="B4" s="14">
        <v>167.550003</v>
      </c>
      <c r="C4" s="14">
        <v>170.703506</v>
      </c>
      <c r="D4" s="14">
        <v>166.160507</v>
      </c>
      <c r="E4" s="14">
        <v>170.404495</v>
      </c>
      <c r="F4" s="14">
        <v>170.404495</v>
      </c>
      <c r="G4" s="14">
        <v>63520000</v>
      </c>
      <c r="H4" s="14">
        <f t="shared" ref="H4:H67" si="0">(D4/D3-1)/(A4-A3)</f>
        <v>-7.9650692343524732E-4</v>
      </c>
    </row>
    <row r="5" spans="1:8" x14ac:dyDescent="0.25">
      <c r="A5" s="46">
        <v>44565</v>
      </c>
      <c r="B5" s="14">
        <v>170.43800400000001</v>
      </c>
      <c r="C5" s="14">
        <v>171.39999399999999</v>
      </c>
      <c r="D5" s="14">
        <v>166.349503</v>
      </c>
      <c r="E5" s="14">
        <v>167.52200300000001</v>
      </c>
      <c r="F5" s="14">
        <v>167.52200300000001</v>
      </c>
      <c r="G5" s="14">
        <v>70726000</v>
      </c>
      <c r="H5" s="14">
        <f t="shared" si="0"/>
        <v>1.1374303281344034E-3</v>
      </c>
    </row>
    <row r="6" spans="1:8" x14ac:dyDescent="0.25">
      <c r="A6" s="46">
        <v>44566</v>
      </c>
      <c r="B6" s="14">
        <v>166.88299599999999</v>
      </c>
      <c r="C6" s="14">
        <v>167.12649500000001</v>
      </c>
      <c r="D6" s="14">
        <v>164.35699500000001</v>
      </c>
      <c r="E6" s="14">
        <v>164.35699500000001</v>
      </c>
      <c r="F6" s="14">
        <v>164.35699500000001</v>
      </c>
      <c r="G6" s="14">
        <v>64302000</v>
      </c>
      <c r="H6" s="14">
        <f t="shared" si="0"/>
        <v>-1.1977841616995888E-2</v>
      </c>
    </row>
    <row r="7" spans="1:8" x14ac:dyDescent="0.25">
      <c r="A7" s="46">
        <v>44567</v>
      </c>
      <c r="B7" s="14">
        <v>163.45050000000001</v>
      </c>
      <c r="C7" s="14">
        <v>164.800003</v>
      </c>
      <c r="D7" s="14">
        <v>161.93699599999999</v>
      </c>
      <c r="E7" s="14">
        <v>163.253998</v>
      </c>
      <c r="F7" s="14">
        <v>163.253998</v>
      </c>
      <c r="G7" s="14">
        <v>51958000</v>
      </c>
      <c r="H7" s="14">
        <f t="shared" si="0"/>
        <v>-1.4724040190683851E-2</v>
      </c>
    </row>
    <row r="8" spans="1:8" x14ac:dyDescent="0.25">
      <c r="A8" s="46">
        <v>44568</v>
      </c>
      <c r="B8" s="14">
        <v>163.83900499999999</v>
      </c>
      <c r="C8" s="14">
        <v>165.24350000000001</v>
      </c>
      <c r="D8" s="14">
        <v>162.03100599999999</v>
      </c>
      <c r="E8" s="14">
        <v>162.554001</v>
      </c>
      <c r="F8" s="14">
        <v>162.554001</v>
      </c>
      <c r="G8" s="14">
        <v>46606000</v>
      </c>
      <c r="H8" s="14">
        <f t="shared" si="0"/>
        <v>5.8053441969496689E-4</v>
      </c>
    </row>
    <row r="9" spans="1:8" x14ac:dyDescent="0.25">
      <c r="A9" s="46">
        <v>44571</v>
      </c>
      <c r="B9" s="14">
        <v>160.58549500000001</v>
      </c>
      <c r="C9" s="14">
        <v>161.66149899999999</v>
      </c>
      <c r="D9" s="14">
        <v>156.30450400000001</v>
      </c>
      <c r="E9" s="14">
        <v>161.48599200000001</v>
      </c>
      <c r="F9" s="14">
        <v>161.48599200000001</v>
      </c>
      <c r="G9" s="14">
        <v>87798000</v>
      </c>
      <c r="H9" s="14">
        <f t="shared" si="0"/>
        <v>-1.1780671163641307E-2</v>
      </c>
    </row>
    <row r="10" spans="1:8" x14ac:dyDescent="0.25">
      <c r="A10" s="46">
        <v>44572</v>
      </c>
      <c r="B10" s="14">
        <v>161.5</v>
      </c>
      <c r="C10" s="14">
        <v>166.35000600000001</v>
      </c>
      <c r="D10" s="14">
        <v>160.70150799999999</v>
      </c>
      <c r="E10" s="14">
        <v>165.36199999999999</v>
      </c>
      <c r="F10" s="14">
        <v>165.36199999999999</v>
      </c>
      <c r="G10" s="14">
        <v>62806000</v>
      </c>
      <c r="H10" s="14">
        <f t="shared" si="0"/>
        <v>2.8131012782587339E-2</v>
      </c>
    </row>
    <row r="11" spans="1:8" x14ac:dyDescent="0.25">
      <c r="A11" s="46">
        <v>44573</v>
      </c>
      <c r="B11" s="14">
        <v>166.574997</v>
      </c>
      <c r="C11" s="14">
        <v>166.878006</v>
      </c>
      <c r="D11" s="14">
        <v>164.41700700000001</v>
      </c>
      <c r="E11" s="14">
        <v>165.20700099999999</v>
      </c>
      <c r="F11" s="14">
        <v>165.20700099999999</v>
      </c>
      <c r="G11" s="14">
        <v>50030000</v>
      </c>
      <c r="H11" s="14">
        <f t="shared" si="0"/>
        <v>2.3120498657672961E-2</v>
      </c>
    </row>
    <row r="12" spans="1:8" x14ac:dyDescent="0.25">
      <c r="A12" s="46">
        <v>44574</v>
      </c>
      <c r="B12" s="14">
        <v>165.25050400000001</v>
      </c>
      <c r="C12" s="14">
        <v>166.221497</v>
      </c>
      <c r="D12" s="14">
        <v>161.091003</v>
      </c>
      <c r="E12" s="14">
        <v>161.21400499999999</v>
      </c>
      <c r="F12" s="14">
        <v>161.21400499999999</v>
      </c>
      <c r="G12" s="14">
        <v>52188000</v>
      </c>
      <c r="H12" s="14">
        <f t="shared" si="0"/>
        <v>-2.0229075207530145E-2</v>
      </c>
    </row>
    <row r="13" spans="1:8" x14ac:dyDescent="0.25">
      <c r="A13" s="46">
        <v>44575</v>
      </c>
      <c r="B13" s="14">
        <v>160.14999399999999</v>
      </c>
      <c r="C13" s="14">
        <v>162.25</v>
      </c>
      <c r="D13" s="14">
        <v>159.80050700000001</v>
      </c>
      <c r="E13" s="14">
        <v>162.13800000000001</v>
      </c>
      <c r="F13" s="14">
        <v>162.13800000000001</v>
      </c>
      <c r="G13" s="14">
        <v>45974000</v>
      </c>
      <c r="H13" s="14">
        <f t="shared" si="0"/>
        <v>-8.0109750139180091E-3</v>
      </c>
    </row>
    <row r="14" spans="1:8" x14ac:dyDescent="0.25">
      <c r="A14" s="46">
        <v>44579</v>
      </c>
      <c r="B14" s="14">
        <v>159.104996</v>
      </c>
      <c r="C14" s="14">
        <v>159.734497</v>
      </c>
      <c r="D14" s="14">
        <v>157.66450499999999</v>
      </c>
      <c r="E14" s="14">
        <v>158.917496</v>
      </c>
      <c r="F14" s="14">
        <v>158.917496</v>
      </c>
      <c r="G14" s="14">
        <v>67292000</v>
      </c>
      <c r="H14" s="14">
        <f t="shared" si="0"/>
        <v>-3.3416696231133025E-3</v>
      </c>
    </row>
    <row r="15" spans="1:8" x14ac:dyDescent="0.25">
      <c r="A15" s="46">
        <v>44580</v>
      </c>
      <c r="B15" s="14">
        <v>158.76199299999999</v>
      </c>
      <c r="C15" s="14">
        <v>159.25</v>
      </c>
      <c r="D15" s="14">
        <v>156.25</v>
      </c>
      <c r="E15" s="14">
        <v>156.29899599999999</v>
      </c>
      <c r="F15" s="14">
        <v>156.29899599999999</v>
      </c>
      <c r="G15" s="14">
        <v>53242000</v>
      </c>
      <c r="H15" s="14">
        <f t="shared" si="0"/>
        <v>-8.9716134903032874E-3</v>
      </c>
    </row>
    <row r="16" spans="1:8" x14ac:dyDescent="0.25">
      <c r="A16" s="46">
        <v>44581</v>
      </c>
      <c r="B16" s="14">
        <v>156.766006</v>
      </c>
      <c r="C16" s="14">
        <v>158</v>
      </c>
      <c r="D16" s="14">
        <v>151.350998</v>
      </c>
      <c r="E16" s="14">
        <v>151.667496</v>
      </c>
      <c r="F16" s="14">
        <v>151.667496</v>
      </c>
      <c r="G16" s="14">
        <v>71974000</v>
      </c>
      <c r="H16" s="14">
        <f t="shared" si="0"/>
        <v>-3.135361279999993E-2</v>
      </c>
    </row>
    <row r="17" spans="1:8" x14ac:dyDescent="0.25">
      <c r="A17" s="46">
        <v>44582</v>
      </c>
      <c r="B17" s="14">
        <v>149.949997</v>
      </c>
      <c r="C17" s="14">
        <v>150.89999399999999</v>
      </c>
      <c r="D17" s="14">
        <v>142.07049599999999</v>
      </c>
      <c r="E17" s="14">
        <v>142.64300499999999</v>
      </c>
      <c r="F17" s="14">
        <v>142.64300499999999</v>
      </c>
      <c r="G17" s="14">
        <v>163972000</v>
      </c>
      <c r="H17" s="14">
        <f t="shared" si="0"/>
        <v>-6.1317745655037004E-2</v>
      </c>
    </row>
    <row r="18" spans="1:8" x14ac:dyDescent="0.25">
      <c r="A18" s="46">
        <v>44585</v>
      </c>
      <c r="B18" s="14">
        <v>139</v>
      </c>
      <c r="C18" s="14">
        <v>144.945007</v>
      </c>
      <c r="D18" s="14">
        <v>135.35200499999999</v>
      </c>
      <c r="E18" s="14">
        <v>144.544006</v>
      </c>
      <c r="F18" s="14">
        <v>144.544006</v>
      </c>
      <c r="G18" s="14">
        <v>155624000</v>
      </c>
      <c r="H18" s="14">
        <f t="shared" si="0"/>
        <v>-1.5763279942374513E-2</v>
      </c>
    </row>
    <row r="19" spans="1:8" x14ac:dyDescent="0.25">
      <c r="A19" s="46">
        <v>44586</v>
      </c>
      <c r="B19" s="14">
        <v>142.242493</v>
      </c>
      <c r="C19" s="14">
        <v>143.60000600000001</v>
      </c>
      <c r="D19" s="14">
        <v>138.145004</v>
      </c>
      <c r="E19" s="14">
        <v>139.98599200000001</v>
      </c>
      <c r="F19" s="14">
        <v>139.98599200000001</v>
      </c>
      <c r="G19" s="14">
        <v>90824000</v>
      </c>
      <c r="H19" s="14">
        <f t="shared" si="0"/>
        <v>2.0635076665469487E-2</v>
      </c>
    </row>
    <row r="20" spans="1:8" x14ac:dyDescent="0.25">
      <c r="A20" s="46">
        <v>44587</v>
      </c>
      <c r="B20" s="14">
        <v>144.75</v>
      </c>
      <c r="C20" s="14">
        <v>145.18499800000001</v>
      </c>
      <c r="D20" s="14">
        <v>137.31849700000001</v>
      </c>
      <c r="E20" s="14">
        <v>138.87249800000001</v>
      </c>
      <c r="F20" s="14">
        <v>138.87249800000001</v>
      </c>
      <c r="G20" s="14">
        <v>95602000</v>
      </c>
      <c r="H20" s="14">
        <f t="shared" si="0"/>
        <v>-5.9828946112303605E-3</v>
      </c>
    </row>
    <row r="21" spans="1:8" x14ac:dyDescent="0.25">
      <c r="A21" s="46">
        <v>44588</v>
      </c>
      <c r="B21" s="14">
        <v>140.800003</v>
      </c>
      <c r="C21" s="14">
        <v>144.24350000000001</v>
      </c>
      <c r="D21" s="14">
        <v>139.35000600000001</v>
      </c>
      <c r="E21" s="14">
        <v>139.637497</v>
      </c>
      <c r="F21" s="14">
        <v>139.637497</v>
      </c>
      <c r="G21" s="14">
        <v>77516000</v>
      </c>
      <c r="H21" s="14">
        <f t="shared" si="0"/>
        <v>1.4794139496006942E-2</v>
      </c>
    </row>
    <row r="22" spans="1:8" x14ac:dyDescent="0.25">
      <c r="A22" s="46">
        <v>44589</v>
      </c>
      <c r="B22" s="14">
        <v>140.86050399999999</v>
      </c>
      <c r="C22" s="14">
        <v>143.99800099999999</v>
      </c>
      <c r="D22" s="14">
        <v>137.92950400000001</v>
      </c>
      <c r="E22" s="14">
        <v>143.97799699999999</v>
      </c>
      <c r="F22" s="14">
        <v>143.97799699999999</v>
      </c>
      <c r="G22" s="14">
        <v>74392000</v>
      </c>
      <c r="H22" s="14">
        <f t="shared" si="0"/>
        <v>-1.0193770641100608E-2</v>
      </c>
    </row>
    <row r="23" spans="1:8" x14ac:dyDescent="0.25">
      <c r="A23" s="46">
        <v>44592</v>
      </c>
      <c r="B23" s="14">
        <v>144.75</v>
      </c>
      <c r="C23" s="14">
        <v>150.36050399999999</v>
      </c>
      <c r="D23" s="14">
        <v>144.30050700000001</v>
      </c>
      <c r="E23" s="14">
        <v>149.57350199999999</v>
      </c>
      <c r="F23" s="14">
        <v>149.57350199999999</v>
      </c>
      <c r="G23" s="14">
        <v>78308000</v>
      </c>
      <c r="H23" s="14">
        <f t="shared" si="0"/>
        <v>1.5396761425798081E-2</v>
      </c>
    </row>
    <row r="24" spans="1:8" x14ac:dyDescent="0.25">
      <c r="A24" s="46">
        <v>44593</v>
      </c>
      <c r="B24" s="14">
        <v>150</v>
      </c>
      <c r="C24" s="14">
        <v>151.70799299999999</v>
      </c>
      <c r="D24" s="14">
        <v>147.62750199999999</v>
      </c>
      <c r="E24" s="14">
        <v>151.19349700000001</v>
      </c>
      <c r="F24" s="14">
        <v>151.19349700000001</v>
      </c>
      <c r="G24" s="14">
        <v>59220000</v>
      </c>
      <c r="H24" s="14">
        <f t="shared" si="0"/>
        <v>2.3056017398469519E-2</v>
      </c>
    </row>
    <row r="25" spans="1:8" x14ac:dyDescent="0.25">
      <c r="A25" s="46">
        <v>44594</v>
      </c>
      <c r="B25" s="14">
        <v>155.05050700000001</v>
      </c>
      <c r="C25" s="14">
        <v>155.074997</v>
      </c>
      <c r="D25" s="14">
        <v>148.863495</v>
      </c>
      <c r="E25" s="14">
        <v>150.612503</v>
      </c>
      <c r="F25" s="14">
        <v>150.612503</v>
      </c>
      <c r="G25" s="14">
        <v>87330000</v>
      </c>
      <c r="H25" s="14">
        <f t="shared" si="0"/>
        <v>8.3723763069567525E-3</v>
      </c>
    </row>
    <row r="26" spans="1:8" x14ac:dyDescent="0.25">
      <c r="A26" s="46">
        <v>44595</v>
      </c>
      <c r="B26" s="14">
        <v>141.737503</v>
      </c>
      <c r="C26" s="14">
        <v>144.24749800000001</v>
      </c>
      <c r="D26" s="14">
        <v>138.33299299999999</v>
      </c>
      <c r="E26" s="14">
        <v>138.845505</v>
      </c>
      <c r="F26" s="14">
        <v>138.845505</v>
      </c>
      <c r="G26" s="14">
        <v>225532000</v>
      </c>
      <c r="H26" s="14">
        <f t="shared" si="0"/>
        <v>-7.0739317251687583E-2</v>
      </c>
    </row>
    <row r="27" spans="1:8" x14ac:dyDescent="0.25">
      <c r="A27" s="46">
        <v>44596</v>
      </c>
      <c r="B27" s="14">
        <v>155.606506</v>
      </c>
      <c r="C27" s="14">
        <v>161.199997</v>
      </c>
      <c r="D27" s="14">
        <v>150.608002</v>
      </c>
      <c r="E27" s="14">
        <v>157.63949600000001</v>
      </c>
      <c r="F27" s="14">
        <v>157.63949600000001</v>
      </c>
      <c r="G27" s="14">
        <v>253456000</v>
      </c>
      <c r="H27" s="14">
        <f t="shared" si="0"/>
        <v>8.8735223129308149E-2</v>
      </c>
    </row>
    <row r="28" spans="1:8" x14ac:dyDescent="0.25">
      <c r="A28" s="46">
        <v>44599</v>
      </c>
      <c r="B28" s="14">
        <v>158.520004</v>
      </c>
      <c r="C28" s="14">
        <v>162.69099399999999</v>
      </c>
      <c r="D28" s="14">
        <v>157.25</v>
      </c>
      <c r="E28" s="14">
        <v>157.93550099999999</v>
      </c>
      <c r="F28" s="14">
        <v>157.93550099999999</v>
      </c>
      <c r="G28" s="14">
        <v>102624000</v>
      </c>
      <c r="H28" s="14">
        <f t="shared" si="0"/>
        <v>1.4700409698903849E-2</v>
      </c>
    </row>
    <row r="29" spans="1:8" x14ac:dyDescent="0.25">
      <c r="A29" s="46">
        <v>44600</v>
      </c>
      <c r="B29" s="14">
        <v>156.75050400000001</v>
      </c>
      <c r="C29" s="14">
        <v>161.792496</v>
      </c>
      <c r="D29" s="14">
        <v>155.55050700000001</v>
      </c>
      <c r="E29" s="14">
        <v>161.413498</v>
      </c>
      <c r="F29" s="14">
        <v>161.413498</v>
      </c>
      <c r="G29" s="14">
        <v>76040000</v>
      </c>
      <c r="H29" s="14">
        <f t="shared" si="0"/>
        <v>-1.0807586645468881E-2</v>
      </c>
    </row>
    <row r="30" spans="1:8" x14ac:dyDescent="0.25">
      <c r="A30" s="46">
        <v>44601</v>
      </c>
      <c r="B30" s="14">
        <v>162.87350499999999</v>
      </c>
      <c r="C30" s="14">
        <v>163.83450300000001</v>
      </c>
      <c r="D30" s="14">
        <v>160.25</v>
      </c>
      <c r="E30" s="14">
        <v>161.18949900000001</v>
      </c>
      <c r="F30" s="14">
        <v>161.18949900000001</v>
      </c>
      <c r="G30" s="14">
        <v>68786000</v>
      </c>
      <c r="H30" s="14">
        <f t="shared" si="0"/>
        <v>3.0212006959257298E-2</v>
      </c>
    </row>
    <row r="31" spans="1:8" x14ac:dyDescent="0.25">
      <c r="A31" s="46">
        <v>44602</v>
      </c>
      <c r="B31" s="14">
        <v>158.35000600000001</v>
      </c>
      <c r="C31" s="14">
        <v>160.71650700000001</v>
      </c>
      <c r="D31" s="14">
        <v>157.75</v>
      </c>
      <c r="E31" s="14">
        <v>159.00349399999999</v>
      </c>
      <c r="F31" s="14">
        <v>159.00349399999999</v>
      </c>
      <c r="G31" s="14">
        <v>68268000</v>
      </c>
      <c r="H31" s="14">
        <f t="shared" si="0"/>
        <v>-1.5600624024960985E-2</v>
      </c>
    </row>
    <row r="32" spans="1:8" x14ac:dyDescent="0.25">
      <c r="A32" s="46">
        <v>44603</v>
      </c>
      <c r="B32" s="14">
        <v>158.13450599999999</v>
      </c>
      <c r="C32" s="14">
        <v>159</v>
      </c>
      <c r="D32" s="14">
        <v>152.733994</v>
      </c>
      <c r="E32" s="14">
        <v>153.29350299999999</v>
      </c>
      <c r="F32" s="14">
        <v>153.29350299999999</v>
      </c>
      <c r="G32" s="14">
        <v>77100000</v>
      </c>
      <c r="H32" s="14">
        <f t="shared" si="0"/>
        <v>-3.1797185419968343E-2</v>
      </c>
    </row>
    <row r="33" spans="1:8" x14ac:dyDescent="0.25">
      <c r="A33" s="46">
        <v>44606</v>
      </c>
      <c r="B33" s="14">
        <v>151.75100699999999</v>
      </c>
      <c r="C33" s="14">
        <v>158.44850199999999</v>
      </c>
      <c r="D33" s="14">
        <v>151.64999399999999</v>
      </c>
      <c r="E33" s="14">
        <v>155.16700700000001</v>
      </c>
      <c r="F33" s="14">
        <v>155.16700700000001</v>
      </c>
      <c r="G33" s="14">
        <v>83230000</v>
      </c>
      <c r="H33" s="14">
        <f t="shared" si="0"/>
        <v>-2.365768902326574E-3</v>
      </c>
    </row>
    <row r="34" spans="1:8" x14ac:dyDescent="0.25">
      <c r="A34" s="46">
        <v>44607</v>
      </c>
      <c r="B34" s="14">
        <v>157.60549900000001</v>
      </c>
      <c r="C34" s="14">
        <v>158.00700399999999</v>
      </c>
      <c r="D34" s="14">
        <v>154.637497</v>
      </c>
      <c r="E34" s="14">
        <v>156.51049800000001</v>
      </c>
      <c r="F34" s="14">
        <v>156.51049800000001</v>
      </c>
      <c r="G34" s="14">
        <v>56440000</v>
      </c>
      <c r="H34" s="14">
        <f t="shared" si="0"/>
        <v>1.9699987591163426E-2</v>
      </c>
    </row>
    <row r="35" spans="1:8" x14ac:dyDescent="0.25">
      <c r="A35" s="46">
        <v>44608</v>
      </c>
      <c r="B35" s="14">
        <v>155.79049699999999</v>
      </c>
      <c r="C35" s="14">
        <v>158.834</v>
      </c>
      <c r="D35" s="14">
        <v>154.734497</v>
      </c>
      <c r="E35" s="14">
        <v>158.100494</v>
      </c>
      <c r="F35" s="14">
        <v>158.100494</v>
      </c>
      <c r="G35" s="14">
        <v>52704000</v>
      </c>
      <c r="H35" s="14">
        <f t="shared" si="0"/>
        <v>6.2727347429847313E-4</v>
      </c>
    </row>
    <row r="36" spans="1:8" x14ac:dyDescent="0.25">
      <c r="A36" s="46">
        <v>44609</v>
      </c>
      <c r="B36" s="14">
        <v>158.145996</v>
      </c>
      <c r="C36" s="14">
        <v>160.34899899999999</v>
      </c>
      <c r="D36" s="14">
        <v>154.5</v>
      </c>
      <c r="E36" s="14">
        <v>154.65249600000001</v>
      </c>
      <c r="F36" s="14">
        <v>154.65249600000001</v>
      </c>
      <c r="G36" s="14">
        <v>64032000</v>
      </c>
      <c r="H36" s="14">
        <f t="shared" si="0"/>
        <v>-1.5154797704871603E-3</v>
      </c>
    </row>
    <row r="37" spans="1:8" x14ac:dyDescent="0.25">
      <c r="A37" s="46">
        <v>44610</v>
      </c>
      <c r="B37" s="14">
        <v>155.49949599999999</v>
      </c>
      <c r="C37" s="14">
        <v>155.49949599999999</v>
      </c>
      <c r="D37" s="14">
        <v>150.89300499999999</v>
      </c>
      <c r="E37" s="14">
        <v>152.60150100000001</v>
      </c>
      <c r="F37" s="14">
        <v>152.60150100000001</v>
      </c>
      <c r="G37" s="14">
        <v>63604000</v>
      </c>
      <c r="H37" s="14">
        <f t="shared" si="0"/>
        <v>-2.334624595469259E-2</v>
      </c>
    </row>
    <row r="38" spans="1:8" x14ac:dyDescent="0.25">
      <c r="A38" s="46">
        <v>44614</v>
      </c>
      <c r="B38" s="14">
        <v>150.4785</v>
      </c>
      <c r="C38" s="14">
        <v>152.98249799999999</v>
      </c>
      <c r="D38" s="14">
        <v>148.48550399999999</v>
      </c>
      <c r="E38" s="14">
        <v>150.197495</v>
      </c>
      <c r="F38" s="14">
        <v>150.197495</v>
      </c>
      <c r="G38" s="14">
        <v>66128000</v>
      </c>
      <c r="H38" s="14">
        <f t="shared" si="0"/>
        <v>-3.9887551447464198E-3</v>
      </c>
    </row>
    <row r="39" spans="1:8" x14ac:dyDescent="0.25">
      <c r="A39" s="46">
        <v>44615</v>
      </c>
      <c r="B39" s="14">
        <v>151.650497</v>
      </c>
      <c r="C39" s="14">
        <v>151.76300000000001</v>
      </c>
      <c r="D39" s="14">
        <v>144.65100100000001</v>
      </c>
      <c r="E39" s="14">
        <v>144.82699600000001</v>
      </c>
      <c r="F39" s="14">
        <v>144.82699600000001</v>
      </c>
      <c r="G39" s="14">
        <v>64244000</v>
      </c>
      <c r="H39" s="14">
        <f t="shared" si="0"/>
        <v>-2.5824089872099498E-2</v>
      </c>
    </row>
    <row r="40" spans="1:8" x14ac:dyDescent="0.25">
      <c r="A40" s="46">
        <v>44616</v>
      </c>
      <c r="B40" s="14">
        <v>139.83749399999999</v>
      </c>
      <c r="C40" s="14">
        <v>151.74899300000001</v>
      </c>
      <c r="D40" s="14">
        <v>139.5</v>
      </c>
      <c r="E40" s="14">
        <v>151.358002</v>
      </c>
      <c r="F40" s="14">
        <v>151.358002</v>
      </c>
      <c r="G40" s="14">
        <v>100786000</v>
      </c>
      <c r="H40" s="14">
        <f t="shared" si="0"/>
        <v>-3.5609853816359061E-2</v>
      </c>
    </row>
    <row r="41" spans="1:8" x14ac:dyDescent="0.25">
      <c r="A41" s="46">
        <v>44617</v>
      </c>
      <c r="B41" s="14">
        <v>150.550003</v>
      </c>
      <c r="C41" s="14">
        <v>153.990005</v>
      </c>
      <c r="D41" s="14">
        <v>149.21350100000001</v>
      </c>
      <c r="E41" s="14">
        <v>153.788498</v>
      </c>
      <c r="F41" s="14">
        <v>153.788498</v>
      </c>
      <c r="G41" s="14">
        <v>62396000</v>
      </c>
      <c r="H41" s="14">
        <f t="shared" si="0"/>
        <v>6.963083154121863E-2</v>
      </c>
    </row>
    <row r="42" spans="1:8" x14ac:dyDescent="0.25">
      <c r="A42" s="46">
        <v>44620</v>
      </c>
      <c r="B42" s="14">
        <v>152.425003</v>
      </c>
      <c r="C42" s="14">
        <v>154.449997</v>
      </c>
      <c r="D42" s="14">
        <v>150.85000600000001</v>
      </c>
      <c r="E42" s="14">
        <v>153.56300400000001</v>
      </c>
      <c r="F42" s="14">
        <v>153.56300400000001</v>
      </c>
      <c r="G42" s="14">
        <v>57684000</v>
      </c>
      <c r="H42" s="14">
        <f t="shared" si="0"/>
        <v>3.6558465756169798E-3</v>
      </c>
    </row>
    <row r="43" spans="1:8" x14ac:dyDescent="0.25">
      <c r="A43" s="46">
        <v>44621</v>
      </c>
      <c r="B43" s="14">
        <v>152.73249799999999</v>
      </c>
      <c r="C43" s="14">
        <v>154.09899899999999</v>
      </c>
      <c r="D43" s="14">
        <v>149.97700499999999</v>
      </c>
      <c r="E43" s="14">
        <v>151.141998</v>
      </c>
      <c r="F43" s="14">
        <v>151.141998</v>
      </c>
      <c r="G43" s="14">
        <v>44874000</v>
      </c>
      <c r="H43" s="14">
        <f t="shared" si="0"/>
        <v>-5.7872122325273168E-3</v>
      </c>
    </row>
    <row r="44" spans="1:8" x14ac:dyDescent="0.25">
      <c r="A44" s="46">
        <v>44622</v>
      </c>
      <c r="B44" s="14">
        <v>150.84899899999999</v>
      </c>
      <c r="C44" s="14">
        <v>152.99949599999999</v>
      </c>
      <c r="D44" s="14">
        <v>148.75</v>
      </c>
      <c r="E44" s="14">
        <v>152.052505</v>
      </c>
      <c r="F44" s="14">
        <v>152.052505</v>
      </c>
      <c r="G44" s="14">
        <v>47334000</v>
      </c>
      <c r="H44" s="14">
        <f t="shared" si="0"/>
        <v>-8.1812875247108119E-3</v>
      </c>
    </row>
    <row r="45" spans="1:8" x14ac:dyDescent="0.25">
      <c r="A45" s="46">
        <v>44623</v>
      </c>
      <c r="B45" s="14">
        <v>153.53149400000001</v>
      </c>
      <c r="C45" s="14">
        <v>153.929001</v>
      </c>
      <c r="D45" s="14">
        <v>146.85600299999999</v>
      </c>
      <c r="E45" s="14">
        <v>147.89849899999999</v>
      </c>
      <c r="F45" s="14">
        <v>147.89849899999999</v>
      </c>
      <c r="G45" s="14">
        <v>65198000</v>
      </c>
      <c r="H45" s="14">
        <f t="shared" si="0"/>
        <v>-1.2732752941176595E-2</v>
      </c>
    </row>
    <row r="46" spans="1:8" x14ac:dyDescent="0.25">
      <c r="A46" s="46">
        <v>44624</v>
      </c>
      <c r="B46" s="14">
        <v>147.158997</v>
      </c>
      <c r="C46" s="14">
        <v>147.85000600000001</v>
      </c>
      <c r="D46" s="14">
        <v>143.807007</v>
      </c>
      <c r="E46" s="14">
        <v>145.641006</v>
      </c>
      <c r="F46" s="14">
        <v>145.641006</v>
      </c>
      <c r="G46" s="14">
        <v>60934000</v>
      </c>
      <c r="H46" s="14">
        <f t="shared" si="0"/>
        <v>-2.0761807060757254E-2</v>
      </c>
    </row>
    <row r="47" spans="1:8" x14ac:dyDescent="0.25">
      <c r="A47" s="46">
        <v>44627</v>
      </c>
      <c r="B47" s="14">
        <v>145.44349700000001</v>
      </c>
      <c r="C47" s="14">
        <v>146.09449799999999</v>
      </c>
      <c r="D47" s="14">
        <v>137.416504</v>
      </c>
      <c r="E47" s="14">
        <v>137.453003</v>
      </c>
      <c r="F47" s="14">
        <v>137.453003</v>
      </c>
      <c r="G47" s="14">
        <v>86934000</v>
      </c>
      <c r="H47" s="14">
        <f t="shared" si="0"/>
        <v>-1.4812683408859662E-2</v>
      </c>
    </row>
    <row r="48" spans="1:8" x14ac:dyDescent="0.25">
      <c r="A48" s="46">
        <v>44628</v>
      </c>
      <c r="B48" s="14">
        <v>136.683502</v>
      </c>
      <c r="C48" s="14">
        <v>140.69949299999999</v>
      </c>
      <c r="D48" s="14">
        <v>133.572495</v>
      </c>
      <c r="E48" s="14">
        <v>136.01449600000001</v>
      </c>
      <c r="F48" s="14">
        <v>136.01449600000001</v>
      </c>
      <c r="G48" s="14">
        <v>91662000</v>
      </c>
      <c r="H48" s="14">
        <f t="shared" si="0"/>
        <v>-2.7973415769622534E-2</v>
      </c>
    </row>
    <row r="49" spans="1:8" x14ac:dyDescent="0.25">
      <c r="A49" s="46">
        <v>44629</v>
      </c>
      <c r="B49" s="14">
        <v>139.5</v>
      </c>
      <c r="C49" s="14">
        <v>140.25</v>
      </c>
      <c r="D49" s="14">
        <v>136.828003</v>
      </c>
      <c r="E49" s="14">
        <v>139.27900700000001</v>
      </c>
      <c r="F49" s="14">
        <v>139.27900700000001</v>
      </c>
      <c r="G49" s="14">
        <v>82656000</v>
      </c>
      <c r="H49" s="14">
        <f t="shared" si="0"/>
        <v>2.4372592576038965E-2</v>
      </c>
    </row>
    <row r="50" spans="1:8" x14ac:dyDescent="0.25">
      <c r="A50" s="46">
        <v>44630</v>
      </c>
      <c r="B50" s="14">
        <v>145.68499800000001</v>
      </c>
      <c r="C50" s="14">
        <v>148.67449999999999</v>
      </c>
      <c r="D50" s="14">
        <v>143.97799699999999</v>
      </c>
      <c r="E50" s="14">
        <v>146.81750500000001</v>
      </c>
      <c r="F50" s="14">
        <v>146.81750500000001</v>
      </c>
      <c r="G50" s="14">
        <v>135062000</v>
      </c>
      <c r="H50" s="14">
        <f t="shared" si="0"/>
        <v>5.2255341328046656E-2</v>
      </c>
    </row>
    <row r="51" spans="1:8" x14ac:dyDescent="0.25">
      <c r="A51" s="46">
        <v>44631</v>
      </c>
      <c r="B51" s="14">
        <v>149.57449299999999</v>
      </c>
      <c r="C51" s="14">
        <v>149.675003</v>
      </c>
      <c r="D51" s="14">
        <v>145.36900299999999</v>
      </c>
      <c r="E51" s="14">
        <v>145.524506</v>
      </c>
      <c r="F51" s="14">
        <v>145.524506</v>
      </c>
      <c r="G51" s="14">
        <v>68900000</v>
      </c>
      <c r="H51" s="14">
        <f t="shared" si="0"/>
        <v>9.6612401129598791E-3</v>
      </c>
    </row>
    <row r="52" spans="1:8" x14ac:dyDescent="0.25">
      <c r="A52" s="46">
        <v>44634</v>
      </c>
      <c r="B52" s="14">
        <v>145.98100299999999</v>
      </c>
      <c r="C52" s="14">
        <v>147.449997</v>
      </c>
      <c r="D52" s="14">
        <v>140.88400300000001</v>
      </c>
      <c r="E52" s="14">
        <v>141.85299699999999</v>
      </c>
      <c r="F52" s="14">
        <v>141.85299699999999</v>
      </c>
      <c r="G52" s="14">
        <v>74086000</v>
      </c>
      <c r="H52" s="14">
        <f t="shared" si="0"/>
        <v>-1.0284173167232883E-2</v>
      </c>
    </row>
    <row r="53" spans="1:8" x14ac:dyDescent="0.25">
      <c r="A53" s="46">
        <v>44635</v>
      </c>
      <c r="B53" s="14">
        <v>142.85000600000001</v>
      </c>
      <c r="C53" s="14">
        <v>147.98500100000001</v>
      </c>
      <c r="D53" s="14">
        <v>142</v>
      </c>
      <c r="E53" s="14">
        <v>147.366501</v>
      </c>
      <c r="F53" s="14">
        <v>147.366501</v>
      </c>
      <c r="G53" s="14">
        <v>75584000</v>
      </c>
      <c r="H53" s="14">
        <f t="shared" si="0"/>
        <v>7.9213890593383685E-3</v>
      </c>
    </row>
    <row r="54" spans="1:8" x14ac:dyDescent="0.25">
      <c r="A54" s="46">
        <v>44636</v>
      </c>
      <c r="B54" s="14">
        <v>148.5</v>
      </c>
      <c r="C54" s="14">
        <v>153.14999399999999</v>
      </c>
      <c r="D54" s="14">
        <v>147.3535</v>
      </c>
      <c r="E54" s="14">
        <v>153.104004</v>
      </c>
      <c r="F54" s="14">
        <v>153.104004</v>
      </c>
      <c r="G54" s="14">
        <v>84958000</v>
      </c>
      <c r="H54" s="14">
        <f t="shared" si="0"/>
        <v>3.77007042253521E-2</v>
      </c>
    </row>
    <row r="55" spans="1:8" x14ac:dyDescent="0.25">
      <c r="A55" s="46">
        <v>44637</v>
      </c>
      <c r="B55" s="14">
        <v>152.640503</v>
      </c>
      <c r="C55" s="14">
        <v>157.49850499999999</v>
      </c>
      <c r="D55" s="14">
        <v>152.13999899999999</v>
      </c>
      <c r="E55" s="14">
        <v>157.23899800000001</v>
      </c>
      <c r="F55" s="14">
        <v>157.23899800000001</v>
      </c>
      <c r="G55" s="14">
        <v>72934000</v>
      </c>
      <c r="H55" s="14">
        <f t="shared" si="0"/>
        <v>3.2483103557092274E-2</v>
      </c>
    </row>
    <row r="56" spans="1:8" x14ac:dyDescent="0.25">
      <c r="A56" s="46">
        <v>44638</v>
      </c>
      <c r="B56" s="14">
        <v>156.81300400000001</v>
      </c>
      <c r="C56" s="14">
        <v>161.59399400000001</v>
      </c>
      <c r="D56" s="14">
        <v>156.01100199999999</v>
      </c>
      <c r="E56" s="14">
        <v>161.25050400000001</v>
      </c>
      <c r="F56" s="14">
        <v>161.25050400000001</v>
      </c>
      <c r="G56" s="14">
        <v>102962000</v>
      </c>
      <c r="H56" s="14">
        <f t="shared" si="0"/>
        <v>2.5443690189586476E-2</v>
      </c>
    </row>
    <row r="57" spans="1:8" x14ac:dyDescent="0.25">
      <c r="A57" s="46">
        <v>44641</v>
      </c>
      <c r="B57" s="14">
        <v>161.121002</v>
      </c>
      <c r="C57" s="14">
        <v>163.084</v>
      </c>
      <c r="D57" s="14">
        <v>159.55299400000001</v>
      </c>
      <c r="E57" s="14">
        <v>161.491501</v>
      </c>
      <c r="F57" s="14">
        <v>161.491501</v>
      </c>
      <c r="G57" s="14">
        <v>66538000</v>
      </c>
      <c r="H57" s="14">
        <f t="shared" si="0"/>
        <v>7.5678252486321984E-3</v>
      </c>
    </row>
    <row r="58" spans="1:8" x14ac:dyDescent="0.25">
      <c r="A58" s="46">
        <v>44642</v>
      </c>
      <c r="B58" s="14">
        <v>161.80549600000001</v>
      </c>
      <c r="C58" s="14">
        <v>166.16700700000001</v>
      </c>
      <c r="D58" s="14">
        <v>161.699005</v>
      </c>
      <c r="E58" s="14">
        <v>164.88900799999999</v>
      </c>
      <c r="F58" s="14">
        <v>164.88900799999999</v>
      </c>
      <c r="G58" s="14">
        <v>64086000</v>
      </c>
      <c r="H58" s="14">
        <f t="shared" si="0"/>
        <v>1.3450145598646657E-2</v>
      </c>
    </row>
    <row r="59" spans="1:8" x14ac:dyDescent="0.25">
      <c r="A59" s="46">
        <v>44643</v>
      </c>
      <c r="B59" s="14">
        <v>163.70500200000001</v>
      </c>
      <c r="C59" s="14">
        <v>166.36999499999999</v>
      </c>
      <c r="D59" s="14">
        <v>162.68699599999999</v>
      </c>
      <c r="E59" s="14">
        <v>163.408005</v>
      </c>
      <c r="F59" s="14">
        <v>163.408005</v>
      </c>
      <c r="G59" s="14">
        <v>55812000</v>
      </c>
      <c r="H59" s="14">
        <f t="shared" si="0"/>
        <v>6.110062334644617E-3</v>
      </c>
    </row>
    <row r="60" spans="1:8" x14ac:dyDescent="0.25">
      <c r="A60" s="46">
        <v>44644</v>
      </c>
      <c r="B60" s="14">
        <v>163.74949599999999</v>
      </c>
      <c r="C60" s="14">
        <v>164.11850000000001</v>
      </c>
      <c r="D60" s="14">
        <v>160.050003</v>
      </c>
      <c r="E60" s="14">
        <v>163.649506</v>
      </c>
      <c r="F60" s="14">
        <v>163.649506</v>
      </c>
      <c r="G60" s="14">
        <v>56798000</v>
      </c>
      <c r="H60" s="14">
        <f t="shared" si="0"/>
        <v>-1.6208996814963572E-2</v>
      </c>
    </row>
    <row r="61" spans="1:8" x14ac:dyDescent="0.25">
      <c r="A61" s="46">
        <v>44645</v>
      </c>
      <c r="B61" s="14">
        <v>164</v>
      </c>
      <c r="C61" s="14">
        <v>165.36850000000001</v>
      </c>
      <c r="D61" s="14">
        <v>162.25</v>
      </c>
      <c r="E61" s="14">
        <v>164.77349899999999</v>
      </c>
      <c r="F61" s="14">
        <v>164.77349899999999</v>
      </c>
      <c r="G61" s="14">
        <v>49032000</v>
      </c>
      <c r="H61" s="14">
        <f t="shared" si="0"/>
        <v>1.3745685465560431E-2</v>
      </c>
    </row>
    <row r="62" spans="1:8" x14ac:dyDescent="0.25">
      <c r="A62" s="46">
        <v>44648</v>
      </c>
      <c r="B62" s="14">
        <v>164.97500600000001</v>
      </c>
      <c r="C62" s="14">
        <v>169.03750600000001</v>
      </c>
      <c r="D62" s="14">
        <v>164.89999399999999</v>
      </c>
      <c r="E62" s="14">
        <v>168.99049400000001</v>
      </c>
      <c r="F62" s="14">
        <v>168.99049400000001</v>
      </c>
      <c r="G62" s="14">
        <v>59854000</v>
      </c>
      <c r="H62" s="14">
        <f t="shared" si="0"/>
        <v>5.4442609142269687E-3</v>
      </c>
    </row>
    <row r="63" spans="1:8" x14ac:dyDescent="0.25">
      <c r="A63" s="46">
        <v>44649</v>
      </c>
      <c r="B63" s="14">
        <v>170.38400300000001</v>
      </c>
      <c r="C63" s="14">
        <v>170.83149700000001</v>
      </c>
      <c r="D63" s="14">
        <v>167.86850000000001</v>
      </c>
      <c r="E63" s="14">
        <v>169.31500199999999</v>
      </c>
      <c r="F63" s="14">
        <v>169.31500199999999</v>
      </c>
      <c r="G63" s="14">
        <v>66154000</v>
      </c>
      <c r="H63" s="14">
        <f t="shared" si="0"/>
        <v>1.8001856325113197E-2</v>
      </c>
    </row>
    <row r="64" spans="1:8" x14ac:dyDescent="0.25">
      <c r="A64" s="46">
        <v>44650</v>
      </c>
      <c r="B64" s="14">
        <v>168.50950599999999</v>
      </c>
      <c r="C64" s="14">
        <v>168.95050000000001</v>
      </c>
      <c r="D64" s="14">
        <v>165.5</v>
      </c>
      <c r="E64" s="14">
        <v>166.300995</v>
      </c>
      <c r="F64" s="14">
        <v>166.300995</v>
      </c>
      <c r="G64" s="14">
        <v>56168000</v>
      </c>
      <c r="H64" s="14">
        <f t="shared" si="0"/>
        <v>-1.4109258139555769E-2</v>
      </c>
    </row>
    <row r="65" spans="1:8" x14ac:dyDescent="0.25">
      <c r="A65" s="46">
        <v>44651</v>
      </c>
      <c r="B65" s="14">
        <v>166.445007</v>
      </c>
      <c r="C65" s="14">
        <v>166.49499499999999</v>
      </c>
      <c r="D65" s="14">
        <v>162.953506</v>
      </c>
      <c r="E65" s="14">
        <v>162.99749800000001</v>
      </c>
      <c r="F65" s="14">
        <v>162.99749800000001</v>
      </c>
      <c r="G65" s="14">
        <v>59966000</v>
      </c>
      <c r="H65" s="14">
        <f t="shared" si="0"/>
        <v>-1.5386670694863991E-2</v>
      </c>
    </row>
    <row r="66" spans="1:8" x14ac:dyDescent="0.25">
      <c r="A66" s="46">
        <v>44652</v>
      </c>
      <c r="B66" s="14">
        <v>164.149506</v>
      </c>
      <c r="C66" s="14">
        <v>165.82699600000001</v>
      </c>
      <c r="D66" s="14">
        <v>162.31950399999999</v>
      </c>
      <c r="E66" s="14">
        <v>163.55999800000001</v>
      </c>
      <c r="F66" s="14">
        <v>163.55999800000001</v>
      </c>
      <c r="G66" s="14">
        <v>57090000</v>
      </c>
      <c r="H66" s="14">
        <f t="shared" si="0"/>
        <v>-3.8906926003789977E-3</v>
      </c>
    </row>
    <row r="67" spans="1:8" x14ac:dyDescent="0.25">
      <c r="A67" s="46">
        <v>44655</v>
      </c>
      <c r="B67" s="14">
        <v>164.125</v>
      </c>
      <c r="C67" s="14">
        <v>168.39450099999999</v>
      </c>
      <c r="D67" s="14">
        <v>163.20550499999999</v>
      </c>
      <c r="E67" s="14">
        <v>168.346497</v>
      </c>
      <c r="F67" s="14">
        <v>168.346497</v>
      </c>
      <c r="G67" s="14">
        <v>49882000</v>
      </c>
      <c r="H67" s="14">
        <f t="shared" si="0"/>
        <v>1.819458902897253E-3</v>
      </c>
    </row>
    <row r="68" spans="1:8" x14ac:dyDescent="0.25">
      <c r="A68" s="46">
        <v>44656</v>
      </c>
      <c r="B68" s="14">
        <v>167.741501</v>
      </c>
      <c r="C68" s="14">
        <v>168.11050399999999</v>
      </c>
      <c r="D68" s="14">
        <v>163.266006</v>
      </c>
      <c r="E68" s="14">
        <v>164.054993</v>
      </c>
      <c r="F68" s="14">
        <v>164.054993</v>
      </c>
      <c r="G68" s="14">
        <v>53728000</v>
      </c>
      <c r="H68" s="14">
        <f t="shared" ref="H68:H131" si="1">(D68/D67-1)/(A68-A67)</f>
        <v>3.7070440730557763E-4</v>
      </c>
    </row>
    <row r="69" spans="1:8" x14ac:dyDescent="0.25">
      <c r="A69" s="46">
        <v>44657</v>
      </c>
      <c r="B69" s="14">
        <v>161.650497</v>
      </c>
      <c r="C69" s="14">
        <v>162.199997</v>
      </c>
      <c r="D69" s="14">
        <v>157.254501</v>
      </c>
      <c r="E69" s="14">
        <v>158.75599700000001</v>
      </c>
      <c r="F69" s="14">
        <v>158.75599700000001</v>
      </c>
      <c r="G69" s="14">
        <v>79056000</v>
      </c>
      <c r="H69" s="14">
        <f t="shared" si="1"/>
        <v>-3.6820310285534896E-2</v>
      </c>
    </row>
    <row r="70" spans="1:8" x14ac:dyDescent="0.25">
      <c r="A70" s="46">
        <v>44658</v>
      </c>
      <c r="B70" s="14">
        <v>158.39999399999999</v>
      </c>
      <c r="C70" s="14">
        <v>160.07899499999999</v>
      </c>
      <c r="D70" s="14">
        <v>154.511505</v>
      </c>
      <c r="E70" s="14">
        <v>157.78450000000001</v>
      </c>
      <c r="F70" s="14">
        <v>157.78450000000001</v>
      </c>
      <c r="G70" s="14">
        <v>68136000</v>
      </c>
      <c r="H70" s="14">
        <f t="shared" si="1"/>
        <v>-1.7443036495343289E-2</v>
      </c>
    </row>
    <row r="71" spans="1:8" x14ac:dyDescent="0.25">
      <c r="A71" s="46">
        <v>44659</v>
      </c>
      <c r="B71" s="14">
        <v>156.75</v>
      </c>
      <c r="C71" s="14">
        <v>157.36850000000001</v>
      </c>
      <c r="D71" s="14">
        <v>154.23100299999999</v>
      </c>
      <c r="E71" s="14">
        <v>154.46049500000001</v>
      </c>
      <c r="F71" s="14">
        <v>154.46049500000001</v>
      </c>
      <c r="G71" s="14">
        <v>46002000</v>
      </c>
      <c r="H71" s="14">
        <f t="shared" si="1"/>
        <v>-1.815411739080619E-3</v>
      </c>
    </row>
    <row r="72" spans="1:8" x14ac:dyDescent="0.25">
      <c r="A72" s="46">
        <v>44662</v>
      </c>
      <c r="B72" s="14">
        <v>152.712997</v>
      </c>
      <c r="C72" s="14">
        <v>154.136505</v>
      </c>
      <c r="D72" s="14">
        <v>150.53450000000001</v>
      </c>
      <c r="E72" s="14">
        <v>151.121994</v>
      </c>
      <c r="F72" s="14">
        <v>151.121994</v>
      </c>
      <c r="G72" s="14">
        <v>52112000</v>
      </c>
      <c r="H72" s="14">
        <f t="shared" si="1"/>
        <v>-7.9891049315594289E-3</v>
      </c>
    </row>
    <row r="73" spans="1:8" x14ac:dyDescent="0.25">
      <c r="A73" s="46">
        <v>44663</v>
      </c>
      <c r="B73" s="14">
        <v>153.69250500000001</v>
      </c>
      <c r="C73" s="14">
        <v>155.09899899999999</v>
      </c>
      <c r="D73" s="14">
        <v>150.38299599999999</v>
      </c>
      <c r="E73" s="14">
        <v>150.78750600000001</v>
      </c>
      <c r="F73" s="14">
        <v>150.78750600000001</v>
      </c>
      <c r="G73" s="14">
        <v>55178000</v>
      </c>
      <c r="H73" s="14">
        <f t="shared" si="1"/>
        <v>-1.0064403840981395E-3</v>
      </c>
    </row>
    <row r="74" spans="1:8" x14ac:dyDescent="0.25">
      <c r="A74" s="46">
        <v>44664</v>
      </c>
      <c r="B74" s="14">
        <v>150.018494</v>
      </c>
      <c r="C74" s="14">
        <v>156.02499399999999</v>
      </c>
      <c r="D74" s="14">
        <v>149.60000600000001</v>
      </c>
      <c r="E74" s="14">
        <v>155.541</v>
      </c>
      <c r="F74" s="14">
        <v>155.541</v>
      </c>
      <c r="G74" s="14">
        <v>53390000</v>
      </c>
      <c r="H74" s="14">
        <f t="shared" si="1"/>
        <v>-5.2066391867866546E-3</v>
      </c>
    </row>
    <row r="75" spans="1:8" x14ac:dyDescent="0.25">
      <c r="A75" s="46">
        <v>44665</v>
      </c>
      <c r="B75" s="14">
        <v>155.38999899999999</v>
      </c>
      <c r="C75" s="14">
        <v>155.89700300000001</v>
      </c>
      <c r="D75" s="14">
        <v>151.47200000000001</v>
      </c>
      <c r="E75" s="14">
        <v>151.70649700000001</v>
      </c>
      <c r="F75" s="14">
        <v>151.70649700000001</v>
      </c>
      <c r="G75" s="14">
        <v>51598000</v>
      </c>
      <c r="H75" s="14">
        <f t="shared" si="1"/>
        <v>1.251332837513397E-2</v>
      </c>
    </row>
    <row r="76" spans="1:8" x14ac:dyDescent="0.25">
      <c r="A76" s="46">
        <v>44669</v>
      </c>
      <c r="B76" s="14">
        <v>151.52349899999999</v>
      </c>
      <c r="C76" s="14">
        <v>154.03950499999999</v>
      </c>
      <c r="D76" s="14">
        <v>150.25050400000001</v>
      </c>
      <c r="E76" s="14">
        <v>152.78500399999999</v>
      </c>
      <c r="F76" s="14">
        <v>152.78500399999999</v>
      </c>
      <c r="G76" s="14">
        <v>46514000</v>
      </c>
      <c r="H76" s="14">
        <f t="shared" si="1"/>
        <v>-2.0160425689236261E-3</v>
      </c>
    </row>
    <row r="77" spans="1:8" x14ac:dyDescent="0.25">
      <c r="A77" s="46">
        <v>44670</v>
      </c>
      <c r="B77" s="14">
        <v>152.029495</v>
      </c>
      <c r="C77" s="14">
        <v>158.649002</v>
      </c>
      <c r="D77" s="14">
        <v>151.55050700000001</v>
      </c>
      <c r="E77" s="14">
        <v>158.11549400000001</v>
      </c>
      <c r="F77" s="14">
        <v>158.11549400000001</v>
      </c>
      <c r="G77" s="14">
        <v>54926000</v>
      </c>
      <c r="H77" s="14">
        <f t="shared" si="1"/>
        <v>8.6522371998167813E-3</v>
      </c>
    </row>
    <row r="78" spans="1:8" x14ac:dyDescent="0.25">
      <c r="A78" s="46">
        <v>44671</v>
      </c>
      <c r="B78" s="14">
        <v>157.60249300000001</v>
      </c>
      <c r="C78" s="14">
        <v>157.60249300000001</v>
      </c>
      <c r="D78" s="14">
        <v>153.6035</v>
      </c>
      <c r="E78" s="14">
        <v>153.99800099999999</v>
      </c>
      <c r="F78" s="14">
        <v>153.99800099999999</v>
      </c>
      <c r="G78" s="14">
        <v>59630000</v>
      </c>
      <c r="H78" s="14">
        <f t="shared" si="1"/>
        <v>1.3546592754057896E-2</v>
      </c>
    </row>
    <row r="79" spans="1:8" x14ac:dyDescent="0.25">
      <c r="A79" s="46">
        <v>44672</v>
      </c>
      <c r="B79" s="14">
        <v>154.71400499999999</v>
      </c>
      <c r="C79" s="14">
        <v>156.73800700000001</v>
      </c>
      <c r="D79" s="14">
        <v>147.589493</v>
      </c>
      <c r="E79" s="14">
        <v>148.29600500000001</v>
      </c>
      <c r="F79" s="14">
        <v>148.29600500000001</v>
      </c>
      <c r="G79" s="14">
        <v>63970000</v>
      </c>
      <c r="H79" s="14">
        <f t="shared" si="1"/>
        <v>-3.9152799252621162E-2</v>
      </c>
    </row>
    <row r="80" spans="1:8" x14ac:dyDescent="0.25">
      <c r="A80" s="46">
        <v>44673</v>
      </c>
      <c r="B80" s="14">
        <v>148.25</v>
      </c>
      <c r="C80" s="14">
        <v>149.615005</v>
      </c>
      <c r="D80" s="14">
        <v>143.697495</v>
      </c>
      <c r="E80" s="14">
        <v>144.35000600000001</v>
      </c>
      <c r="F80" s="14">
        <v>144.35000600000001</v>
      </c>
      <c r="G80" s="14">
        <v>73078000</v>
      </c>
      <c r="H80" s="14">
        <f t="shared" si="1"/>
        <v>-2.6370427331165125E-2</v>
      </c>
    </row>
    <row r="81" spans="1:8" x14ac:dyDescent="0.25">
      <c r="A81" s="46">
        <v>44676</v>
      </c>
      <c r="B81" s="14">
        <v>144.02299500000001</v>
      </c>
      <c r="C81" s="14">
        <v>146.221497</v>
      </c>
      <c r="D81" s="14">
        <v>142.30650299999999</v>
      </c>
      <c r="E81" s="14">
        <v>146.074005</v>
      </c>
      <c r="F81" s="14">
        <v>146.074005</v>
      </c>
      <c r="G81" s="14">
        <v>61874000</v>
      </c>
      <c r="H81" s="14">
        <f t="shared" si="1"/>
        <v>-3.2266672428771606E-3</v>
      </c>
    </row>
    <row r="82" spans="1:8" x14ac:dyDescent="0.25">
      <c r="A82" s="46">
        <v>44677</v>
      </c>
      <c r="B82" s="14">
        <v>144.800003</v>
      </c>
      <c r="C82" s="14">
        <v>144.85600299999999</v>
      </c>
      <c r="D82" s="14">
        <v>138.92950400000001</v>
      </c>
      <c r="E82" s="14">
        <v>139.391006</v>
      </c>
      <c r="F82" s="14">
        <v>139.391006</v>
      </c>
      <c r="G82" s="14">
        <v>77530000</v>
      </c>
      <c r="H82" s="14">
        <f t="shared" si="1"/>
        <v>-2.3730461565765415E-2</v>
      </c>
    </row>
    <row r="83" spans="1:8" x14ac:dyDescent="0.25">
      <c r="A83" s="46">
        <v>44678</v>
      </c>
      <c r="B83" s="14">
        <v>140.191498</v>
      </c>
      <c r="C83" s="14">
        <v>141.94850199999999</v>
      </c>
      <c r="D83" s="14">
        <v>135.78349299999999</v>
      </c>
      <c r="E83" s="14">
        <v>138.16700700000001</v>
      </c>
      <c r="F83" s="14">
        <v>138.16700700000001</v>
      </c>
      <c r="G83" s="14">
        <v>71336000</v>
      </c>
      <c r="H83" s="14">
        <f t="shared" si="1"/>
        <v>-2.2644657250054046E-2</v>
      </c>
    </row>
    <row r="84" spans="1:8" x14ac:dyDescent="0.25">
      <c r="A84" s="46">
        <v>44679</v>
      </c>
      <c r="B84" s="14">
        <v>142.17799400000001</v>
      </c>
      <c r="C84" s="14">
        <v>145.9375</v>
      </c>
      <c r="D84" s="14">
        <v>140.300003</v>
      </c>
      <c r="E84" s="14">
        <v>144.596497</v>
      </c>
      <c r="F84" s="14">
        <v>144.596497</v>
      </c>
      <c r="G84" s="14">
        <v>117316000</v>
      </c>
      <c r="H84" s="14">
        <f t="shared" si="1"/>
        <v>3.326258516563585E-2</v>
      </c>
    </row>
    <row r="85" spans="1:8" x14ac:dyDescent="0.25">
      <c r="A85" s="46">
        <v>44680</v>
      </c>
      <c r="B85" s="14">
        <v>129.84899899999999</v>
      </c>
      <c r="C85" s="14">
        <v>130.76100199999999</v>
      </c>
      <c r="D85" s="14">
        <v>121.625</v>
      </c>
      <c r="E85" s="14">
        <v>124.281502</v>
      </c>
      <c r="F85" s="14">
        <v>124.281502</v>
      </c>
      <c r="G85" s="14">
        <v>272662000</v>
      </c>
      <c r="H85" s="14">
        <f t="shared" si="1"/>
        <v>-0.13310764505115513</v>
      </c>
    </row>
    <row r="86" spans="1:8" x14ac:dyDescent="0.25">
      <c r="A86" s="46">
        <v>44683</v>
      </c>
      <c r="B86" s="14">
        <v>122.40100099999999</v>
      </c>
      <c r="C86" s="14">
        <v>124.66799899999999</v>
      </c>
      <c r="D86" s="14">
        <v>118.375</v>
      </c>
      <c r="E86" s="14">
        <v>124.5</v>
      </c>
      <c r="F86" s="14">
        <v>124.5</v>
      </c>
      <c r="G86" s="14">
        <v>148788000</v>
      </c>
      <c r="H86" s="14">
        <f t="shared" si="1"/>
        <v>-8.9071599862966897E-3</v>
      </c>
    </row>
    <row r="87" spans="1:8" x14ac:dyDescent="0.25">
      <c r="A87" s="46">
        <v>44684</v>
      </c>
      <c r="B87" s="14">
        <v>124.05349699999999</v>
      </c>
      <c r="C87" s="14">
        <v>126.22049699999999</v>
      </c>
      <c r="D87" s="14">
        <v>122.824997</v>
      </c>
      <c r="E87" s="14">
        <v>124.253502</v>
      </c>
      <c r="F87" s="14">
        <v>124.253502</v>
      </c>
      <c r="G87" s="14">
        <v>79134000</v>
      </c>
      <c r="H87" s="14">
        <f t="shared" si="1"/>
        <v>3.7592371700105653E-2</v>
      </c>
    </row>
    <row r="88" spans="1:8" x14ac:dyDescent="0.25">
      <c r="A88" s="46">
        <v>44685</v>
      </c>
      <c r="B88" s="14">
        <v>123.599998</v>
      </c>
      <c r="C88" s="14">
        <v>126</v>
      </c>
      <c r="D88" s="14">
        <v>119.182999</v>
      </c>
      <c r="E88" s="14">
        <v>125.92849699999999</v>
      </c>
      <c r="F88" s="14">
        <v>125.92849699999999</v>
      </c>
      <c r="G88" s="14">
        <v>110746000</v>
      </c>
      <c r="H88" s="14">
        <f t="shared" si="1"/>
        <v>-2.9651928263429994E-2</v>
      </c>
    </row>
    <row r="89" spans="1:8" x14ac:dyDescent="0.25">
      <c r="A89" s="46">
        <v>44686</v>
      </c>
      <c r="B89" s="14">
        <v>123</v>
      </c>
      <c r="C89" s="14">
        <v>123.49900100000001</v>
      </c>
      <c r="D89" s="14">
        <v>115.072502</v>
      </c>
      <c r="E89" s="14">
        <v>116.406998</v>
      </c>
      <c r="F89" s="14">
        <v>116.406998</v>
      </c>
      <c r="G89" s="14">
        <v>144392000</v>
      </c>
      <c r="H89" s="14">
        <f t="shared" si="1"/>
        <v>-3.4488954250933013E-2</v>
      </c>
    </row>
    <row r="90" spans="1:8" x14ac:dyDescent="0.25">
      <c r="A90" s="46">
        <v>44687</v>
      </c>
      <c r="B90" s="14">
        <v>114.849998</v>
      </c>
      <c r="C90" s="14">
        <v>119.050499</v>
      </c>
      <c r="D90" s="14">
        <v>113.081497</v>
      </c>
      <c r="E90" s="14">
        <v>114.772499</v>
      </c>
      <c r="F90" s="14">
        <v>114.772499</v>
      </c>
      <c r="G90" s="14">
        <v>124260000</v>
      </c>
      <c r="H90" s="14">
        <f t="shared" si="1"/>
        <v>-1.7302178760308928E-2</v>
      </c>
    </row>
    <row r="91" spans="1:8" x14ac:dyDescent="0.25">
      <c r="A91" s="46">
        <v>44690</v>
      </c>
      <c r="B91" s="14">
        <v>111.3125</v>
      </c>
      <c r="C91" s="14">
        <v>114</v>
      </c>
      <c r="D91" s="14">
        <v>107.95700100000001</v>
      </c>
      <c r="E91" s="14">
        <v>108.789001</v>
      </c>
      <c r="F91" s="14">
        <v>108.789001</v>
      </c>
      <c r="G91" s="14">
        <v>128124000</v>
      </c>
      <c r="H91" s="14">
        <f t="shared" si="1"/>
        <v>-1.5105613019372485E-2</v>
      </c>
    </row>
    <row r="92" spans="1:8" x14ac:dyDescent="0.25">
      <c r="A92" s="46">
        <v>44691</v>
      </c>
      <c r="B92" s="14">
        <v>111.25</v>
      </c>
      <c r="C92" s="14">
        <v>112.64250199999999</v>
      </c>
      <c r="D92" s="14">
        <v>107.170998</v>
      </c>
      <c r="E92" s="14">
        <v>108.85900100000001</v>
      </c>
      <c r="F92" s="14">
        <v>108.85900100000001</v>
      </c>
      <c r="G92" s="14">
        <v>105434000</v>
      </c>
      <c r="H92" s="14">
        <f t="shared" si="1"/>
        <v>-7.2807042870708383E-3</v>
      </c>
    </row>
    <row r="93" spans="1:8" x14ac:dyDescent="0.25">
      <c r="A93" s="46">
        <v>44692</v>
      </c>
      <c r="B93" s="14">
        <v>108.1035</v>
      </c>
      <c r="C93" s="14">
        <v>110.155998</v>
      </c>
      <c r="D93" s="14">
        <v>104.42849699999999</v>
      </c>
      <c r="E93" s="14">
        <v>105.37200199999999</v>
      </c>
      <c r="F93" s="14">
        <v>105.37200199999999</v>
      </c>
      <c r="G93" s="14">
        <v>109704000</v>
      </c>
      <c r="H93" s="14">
        <f t="shared" si="1"/>
        <v>-2.5589954849538743E-2</v>
      </c>
    </row>
    <row r="94" spans="1:8" x14ac:dyDescent="0.25">
      <c r="A94" s="46">
        <v>44693</v>
      </c>
      <c r="B94" s="14">
        <v>102.75</v>
      </c>
      <c r="C94" s="14">
        <v>110.780502</v>
      </c>
      <c r="D94" s="14">
        <v>102.405502</v>
      </c>
      <c r="E94" s="14">
        <v>106.93049600000001</v>
      </c>
      <c r="F94" s="14">
        <v>106.93049600000001</v>
      </c>
      <c r="G94" s="14">
        <v>132026000</v>
      </c>
      <c r="H94" s="14">
        <f t="shared" si="1"/>
        <v>-1.9372058950537174E-2</v>
      </c>
    </row>
    <row r="95" spans="1:8" x14ac:dyDescent="0.25">
      <c r="A95" s="46">
        <v>44694</v>
      </c>
      <c r="B95" s="14">
        <v>109.069</v>
      </c>
      <c r="C95" s="14">
        <v>113.183998</v>
      </c>
      <c r="D95" s="14">
        <v>107.800003</v>
      </c>
      <c r="E95" s="14">
        <v>113.05500000000001</v>
      </c>
      <c r="F95" s="14">
        <v>113.05500000000001</v>
      </c>
      <c r="G95" s="14">
        <v>93684000</v>
      </c>
      <c r="H95" s="14">
        <f t="shared" si="1"/>
        <v>5.2677843422905157E-2</v>
      </c>
    </row>
    <row r="96" spans="1:8" x14ac:dyDescent="0.25">
      <c r="A96" s="46">
        <v>44697</v>
      </c>
      <c r="B96" s="14">
        <v>113.099998</v>
      </c>
      <c r="C96" s="14">
        <v>113.99250000000001</v>
      </c>
      <c r="D96" s="14">
        <v>110.353996</v>
      </c>
      <c r="E96" s="14">
        <v>110.810501</v>
      </c>
      <c r="F96" s="14">
        <v>110.810501</v>
      </c>
      <c r="G96" s="14">
        <v>74566000</v>
      </c>
      <c r="H96" s="14">
        <f t="shared" si="1"/>
        <v>7.8973188896849979E-3</v>
      </c>
    </row>
    <row r="97" spans="1:8" x14ac:dyDescent="0.25">
      <c r="A97" s="46">
        <v>44698</v>
      </c>
      <c r="B97" s="14">
        <v>113.275002</v>
      </c>
      <c r="C97" s="14">
        <v>115.800003</v>
      </c>
      <c r="D97" s="14">
        <v>111.27649700000001</v>
      </c>
      <c r="E97" s="14">
        <v>115.3685</v>
      </c>
      <c r="F97" s="14">
        <v>115.3685</v>
      </c>
      <c r="G97" s="14">
        <v>76448000</v>
      </c>
      <c r="H97" s="14">
        <f t="shared" si="1"/>
        <v>8.3594707345260311E-3</v>
      </c>
    </row>
    <row r="98" spans="1:8" x14ac:dyDescent="0.25">
      <c r="A98" s="46">
        <v>44699</v>
      </c>
      <c r="B98" s="14">
        <v>111.439499</v>
      </c>
      <c r="C98" s="14">
        <v>112.852997</v>
      </c>
      <c r="D98" s="14">
        <v>106.24900100000001</v>
      </c>
      <c r="E98" s="14">
        <v>107.112503</v>
      </c>
      <c r="F98" s="14">
        <v>107.112503</v>
      </c>
      <c r="G98" s="14">
        <v>108380000</v>
      </c>
      <c r="H98" s="14">
        <f t="shared" si="1"/>
        <v>-4.5180214470626257E-2</v>
      </c>
    </row>
    <row r="99" spans="1:8" x14ac:dyDescent="0.25">
      <c r="A99" s="46">
        <v>44700</v>
      </c>
      <c r="B99" s="14">
        <v>106.280502</v>
      </c>
      <c r="C99" s="14">
        <v>110.033997</v>
      </c>
      <c r="D99" s="14">
        <v>106.193001</v>
      </c>
      <c r="E99" s="14">
        <v>107.319</v>
      </c>
      <c r="F99" s="14">
        <v>107.319</v>
      </c>
      <c r="G99" s="14">
        <v>88142000</v>
      </c>
      <c r="H99" s="14">
        <f t="shared" si="1"/>
        <v>-5.2706377916922342E-4</v>
      </c>
    </row>
    <row r="100" spans="1:8" x14ac:dyDescent="0.25">
      <c r="A100" s="46">
        <v>44701</v>
      </c>
      <c r="B100" s="14">
        <v>109.56849699999999</v>
      </c>
      <c r="C100" s="14">
        <v>109.898003</v>
      </c>
      <c r="D100" s="14">
        <v>105.00949900000001</v>
      </c>
      <c r="E100" s="14">
        <v>107.591003</v>
      </c>
      <c r="F100" s="14">
        <v>107.591003</v>
      </c>
      <c r="G100" s="14">
        <v>99500000</v>
      </c>
      <c r="H100" s="14">
        <f t="shared" si="1"/>
        <v>-1.1144821116788939E-2</v>
      </c>
    </row>
    <row r="101" spans="1:8" x14ac:dyDescent="0.25">
      <c r="A101" s="46">
        <v>44704</v>
      </c>
      <c r="B101" s="14">
        <v>108.460999</v>
      </c>
      <c r="C101" s="14">
        <v>108.819</v>
      </c>
      <c r="D101" s="14">
        <v>103.949997</v>
      </c>
      <c r="E101" s="14">
        <v>107.556999</v>
      </c>
      <c r="F101" s="14">
        <v>107.556999</v>
      </c>
      <c r="G101" s="14">
        <v>107798000</v>
      </c>
      <c r="H101" s="14">
        <f t="shared" si="1"/>
        <v>-3.3631941557338285E-3</v>
      </c>
    </row>
    <row r="102" spans="1:8" x14ac:dyDescent="0.25">
      <c r="A102" s="46">
        <v>44705</v>
      </c>
      <c r="B102" s="14">
        <v>104.025002</v>
      </c>
      <c r="C102" s="14">
        <v>105.400002</v>
      </c>
      <c r="D102" s="14">
        <v>101.260002</v>
      </c>
      <c r="E102" s="14">
        <v>104.099998</v>
      </c>
      <c r="F102" s="14">
        <v>104.099998</v>
      </c>
      <c r="G102" s="14">
        <v>102934000</v>
      </c>
      <c r="H102" s="14">
        <f t="shared" si="1"/>
        <v>-2.587777852461115E-2</v>
      </c>
    </row>
    <row r="103" spans="1:8" x14ac:dyDescent="0.25">
      <c r="A103" s="46">
        <v>44706</v>
      </c>
      <c r="B103" s="14">
        <v>103.655502</v>
      </c>
      <c r="C103" s="14">
        <v>108.175003</v>
      </c>
      <c r="D103" s="14">
        <v>103.650002</v>
      </c>
      <c r="E103" s="14">
        <v>106.775002</v>
      </c>
      <c r="F103" s="14">
        <v>106.775002</v>
      </c>
      <c r="G103" s="14">
        <v>93120000</v>
      </c>
      <c r="H103" s="14">
        <f t="shared" si="1"/>
        <v>2.360260668373293E-2</v>
      </c>
    </row>
    <row r="104" spans="1:8" x14ac:dyDescent="0.25">
      <c r="A104" s="46">
        <v>44707</v>
      </c>
      <c r="B104" s="14">
        <v>107.970001</v>
      </c>
      <c r="C104" s="14">
        <v>112.665497</v>
      </c>
      <c r="D104" s="14">
        <v>107.45349899999999</v>
      </c>
      <c r="E104" s="14">
        <v>111.077499</v>
      </c>
      <c r="F104" s="14">
        <v>111.077499</v>
      </c>
      <c r="G104" s="14">
        <v>93002000</v>
      </c>
      <c r="H104" s="14">
        <f t="shared" si="1"/>
        <v>3.6695580575097253E-2</v>
      </c>
    </row>
    <row r="105" spans="1:8" x14ac:dyDescent="0.25">
      <c r="A105" s="46">
        <v>44708</v>
      </c>
      <c r="B105" s="14">
        <v>113.550003</v>
      </c>
      <c r="C105" s="14">
        <v>115.18699599999999</v>
      </c>
      <c r="D105" s="14">
        <v>112.62799800000001</v>
      </c>
      <c r="E105" s="14">
        <v>115.1465</v>
      </c>
      <c r="F105" s="14">
        <v>115.1465</v>
      </c>
      <c r="G105" s="14">
        <v>93660000</v>
      </c>
      <c r="H105" s="14">
        <f t="shared" si="1"/>
        <v>4.8155705008731342E-2</v>
      </c>
    </row>
    <row r="106" spans="1:8" x14ac:dyDescent="0.25">
      <c r="A106" s="46">
        <v>44712</v>
      </c>
      <c r="B106" s="14">
        <v>116.279999</v>
      </c>
      <c r="C106" s="14">
        <v>121.994499</v>
      </c>
      <c r="D106" s="14">
        <v>115.675003</v>
      </c>
      <c r="E106" s="14">
        <v>120.209503</v>
      </c>
      <c r="F106" s="14">
        <v>120.209503</v>
      </c>
      <c r="G106" s="14">
        <v>144634000</v>
      </c>
      <c r="H106" s="14">
        <f t="shared" si="1"/>
        <v>6.7634270654442497E-3</v>
      </c>
    </row>
    <row r="107" spans="1:8" x14ac:dyDescent="0.25">
      <c r="A107" s="46">
        <v>44713</v>
      </c>
      <c r="B107" s="14">
        <v>122.25599699999999</v>
      </c>
      <c r="C107" s="14">
        <v>125.179001</v>
      </c>
      <c r="D107" s="14">
        <v>120.62249799999999</v>
      </c>
      <c r="E107" s="14">
        <v>121.683998</v>
      </c>
      <c r="F107" s="14">
        <v>121.683998</v>
      </c>
      <c r="G107" s="14">
        <v>127528000</v>
      </c>
      <c r="H107" s="14">
        <f t="shared" si="1"/>
        <v>4.2770649420255324E-2</v>
      </c>
    </row>
    <row r="108" spans="1:8" x14ac:dyDescent="0.25">
      <c r="A108" s="46">
        <v>44714</v>
      </c>
      <c r="B108" s="14">
        <v>121.683998</v>
      </c>
      <c r="C108" s="14">
        <v>125.610001</v>
      </c>
      <c r="D108" s="14">
        <v>120.04499800000001</v>
      </c>
      <c r="E108" s="14">
        <v>125.511002</v>
      </c>
      <c r="F108" s="14">
        <v>125.511002</v>
      </c>
      <c r="G108" s="14">
        <v>100560000</v>
      </c>
      <c r="H108" s="14">
        <f t="shared" si="1"/>
        <v>-4.7876640724185959E-3</v>
      </c>
    </row>
    <row r="109" spans="1:8" x14ac:dyDescent="0.25">
      <c r="A109" s="46">
        <v>44715</v>
      </c>
      <c r="B109" s="14">
        <v>124.199997</v>
      </c>
      <c r="C109" s="14">
        <v>124.400002</v>
      </c>
      <c r="D109" s="14">
        <v>121.04650100000001</v>
      </c>
      <c r="E109" s="14">
        <v>122.349998</v>
      </c>
      <c r="F109" s="14">
        <v>122.349998</v>
      </c>
      <c r="G109" s="14">
        <v>97604000</v>
      </c>
      <c r="H109" s="14">
        <f t="shared" si="1"/>
        <v>8.3427299486480422E-3</v>
      </c>
    </row>
    <row r="110" spans="1:8" x14ac:dyDescent="0.25">
      <c r="A110" s="46">
        <v>44718</v>
      </c>
      <c r="B110" s="14">
        <v>125.25</v>
      </c>
      <c r="C110" s="14">
        <v>128.990005</v>
      </c>
      <c r="D110" s="14">
        <v>123.80999799999999</v>
      </c>
      <c r="E110" s="14">
        <v>124.790001</v>
      </c>
      <c r="F110" s="14">
        <v>124.790001</v>
      </c>
      <c r="G110" s="14">
        <v>135269000</v>
      </c>
      <c r="H110" s="14">
        <f t="shared" si="1"/>
        <v>7.6100148212186651E-3</v>
      </c>
    </row>
    <row r="111" spans="1:8" x14ac:dyDescent="0.25">
      <c r="A111" s="46">
        <v>44719</v>
      </c>
      <c r="B111" s="14">
        <v>122.010002</v>
      </c>
      <c r="C111" s="14">
        <v>124.099998</v>
      </c>
      <c r="D111" s="14">
        <v>120.629997</v>
      </c>
      <c r="E111" s="14">
        <v>123</v>
      </c>
      <c r="F111" s="14">
        <v>123</v>
      </c>
      <c r="G111" s="14">
        <v>85156700</v>
      </c>
      <c r="H111" s="14">
        <f t="shared" si="1"/>
        <v>-2.5684525089807342E-2</v>
      </c>
    </row>
    <row r="112" spans="1:8" x14ac:dyDescent="0.25">
      <c r="A112" s="46">
        <v>44720</v>
      </c>
      <c r="B112" s="14">
        <v>122.610001</v>
      </c>
      <c r="C112" s="14">
        <v>123.75</v>
      </c>
      <c r="D112" s="14">
        <v>120.75</v>
      </c>
      <c r="E112" s="14">
        <v>121.18</v>
      </c>
      <c r="F112" s="14">
        <v>121.18</v>
      </c>
      <c r="G112" s="14">
        <v>64926600</v>
      </c>
      <c r="H112" s="14">
        <f t="shared" si="1"/>
        <v>9.9480231272819353E-4</v>
      </c>
    </row>
    <row r="113" spans="1:8" x14ac:dyDescent="0.25">
      <c r="A113" s="46">
        <v>44721</v>
      </c>
      <c r="B113" s="14">
        <v>119.989998</v>
      </c>
      <c r="C113" s="14">
        <v>121.300003</v>
      </c>
      <c r="D113" s="14">
        <v>116.099998</v>
      </c>
      <c r="E113" s="14">
        <v>116.150002</v>
      </c>
      <c r="F113" s="14">
        <v>116.150002</v>
      </c>
      <c r="G113" s="14">
        <v>67029800</v>
      </c>
      <c r="H113" s="14">
        <f t="shared" si="1"/>
        <v>-3.8509333333333284E-2</v>
      </c>
    </row>
    <row r="114" spans="1:8" x14ac:dyDescent="0.25">
      <c r="A114" s="46">
        <v>44722</v>
      </c>
      <c r="B114" s="14">
        <v>113.41999800000001</v>
      </c>
      <c r="C114" s="14">
        <v>114.5</v>
      </c>
      <c r="D114" s="14">
        <v>109.050003</v>
      </c>
      <c r="E114" s="14">
        <v>109.650002</v>
      </c>
      <c r="F114" s="14">
        <v>109.650002</v>
      </c>
      <c r="G114" s="14">
        <v>87266000</v>
      </c>
      <c r="H114" s="14">
        <f t="shared" si="1"/>
        <v>-6.0723472191618777E-2</v>
      </c>
    </row>
    <row r="115" spans="1:8" x14ac:dyDescent="0.25">
      <c r="A115" s="46">
        <v>44725</v>
      </c>
      <c r="B115" s="14">
        <v>104.19000200000001</v>
      </c>
      <c r="C115" s="14">
        <v>106.540001</v>
      </c>
      <c r="D115" s="14">
        <v>101.860001</v>
      </c>
      <c r="E115" s="14">
        <v>103.66999800000001</v>
      </c>
      <c r="F115" s="14">
        <v>103.66999800000001</v>
      </c>
      <c r="G115" s="14">
        <v>99277700</v>
      </c>
      <c r="H115" s="14">
        <f t="shared" si="1"/>
        <v>-2.1977691585513621E-2</v>
      </c>
    </row>
    <row r="116" spans="1:8" x14ac:dyDescent="0.25">
      <c r="A116" s="46">
        <v>44726</v>
      </c>
      <c r="B116" s="14">
        <v>104.19000200000001</v>
      </c>
      <c r="C116" s="14">
        <v>104.879997</v>
      </c>
      <c r="D116" s="14">
        <v>101.43</v>
      </c>
      <c r="E116" s="14">
        <v>102.30999799999999</v>
      </c>
      <c r="F116" s="14">
        <v>102.30999799999999</v>
      </c>
      <c r="G116" s="14">
        <v>69728800</v>
      </c>
      <c r="H116" s="14">
        <f t="shared" si="1"/>
        <v>-4.2214902393333809E-3</v>
      </c>
    </row>
    <row r="117" spans="1:8" x14ac:dyDescent="0.25">
      <c r="A117" s="46">
        <v>44727</v>
      </c>
      <c r="B117" s="14">
        <v>103.860001</v>
      </c>
      <c r="C117" s="14">
        <v>109.05999799999999</v>
      </c>
      <c r="D117" s="14">
        <v>103.529999</v>
      </c>
      <c r="E117" s="14">
        <v>107.66999800000001</v>
      </c>
      <c r="F117" s="14">
        <v>107.66999800000001</v>
      </c>
      <c r="G117" s="14">
        <v>85011100</v>
      </c>
      <c r="H117" s="14">
        <f t="shared" si="1"/>
        <v>2.0703923888395925E-2</v>
      </c>
    </row>
    <row r="118" spans="1:8" x14ac:dyDescent="0.25">
      <c r="A118" s="46">
        <v>44728</v>
      </c>
      <c r="B118" s="14">
        <v>104.470001</v>
      </c>
      <c r="C118" s="14">
        <v>104.58000199999999</v>
      </c>
      <c r="D118" s="14">
        <v>102.010002</v>
      </c>
      <c r="E118" s="14">
        <v>103.660004</v>
      </c>
      <c r="F118" s="14">
        <v>103.660004</v>
      </c>
      <c r="G118" s="14">
        <v>82186300</v>
      </c>
      <c r="H118" s="14">
        <f t="shared" si="1"/>
        <v>-1.4681705927573785E-2</v>
      </c>
    </row>
    <row r="119" spans="1:8" x14ac:dyDescent="0.25">
      <c r="A119" s="46">
        <v>44729</v>
      </c>
      <c r="B119" s="14">
        <v>102.800003</v>
      </c>
      <c r="C119" s="14">
        <v>106.980003</v>
      </c>
      <c r="D119" s="14">
        <v>102.510002</v>
      </c>
      <c r="E119" s="14">
        <v>106.220001</v>
      </c>
      <c r="F119" s="14">
        <v>106.220001</v>
      </c>
      <c r="G119" s="14">
        <v>99772100</v>
      </c>
      <c r="H119" s="14">
        <f t="shared" si="1"/>
        <v>4.9014801509366102E-3</v>
      </c>
    </row>
    <row r="120" spans="1:8" x14ac:dyDescent="0.25">
      <c r="A120" s="46">
        <v>44733</v>
      </c>
      <c r="B120" s="14">
        <v>108.199997</v>
      </c>
      <c r="C120" s="14">
        <v>111.629997</v>
      </c>
      <c r="D120" s="14">
        <v>103.55999799999999</v>
      </c>
      <c r="E120" s="14">
        <v>108.68</v>
      </c>
      <c r="F120" s="14">
        <v>108.68</v>
      </c>
      <c r="G120" s="14">
        <v>70901200</v>
      </c>
      <c r="H120" s="14">
        <f t="shared" si="1"/>
        <v>2.5607159777442656E-3</v>
      </c>
    </row>
    <row r="121" spans="1:8" x14ac:dyDescent="0.25">
      <c r="A121" s="46">
        <v>44734</v>
      </c>
      <c r="B121" s="14">
        <v>107.43</v>
      </c>
      <c r="C121" s="14">
        <v>112.129997</v>
      </c>
      <c r="D121" s="14">
        <v>107.019997</v>
      </c>
      <c r="E121" s="14">
        <v>108.949997</v>
      </c>
      <c r="F121" s="14">
        <v>108.949997</v>
      </c>
      <c r="G121" s="14">
        <v>60040100</v>
      </c>
      <c r="H121" s="14">
        <f t="shared" si="1"/>
        <v>3.3410574225773981E-2</v>
      </c>
    </row>
    <row r="122" spans="1:8" x14ac:dyDescent="0.25">
      <c r="A122" s="46">
        <v>44735</v>
      </c>
      <c r="B122" s="14">
        <v>110.389999</v>
      </c>
      <c r="C122" s="14">
        <v>113</v>
      </c>
      <c r="D122" s="14">
        <v>107.93</v>
      </c>
      <c r="E122" s="14">
        <v>112.44000200000001</v>
      </c>
      <c r="F122" s="14">
        <v>112.44000200000001</v>
      </c>
      <c r="G122" s="14">
        <v>64345300</v>
      </c>
      <c r="H122" s="14">
        <f t="shared" si="1"/>
        <v>8.5031118062917077E-3</v>
      </c>
    </row>
    <row r="123" spans="1:8" x14ac:dyDescent="0.25">
      <c r="A123" s="46">
        <v>44736</v>
      </c>
      <c r="B123" s="14">
        <v>112.379997</v>
      </c>
      <c r="C123" s="14">
        <v>116.709999</v>
      </c>
      <c r="D123" s="14">
        <v>111.43</v>
      </c>
      <c r="E123" s="14">
        <v>116.459999</v>
      </c>
      <c r="F123" s="14">
        <v>116.459999</v>
      </c>
      <c r="G123" s="14">
        <v>69867600</v>
      </c>
      <c r="H123" s="14">
        <f t="shared" si="1"/>
        <v>3.2428425831557472E-2</v>
      </c>
    </row>
    <row r="124" spans="1:8" x14ac:dyDescent="0.25">
      <c r="A124" s="46">
        <v>44739</v>
      </c>
      <c r="B124" s="14">
        <v>117.089996</v>
      </c>
      <c r="C124" s="14">
        <v>117.980003</v>
      </c>
      <c r="D124" s="14">
        <v>112.699997</v>
      </c>
      <c r="E124" s="14">
        <v>113.220001</v>
      </c>
      <c r="F124" s="14">
        <v>113.220001</v>
      </c>
      <c r="G124" s="14">
        <v>62133200</v>
      </c>
      <c r="H124" s="14">
        <f t="shared" si="1"/>
        <v>3.7990876185347577E-3</v>
      </c>
    </row>
    <row r="125" spans="1:8" x14ac:dyDescent="0.25">
      <c r="A125" s="46">
        <v>44740</v>
      </c>
      <c r="B125" s="14">
        <v>113.5</v>
      </c>
      <c r="C125" s="14">
        <v>114.849998</v>
      </c>
      <c r="D125" s="14">
        <v>107.040001</v>
      </c>
      <c r="E125" s="14">
        <v>107.400002</v>
      </c>
      <c r="F125" s="14">
        <v>107.400002</v>
      </c>
      <c r="G125" s="14">
        <v>74942900</v>
      </c>
      <c r="H125" s="14">
        <f t="shared" si="1"/>
        <v>-5.0221793705992668E-2</v>
      </c>
    </row>
    <row r="126" spans="1:8" x14ac:dyDescent="0.25">
      <c r="A126" s="46">
        <v>44741</v>
      </c>
      <c r="B126" s="14">
        <v>107.379997</v>
      </c>
      <c r="C126" s="14">
        <v>110.989998</v>
      </c>
      <c r="D126" s="14">
        <v>106.910004</v>
      </c>
      <c r="E126" s="14">
        <v>108.91999800000001</v>
      </c>
      <c r="F126" s="14">
        <v>108.91999800000001</v>
      </c>
      <c r="G126" s="14">
        <v>66375300</v>
      </c>
      <c r="H126" s="14">
        <f t="shared" si="1"/>
        <v>-1.2144712143641323E-3</v>
      </c>
    </row>
    <row r="127" spans="1:8" x14ac:dyDescent="0.25">
      <c r="A127" s="46">
        <v>44742</v>
      </c>
      <c r="B127" s="14">
        <v>108.110001</v>
      </c>
      <c r="C127" s="14">
        <v>108.18</v>
      </c>
      <c r="D127" s="14">
        <v>102.519997</v>
      </c>
      <c r="E127" s="14">
        <v>106.209999</v>
      </c>
      <c r="F127" s="14">
        <v>106.209999</v>
      </c>
      <c r="G127" s="14">
        <v>97679400</v>
      </c>
      <c r="H127" s="14">
        <f t="shared" si="1"/>
        <v>-4.1062639937792911E-2</v>
      </c>
    </row>
    <row r="128" spans="1:8" x14ac:dyDescent="0.25">
      <c r="A128" s="46">
        <v>44743</v>
      </c>
      <c r="B128" s="14">
        <v>106.290001</v>
      </c>
      <c r="C128" s="14">
        <v>109.75</v>
      </c>
      <c r="D128" s="14">
        <v>105.849998</v>
      </c>
      <c r="E128" s="14">
        <v>109.55999799999999</v>
      </c>
      <c r="F128" s="14">
        <v>109.55999799999999</v>
      </c>
      <c r="G128" s="14">
        <v>73021200</v>
      </c>
      <c r="H128" s="14">
        <f t="shared" si="1"/>
        <v>3.2481477735509356E-2</v>
      </c>
    </row>
    <row r="129" spans="1:8" x14ac:dyDescent="0.25">
      <c r="A129" s="46">
        <v>44747</v>
      </c>
      <c r="B129" s="14">
        <v>107.599998</v>
      </c>
      <c r="C129" s="14">
        <v>114.08000199999999</v>
      </c>
      <c r="D129" s="14">
        <v>106.32</v>
      </c>
      <c r="E129" s="14">
        <v>113.5</v>
      </c>
      <c r="F129" s="14">
        <v>113.5</v>
      </c>
      <c r="G129" s="14">
        <v>76583700</v>
      </c>
      <c r="H129" s="14">
        <f t="shared" si="1"/>
        <v>1.1100661522921995E-3</v>
      </c>
    </row>
    <row r="130" spans="1:8" x14ac:dyDescent="0.25">
      <c r="A130" s="46">
        <v>44748</v>
      </c>
      <c r="B130" s="14">
        <v>113.209999</v>
      </c>
      <c r="C130" s="14">
        <v>115.480003</v>
      </c>
      <c r="D130" s="14">
        <v>112.010002</v>
      </c>
      <c r="E130" s="14">
        <v>114.33000199999999</v>
      </c>
      <c r="F130" s="14">
        <v>114.33000199999999</v>
      </c>
      <c r="G130" s="14">
        <v>66958900</v>
      </c>
      <c r="H130" s="14">
        <f t="shared" si="1"/>
        <v>5.3517701279157226E-2</v>
      </c>
    </row>
    <row r="131" spans="1:8" x14ac:dyDescent="0.25">
      <c r="A131" s="46">
        <v>44749</v>
      </c>
      <c r="B131" s="14">
        <v>113.849998</v>
      </c>
      <c r="C131" s="14">
        <v>116.989998</v>
      </c>
      <c r="D131" s="14">
        <v>113.489998</v>
      </c>
      <c r="E131" s="14">
        <v>116.33000199999999</v>
      </c>
      <c r="F131" s="14">
        <v>116.33000199999999</v>
      </c>
      <c r="G131" s="14">
        <v>57872300</v>
      </c>
      <c r="H131" s="14">
        <f t="shared" si="1"/>
        <v>1.3213070025657192E-2</v>
      </c>
    </row>
    <row r="132" spans="1:8" x14ac:dyDescent="0.25">
      <c r="A132" s="46">
        <v>44750</v>
      </c>
      <c r="B132" s="14">
        <v>114.599998</v>
      </c>
      <c r="C132" s="14">
        <v>116.58000199999999</v>
      </c>
      <c r="D132" s="14">
        <v>113.69000200000001</v>
      </c>
      <c r="E132" s="14">
        <v>115.540001</v>
      </c>
      <c r="F132" s="14">
        <v>115.540001</v>
      </c>
      <c r="G132" s="14">
        <v>45719700</v>
      </c>
      <c r="H132" s="14">
        <f t="shared" ref="H132:H195" si="2">(D132/D131-1)/(A132-A131)</f>
        <v>1.7623050799595585E-3</v>
      </c>
    </row>
    <row r="133" spans="1:8" x14ac:dyDescent="0.25">
      <c r="A133" s="46">
        <v>44753</v>
      </c>
      <c r="B133" s="14">
        <v>114.08000199999999</v>
      </c>
      <c r="C133" s="14">
        <v>114.300003</v>
      </c>
      <c r="D133" s="14">
        <v>110.870003</v>
      </c>
      <c r="E133" s="14">
        <v>111.75</v>
      </c>
      <c r="F133" s="14">
        <v>111.75</v>
      </c>
      <c r="G133" s="14">
        <v>53487600</v>
      </c>
      <c r="H133" s="14">
        <f t="shared" si="2"/>
        <v>-8.2680943806005738E-3</v>
      </c>
    </row>
    <row r="134" spans="1:8" x14ac:dyDescent="0.25">
      <c r="A134" s="46">
        <v>44754</v>
      </c>
      <c r="B134" s="14">
        <v>112.160004</v>
      </c>
      <c r="C134" s="14">
        <v>113.230003</v>
      </c>
      <c r="D134" s="14">
        <v>108.339996</v>
      </c>
      <c r="E134" s="14">
        <v>109.220001</v>
      </c>
      <c r="F134" s="14">
        <v>109.220001</v>
      </c>
      <c r="G134" s="14">
        <v>54280300</v>
      </c>
      <c r="H134" s="14">
        <f t="shared" si="2"/>
        <v>-2.2819580874368639E-2</v>
      </c>
    </row>
    <row r="135" spans="1:8" x14ac:dyDescent="0.25">
      <c r="A135" s="46">
        <v>44755</v>
      </c>
      <c r="B135" s="14">
        <v>107.029999</v>
      </c>
      <c r="C135" s="14">
        <v>111.779999</v>
      </c>
      <c r="D135" s="14">
        <v>106.010002</v>
      </c>
      <c r="E135" s="14">
        <v>110.400002</v>
      </c>
      <c r="F135" s="14">
        <v>110.400002</v>
      </c>
      <c r="G135" s="14">
        <v>61353800</v>
      </c>
      <c r="H135" s="14">
        <f t="shared" si="2"/>
        <v>-2.1506314251663827E-2</v>
      </c>
    </row>
    <row r="136" spans="1:8" x14ac:dyDescent="0.25">
      <c r="A136" s="46">
        <v>44756</v>
      </c>
      <c r="B136" s="14">
        <v>110.239998</v>
      </c>
      <c r="C136" s="14">
        <v>111.18</v>
      </c>
      <c r="D136" s="14">
        <v>107.58000199999999</v>
      </c>
      <c r="E136" s="14">
        <v>110.629997</v>
      </c>
      <c r="F136" s="14">
        <v>110.629997</v>
      </c>
      <c r="G136" s="14">
        <v>51163100</v>
      </c>
      <c r="H136" s="14">
        <f t="shared" si="2"/>
        <v>1.4809923312707696E-2</v>
      </c>
    </row>
    <row r="137" spans="1:8" x14ac:dyDescent="0.25">
      <c r="A137" s="46">
        <v>44757</v>
      </c>
      <c r="B137" s="14">
        <v>112.5</v>
      </c>
      <c r="C137" s="14">
        <v>115.589996</v>
      </c>
      <c r="D137" s="14">
        <v>111.589996</v>
      </c>
      <c r="E137" s="14">
        <v>113.550003</v>
      </c>
      <c r="F137" s="14">
        <v>113.550003</v>
      </c>
      <c r="G137" s="14">
        <v>84317800</v>
      </c>
      <c r="H137" s="14">
        <f t="shared" si="2"/>
        <v>3.7274529888928765E-2</v>
      </c>
    </row>
    <row r="138" spans="1:8" x14ac:dyDescent="0.25">
      <c r="A138" s="46">
        <v>44760</v>
      </c>
      <c r="B138" s="14">
        <v>115</v>
      </c>
      <c r="C138" s="14">
        <v>117.239998</v>
      </c>
      <c r="D138" s="14">
        <v>113.150002</v>
      </c>
      <c r="E138" s="14">
        <v>113.760002</v>
      </c>
      <c r="F138" s="14">
        <v>113.760002</v>
      </c>
      <c r="G138" s="14">
        <v>59115400</v>
      </c>
      <c r="H138" s="14">
        <f t="shared" si="2"/>
        <v>4.6599338528518315E-3</v>
      </c>
    </row>
    <row r="139" spans="1:8" x14ac:dyDescent="0.25">
      <c r="A139" s="46">
        <v>44761</v>
      </c>
      <c r="B139" s="14">
        <v>115.699997</v>
      </c>
      <c r="C139" s="14">
        <v>118.949997</v>
      </c>
      <c r="D139" s="14">
        <v>114.029999</v>
      </c>
      <c r="E139" s="14">
        <v>118.209999</v>
      </c>
      <c r="F139" s="14">
        <v>118.209999</v>
      </c>
      <c r="G139" s="14">
        <v>60990000</v>
      </c>
      <c r="H139" s="14">
        <f t="shared" si="2"/>
        <v>7.7772601365044824E-3</v>
      </c>
    </row>
    <row r="140" spans="1:8" x14ac:dyDescent="0.25">
      <c r="A140" s="46">
        <v>44762</v>
      </c>
      <c r="B140" s="14">
        <v>118.620003</v>
      </c>
      <c r="C140" s="14">
        <v>123.480003</v>
      </c>
      <c r="D140" s="14">
        <v>118.32</v>
      </c>
      <c r="E140" s="14">
        <v>122.769997</v>
      </c>
      <c r="F140" s="14">
        <v>122.769997</v>
      </c>
      <c r="G140" s="14">
        <v>71268300</v>
      </c>
      <c r="H140" s="14">
        <f t="shared" si="2"/>
        <v>3.7621687605206233E-2</v>
      </c>
    </row>
    <row r="141" spans="1:8" x14ac:dyDescent="0.25">
      <c r="A141" s="46">
        <v>44763</v>
      </c>
      <c r="B141" s="14">
        <v>123.199997</v>
      </c>
      <c r="C141" s="14">
        <v>124.849998</v>
      </c>
      <c r="D141" s="14">
        <v>121.260002</v>
      </c>
      <c r="E141" s="14">
        <v>124.629997</v>
      </c>
      <c r="F141" s="14">
        <v>124.629997</v>
      </c>
      <c r="G141" s="14">
        <v>60239900</v>
      </c>
      <c r="H141" s="14">
        <f t="shared" si="2"/>
        <v>2.4847887085868825E-2</v>
      </c>
    </row>
    <row r="142" spans="1:8" x14ac:dyDescent="0.25">
      <c r="A142" s="46">
        <v>44764</v>
      </c>
      <c r="B142" s="14">
        <v>125.010002</v>
      </c>
      <c r="C142" s="14">
        <v>125.5</v>
      </c>
      <c r="D142" s="14">
        <v>121.349998</v>
      </c>
      <c r="E142" s="14">
        <v>122.41999800000001</v>
      </c>
      <c r="F142" s="14">
        <v>122.41999800000001</v>
      </c>
      <c r="G142" s="14">
        <v>51463800</v>
      </c>
      <c r="H142" s="14">
        <f t="shared" si="2"/>
        <v>7.421738290915858E-4</v>
      </c>
    </row>
    <row r="143" spans="1:8" x14ac:dyDescent="0.25">
      <c r="A143" s="46">
        <v>44767</v>
      </c>
      <c r="B143" s="14">
        <v>122.699997</v>
      </c>
      <c r="C143" s="14">
        <v>123.639999</v>
      </c>
      <c r="D143" s="14">
        <v>120.029999</v>
      </c>
      <c r="E143" s="14">
        <v>121.139999</v>
      </c>
      <c r="F143" s="14">
        <v>121.139999</v>
      </c>
      <c r="G143" s="14">
        <v>50221300</v>
      </c>
      <c r="H143" s="14">
        <f t="shared" si="2"/>
        <v>-3.6258728794265429E-3</v>
      </c>
    </row>
    <row r="144" spans="1:8" x14ac:dyDescent="0.25">
      <c r="A144" s="46">
        <v>44768</v>
      </c>
      <c r="B144" s="14">
        <v>115.790001</v>
      </c>
      <c r="C144" s="14">
        <v>118.150002</v>
      </c>
      <c r="D144" s="14">
        <v>114.529999</v>
      </c>
      <c r="E144" s="14">
        <v>114.80999799999999</v>
      </c>
      <c r="F144" s="14">
        <v>114.80999799999999</v>
      </c>
      <c r="G144" s="14">
        <v>67075100</v>
      </c>
      <c r="H144" s="14">
        <f t="shared" si="2"/>
        <v>-4.5821878245620895E-2</v>
      </c>
    </row>
    <row r="145" spans="1:8" x14ac:dyDescent="0.25">
      <c r="A145" s="46">
        <v>44769</v>
      </c>
      <c r="B145" s="14">
        <v>117.30999799999999</v>
      </c>
      <c r="C145" s="14">
        <v>121.900002</v>
      </c>
      <c r="D145" s="14">
        <v>117.160004</v>
      </c>
      <c r="E145" s="14">
        <v>120.970001</v>
      </c>
      <c r="F145" s="14">
        <v>120.970001</v>
      </c>
      <c r="G145" s="14">
        <v>61582000</v>
      </c>
      <c r="H145" s="14">
        <f t="shared" si="2"/>
        <v>2.2963459556128996E-2</v>
      </c>
    </row>
    <row r="146" spans="1:8" x14ac:dyDescent="0.25">
      <c r="A146" s="46">
        <v>44770</v>
      </c>
      <c r="B146" s="14">
        <v>121.57</v>
      </c>
      <c r="C146" s="14">
        <v>122.839996</v>
      </c>
      <c r="D146" s="14">
        <v>118.08000199999999</v>
      </c>
      <c r="E146" s="14">
        <v>122.279999</v>
      </c>
      <c r="F146" s="14">
        <v>122.279999</v>
      </c>
      <c r="G146" s="14">
        <v>82245500</v>
      </c>
      <c r="H146" s="14">
        <f t="shared" si="2"/>
        <v>7.852492050102633E-3</v>
      </c>
    </row>
    <row r="147" spans="1:8" x14ac:dyDescent="0.25">
      <c r="A147" s="46">
        <v>44771</v>
      </c>
      <c r="B147" s="14">
        <v>134.89999399999999</v>
      </c>
      <c r="C147" s="14">
        <v>137.64999399999999</v>
      </c>
      <c r="D147" s="14">
        <v>132.41000399999999</v>
      </c>
      <c r="E147" s="14">
        <v>134.949997</v>
      </c>
      <c r="F147" s="14">
        <v>134.949997</v>
      </c>
      <c r="G147" s="14">
        <v>148892900</v>
      </c>
      <c r="H147" s="14">
        <f t="shared" si="2"/>
        <v>0.12135841596615138</v>
      </c>
    </row>
    <row r="148" spans="1:8" x14ac:dyDescent="0.25">
      <c r="A148" s="46">
        <v>44774</v>
      </c>
      <c r="B148" s="14">
        <v>134.96000699999999</v>
      </c>
      <c r="C148" s="14">
        <v>138.83000200000001</v>
      </c>
      <c r="D148" s="14">
        <v>133.509995</v>
      </c>
      <c r="E148" s="14">
        <v>135.38999899999999</v>
      </c>
      <c r="F148" s="14">
        <v>135.38999899999999</v>
      </c>
      <c r="G148" s="14">
        <v>76846900</v>
      </c>
      <c r="H148" s="14">
        <f t="shared" si="2"/>
        <v>2.7691538070392006E-3</v>
      </c>
    </row>
    <row r="149" spans="1:8" x14ac:dyDescent="0.25">
      <c r="A149" s="46">
        <v>44775</v>
      </c>
      <c r="B149" s="14">
        <v>134.720001</v>
      </c>
      <c r="C149" s="14">
        <v>137.44000199999999</v>
      </c>
      <c r="D149" s="14">
        <v>134.08999600000001</v>
      </c>
      <c r="E149" s="14">
        <v>134.16000399999999</v>
      </c>
      <c r="F149" s="14">
        <v>134.16000399999999</v>
      </c>
      <c r="G149" s="14">
        <v>61922400</v>
      </c>
      <c r="H149" s="14">
        <f t="shared" si="2"/>
        <v>4.3442515296328033E-3</v>
      </c>
    </row>
    <row r="150" spans="1:8" x14ac:dyDescent="0.25">
      <c r="A150" s="46">
        <v>44776</v>
      </c>
      <c r="B150" s="14">
        <v>136.21000699999999</v>
      </c>
      <c r="C150" s="14">
        <v>140.490005</v>
      </c>
      <c r="D150" s="14">
        <v>136.050003</v>
      </c>
      <c r="E150" s="14">
        <v>139.520004</v>
      </c>
      <c r="F150" s="14">
        <v>139.520004</v>
      </c>
      <c r="G150" s="14">
        <v>71827800</v>
      </c>
      <c r="H150" s="14">
        <f t="shared" si="2"/>
        <v>1.4617100890956802E-2</v>
      </c>
    </row>
    <row r="151" spans="1:8" x14ac:dyDescent="0.25">
      <c r="A151" s="46">
        <v>44777</v>
      </c>
      <c r="B151" s="14">
        <v>140.58000200000001</v>
      </c>
      <c r="C151" s="14">
        <v>143.55999800000001</v>
      </c>
      <c r="D151" s="14">
        <v>139.550003</v>
      </c>
      <c r="E151" s="14">
        <v>142.570007</v>
      </c>
      <c r="F151" s="14">
        <v>142.570007</v>
      </c>
      <c r="G151" s="14">
        <v>70585000</v>
      </c>
      <c r="H151" s="14">
        <f t="shared" si="2"/>
        <v>2.5725835522399709E-2</v>
      </c>
    </row>
    <row r="152" spans="1:8" x14ac:dyDescent="0.25">
      <c r="A152" s="46">
        <v>44778</v>
      </c>
      <c r="B152" s="14">
        <v>140.10000600000001</v>
      </c>
      <c r="C152" s="14">
        <v>142.86000100000001</v>
      </c>
      <c r="D152" s="14">
        <v>139.60000600000001</v>
      </c>
      <c r="E152" s="14">
        <v>140.800003</v>
      </c>
      <c r="F152" s="14">
        <v>140.800003</v>
      </c>
      <c r="G152" s="14">
        <v>50686900</v>
      </c>
      <c r="H152" s="14">
        <f t="shared" si="2"/>
        <v>3.5831600806202069E-4</v>
      </c>
    </row>
    <row r="153" spans="1:8" x14ac:dyDescent="0.25">
      <c r="A153" s="46">
        <v>44781</v>
      </c>
      <c r="B153" s="14">
        <v>142.050003</v>
      </c>
      <c r="C153" s="14">
        <v>144.229996</v>
      </c>
      <c r="D153" s="14">
        <v>138.28999300000001</v>
      </c>
      <c r="E153" s="14">
        <v>139.41000399999999</v>
      </c>
      <c r="F153" s="14">
        <v>139.41000399999999</v>
      </c>
      <c r="G153" s="14">
        <v>52229000</v>
      </c>
      <c r="H153" s="14">
        <f t="shared" si="2"/>
        <v>-3.1280156248703803E-3</v>
      </c>
    </row>
    <row r="154" spans="1:8" x14ac:dyDescent="0.25">
      <c r="A154" s="46">
        <v>44782</v>
      </c>
      <c r="B154" s="14">
        <v>138.050003</v>
      </c>
      <c r="C154" s="14">
        <v>138.949997</v>
      </c>
      <c r="D154" s="14">
        <v>136.21000699999999</v>
      </c>
      <c r="E154" s="14">
        <v>137.83000200000001</v>
      </c>
      <c r="F154" s="14">
        <v>137.83000200000001</v>
      </c>
      <c r="G154" s="14">
        <v>40434700</v>
      </c>
      <c r="H154" s="14">
        <f t="shared" si="2"/>
        <v>-1.5040755696618002E-2</v>
      </c>
    </row>
    <row r="155" spans="1:8" x14ac:dyDescent="0.25">
      <c r="A155" s="46">
        <v>44783</v>
      </c>
      <c r="B155" s="14">
        <v>142.89999399999999</v>
      </c>
      <c r="C155" s="14">
        <v>144.60000600000001</v>
      </c>
      <c r="D155" s="14">
        <v>141.009995</v>
      </c>
      <c r="E155" s="14">
        <v>142.69000199999999</v>
      </c>
      <c r="F155" s="14">
        <v>142.69000199999999</v>
      </c>
      <c r="G155" s="14">
        <v>54773800</v>
      </c>
      <c r="H155" s="14">
        <f t="shared" si="2"/>
        <v>3.5239613488897481E-2</v>
      </c>
    </row>
    <row r="156" spans="1:8" x14ac:dyDescent="0.25">
      <c r="A156" s="46">
        <v>44784</v>
      </c>
      <c r="B156" s="14">
        <v>143.86000100000001</v>
      </c>
      <c r="C156" s="14">
        <v>144.490005</v>
      </c>
      <c r="D156" s="14">
        <v>139.759995</v>
      </c>
      <c r="E156" s="14">
        <v>140.63999899999999</v>
      </c>
      <c r="F156" s="14">
        <v>140.63999899999999</v>
      </c>
      <c r="G156" s="14">
        <v>44867300</v>
      </c>
      <c r="H156" s="14">
        <f t="shared" si="2"/>
        <v>-8.8646198448556479E-3</v>
      </c>
    </row>
    <row r="157" spans="1:8" x14ac:dyDescent="0.25">
      <c r="A157" s="46">
        <v>44785</v>
      </c>
      <c r="B157" s="14">
        <v>142.050003</v>
      </c>
      <c r="C157" s="14">
        <v>143.570007</v>
      </c>
      <c r="D157" s="14">
        <v>140.11999499999999</v>
      </c>
      <c r="E157" s="14">
        <v>143.550003</v>
      </c>
      <c r="F157" s="14">
        <v>143.550003</v>
      </c>
      <c r="G157" s="14">
        <v>47643500</v>
      </c>
      <c r="H157" s="14">
        <f t="shared" si="2"/>
        <v>2.5758443966743538E-3</v>
      </c>
    </row>
    <row r="158" spans="1:8" x14ac:dyDescent="0.25">
      <c r="A158" s="46">
        <v>44788</v>
      </c>
      <c r="B158" s="14">
        <v>142.800003</v>
      </c>
      <c r="C158" s="14">
        <v>143.759995</v>
      </c>
      <c r="D158" s="14">
        <v>141.490005</v>
      </c>
      <c r="E158" s="14">
        <v>143.179993</v>
      </c>
      <c r="F158" s="14">
        <v>143.179993</v>
      </c>
      <c r="G158" s="14">
        <v>39014600</v>
      </c>
      <c r="H158" s="14">
        <f t="shared" si="2"/>
        <v>3.2591351434176166E-3</v>
      </c>
    </row>
    <row r="159" spans="1:8" x14ac:dyDescent="0.25">
      <c r="A159" s="46">
        <v>44789</v>
      </c>
      <c r="B159" s="14">
        <v>143.91000399999999</v>
      </c>
      <c r="C159" s="14">
        <v>146.570007</v>
      </c>
      <c r="D159" s="14">
        <v>142</v>
      </c>
      <c r="E159" s="14">
        <v>144.779999</v>
      </c>
      <c r="F159" s="14">
        <v>144.779999</v>
      </c>
      <c r="G159" s="14">
        <v>59102900</v>
      </c>
      <c r="H159" s="14">
        <f t="shared" si="2"/>
        <v>3.6044595517541467E-3</v>
      </c>
    </row>
    <row r="160" spans="1:8" x14ac:dyDescent="0.25">
      <c r="A160" s="46">
        <v>44790</v>
      </c>
      <c r="B160" s="14">
        <v>142.69000199999999</v>
      </c>
      <c r="C160" s="14">
        <v>143.38000500000001</v>
      </c>
      <c r="D160" s="14">
        <v>140.779999</v>
      </c>
      <c r="E160" s="14">
        <v>142.10000600000001</v>
      </c>
      <c r="F160" s="14">
        <v>142.10000600000001</v>
      </c>
      <c r="G160" s="14">
        <v>48149800</v>
      </c>
      <c r="H160" s="14">
        <f t="shared" si="2"/>
        <v>-8.5915563380281057E-3</v>
      </c>
    </row>
    <row r="161" spans="1:8" x14ac:dyDescent="0.25">
      <c r="A161" s="46">
        <v>44791</v>
      </c>
      <c r="B161" s="14">
        <v>141.320007</v>
      </c>
      <c r="C161" s="14">
        <v>142.770004</v>
      </c>
      <c r="D161" s="14">
        <v>140.38000500000001</v>
      </c>
      <c r="E161" s="14">
        <v>142.300003</v>
      </c>
      <c r="F161" s="14">
        <v>142.300003</v>
      </c>
      <c r="G161" s="14">
        <v>37458700</v>
      </c>
      <c r="H161" s="14">
        <f t="shared" si="2"/>
        <v>-2.8412700869531182E-3</v>
      </c>
    </row>
    <row r="162" spans="1:8" x14ac:dyDescent="0.25">
      <c r="A162" s="46">
        <v>44792</v>
      </c>
      <c r="B162" s="14">
        <v>140.470001</v>
      </c>
      <c r="C162" s="14">
        <v>141.11000100000001</v>
      </c>
      <c r="D162" s="14">
        <v>137.91000399999999</v>
      </c>
      <c r="E162" s="14">
        <v>138.229996</v>
      </c>
      <c r="F162" s="14">
        <v>138.229996</v>
      </c>
      <c r="G162" s="14">
        <v>47792800</v>
      </c>
      <c r="H162" s="14">
        <f t="shared" si="2"/>
        <v>-1.7595105513780407E-2</v>
      </c>
    </row>
    <row r="163" spans="1:8" x14ac:dyDescent="0.25">
      <c r="A163" s="46">
        <v>44795</v>
      </c>
      <c r="B163" s="14">
        <v>135.720001</v>
      </c>
      <c r="C163" s="14">
        <v>136.320007</v>
      </c>
      <c r="D163" s="14">
        <v>132.85000600000001</v>
      </c>
      <c r="E163" s="14">
        <v>133.220001</v>
      </c>
      <c r="F163" s="14">
        <v>133.220001</v>
      </c>
      <c r="G163" s="14">
        <v>50461500</v>
      </c>
      <c r="H163" s="14">
        <f t="shared" si="2"/>
        <v>-1.2230193249794944E-2</v>
      </c>
    </row>
    <row r="164" spans="1:8" x14ac:dyDescent="0.25">
      <c r="A164" s="46">
        <v>44796</v>
      </c>
      <c r="B164" s="14">
        <v>133.41000399999999</v>
      </c>
      <c r="C164" s="14">
        <v>134.990005</v>
      </c>
      <c r="D164" s="14">
        <v>132.949997</v>
      </c>
      <c r="E164" s="14">
        <v>133.61999499999999</v>
      </c>
      <c r="F164" s="14">
        <v>133.61999499999999</v>
      </c>
      <c r="G164" s="14">
        <v>36252100</v>
      </c>
      <c r="H164" s="14">
        <f t="shared" si="2"/>
        <v>7.526608617540731E-4</v>
      </c>
    </row>
    <row r="165" spans="1:8" x14ac:dyDescent="0.25">
      <c r="A165" s="46">
        <v>44797</v>
      </c>
      <c r="B165" s="14">
        <v>132.75</v>
      </c>
      <c r="C165" s="14">
        <v>135.470001</v>
      </c>
      <c r="D165" s="14">
        <v>132.10000600000001</v>
      </c>
      <c r="E165" s="14">
        <v>133.800003</v>
      </c>
      <c r="F165" s="14">
        <v>133.800003</v>
      </c>
      <c r="G165" s="14">
        <v>38627000</v>
      </c>
      <c r="H165" s="14">
        <f t="shared" si="2"/>
        <v>-6.3933134199317676E-3</v>
      </c>
    </row>
    <row r="166" spans="1:8" x14ac:dyDescent="0.25">
      <c r="A166" s="46">
        <v>44798</v>
      </c>
      <c r="B166" s="14">
        <v>135.259995</v>
      </c>
      <c r="C166" s="14">
        <v>137.41999799999999</v>
      </c>
      <c r="D166" s="14">
        <v>134.279999</v>
      </c>
      <c r="E166" s="14">
        <v>137.279999</v>
      </c>
      <c r="F166" s="14">
        <v>137.279999</v>
      </c>
      <c r="G166" s="14">
        <v>37496300</v>
      </c>
      <c r="H166" s="14">
        <f t="shared" si="2"/>
        <v>1.6502595768239425E-2</v>
      </c>
    </row>
    <row r="167" spans="1:8" x14ac:dyDescent="0.25">
      <c r="A167" s="46">
        <v>44799</v>
      </c>
      <c r="B167" s="14">
        <v>136.550003</v>
      </c>
      <c r="C167" s="14">
        <v>137.83000200000001</v>
      </c>
      <c r="D167" s="14">
        <v>130.5</v>
      </c>
      <c r="E167" s="14">
        <v>130.75</v>
      </c>
      <c r="F167" s="14">
        <v>130.75</v>
      </c>
      <c r="G167" s="14">
        <v>53322700</v>
      </c>
      <c r="H167" s="14">
        <f t="shared" si="2"/>
        <v>-2.815012681076956E-2</v>
      </c>
    </row>
    <row r="168" spans="1:8" x14ac:dyDescent="0.25">
      <c r="A168" s="46">
        <v>44802</v>
      </c>
      <c r="B168" s="14">
        <v>129.89999399999999</v>
      </c>
      <c r="C168" s="14">
        <v>131.949997</v>
      </c>
      <c r="D168" s="14">
        <v>128.770004</v>
      </c>
      <c r="E168" s="14">
        <v>129.78999300000001</v>
      </c>
      <c r="F168" s="14">
        <v>129.78999300000001</v>
      </c>
      <c r="G168" s="14">
        <v>48101600</v>
      </c>
      <c r="H168" s="14">
        <f t="shared" si="2"/>
        <v>-4.4188914431673165E-3</v>
      </c>
    </row>
    <row r="169" spans="1:8" x14ac:dyDescent="0.25">
      <c r="A169" s="46">
        <v>44803</v>
      </c>
      <c r="B169" s="14">
        <v>131.25</v>
      </c>
      <c r="C169" s="14">
        <v>132.070007</v>
      </c>
      <c r="D169" s="14">
        <v>126.849998</v>
      </c>
      <c r="E169" s="14">
        <v>128.729996</v>
      </c>
      <c r="F169" s="14">
        <v>128.729996</v>
      </c>
      <c r="G169" s="14">
        <v>49203000</v>
      </c>
      <c r="H169" s="14">
        <f t="shared" si="2"/>
        <v>-1.4910351326850924E-2</v>
      </c>
    </row>
    <row r="170" spans="1:8" x14ac:dyDescent="0.25">
      <c r="A170" s="46">
        <v>44804</v>
      </c>
      <c r="B170" s="14">
        <v>129.449997</v>
      </c>
      <c r="C170" s="14">
        <v>130.58999600000001</v>
      </c>
      <c r="D170" s="14">
        <v>126.739998</v>
      </c>
      <c r="E170" s="14">
        <v>126.769997</v>
      </c>
      <c r="F170" s="14">
        <v>126.769997</v>
      </c>
      <c r="G170" s="14">
        <v>53648700</v>
      </c>
      <c r="H170" s="14">
        <f t="shared" si="2"/>
        <v>-8.6716595770064409E-4</v>
      </c>
    </row>
    <row r="171" spans="1:8" x14ac:dyDescent="0.25">
      <c r="A171" s="46">
        <v>44805</v>
      </c>
      <c r="B171" s="14">
        <v>126</v>
      </c>
      <c r="C171" s="14">
        <v>128.020004</v>
      </c>
      <c r="D171" s="14">
        <v>123.660004</v>
      </c>
      <c r="E171" s="14">
        <v>127.82</v>
      </c>
      <c r="F171" s="14">
        <v>127.82</v>
      </c>
      <c r="G171" s="14">
        <v>56636100</v>
      </c>
      <c r="H171" s="14">
        <f t="shared" si="2"/>
        <v>-2.4301673099284771E-2</v>
      </c>
    </row>
    <row r="172" spans="1:8" x14ac:dyDescent="0.25">
      <c r="A172" s="46">
        <v>44806</v>
      </c>
      <c r="B172" s="14">
        <v>129.5</v>
      </c>
      <c r="C172" s="14">
        <v>131.38000500000001</v>
      </c>
      <c r="D172" s="14">
        <v>126.389999</v>
      </c>
      <c r="E172" s="14">
        <v>127.510002</v>
      </c>
      <c r="F172" s="14">
        <v>127.510002</v>
      </c>
      <c r="G172" s="14">
        <v>57429800</v>
      </c>
      <c r="H172" s="14">
        <f t="shared" si="2"/>
        <v>2.2076620667099478E-2</v>
      </c>
    </row>
    <row r="173" spans="1:8" x14ac:dyDescent="0.25">
      <c r="A173" s="46">
        <v>44810</v>
      </c>
      <c r="B173" s="14">
        <v>127.91999800000001</v>
      </c>
      <c r="C173" s="14">
        <v>128.61999499999999</v>
      </c>
      <c r="D173" s="14">
        <v>124.739998</v>
      </c>
      <c r="E173" s="14">
        <v>126.110001</v>
      </c>
      <c r="F173" s="14">
        <v>126.110001</v>
      </c>
      <c r="G173" s="14">
        <v>43888600</v>
      </c>
      <c r="H173" s="14">
        <f t="shared" si="2"/>
        <v>-3.2637095756286871E-3</v>
      </c>
    </row>
    <row r="174" spans="1:8" x14ac:dyDescent="0.25">
      <c r="A174" s="46">
        <v>44811</v>
      </c>
      <c r="B174" s="14">
        <v>126.120003</v>
      </c>
      <c r="C174" s="14">
        <v>129.820007</v>
      </c>
      <c r="D174" s="14">
        <v>125.400002</v>
      </c>
      <c r="E174" s="14">
        <v>129.479996</v>
      </c>
      <c r="F174" s="14">
        <v>129.479996</v>
      </c>
      <c r="G174" s="14">
        <v>47900300</v>
      </c>
      <c r="H174" s="14">
        <f t="shared" si="2"/>
        <v>5.2910374425370055E-3</v>
      </c>
    </row>
    <row r="175" spans="1:8" x14ac:dyDescent="0.25">
      <c r="A175" s="46">
        <v>44812</v>
      </c>
      <c r="B175" s="14">
        <v>127.720001</v>
      </c>
      <c r="C175" s="14">
        <v>130.279999</v>
      </c>
      <c r="D175" s="14">
        <v>127.099998</v>
      </c>
      <c r="E175" s="14">
        <v>129.820007</v>
      </c>
      <c r="F175" s="14">
        <v>129.820007</v>
      </c>
      <c r="G175" s="14">
        <v>43988500</v>
      </c>
      <c r="H175" s="14">
        <f t="shared" si="2"/>
        <v>1.3556586705636642E-2</v>
      </c>
    </row>
    <row r="176" spans="1:8" x14ac:dyDescent="0.25">
      <c r="A176" s="46">
        <v>44813</v>
      </c>
      <c r="B176" s="14">
        <v>130.91000399999999</v>
      </c>
      <c r="C176" s="14">
        <v>133.69000199999999</v>
      </c>
      <c r="D176" s="14">
        <v>130.759995</v>
      </c>
      <c r="E176" s="14">
        <v>133.270004</v>
      </c>
      <c r="F176" s="14">
        <v>133.270004</v>
      </c>
      <c r="G176" s="14">
        <v>49387600</v>
      </c>
      <c r="H176" s="14">
        <f t="shared" si="2"/>
        <v>2.8796200295770236E-2</v>
      </c>
    </row>
    <row r="177" spans="1:8" x14ac:dyDescent="0.25">
      <c r="A177" s="46">
        <v>44816</v>
      </c>
      <c r="B177" s="14">
        <v>134.10000600000001</v>
      </c>
      <c r="C177" s="14">
        <v>136.490005</v>
      </c>
      <c r="D177" s="14">
        <v>134</v>
      </c>
      <c r="E177" s="14">
        <v>136.449997</v>
      </c>
      <c r="F177" s="14">
        <v>136.449997</v>
      </c>
      <c r="G177" s="14">
        <v>53826900</v>
      </c>
      <c r="H177" s="14">
        <f t="shared" si="2"/>
        <v>8.2594196081658602E-3</v>
      </c>
    </row>
    <row r="178" spans="1:8" x14ac:dyDescent="0.25">
      <c r="A178" s="46">
        <v>44817</v>
      </c>
      <c r="B178" s="14">
        <v>131.009995</v>
      </c>
      <c r="C178" s="14">
        <v>131.39999399999999</v>
      </c>
      <c r="D178" s="14">
        <v>126.269997</v>
      </c>
      <c r="E178" s="14">
        <v>126.82</v>
      </c>
      <c r="F178" s="14">
        <v>126.82</v>
      </c>
      <c r="G178" s="14">
        <v>72694000</v>
      </c>
      <c r="H178" s="14">
        <f t="shared" si="2"/>
        <v>-5.7686589552238821E-2</v>
      </c>
    </row>
    <row r="179" spans="1:8" x14ac:dyDescent="0.25">
      <c r="A179" s="46">
        <v>44818</v>
      </c>
      <c r="B179" s="14">
        <v>127.360001</v>
      </c>
      <c r="C179" s="14">
        <v>128.83999600000001</v>
      </c>
      <c r="D179" s="14">
        <v>126.33000199999999</v>
      </c>
      <c r="E179" s="14">
        <v>128.550003</v>
      </c>
      <c r="F179" s="14">
        <v>128.550003</v>
      </c>
      <c r="G179" s="14">
        <v>45316800</v>
      </c>
      <c r="H179" s="14">
        <f t="shared" si="2"/>
        <v>4.7521185891841178E-4</v>
      </c>
    </row>
    <row r="180" spans="1:8" x14ac:dyDescent="0.25">
      <c r="A180" s="46">
        <v>44819</v>
      </c>
      <c r="B180" s="14">
        <v>127.379997</v>
      </c>
      <c r="C180" s="14">
        <v>130.36999499999999</v>
      </c>
      <c r="D180" s="14">
        <v>125.5</v>
      </c>
      <c r="E180" s="14">
        <v>126.279999</v>
      </c>
      <c r="F180" s="14">
        <v>126.279999</v>
      </c>
      <c r="G180" s="14">
        <v>52887200</v>
      </c>
      <c r="H180" s="14">
        <f t="shared" si="2"/>
        <v>-6.5701099252732931E-3</v>
      </c>
    </row>
    <row r="181" spans="1:8" x14ac:dyDescent="0.25">
      <c r="A181" s="46">
        <v>44820</v>
      </c>
      <c r="B181" s="14">
        <v>122.779999</v>
      </c>
      <c r="C181" s="14">
        <v>123.870003</v>
      </c>
      <c r="D181" s="14">
        <v>120.699997</v>
      </c>
      <c r="E181" s="14">
        <v>123.529999</v>
      </c>
      <c r="F181" s="14">
        <v>123.529999</v>
      </c>
      <c r="G181" s="14">
        <v>115667800</v>
      </c>
      <c r="H181" s="14">
        <f t="shared" si="2"/>
        <v>-3.8247035856573741E-2</v>
      </c>
    </row>
    <row r="182" spans="1:8" x14ac:dyDescent="0.25">
      <c r="A182" s="46">
        <v>44823</v>
      </c>
      <c r="B182" s="14">
        <v>122.160004</v>
      </c>
      <c r="C182" s="14">
        <v>124.709999</v>
      </c>
      <c r="D182" s="14">
        <v>121.800003</v>
      </c>
      <c r="E182" s="14">
        <v>124.660004</v>
      </c>
      <c r="F182" s="14">
        <v>124.660004</v>
      </c>
      <c r="G182" s="14">
        <v>47279700</v>
      </c>
      <c r="H182" s="14">
        <f t="shared" si="2"/>
        <v>3.0378514977649207E-3</v>
      </c>
    </row>
    <row r="183" spans="1:8" x14ac:dyDescent="0.25">
      <c r="A183" s="46">
        <v>44824</v>
      </c>
      <c r="B183" s="14">
        <v>123.349998</v>
      </c>
      <c r="C183" s="14">
        <v>124.400002</v>
      </c>
      <c r="D183" s="14">
        <v>121.139999</v>
      </c>
      <c r="E183" s="14">
        <v>122.19000200000001</v>
      </c>
      <c r="F183" s="14">
        <v>122.19000200000001</v>
      </c>
      <c r="G183" s="14">
        <v>47698400</v>
      </c>
      <c r="H183" s="14">
        <f t="shared" si="2"/>
        <v>-5.4187519190783684E-3</v>
      </c>
    </row>
    <row r="184" spans="1:8" x14ac:dyDescent="0.25">
      <c r="A184" s="46">
        <v>44825</v>
      </c>
      <c r="B184" s="14">
        <v>122.489998</v>
      </c>
      <c r="C184" s="14">
        <v>123.760002</v>
      </c>
      <c r="D184" s="14">
        <v>118.449997</v>
      </c>
      <c r="E184" s="14">
        <v>118.540001</v>
      </c>
      <c r="F184" s="14">
        <v>118.540001</v>
      </c>
      <c r="G184" s="14">
        <v>58498900</v>
      </c>
      <c r="H184" s="14">
        <f t="shared" si="2"/>
        <v>-2.220572909200702E-2</v>
      </c>
    </row>
    <row r="185" spans="1:8" x14ac:dyDescent="0.25">
      <c r="A185" s="46">
        <v>44826</v>
      </c>
      <c r="B185" s="14">
        <v>117.08000199999999</v>
      </c>
      <c r="C185" s="14">
        <v>118.790001</v>
      </c>
      <c r="D185" s="14">
        <v>116.260002</v>
      </c>
      <c r="E185" s="14">
        <v>117.30999799999999</v>
      </c>
      <c r="F185" s="14">
        <v>117.30999799999999</v>
      </c>
      <c r="G185" s="14">
        <v>55229200</v>
      </c>
      <c r="H185" s="14">
        <f t="shared" si="2"/>
        <v>-1.8488772101868389E-2</v>
      </c>
    </row>
    <row r="186" spans="1:8" x14ac:dyDescent="0.25">
      <c r="A186" s="46">
        <v>44827</v>
      </c>
      <c r="B186" s="14">
        <v>116</v>
      </c>
      <c r="C186" s="14">
        <v>116.050003</v>
      </c>
      <c r="D186" s="14">
        <v>112.05999799999999</v>
      </c>
      <c r="E186" s="14">
        <v>113.779999</v>
      </c>
      <c r="F186" s="14">
        <v>113.779999</v>
      </c>
      <c r="G186" s="14">
        <v>65126700</v>
      </c>
      <c r="H186" s="14">
        <f t="shared" si="2"/>
        <v>-3.6125958435817007E-2</v>
      </c>
    </row>
    <row r="187" spans="1:8" x14ac:dyDescent="0.25">
      <c r="A187" s="46">
        <v>44830</v>
      </c>
      <c r="B187" s="14">
        <v>113.300003</v>
      </c>
      <c r="C187" s="14">
        <v>117.339996</v>
      </c>
      <c r="D187" s="14">
        <v>113.129997</v>
      </c>
      <c r="E187" s="14">
        <v>115.150002</v>
      </c>
      <c r="F187" s="14">
        <v>115.150002</v>
      </c>
      <c r="G187" s="14">
        <v>62723300</v>
      </c>
      <c r="H187" s="14">
        <f t="shared" si="2"/>
        <v>3.1828158102709856E-3</v>
      </c>
    </row>
    <row r="188" spans="1:8" x14ac:dyDescent="0.25">
      <c r="A188" s="46">
        <v>44831</v>
      </c>
      <c r="B188" s="14">
        <v>117.199997</v>
      </c>
      <c r="C188" s="14">
        <v>118.32</v>
      </c>
      <c r="D188" s="14">
        <v>113.050003</v>
      </c>
      <c r="E188" s="14">
        <v>114.410004</v>
      </c>
      <c r="F188" s="14">
        <v>114.410004</v>
      </c>
      <c r="G188" s="14">
        <v>60094700</v>
      </c>
      <c r="H188" s="14">
        <f t="shared" si="2"/>
        <v>-7.0709804756730055E-4</v>
      </c>
    </row>
    <row r="189" spans="1:8" x14ac:dyDescent="0.25">
      <c r="A189" s="46">
        <v>44832</v>
      </c>
      <c r="B189" s="14">
        <v>114.379997</v>
      </c>
      <c r="C189" s="14">
        <v>118.699997</v>
      </c>
      <c r="D189" s="14">
        <v>113.800003</v>
      </c>
      <c r="E189" s="14">
        <v>118.010002</v>
      </c>
      <c r="F189" s="14">
        <v>118.010002</v>
      </c>
      <c r="G189" s="14">
        <v>55763800</v>
      </c>
      <c r="H189" s="14">
        <f t="shared" si="2"/>
        <v>6.6342324643724471E-3</v>
      </c>
    </row>
    <row r="190" spans="1:8" x14ac:dyDescent="0.25">
      <c r="A190" s="46">
        <v>44833</v>
      </c>
      <c r="B190" s="14">
        <v>115.599998</v>
      </c>
      <c r="C190" s="14">
        <v>116.07</v>
      </c>
      <c r="D190" s="14">
        <v>113.05999799999999</v>
      </c>
      <c r="E190" s="14">
        <v>114.800003</v>
      </c>
      <c r="F190" s="14">
        <v>114.800003</v>
      </c>
      <c r="G190" s="14">
        <v>58969700</v>
      </c>
      <c r="H190" s="14">
        <f t="shared" si="2"/>
        <v>-6.5026799691737525E-3</v>
      </c>
    </row>
    <row r="191" spans="1:8" x14ac:dyDescent="0.25">
      <c r="A191" s="46">
        <v>44834</v>
      </c>
      <c r="B191" s="14">
        <v>114.08000199999999</v>
      </c>
      <c r="C191" s="14">
        <v>116.91999800000001</v>
      </c>
      <c r="D191" s="14">
        <v>112.839996</v>
      </c>
      <c r="E191" s="14">
        <v>113</v>
      </c>
      <c r="F191" s="14">
        <v>113</v>
      </c>
      <c r="G191" s="14">
        <v>59479600</v>
      </c>
      <c r="H191" s="14">
        <f t="shared" si="2"/>
        <v>-1.9458871739940209E-3</v>
      </c>
    </row>
    <row r="192" spans="1:8" x14ac:dyDescent="0.25">
      <c r="A192" s="46">
        <v>44837</v>
      </c>
      <c r="B192" s="14">
        <v>113.58000199999999</v>
      </c>
      <c r="C192" s="14">
        <v>116.910004</v>
      </c>
      <c r="D192" s="14">
        <v>112.449997</v>
      </c>
      <c r="E192" s="14">
        <v>115.879997</v>
      </c>
      <c r="F192" s="14">
        <v>115.879997</v>
      </c>
      <c r="G192" s="14">
        <v>50941900</v>
      </c>
      <c r="H192" s="14">
        <f t="shared" si="2"/>
        <v>-1.1520708195227696E-3</v>
      </c>
    </row>
    <row r="193" spans="1:8" x14ac:dyDescent="0.25">
      <c r="A193" s="46">
        <v>44838</v>
      </c>
      <c r="B193" s="14">
        <v>119.889999</v>
      </c>
      <c r="C193" s="14">
        <v>123</v>
      </c>
      <c r="D193" s="14">
        <v>119.790001</v>
      </c>
      <c r="E193" s="14">
        <v>121.089996</v>
      </c>
      <c r="F193" s="14">
        <v>121.089996</v>
      </c>
      <c r="G193" s="14">
        <v>62812600</v>
      </c>
      <c r="H193" s="14">
        <f t="shared" si="2"/>
        <v>6.527349218159606E-2</v>
      </c>
    </row>
    <row r="194" spans="1:8" x14ac:dyDescent="0.25">
      <c r="A194" s="46">
        <v>44839</v>
      </c>
      <c r="B194" s="14">
        <v>118.58000199999999</v>
      </c>
      <c r="C194" s="14">
        <v>121.75</v>
      </c>
      <c r="D194" s="14">
        <v>117.69000200000001</v>
      </c>
      <c r="E194" s="14">
        <v>120.949997</v>
      </c>
      <c r="F194" s="14">
        <v>120.949997</v>
      </c>
      <c r="G194" s="14">
        <v>48217500</v>
      </c>
      <c r="H194" s="14">
        <f t="shared" si="2"/>
        <v>-1.7530670193416253E-2</v>
      </c>
    </row>
    <row r="195" spans="1:8" x14ac:dyDescent="0.25">
      <c r="A195" s="46">
        <v>44840</v>
      </c>
      <c r="B195" s="14">
        <v>120.769997</v>
      </c>
      <c r="C195" s="14">
        <v>121.529999</v>
      </c>
      <c r="D195" s="14">
        <v>119.5</v>
      </c>
      <c r="E195" s="14">
        <v>120.300003</v>
      </c>
      <c r="F195" s="14">
        <v>120.300003</v>
      </c>
      <c r="G195" s="14">
        <v>42253800</v>
      </c>
      <c r="H195" s="14">
        <f t="shared" si="2"/>
        <v>1.5379369268767595E-2</v>
      </c>
    </row>
    <row r="196" spans="1:8" x14ac:dyDescent="0.25">
      <c r="A196" s="46">
        <v>44841</v>
      </c>
      <c r="B196" s="14">
        <v>118</v>
      </c>
      <c r="C196" s="14">
        <v>118.16999800000001</v>
      </c>
      <c r="D196" s="14">
        <v>113.879997</v>
      </c>
      <c r="E196" s="14">
        <v>114.55999799999999</v>
      </c>
      <c r="F196" s="14">
        <v>114.55999799999999</v>
      </c>
      <c r="G196" s="14">
        <v>54678000</v>
      </c>
      <c r="H196" s="14">
        <f t="shared" ref="H196:H259" si="3">(D196/D195-1)/(A196-A195)</f>
        <v>-4.7029313807531392E-2</v>
      </c>
    </row>
    <row r="197" spans="1:8" x14ac:dyDescent="0.25">
      <c r="A197" s="46">
        <v>44844</v>
      </c>
      <c r="B197" s="14">
        <v>115.099998</v>
      </c>
      <c r="C197" s="14">
        <v>116.25</v>
      </c>
      <c r="D197" s="14">
        <v>112.43</v>
      </c>
      <c r="E197" s="14">
        <v>113.66999800000001</v>
      </c>
      <c r="F197" s="14">
        <v>113.66999800000001</v>
      </c>
      <c r="G197" s="14">
        <v>42339700</v>
      </c>
      <c r="H197" s="14">
        <f t="shared" si="3"/>
        <v>-4.2442250269231581E-3</v>
      </c>
    </row>
    <row r="198" spans="1:8" x14ac:dyDescent="0.25">
      <c r="A198" s="46">
        <v>44845</v>
      </c>
      <c r="B198" s="14">
        <v>112.709999</v>
      </c>
      <c r="C198" s="14">
        <v>115.480003</v>
      </c>
      <c r="D198" s="14">
        <v>110.389999</v>
      </c>
      <c r="E198" s="14">
        <v>112.209999</v>
      </c>
      <c r="F198" s="14">
        <v>112.209999</v>
      </c>
      <c r="G198" s="14">
        <v>56432200</v>
      </c>
      <c r="H198" s="14">
        <f t="shared" si="3"/>
        <v>-1.8144632215600809E-2</v>
      </c>
    </row>
    <row r="199" spans="1:8" x14ac:dyDescent="0.25">
      <c r="A199" s="46">
        <v>44846</v>
      </c>
      <c r="B199" s="14">
        <v>112.489998</v>
      </c>
      <c r="C199" s="14">
        <v>113.83000199999999</v>
      </c>
      <c r="D199" s="14">
        <v>111.400002</v>
      </c>
      <c r="E199" s="14">
        <v>112.900002</v>
      </c>
      <c r="F199" s="14">
        <v>112.900002</v>
      </c>
      <c r="G199" s="14">
        <v>45728700</v>
      </c>
      <c r="H199" s="14">
        <f t="shared" si="3"/>
        <v>9.1494067320354588E-3</v>
      </c>
    </row>
    <row r="200" spans="1:8" x14ac:dyDescent="0.25">
      <c r="A200" s="46">
        <v>44847</v>
      </c>
      <c r="B200" s="14">
        <v>107.879997</v>
      </c>
      <c r="C200" s="14">
        <v>113.44000200000001</v>
      </c>
      <c r="D200" s="14">
        <v>105.349998</v>
      </c>
      <c r="E200" s="14">
        <v>112.529999</v>
      </c>
      <c r="F200" s="14">
        <v>112.529999</v>
      </c>
      <c r="G200" s="14">
        <v>86868100</v>
      </c>
      <c r="H200" s="14">
        <f t="shared" si="3"/>
        <v>-5.4308832059087431E-2</v>
      </c>
    </row>
    <row r="201" spans="1:8" x14ac:dyDescent="0.25">
      <c r="A201" s="46">
        <v>44848</v>
      </c>
      <c r="B201" s="14">
        <v>114.099998</v>
      </c>
      <c r="C201" s="14">
        <v>114.959999</v>
      </c>
      <c r="D201" s="14">
        <v>106.599998</v>
      </c>
      <c r="E201" s="14">
        <v>106.900002</v>
      </c>
      <c r="F201" s="14">
        <v>106.900002</v>
      </c>
      <c r="G201" s="14">
        <v>67737300</v>
      </c>
      <c r="H201" s="14">
        <f t="shared" si="3"/>
        <v>1.186521142601249E-2</v>
      </c>
    </row>
    <row r="202" spans="1:8" x14ac:dyDescent="0.25">
      <c r="A202" s="46">
        <v>44851</v>
      </c>
      <c r="B202" s="14">
        <v>110.110001</v>
      </c>
      <c r="C202" s="14">
        <v>114.19000200000001</v>
      </c>
      <c r="D202" s="14">
        <v>110.089996</v>
      </c>
      <c r="E202" s="14">
        <v>113.790001</v>
      </c>
      <c r="F202" s="14">
        <v>113.790001</v>
      </c>
      <c r="G202" s="14">
        <v>62782000</v>
      </c>
      <c r="H202" s="14">
        <f t="shared" si="3"/>
        <v>1.0913064620007443E-2</v>
      </c>
    </row>
    <row r="203" spans="1:8" x14ac:dyDescent="0.25">
      <c r="A203" s="46">
        <v>44852</v>
      </c>
      <c r="B203" s="14">
        <v>119.05999799999999</v>
      </c>
      <c r="C203" s="14">
        <v>119.519997</v>
      </c>
      <c r="D203" s="14">
        <v>114.790001</v>
      </c>
      <c r="E203" s="14">
        <v>116.360001</v>
      </c>
      <c r="F203" s="14">
        <v>116.360001</v>
      </c>
      <c r="G203" s="14">
        <v>65607400</v>
      </c>
      <c r="H203" s="14">
        <f t="shared" si="3"/>
        <v>4.2692389597325464E-2</v>
      </c>
    </row>
    <row r="204" spans="1:8" x14ac:dyDescent="0.25">
      <c r="A204" s="46">
        <v>44853</v>
      </c>
      <c r="B204" s="14">
        <v>114.709999</v>
      </c>
      <c r="C204" s="14">
        <v>116.589996</v>
      </c>
      <c r="D204" s="14">
        <v>113.220001</v>
      </c>
      <c r="E204" s="14">
        <v>115.07</v>
      </c>
      <c r="F204" s="14">
        <v>115.07</v>
      </c>
      <c r="G204" s="14">
        <v>47198100</v>
      </c>
      <c r="H204" s="14">
        <f t="shared" si="3"/>
        <v>-1.3677149458340088E-2</v>
      </c>
    </row>
    <row r="205" spans="1:8" x14ac:dyDescent="0.25">
      <c r="A205" s="46">
        <v>44854</v>
      </c>
      <c r="B205" s="14">
        <v>113.83000199999999</v>
      </c>
      <c r="C205" s="14">
        <v>118.239998</v>
      </c>
      <c r="D205" s="14">
        <v>113.510002</v>
      </c>
      <c r="E205" s="14">
        <v>115.25</v>
      </c>
      <c r="F205" s="14">
        <v>115.25</v>
      </c>
      <c r="G205" s="14">
        <v>48795100</v>
      </c>
      <c r="H205" s="14">
        <f t="shared" si="3"/>
        <v>2.56139372406472E-3</v>
      </c>
    </row>
    <row r="206" spans="1:8" x14ac:dyDescent="0.25">
      <c r="A206" s="46">
        <v>44855</v>
      </c>
      <c r="B206" s="14">
        <v>114.790001</v>
      </c>
      <c r="C206" s="14">
        <v>119.589996</v>
      </c>
      <c r="D206" s="14">
        <v>114.5</v>
      </c>
      <c r="E206" s="14">
        <v>119.32</v>
      </c>
      <c r="F206" s="14">
        <v>119.32</v>
      </c>
      <c r="G206" s="14">
        <v>55660500</v>
      </c>
      <c r="H206" s="14">
        <f t="shared" si="3"/>
        <v>8.7216807554986175E-3</v>
      </c>
    </row>
    <row r="207" spans="1:8" x14ac:dyDescent="0.25">
      <c r="A207" s="46">
        <v>44858</v>
      </c>
      <c r="B207" s="14">
        <v>119.980003</v>
      </c>
      <c r="C207" s="14">
        <v>120.389999</v>
      </c>
      <c r="D207" s="14">
        <v>116.57</v>
      </c>
      <c r="E207" s="14">
        <v>119.82</v>
      </c>
      <c r="F207" s="14">
        <v>119.82</v>
      </c>
      <c r="G207" s="14">
        <v>49531500</v>
      </c>
      <c r="H207" s="14">
        <f t="shared" si="3"/>
        <v>6.0262008733624013E-3</v>
      </c>
    </row>
    <row r="208" spans="1:8" x14ac:dyDescent="0.25">
      <c r="A208" s="46">
        <v>44859</v>
      </c>
      <c r="B208" s="14">
        <v>119.650002</v>
      </c>
      <c r="C208" s="14">
        <v>121.32</v>
      </c>
      <c r="D208" s="14">
        <v>118.949997</v>
      </c>
      <c r="E208" s="14">
        <v>120.599998</v>
      </c>
      <c r="F208" s="14">
        <v>120.599998</v>
      </c>
      <c r="G208" s="14">
        <v>50934600</v>
      </c>
      <c r="H208" s="14">
        <f t="shared" si="3"/>
        <v>2.0416891138371751E-2</v>
      </c>
    </row>
    <row r="209" spans="1:8" x14ac:dyDescent="0.25">
      <c r="A209" s="46">
        <v>44860</v>
      </c>
      <c r="B209" s="14">
        <v>116</v>
      </c>
      <c r="C209" s="14">
        <v>119.349998</v>
      </c>
      <c r="D209" s="14">
        <v>114.760002</v>
      </c>
      <c r="E209" s="14">
        <v>115.660004</v>
      </c>
      <c r="F209" s="14">
        <v>115.660004</v>
      </c>
      <c r="G209" s="14">
        <v>68802300</v>
      </c>
      <c r="H209" s="14">
        <f t="shared" si="3"/>
        <v>-3.522484325913855E-2</v>
      </c>
    </row>
    <row r="210" spans="1:8" x14ac:dyDescent="0.25">
      <c r="A210" s="46">
        <v>44861</v>
      </c>
      <c r="B210" s="14">
        <v>113.91999800000001</v>
      </c>
      <c r="C210" s="14">
        <v>114.120003</v>
      </c>
      <c r="D210" s="14">
        <v>109.769997</v>
      </c>
      <c r="E210" s="14">
        <v>110.959999</v>
      </c>
      <c r="F210" s="14">
        <v>110.959999</v>
      </c>
      <c r="G210" s="14">
        <v>129605400</v>
      </c>
      <c r="H210" s="14">
        <f t="shared" si="3"/>
        <v>-4.3482092305993536E-2</v>
      </c>
    </row>
    <row r="211" spans="1:8" x14ac:dyDescent="0.25">
      <c r="A211" s="46">
        <v>44862</v>
      </c>
      <c r="B211" s="14">
        <v>97.910004000000001</v>
      </c>
      <c r="C211" s="14">
        <v>103.959999</v>
      </c>
      <c r="D211" s="14">
        <v>97.660004000000001</v>
      </c>
      <c r="E211" s="14">
        <v>103.410004</v>
      </c>
      <c r="F211" s="14">
        <v>103.410004</v>
      </c>
      <c r="G211" s="14">
        <v>223133400</v>
      </c>
      <c r="H211" s="14">
        <f t="shared" si="3"/>
        <v>-0.11032152073393975</v>
      </c>
    </row>
    <row r="212" spans="1:8" x14ac:dyDescent="0.25">
      <c r="A212" s="46">
        <v>44865</v>
      </c>
      <c r="B212" s="14">
        <v>103.55999799999999</v>
      </c>
      <c r="C212" s="14">
        <v>104.870003</v>
      </c>
      <c r="D212" s="14">
        <v>100.739998</v>
      </c>
      <c r="E212" s="14">
        <v>102.44000200000001</v>
      </c>
      <c r="F212" s="14">
        <v>102.44000200000001</v>
      </c>
      <c r="G212" s="14">
        <v>99251400</v>
      </c>
      <c r="H212" s="14">
        <f t="shared" si="3"/>
        <v>1.0512642070613346E-2</v>
      </c>
    </row>
    <row r="213" spans="1:8" x14ac:dyDescent="0.25">
      <c r="A213" s="46">
        <v>44866</v>
      </c>
      <c r="B213" s="14">
        <v>103.989998</v>
      </c>
      <c r="C213" s="14">
        <v>104.58000199999999</v>
      </c>
      <c r="D213" s="14">
        <v>96.059997999999993</v>
      </c>
      <c r="E213" s="14">
        <v>96.790001000000004</v>
      </c>
      <c r="F213" s="14">
        <v>96.790001000000004</v>
      </c>
      <c r="G213" s="14">
        <v>153370000</v>
      </c>
      <c r="H213" s="14">
        <f t="shared" si="3"/>
        <v>-4.6456224865122686E-2</v>
      </c>
    </row>
    <row r="214" spans="1:8" x14ac:dyDescent="0.25">
      <c r="A214" s="46">
        <v>44867</v>
      </c>
      <c r="B214" s="14">
        <v>97.32</v>
      </c>
      <c r="C214" s="14">
        <v>97.739998</v>
      </c>
      <c r="D214" s="14">
        <v>92.010002</v>
      </c>
      <c r="E214" s="14">
        <v>92.120002999999997</v>
      </c>
      <c r="F214" s="14">
        <v>92.120002999999997</v>
      </c>
      <c r="G214" s="14">
        <v>135761800</v>
      </c>
      <c r="H214" s="14">
        <f t="shared" si="3"/>
        <v>-4.2161108518865453E-2</v>
      </c>
    </row>
    <row r="215" spans="1:8" x14ac:dyDescent="0.25">
      <c r="A215" s="46">
        <v>44868</v>
      </c>
      <c r="B215" s="14">
        <v>92.470000999999996</v>
      </c>
      <c r="C215" s="14">
        <v>93.5</v>
      </c>
      <c r="D215" s="14">
        <v>89.019997000000004</v>
      </c>
      <c r="E215" s="14">
        <v>89.300003000000004</v>
      </c>
      <c r="F215" s="14">
        <v>89.300003000000004</v>
      </c>
      <c r="G215" s="14">
        <v>136683300</v>
      </c>
      <c r="H215" s="14">
        <f t="shared" si="3"/>
        <v>-3.2496521410791845E-2</v>
      </c>
    </row>
    <row r="216" spans="1:8" x14ac:dyDescent="0.25">
      <c r="A216" s="46">
        <v>44869</v>
      </c>
      <c r="B216" s="14">
        <v>91.489998</v>
      </c>
      <c r="C216" s="14">
        <v>92.440002000000007</v>
      </c>
      <c r="D216" s="14">
        <v>88.040001000000004</v>
      </c>
      <c r="E216" s="14">
        <v>90.980002999999996</v>
      </c>
      <c r="F216" s="14">
        <v>90.980002999999996</v>
      </c>
      <c r="G216" s="14">
        <v>129101300</v>
      </c>
      <c r="H216" s="14">
        <f t="shared" si="3"/>
        <v>-1.1008717513212196E-2</v>
      </c>
    </row>
    <row r="217" spans="1:8" x14ac:dyDescent="0.25">
      <c r="A217" s="46">
        <v>44872</v>
      </c>
      <c r="B217" s="14">
        <v>91.949996999999996</v>
      </c>
      <c r="C217" s="14">
        <v>92.099997999999999</v>
      </c>
      <c r="D217" s="14">
        <v>89.040001000000004</v>
      </c>
      <c r="E217" s="14">
        <v>90.529999000000004</v>
      </c>
      <c r="F217" s="14">
        <v>90.529999000000004</v>
      </c>
      <c r="G217" s="14">
        <v>77495700</v>
      </c>
      <c r="H217" s="14">
        <f t="shared" si="3"/>
        <v>3.7861577640524078E-3</v>
      </c>
    </row>
    <row r="218" spans="1:8" x14ac:dyDescent="0.25">
      <c r="A218" s="46">
        <v>44873</v>
      </c>
      <c r="B218" s="14">
        <v>90.790001000000004</v>
      </c>
      <c r="C218" s="14">
        <v>91.720000999999996</v>
      </c>
      <c r="D218" s="14">
        <v>88.230002999999996</v>
      </c>
      <c r="E218" s="14">
        <v>89.980002999999996</v>
      </c>
      <c r="F218" s="14">
        <v>89.980002999999996</v>
      </c>
      <c r="G218" s="14">
        <v>88703400</v>
      </c>
      <c r="H218" s="14">
        <f t="shared" si="3"/>
        <v>-9.0970124764486737E-3</v>
      </c>
    </row>
    <row r="219" spans="1:8" x14ac:dyDescent="0.25">
      <c r="A219" s="46">
        <v>44874</v>
      </c>
      <c r="B219" s="14">
        <v>89.470000999999996</v>
      </c>
      <c r="C219" s="14">
        <v>89.480002999999996</v>
      </c>
      <c r="D219" s="14">
        <v>85.870002999999997</v>
      </c>
      <c r="E219" s="14">
        <v>86.139999000000003</v>
      </c>
      <c r="F219" s="14">
        <v>86.139999000000003</v>
      </c>
      <c r="G219" s="14">
        <v>90796200</v>
      </c>
      <c r="H219" s="14">
        <f t="shared" si="3"/>
        <v>-2.6748270653464634E-2</v>
      </c>
    </row>
    <row r="220" spans="1:8" x14ac:dyDescent="0.25">
      <c r="A220" s="46">
        <v>44875</v>
      </c>
      <c r="B220" s="14">
        <v>92.940002000000007</v>
      </c>
      <c r="C220" s="14">
        <v>98.690002000000007</v>
      </c>
      <c r="D220" s="14">
        <v>91.650002000000001</v>
      </c>
      <c r="E220" s="14">
        <v>96.629997000000003</v>
      </c>
      <c r="F220" s="14">
        <v>96.629997000000003</v>
      </c>
      <c r="G220" s="14">
        <v>173414900</v>
      </c>
      <c r="H220" s="14">
        <f t="shared" si="3"/>
        <v>6.7311037592487466E-2</v>
      </c>
    </row>
    <row r="221" spans="1:8" x14ac:dyDescent="0.25">
      <c r="A221" s="46">
        <v>44876</v>
      </c>
      <c r="B221" s="14">
        <v>97.879997000000003</v>
      </c>
      <c r="C221" s="14">
        <v>101.19000200000001</v>
      </c>
      <c r="D221" s="14">
        <v>96.660004000000001</v>
      </c>
      <c r="E221" s="14">
        <v>100.790001</v>
      </c>
      <c r="F221" s="14">
        <v>100.790001</v>
      </c>
      <c r="G221" s="14">
        <v>111590500</v>
      </c>
      <c r="H221" s="14">
        <f t="shared" si="3"/>
        <v>5.4664505080970871E-2</v>
      </c>
    </row>
    <row r="222" spans="1:8" x14ac:dyDescent="0.25">
      <c r="A222" s="46">
        <v>44879</v>
      </c>
      <c r="B222" s="14">
        <v>98.769997000000004</v>
      </c>
      <c r="C222" s="14">
        <v>100.120003</v>
      </c>
      <c r="D222" s="14">
        <v>97.290001000000004</v>
      </c>
      <c r="E222" s="14">
        <v>98.489998</v>
      </c>
      <c r="F222" s="14">
        <v>98.489998</v>
      </c>
      <c r="G222" s="14">
        <v>99533100</v>
      </c>
      <c r="H222" s="14">
        <f t="shared" si="3"/>
        <v>2.1725531896315728E-3</v>
      </c>
    </row>
    <row r="223" spans="1:8" x14ac:dyDescent="0.25">
      <c r="A223" s="46">
        <v>44880</v>
      </c>
      <c r="B223" s="14">
        <v>103.209999</v>
      </c>
      <c r="C223" s="14">
        <v>103.790001</v>
      </c>
      <c r="D223" s="14">
        <v>97.339995999999999</v>
      </c>
      <c r="E223" s="14">
        <v>98.940002000000007</v>
      </c>
      <c r="F223" s="14">
        <v>98.940002000000007</v>
      </c>
      <c r="G223" s="14">
        <v>111336300</v>
      </c>
      <c r="H223" s="14">
        <f t="shared" si="3"/>
        <v>5.1387603542107918E-4</v>
      </c>
    </row>
    <row r="224" spans="1:8" x14ac:dyDescent="0.25">
      <c r="A224" s="46">
        <v>44881</v>
      </c>
      <c r="B224" s="14">
        <v>96.849997999999999</v>
      </c>
      <c r="C224" s="14">
        <v>98.489998</v>
      </c>
      <c r="D224" s="14">
        <v>95.540001000000004</v>
      </c>
      <c r="E224" s="14">
        <v>97.120002999999997</v>
      </c>
      <c r="F224" s="14">
        <v>97.120002999999997</v>
      </c>
      <c r="G224" s="14">
        <v>87958800</v>
      </c>
      <c r="H224" s="14">
        <f t="shared" si="3"/>
        <v>-1.8491833511067646E-2</v>
      </c>
    </row>
    <row r="225" spans="1:8" x14ac:dyDescent="0.25">
      <c r="A225" s="46">
        <v>44882</v>
      </c>
      <c r="B225" s="14">
        <v>95.370002999999997</v>
      </c>
      <c r="C225" s="14">
        <v>96.970000999999996</v>
      </c>
      <c r="D225" s="14">
        <v>94.029999000000004</v>
      </c>
      <c r="E225" s="14">
        <v>94.849997999999999</v>
      </c>
      <c r="F225" s="14">
        <v>94.849997999999999</v>
      </c>
      <c r="G225" s="14">
        <v>82617900</v>
      </c>
      <c r="H225" s="14">
        <f t="shared" si="3"/>
        <v>-1.5804919240057336E-2</v>
      </c>
    </row>
    <row r="226" spans="1:8" x14ac:dyDescent="0.25">
      <c r="A226" s="46">
        <v>44883</v>
      </c>
      <c r="B226" s="14">
        <v>95.949996999999996</v>
      </c>
      <c r="C226" s="14">
        <v>95.989998</v>
      </c>
      <c r="D226" s="14">
        <v>92.480002999999996</v>
      </c>
      <c r="E226" s="14">
        <v>94.139999000000003</v>
      </c>
      <c r="F226" s="14">
        <v>94.139999000000003</v>
      </c>
      <c r="G226" s="14">
        <v>72428200</v>
      </c>
      <c r="H226" s="14">
        <f t="shared" si="3"/>
        <v>-1.6484058454579009E-2</v>
      </c>
    </row>
    <row r="227" spans="1:8" x14ac:dyDescent="0.25">
      <c r="A227" s="46">
        <v>44886</v>
      </c>
      <c r="B227" s="14">
        <v>93.970000999999996</v>
      </c>
      <c r="C227" s="14">
        <v>95.019997000000004</v>
      </c>
      <c r="D227" s="14">
        <v>90.589995999999999</v>
      </c>
      <c r="E227" s="14">
        <v>92.459998999999996</v>
      </c>
      <c r="F227" s="14">
        <v>92.459998999999996</v>
      </c>
      <c r="G227" s="14">
        <v>84330300</v>
      </c>
      <c r="H227" s="14">
        <f t="shared" si="3"/>
        <v>-6.8123087467171954E-3</v>
      </c>
    </row>
    <row r="228" spans="1:8" x14ac:dyDescent="0.25">
      <c r="A228" s="46">
        <v>44887</v>
      </c>
      <c r="B228" s="14">
        <v>92.620002999999997</v>
      </c>
      <c r="C228" s="14">
        <v>93.349997999999999</v>
      </c>
      <c r="D228" s="14">
        <v>90.870002999999997</v>
      </c>
      <c r="E228" s="14">
        <v>93.199996999999996</v>
      </c>
      <c r="F228" s="14">
        <v>93.199996999999996</v>
      </c>
      <c r="G228" s="14">
        <v>62192000</v>
      </c>
      <c r="H228" s="14">
        <f t="shared" si="3"/>
        <v>3.0909262872691468E-3</v>
      </c>
    </row>
    <row r="229" spans="1:8" x14ac:dyDescent="0.25">
      <c r="A229" s="46">
        <v>44888</v>
      </c>
      <c r="B229" s="14">
        <v>93.239998</v>
      </c>
      <c r="C229" s="14">
        <v>94.580001999999993</v>
      </c>
      <c r="D229" s="14">
        <v>92.830001999999993</v>
      </c>
      <c r="E229" s="14">
        <v>94.129997000000003</v>
      </c>
      <c r="F229" s="14">
        <v>94.129997000000003</v>
      </c>
      <c r="G229" s="14">
        <v>59414700</v>
      </c>
      <c r="H229" s="14">
        <f t="shared" si="3"/>
        <v>2.1569263071334888E-2</v>
      </c>
    </row>
    <row r="230" spans="1:8" x14ac:dyDescent="0.25">
      <c r="A230" s="46">
        <v>44890</v>
      </c>
      <c r="B230" s="14">
        <v>93.790001000000004</v>
      </c>
      <c r="C230" s="14">
        <v>94.43</v>
      </c>
      <c r="D230" s="14">
        <v>93.07</v>
      </c>
      <c r="E230" s="14">
        <v>93.410004000000001</v>
      </c>
      <c r="F230" s="14">
        <v>93.410004000000001</v>
      </c>
      <c r="G230" s="14">
        <v>35088600</v>
      </c>
      <c r="H230" s="14">
        <f t="shared" si="3"/>
        <v>1.29267475400896E-3</v>
      </c>
    </row>
    <row r="231" spans="1:8" x14ac:dyDescent="0.25">
      <c r="A231" s="46">
        <v>44893</v>
      </c>
      <c r="B231" s="14">
        <v>93.93</v>
      </c>
      <c r="C231" s="14">
        <v>96.400002000000001</v>
      </c>
      <c r="D231" s="14">
        <v>93.43</v>
      </c>
      <c r="E231" s="14">
        <v>93.949996999999996</v>
      </c>
      <c r="F231" s="14">
        <v>93.949996999999996</v>
      </c>
      <c r="G231" s="14">
        <v>74943100</v>
      </c>
      <c r="H231" s="14">
        <f t="shared" si="3"/>
        <v>1.289352100569537E-3</v>
      </c>
    </row>
    <row r="232" spans="1:8" x14ac:dyDescent="0.25">
      <c r="A232" s="46">
        <v>44894</v>
      </c>
      <c r="B232" s="14">
        <v>94.040001000000004</v>
      </c>
      <c r="C232" s="14">
        <v>94.410004000000001</v>
      </c>
      <c r="D232" s="14">
        <v>91.440002000000007</v>
      </c>
      <c r="E232" s="14">
        <v>92.419998000000007</v>
      </c>
      <c r="F232" s="14">
        <v>92.419998000000007</v>
      </c>
      <c r="G232" s="14">
        <v>65567300</v>
      </c>
      <c r="H232" s="14">
        <f t="shared" si="3"/>
        <v>-2.1299347104784316E-2</v>
      </c>
    </row>
    <row r="233" spans="1:8" x14ac:dyDescent="0.25">
      <c r="A233" s="46">
        <v>44895</v>
      </c>
      <c r="B233" s="14">
        <v>92.470000999999996</v>
      </c>
      <c r="C233" s="14">
        <v>96.540001000000004</v>
      </c>
      <c r="D233" s="14">
        <v>91.529999000000004</v>
      </c>
      <c r="E233" s="14">
        <v>96.540001000000004</v>
      </c>
      <c r="F233" s="14">
        <v>96.540001000000004</v>
      </c>
      <c r="G233" s="14">
        <v>102805800</v>
      </c>
      <c r="H233" s="14">
        <f t="shared" si="3"/>
        <v>9.8421913857782428E-4</v>
      </c>
    </row>
    <row r="234" spans="1:8" x14ac:dyDescent="0.25">
      <c r="A234" s="46">
        <v>44896</v>
      </c>
      <c r="B234" s="14">
        <v>96.989998</v>
      </c>
      <c r="C234" s="14">
        <v>97.230002999999996</v>
      </c>
      <c r="D234" s="14">
        <v>94.919998000000007</v>
      </c>
      <c r="E234" s="14">
        <v>95.5</v>
      </c>
      <c r="F234" s="14">
        <v>95.5</v>
      </c>
      <c r="G234" s="14">
        <v>68488000</v>
      </c>
      <c r="H234" s="14">
        <f t="shared" si="3"/>
        <v>3.7037026516300919E-2</v>
      </c>
    </row>
    <row r="235" spans="1:8" x14ac:dyDescent="0.25">
      <c r="A235" s="46">
        <v>44897</v>
      </c>
      <c r="B235" s="14">
        <v>94.480002999999996</v>
      </c>
      <c r="C235" s="14">
        <v>95.360000999999997</v>
      </c>
      <c r="D235" s="14">
        <v>93.779999000000004</v>
      </c>
      <c r="E235" s="14">
        <v>94.129997000000003</v>
      </c>
      <c r="F235" s="14">
        <v>94.129997000000003</v>
      </c>
      <c r="G235" s="14">
        <v>72496400</v>
      </c>
      <c r="H235" s="14">
        <f t="shared" si="3"/>
        <v>-1.2010103497895219E-2</v>
      </c>
    </row>
    <row r="236" spans="1:8" x14ac:dyDescent="0.25">
      <c r="A236" s="46">
        <v>44900</v>
      </c>
      <c r="B236" s="14">
        <v>93.050003000000004</v>
      </c>
      <c r="C236" s="14">
        <v>94.059997999999993</v>
      </c>
      <c r="D236" s="14">
        <v>90.82</v>
      </c>
      <c r="E236" s="14">
        <v>91.010002</v>
      </c>
      <c r="F236" s="14">
        <v>91.010002</v>
      </c>
      <c r="G236" s="14">
        <v>71535500</v>
      </c>
      <c r="H236" s="14">
        <f t="shared" si="3"/>
        <v>-1.0521074257351382E-2</v>
      </c>
    </row>
    <row r="237" spans="1:8" x14ac:dyDescent="0.25">
      <c r="A237" s="46">
        <v>44901</v>
      </c>
      <c r="B237" s="14">
        <v>90.5</v>
      </c>
      <c r="C237" s="14">
        <v>91.040001000000004</v>
      </c>
      <c r="D237" s="14">
        <v>87.900002000000001</v>
      </c>
      <c r="E237" s="14">
        <v>88.25</v>
      </c>
      <c r="F237" s="14">
        <v>88.25</v>
      </c>
      <c r="G237" s="14">
        <v>75503600</v>
      </c>
      <c r="H237" s="14">
        <f t="shared" si="3"/>
        <v>-3.2151486456727496E-2</v>
      </c>
    </row>
    <row r="238" spans="1:8" x14ac:dyDescent="0.25">
      <c r="A238" s="46">
        <v>44902</v>
      </c>
      <c r="B238" s="14">
        <v>88.339995999999999</v>
      </c>
      <c r="C238" s="14">
        <v>89.889999000000003</v>
      </c>
      <c r="D238" s="14">
        <v>87.480002999999996</v>
      </c>
      <c r="E238" s="14">
        <v>88.459998999999996</v>
      </c>
      <c r="F238" s="14">
        <v>88.459998999999996</v>
      </c>
      <c r="G238" s="14">
        <v>68086900</v>
      </c>
      <c r="H238" s="14">
        <f t="shared" si="3"/>
        <v>-4.7781455113050653E-3</v>
      </c>
    </row>
    <row r="239" spans="1:8" x14ac:dyDescent="0.25">
      <c r="A239" s="46">
        <v>44903</v>
      </c>
      <c r="B239" s="14">
        <v>89.239998</v>
      </c>
      <c r="C239" s="14">
        <v>90.860000999999997</v>
      </c>
      <c r="D239" s="14">
        <v>87.879997000000003</v>
      </c>
      <c r="E239" s="14">
        <v>90.349997999999999</v>
      </c>
      <c r="F239" s="14">
        <v>90.349997999999999</v>
      </c>
      <c r="G239" s="14">
        <v>73305900</v>
      </c>
      <c r="H239" s="14">
        <f t="shared" si="3"/>
        <v>4.5724049643667275E-3</v>
      </c>
    </row>
    <row r="240" spans="1:8" x14ac:dyDescent="0.25">
      <c r="A240" s="46">
        <v>44904</v>
      </c>
      <c r="B240" s="14">
        <v>88.900002000000001</v>
      </c>
      <c r="C240" s="14">
        <v>90.300003000000004</v>
      </c>
      <c r="D240" s="14">
        <v>88.629997000000003</v>
      </c>
      <c r="E240" s="14">
        <v>89.089995999999999</v>
      </c>
      <c r="F240" s="14">
        <v>89.089995999999999</v>
      </c>
      <c r="G240" s="14">
        <v>67398500</v>
      </c>
      <c r="H240" s="14">
        <f t="shared" si="3"/>
        <v>8.5343653345824055E-3</v>
      </c>
    </row>
    <row r="241" spans="1:8" x14ac:dyDescent="0.25">
      <c r="A241" s="46">
        <v>44907</v>
      </c>
      <c r="B241" s="14">
        <v>89.209998999999996</v>
      </c>
      <c r="C241" s="14">
        <v>90.580001999999993</v>
      </c>
      <c r="D241" s="14">
        <v>87.870002999999997</v>
      </c>
      <c r="E241" s="14">
        <v>90.550003000000004</v>
      </c>
      <c r="F241" s="14">
        <v>90.550003000000004</v>
      </c>
      <c r="G241" s="14">
        <v>61999800</v>
      </c>
      <c r="H241" s="14">
        <f t="shared" si="3"/>
        <v>-2.8583024022141856E-3</v>
      </c>
    </row>
    <row r="242" spans="1:8" x14ac:dyDescent="0.25">
      <c r="A242" s="46">
        <v>44908</v>
      </c>
      <c r="B242" s="14">
        <v>95.230002999999996</v>
      </c>
      <c r="C242" s="14">
        <v>96.25</v>
      </c>
      <c r="D242" s="14">
        <v>90.519997000000004</v>
      </c>
      <c r="E242" s="14">
        <v>92.489998</v>
      </c>
      <c r="F242" s="14">
        <v>92.489998</v>
      </c>
      <c r="G242" s="14">
        <v>100212000</v>
      </c>
      <c r="H242" s="14">
        <f t="shared" si="3"/>
        <v>3.0158118920287302E-2</v>
      </c>
    </row>
    <row r="243" spans="1:8" x14ac:dyDescent="0.25">
      <c r="A243" s="46">
        <v>44909</v>
      </c>
      <c r="B243" s="14">
        <v>92.5</v>
      </c>
      <c r="C243" s="14">
        <v>93.459998999999996</v>
      </c>
      <c r="D243" s="14">
        <v>89.870002999999997</v>
      </c>
      <c r="E243" s="14">
        <v>91.580001999999993</v>
      </c>
      <c r="F243" s="14">
        <v>91.580001999999993</v>
      </c>
      <c r="G243" s="14">
        <v>70298000</v>
      </c>
      <c r="H243" s="14">
        <f t="shared" si="3"/>
        <v>-7.180667493835724E-3</v>
      </c>
    </row>
    <row r="244" spans="1:8" x14ac:dyDescent="0.25">
      <c r="A244" s="46">
        <v>44910</v>
      </c>
      <c r="B244" s="14">
        <v>89.889999000000003</v>
      </c>
      <c r="C244" s="14">
        <v>89.970000999999996</v>
      </c>
      <c r="D244" s="14">
        <v>87.470000999999996</v>
      </c>
      <c r="E244" s="14">
        <v>88.449996999999996</v>
      </c>
      <c r="F244" s="14">
        <v>88.449996999999996</v>
      </c>
      <c r="G244" s="14">
        <v>84802900</v>
      </c>
      <c r="H244" s="14">
        <f t="shared" si="3"/>
        <v>-2.6705262266431662E-2</v>
      </c>
    </row>
    <row r="245" spans="1:8" x14ac:dyDescent="0.25">
      <c r="A245" s="46">
        <v>44911</v>
      </c>
      <c r="B245" s="14">
        <v>88.269997000000004</v>
      </c>
      <c r="C245" s="14">
        <v>89.349997999999999</v>
      </c>
      <c r="D245" s="14">
        <v>86.730002999999996</v>
      </c>
      <c r="E245" s="14">
        <v>87.860000999999997</v>
      </c>
      <c r="F245" s="14">
        <v>87.860000999999997</v>
      </c>
      <c r="G245" s="14">
        <v>146144100</v>
      </c>
      <c r="H245" s="14">
        <f t="shared" si="3"/>
        <v>-8.4600204817649738E-3</v>
      </c>
    </row>
    <row r="246" spans="1:8" x14ac:dyDescent="0.25">
      <c r="A246" s="46">
        <v>44914</v>
      </c>
      <c r="B246" s="14">
        <v>87.510002</v>
      </c>
      <c r="C246" s="14">
        <v>87.629997000000003</v>
      </c>
      <c r="D246" s="14">
        <v>84.510002</v>
      </c>
      <c r="E246" s="14">
        <v>84.919998000000007</v>
      </c>
      <c r="F246" s="14">
        <v>84.919998000000007</v>
      </c>
      <c r="G246" s="14">
        <v>83531500</v>
      </c>
      <c r="H246" s="14">
        <f t="shared" si="3"/>
        <v>-8.5322299981164616E-3</v>
      </c>
    </row>
    <row r="247" spans="1:8" x14ac:dyDescent="0.25">
      <c r="A247" s="46">
        <v>44915</v>
      </c>
      <c r="B247" s="14">
        <v>85.330001999999993</v>
      </c>
      <c r="C247" s="14">
        <v>86.610000999999997</v>
      </c>
      <c r="D247" s="14">
        <v>84.330001999999993</v>
      </c>
      <c r="E247" s="14">
        <v>85.190002000000007</v>
      </c>
      <c r="F247" s="14">
        <v>85.190002000000007</v>
      </c>
      <c r="G247" s="14">
        <v>74348300</v>
      </c>
      <c r="H247" s="14">
        <f t="shared" si="3"/>
        <v>-2.1299254022028036E-3</v>
      </c>
    </row>
    <row r="248" spans="1:8" x14ac:dyDescent="0.25">
      <c r="A248" s="46">
        <v>44916</v>
      </c>
      <c r="B248" s="14">
        <v>86.18</v>
      </c>
      <c r="C248" s="14">
        <v>87.230002999999996</v>
      </c>
      <c r="D248" s="14">
        <v>85.209998999999996</v>
      </c>
      <c r="E248" s="14">
        <v>86.769997000000004</v>
      </c>
      <c r="F248" s="14">
        <v>86.769997000000004</v>
      </c>
      <c r="G248" s="14">
        <v>59267200</v>
      </c>
      <c r="H248" s="14">
        <f t="shared" si="3"/>
        <v>1.0435159244986281E-2</v>
      </c>
    </row>
    <row r="249" spans="1:8" x14ac:dyDescent="0.25">
      <c r="A249" s="46">
        <v>44917</v>
      </c>
      <c r="B249" s="14">
        <v>85.519997000000004</v>
      </c>
      <c r="C249" s="14">
        <v>85.68</v>
      </c>
      <c r="D249" s="14">
        <v>82.25</v>
      </c>
      <c r="E249" s="14">
        <v>83.790001000000004</v>
      </c>
      <c r="F249" s="14">
        <v>83.790001000000004</v>
      </c>
      <c r="G249" s="14">
        <v>81431300</v>
      </c>
      <c r="H249" s="14">
        <f t="shared" si="3"/>
        <v>-3.4737695513879729E-2</v>
      </c>
    </row>
    <row r="250" spans="1:8" x14ac:dyDescent="0.25">
      <c r="A250" s="46">
        <v>44918</v>
      </c>
      <c r="B250" s="14">
        <v>83.25</v>
      </c>
      <c r="C250" s="14">
        <v>85.779999000000004</v>
      </c>
      <c r="D250" s="14">
        <v>82.93</v>
      </c>
      <c r="E250" s="14">
        <v>85.25</v>
      </c>
      <c r="F250" s="14">
        <v>85.25</v>
      </c>
      <c r="G250" s="14">
        <v>57433700</v>
      </c>
      <c r="H250" s="14">
        <f t="shared" si="3"/>
        <v>8.2674772036475108E-3</v>
      </c>
    </row>
    <row r="251" spans="1:8" x14ac:dyDescent="0.25">
      <c r="A251" s="46">
        <v>44922</v>
      </c>
      <c r="B251" s="14">
        <v>84.970000999999996</v>
      </c>
      <c r="C251" s="14">
        <v>85.349997999999999</v>
      </c>
      <c r="D251" s="14">
        <v>83</v>
      </c>
      <c r="E251" s="14">
        <v>83.040001000000004</v>
      </c>
      <c r="F251" s="14">
        <v>83.040001000000004</v>
      </c>
      <c r="G251" s="14">
        <v>57284000</v>
      </c>
      <c r="H251" s="14">
        <f t="shared" si="3"/>
        <v>2.1102134330153177E-4</v>
      </c>
    </row>
    <row r="252" spans="1:8" x14ac:dyDescent="0.25">
      <c r="A252" s="46">
        <v>44923</v>
      </c>
      <c r="B252" s="14">
        <v>82.800003000000004</v>
      </c>
      <c r="C252" s="14">
        <v>83.480002999999996</v>
      </c>
      <c r="D252" s="14">
        <v>81.690002000000007</v>
      </c>
      <c r="E252" s="14">
        <v>81.819999999999993</v>
      </c>
      <c r="F252" s="14">
        <v>81.819999999999993</v>
      </c>
      <c r="G252" s="14">
        <v>58228600</v>
      </c>
      <c r="H252" s="14">
        <f t="shared" si="3"/>
        <v>-1.5783108433734871E-2</v>
      </c>
    </row>
    <row r="253" spans="1:8" x14ac:dyDescent="0.25">
      <c r="A253" s="46">
        <v>44924</v>
      </c>
      <c r="B253" s="14">
        <v>82.870002999999997</v>
      </c>
      <c r="C253" s="14">
        <v>84.550003000000004</v>
      </c>
      <c r="D253" s="14">
        <v>82.550003000000004</v>
      </c>
      <c r="E253" s="14">
        <v>84.18</v>
      </c>
      <c r="F253" s="14">
        <v>84.18</v>
      </c>
      <c r="G253" s="14">
        <v>54995900</v>
      </c>
      <c r="H253" s="14">
        <f t="shared" si="3"/>
        <v>1.0527616341593493E-2</v>
      </c>
    </row>
    <row r="254" spans="1:8" x14ac:dyDescent="0.25">
      <c r="A254" s="46">
        <v>44925</v>
      </c>
      <c r="B254" s="14">
        <v>83.120002999999997</v>
      </c>
      <c r="C254" s="14">
        <v>84.050003000000004</v>
      </c>
      <c r="D254" s="14">
        <v>82.470000999999996</v>
      </c>
      <c r="E254" s="14">
        <v>84</v>
      </c>
      <c r="F254" s="14">
        <v>84</v>
      </c>
      <c r="G254" s="14">
        <v>62401200</v>
      </c>
      <c r="H254" s="14">
        <f t="shared" si="3"/>
        <v>-9.6913382304797402E-4</v>
      </c>
    </row>
    <row r="255" spans="1:8" x14ac:dyDescent="0.25">
      <c r="A255" s="46">
        <v>44929</v>
      </c>
      <c r="B255" s="14">
        <v>85.459998999999996</v>
      </c>
      <c r="C255" s="14">
        <v>86.959998999999996</v>
      </c>
      <c r="D255" s="14">
        <v>84.209998999999996</v>
      </c>
      <c r="E255" s="14">
        <v>85.82</v>
      </c>
      <c r="F255" s="14">
        <v>85.82</v>
      </c>
      <c r="G255" s="14">
        <v>76706000</v>
      </c>
      <c r="H255" s="14">
        <f t="shared" si="3"/>
        <v>5.2746391988039432E-3</v>
      </c>
    </row>
    <row r="256" spans="1:8" x14ac:dyDescent="0.25">
      <c r="A256" s="46">
        <v>44930</v>
      </c>
      <c r="B256" s="14">
        <v>86.550003000000004</v>
      </c>
      <c r="C256" s="14">
        <v>86.980002999999996</v>
      </c>
      <c r="D256" s="14">
        <v>83.360000999999997</v>
      </c>
      <c r="E256" s="14">
        <v>85.139999000000003</v>
      </c>
      <c r="F256" s="14">
        <v>85.139999000000003</v>
      </c>
      <c r="G256" s="14">
        <v>68885100</v>
      </c>
      <c r="H256" s="14">
        <f t="shared" si="3"/>
        <v>-1.0093789456047886E-2</v>
      </c>
    </row>
    <row r="257" spans="1:8" x14ac:dyDescent="0.25">
      <c r="A257" s="46">
        <v>44931</v>
      </c>
      <c r="B257" s="14">
        <v>85.330001999999993</v>
      </c>
      <c r="C257" s="14">
        <v>85.419998000000007</v>
      </c>
      <c r="D257" s="14">
        <v>83.07</v>
      </c>
      <c r="E257" s="14">
        <v>83.120002999999997</v>
      </c>
      <c r="F257" s="14">
        <v>83.120002999999997</v>
      </c>
      <c r="G257" s="14">
        <v>67930800</v>
      </c>
      <c r="H257" s="14">
        <f t="shared" si="3"/>
        <v>-3.4788987106658675E-3</v>
      </c>
    </row>
    <row r="258" spans="1:8" x14ac:dyDescent="0.25">
      <c r="A258" s="46">
        <v>44932</v>
      </c>
      <c r="B258" s="14">
        <v>83.029999000000004</v>
      </c>
      <c r="C258" s="14">
        <v>86.400002000000001</v>
      </c>
      <c r="D258" s="14">
        <v>81.430000000000007</v>
      </c>
      <c r="E258" s="14">
        <v>86.080001999999993</v>
      </c>
      <c r="F258" s="14">
        <v>86.080001999999993</v>
      </c>
      <c r="G258" s="14">
        <v>83303400</v>
      </c>
      <c r="H258" s="14">
        <f t="shared" si="3"/>
        <v>-1.9742385939568896E-2</v>
      </c>
    </row>
    <row r="259" spans="1:8" x14ac:dyDescent="0.25">
      <c r="A259" s="46">
        <v>44935</v>
      </c>
      <c r="B259" s="14">
        <v>87.459998999999996</v>
      </c>
      <c r="C259" s="14">
        <v>89.480002999999996</v>
      </c>
      <c r="D259" s="14">
        <v>87.080001999999993</v>
      </c>
      <c r="E259" s="14">
        <v>87.360000999999997</v>
      </c>
      <c r="F259" s="14">
        <v>87.360000999999997</v>
      </c>
      <c r="G259" s="14">
        <v>65266100</v>
      </c>
      <c r="H259" s="14">
        <f t="shared" si="3"/>
        <v>2.3128257398992973E-2</v>
      </c>
    </row>
    <row r="260" spans="1:8" x14ac:dyDescent="0.25">
      <c r="A260" s="46">
        <v>44936</v>
      </c>
      <c r="B260" s="14">
        <v>87.57</v>
      </c>
      <c r="C260" s="14">
        <v>90.190002000000007</v>
      </c>
      <c r="D260" s="14">
        <v>87.290001000000004</v>
      </c>
      <c r="E260" s="14">
        <v>89.870002999999997</v>
      </c>
      <c r="F260" s="14">
        <v>89.870002999999997</v>
      </c>
      <c r="G260" s="14">
        <v>67756600</v>
      </c>
      <c r="H260" s="14">
        <f t="shared" ref="H260:H323" si="4">(D260/D259-1)/(A260-A259)</f>
        <v>2.4115640236206382E-3</v>
      </c>
    </row>
    <row r="261" spans="1:8" x14ac:dyDescent="0.25">
      <c r="A261" s="46">
        <v>44937</v>
      </c>
      <c r="B261" s="14">
        <v>90.93</v>
      </c>
      <c r="C261" s="14">
        <v>95.260002</v>
      </c>
      <c r="D261" s="14">
        <v>90.93</v>
      </c>
      <c r="E261" s="14">
        <v>95.089995999999999</v>
      </c>
      <c r="F261" s="14">
        <v>95.089995999999999</v>
      </c>
      <c r="G261" s="14">
        <v>103126200</v>
      </c>
      <c r="H261" s="14">
        <f t="shared" si="4"/>
        <v>4.1700068258677225E-2</v>
      </c>
    </row>
    <row r="262" spans="1:8" x14ac:dyDescent="0.25">
      <c r="A262" s="46">
        <v>44938</v>
      </c>
      <c r="B262" s="14">
        <v>96.93</v>
      </c>
      <c r="C262" s="14">
        <v>97.190002000000007</v>
      </c>
      <c r="D262" s="14">
        <v>93.5</v>
      </c>
      <c r="E262" s="14">
        <v>95.269997000000004</v>
      </c>
      <c r="F262" s="14">
        <v>95.269997000000004</v>
      </c>
      <c r="G262" s="14">
        <v>85254800</v>
      </c>
      <c r="H262" s="14">
        <f t="shared" si="4"/>
        <v>2.8263499395138947E-2</v>
      </c>
    </row>
    <row r="263" spans="1:8" x14ac:dyDescent="0.25">
      <c r="A263" s="46">
        <v>44939</v>
      </c>
      <c r="B263" s="14">
        <v>94.18</v>
      </c>
      <c r="C263" s="14">
        <v>98.370002999999997</v>
      </c>
      <c r="D263" s="14">
        <v>94.120002999999997</v>
      </c>
      <c r="E263" s="14">
        <v>98.120002999999997</v>
      </c>
      <c r="F263" s="14">
        <v>98.120002999999997</v>
      </c>
      <c r="G263" s="14">
        <v>85549400</v>
      </c>
      <c r="H263" s="14">
        <f t="shared" si="4"/>
        <v>6.631048128342254E-3</v>
      </c>
    </row>
    <row r="264" spans="1:8" x14ac:dyDescent="0.25">
      <c r="A264" s="46">
        <v>44943</v>
      </c>
      <c r="B264" s="14">
        <v>98.68</v>
      </c>
      <c r="C264" s="14">
        <v>98.889999000000003</v>
      </c>
      <c r="D264" s="14">
        <v>95.730002999999996</v>
      </c>
      <c r="E264" s="14">
        <v>96.050003000000004</v>
      </c>
      <c r="F264" s="14">
        <v>96.050003000000004</v>
      </c>
      <c r="G264" s="14">
        <v>72755000</v>
      </c>
      <c r="H264" s="14">
        <f t="shared" si="4"/>
        <v>4.2764554523016529E-3</v>
      </c>
    </row>
    <row r="265" spans="1:8" x14ac:dyDescent="0.25">
      <c r="A265" s="46">
        <v>44944</v>
      </c>
      <c r="B265" s="14">
        <v>97.25</v>
      </c>
      <c r="C265" s="14">
        <v>99.32</v>
      </c>
      <c r="D265" s="14">
        <v>95.379997000000003</v>
      </c>
      <c r="E265" s="14">
        <v>95.459998999999996</v>
      </c>
      <c r="F265" s="14">
        <v>95.459998999999996</v>
      </c>
      <c r="G265" s="14">
        <v>79570400</v>
      </c>
      <c r="H265" s="14">
        <f t="shared" si="4"/>
        <v>-3.656178721732517E-3</v>
      </c>
    </row>
    <row r="266" spans="1:8" x14ac:dyDescent="0.25">
      <c r="A266" s="46">
        <v>44945</v>
      </c>
      <c r="B266" s="14">
        <v>94.739998</v>
      </c>
      <c r="C266" s="14">
        <v>95.440002000000007</v>
      </c>
      <c r="D266" s="14">
        <v>92.860000999999997</v>
      </c>
      <c r="E266" s="14">
        <v>93.68</v>
      </c>
      <c r="F266" s="14">
        <v>93.68</v>
      </c>
      <c r="G266" s="14">
        <v>69002700</v>
      </c>
      <c r="H266" s="14">
        <f t="shared" si="4"/>
        <v>-2.6420592149945299E-2</v>
      </c>
    </row>
    <row r="267" spans="1:8" x14ac:dyDescent="0.25">
      <c r="A267" s="46">
        <v>44946</v>
      </c>
      <c r="B267" s="14">
        <v>93.860000999999997</v>
      </c>
      <c r="C267" s="14">
        <v>97.349997999999999</v>
      </c>
      <c r="D267" s="14">
        <v>93.199996999999996</v>
      </c>
      <c r="E267" s="14">
        <v>97.25</v>
      </c>
      <c r="F267" s="14">
        <v>97.25</v>
      </c>
      <c r="G267" s="14">
        <v>67481500</v>
      </c>
      <c r="H267" s="14">
        <f t="shared" si="4"/>
        <v>3.6613826872562427E-3</v>
      </c>
    </row>
    <row r="268" spans="1:8" x14ac:dyDescent="0.25">
      <c r="A268" s="46">
        <v>44949</v>
      </c>
      <c r="B268" s="14">
        <v>97.559997999999993</v>
      </c>
      <c r="C268" s="14">
        <v>97.779999000000004</v>
      </c>
      <c r="D268" s="14">
        <v>95.860000999999997</v>
      </c>
      <c r="E268" s="14">
        <v>97.519997000000004</v>
      </c>
      <c r="F268" s="14">
        <v>97.519997000000004</v>
      </c>
      <c r="G268" s="14">
        <v>76501100</v>
      </c>
      <c r="H268" s="14">
        <f t="shared" si="4"/>
        <v>9.5136054564465642E-3</v>
      </c>
    </row>
    <row r="269" spans="1:8" x14ac:dyDescent="0.25">
      <c r="A269" s="46">
        <v>44950</v>
      </c>
      <c r="B269" s="14">
        <v>96.93</v>
      </c>
      <c r="C269" s="14">
        <v>98.089995999999999</v>
      </c>
      <c r="D269" s="14">
        <v>96</v>
      </c>
      <c r="E269" s="14">
        <v>96.32</v>
      </c>
      <c r="F269" s="14">
        <v>96.32</v>
      </c>
      <c r="G269" s="14">
        <v>66929500</v>
      </c>
      <c r="H269" s="14">
        <f t="shared" si="4"/>
        <v>1.4604527283490487E-3</v>
      </c>
    </row>
    <row r="270" spans="1:8" x14ac:dyDescent="0.25">
      <c r="A270" s="46">
        <v>44951</v>
      </c>
      <c r="B270" s="14">
        <v>92.559997999999993</v>
      </c>
      <c r="C270" s="14">
        <v>97.239998</v>
      </c>
      <c r="D270" s="14">
        <v>91.519997000000004</v>
      </c>
      <c r="E270" s="14">
        <v>97.18</v>
      </c>
      <c r="F270" s="14">
        <v>97.18</v>
      </c>
      <c r="G270" s="14">
        <v>94261600</v>
      </c>
      <c r="H270" s="14">
        <f t="shared" si="4"/>
        <v>-4.6666697916666666E-2</v>
      </c>
    </row>
    <row r="271" spans="1:8" x14ac:dyDescent="0.25">
      <c r="A271" s="46">
        <v>44952</v>
      </c>
      <c r="B271" s="14">
        <v>98.239998</v>
      </c>
      <c r="C271" s="14">
        <v>99.489998</v>
      </c>
      <c r="D271" s="14">
        <v>96.919998000000007</v>
      </c>
      <c r="E271" s="14">
        <v>99.220000999999996</v>
      </c>
      <c r="F271" s="14">
        <v>99.220000999999996</v>
      </c>
      <c r="G271" s="14">
        <v>68523600</v>
      </c>
      <c r="H271" s="14">
        <f t="shared" si="4"/>
        <v>5.9003509364188522E-2</v>
      </c>
    </row>
    <row r="272" spans="1:8" x14ac:dyDescent="0.25">
      <c r="A272" s="46">
        <v>44953</v>
      </c>
      <c r="B272" s="14">
        <v>99.529999000000004</v>
      </c>
      <c r="C272" s="14">
        <v>103.489998</v>
      </c>
      <c r="D272" s="14">
        <v>99.529999000000004</v>
      </c>
      <c r="E272" s="14">
        <v>102.239998</v>
      </c>
      <c r="F272" s="14">
        <v>102.239998</v>
      </c>
      <c r="G272" s="14">
        <v>87775600</v>
      </c>
      <c r="H272" s="14">
        <f t="shared" si="4"/>
        <v>2.6929437204486817E-2</v>
      </c>
    </row>
    <row r="273" spans="1:8" x14ac:dyDescent="0.25">
      <c r="A273" s="46">
        <v>44956</v>
      </c>
      <c r="B273" s="14">
        <v>101.089996</v>
      </c>
      <c r="C273" s="14">
        <v>101.739998</v>
      </c>
      <c r="D273" s="14">
        <v>99.010002</v>
      </c>
      <c r="E273" s="14">
        <v>100.550003</v>
      </c>
      <c r="F273" s="14">
        <v>100.550003</v>
      </c>
      <c r="G273" s="14">
        <v>70691900</v>
      </c>
      <c r="H273" s="14">
        <f t="shared" si="4"/>
        <v>-1.7415084404183896E-3</v>
      </c>
    </row>
    <row r="274" spans="1:8" x14ac:dyDescent="0.25">
      <c r="A274" s="46">
        <v>44957</v>
      </c>
      <c r="B274" s="14">
        <v>101.160004</v>
      </c>
      <c r="C274" s="14">
        <v>103.349998</v>
      </c>
      <c r="D274" s="14">
        <v>101.139999</v>
      </c>
      <c r="E274" s="14">
        <v>103.129997</v>
      </c>
      <c r="F274" s="14">
        <v>103.129997</v>
      </c>
      <c r="G274" s="14">
        <v>66527300</v>
      </c>
      <c r="H274" s="14">
        <f t="shared" si="4"/>
        <v>2.1512947752490685E-2</v>
      </c>
    </row>
    <row r="275" spans="1:8" x14ac:dyDescent="0.25">
      <c r="A275" s="46">
        <v>44958</v>
      </c>
      <c r="B275" s="14">
        <v>102.529999</v>
      </c>
      <c r="C275" s="14">
        <v>106.239998</v>
      </c>
      <c r="D275" s="14">
        <v>101.239998</v>
      </c>
      <c r="E275" s="14">
        <v>105.150002</v>
      </c>
      <c r="F275" s="14">
        <v>105.150002</v>
      </c>
      <c r="G275" s="14">
        <v>80450100</v>
      </c>
      <c r="H275" s="14">
        <f t="shared" si="4"/>
        <v>9.8871861764604496E-4</v>
      </c>
    </row>
    <row r="276" spans="1:8" x14ac:dyDescent="0.25">
      <c r="A276" s="46">
        <v>44959</v>
      </c>
      <c r="B276" s="14">
        <v>110.25</v>
      </c>
      <c r="C276" s="14">
        <v>114</v>
      </c>
      <c r="D276" s="14">
        <v>108.879997</v>
      </c>
      <c r="E276" s="14">
        <v>112.910004</v>
      </c>
      <c r="F276" s="14">
        <v>112.910004</v>
      </c>
      <c r="G276" s="14">
        <v>158154200</v>
      </c>
      <c r="H276" s="14">
        <f t="shared" si="4"/>
        <v>7.5464234995342494E-2</v>
      </c>
    </row>
    <row r="277" spans="1:8" x14ac:dyDescent="0.25">
      <c r="A277" s="46">
        <v>44960</v>
      </c>
      <c r="B277" s="14">
        <v>105.260002</v>
      </c>
      <c r="C277" s="14">
        <v>108.779999</v>
      </c>
      <c r="D277" s="14">
        <v>102.519997</v>
      </c>
      <c r="E277" s="14">
        <v>103.389999</v>
      </c>
      <c r="F277" s="14">
        <v>103.389999</v>
      </c>
      <c r="G277" s="14">
        <v>144374800</v>
      </c>
      <c r="H277" s="14">
        <f t="shared" si="4"/>
        <v>-5.8412933277358525E-2</v>
      </c>
    </row>
    <row r="278" spans="1:8" x14ac:dyDescent="0.25">
      <c r="A278" s="46">
        <v>44963</v>
      </c>
      <c r="B278" s="14">
        <v>102.93</v>
      </c>
      <c r="C278" s="14">
        <v>103.949997</v>
      </c>
      <c r="D278" s="14">
        <v>100.650002</v>
      </c>
      <c r="E278" s="14">
        <v>102.18</v>
      </c>
      <c r="F278" s="14">
        <v>102.18</v>
      </c>
      <c r="G278" s="14">
        <v>81945200</v>
      </c>
      <c r="H278" s="14">
        <f t="shared" si="4"/>
        <v>-6.0800983701420437E-3</v>
      </c>
    </row>
    <row r="279" spans="1:8" x14ac:dyDescent="0.25">
      <c r="A279" s="46">
        <v>44964</v>
      </c>
      <c r="B279" s="14">
        <v>101.16999800000001</v>
      </c>
      <c r="C279" s="14">
        <v>102.410004</v>
      </c>
      <c r="D279" s="14">
        <v>98.080001999999993</v>
      </c>
      <c r="E279" s="14">
        <v>102.110001</v>
      </c>
      <c r="F279" s="14">
        <v>102.110001</v>
      </c>
      <c r="G279" s="14">
        <v>119501300</v>
      </c>
      <c r="H279" s="14">
        <f t="shared" si="4"/>
        <v>-2.5534028305334799E-2</v>
      </c>
    </row>
    <row r="280" spans="1:8" x14ac:dyDescent="0.25">
      <c r="A280" s="46">
        <v>44965</v>
      </c>
      <c r="B280" s="14">
        <v>102.040001</v>
      </c>
      <c r="C280" s="14">
        <v>102.66999800000001</v>
      </c>
      <c r="D280" s="14">
        <v>98.779999000000004</v>
      </c>
      <c r="E280" s="14">
        <v>100.050003</v>
      </c>
      <c r="F280" s="14">
        <v>100.050003</v>
      </c>
      <c r="G280" s="14">
        <v>75878300</v>
      </c>
      <c r="H280" s="14">
        <f t="shared" si="4"/>
        <v>7.1370002622961337E-3</v>
      </c>
    </row>
    <row r="281" spans="1:8" x14ac:dyDescent="0.25">
      <c r="A281" s="46">
        <v>44966</v>
      </c>
      <c r="B281" s="14">
        <v>101.32</v>
      </c>
      <c r="C281" s="14">
        <v>101.779999</v>
      </c>
      <c r="D281" s="14">
        <v>97.57</v>
      </c>
      <c r="E281" s="14">
        <v>98.239998</v>
      </c>
      <c r="F281" s="14">
        <v>98.239998</v>
      </c>
      <c r="G281" s="14">
        <v>64622500</v>
      </c>
      <c r="H281" s="14">
        <f t="shared" si="4"/>
        <v>-1.2249433207627503E-2</v>
      </c>
    </row>
    <row r="282" spans="1:8" x14ac:dyDescent="0.25">
      <c r="A282" s="46">
        <v>44967</v>
      </c>
      <c r="B282" s="14">
        <v>97.559997999999993</v>
      </c>
      <c r="C282" s="14">
        <v>98.82</v>
      </c>
      <c r="D282" s="14">
        <v>96.230002999999996</v>
      </c>
      <c r="E282" s="14">
        <v>97.610000999999997</v>
      </c>
      <c r="F282" s="14">
        <v>97.610000999999997</v>
      </c>
      <c r="G282" s="14">
        <v>52740100</v>
      </c>
      <c r="H282" s="14">
        <f t="shared" si="4"/>
        <v>-1.3733698882853251E-2</v>
      </c>
    </row>
    <row r="283" spans="1:8" x14ac:dyDescent="0.25">
      <c r="A283" s="46">
        <v>44970</v>
      </c>
      <c r="B283" s="14">
        <v>97.849997999999999</v>
      </c>
      <c r="C283" s="14">
        <v>99.68</v>
      </c>
      <c r="D283" s="14">
        <v>96.910004000000001</v>
      </c>
      <c r="E283" s="14">
        <v>99.540001000000004</v>
      </c>
      <c r="F283" s="14">
        <v>99.540001000000004</v>
      </c>
      <c r="G283" s="14">
        <v>52841500</v>
      </c>
      <c r="H283" s="14">
        <f t="shared" si="4"/>
        <v>2.3554711933241692E-3</v>
      </c>
    </row>
    <row r="284" spans="1:8" x14ac:dyDescent="0.25">
      <c r="A284" s="46">
        <v>44971</v>
      </c>
      <c r="B284" s="14">
        <v>98.410004000000001</v>
      </c>
      <c r="C284" s="14">
        <v>100.91999800000001</v>
      </c>
      <c r="D284" s="14">
        <v>97.519997000000004</v>
      </c>
      <c r="E284" s="14">
        <v>99.699996999999996</v>
      </c>
      <c r="F284" s="14">
        <v>99.699996999999996</v>
      </c>
      <c r="G284" s="14">
        <v>56202900</v>
      </c>
      <c r="H284" s="14">
        <f t="shared" si="4"/>
        <v>6.2944275598213473E-3</v>
      </c>
    </row>
    <row r="285" spans="1:8" x14ac:dyDescent="0.25">
      <c r="A285" s="46">
        <v>44972</v>
      </c>
      <c r="B285" s="14">
        <v>99.089995999999999</v>
      </c>
      <c r="C285" s="14">
        <v>101.16999800000001</v>
      </c>
      <c r="D285" s="14">
        <v>98.449996999999996</v>
      </c>
      <c r="E285" s="14">
        <v>101.160004</v>
      </c>
      <c r="F285" s="14">
        <v>101.160004</v>
      </c>
      <c r="G285" s="14">
        <v>47957600</v>
      </c>
      <c r="H285" s="14">
        <f t="shared" si="4"/>
        <v>9.5365056256102587E-3</v>
      </c>
    </row>
    <row r="286" spans="1:8" x14ac:dyDescent="0.25">
      <c r="A286" s="46">
        <v>44973</v>
      </c>
      <c r="B286" s="14">
        <v>99.209998999999996</v>
      </c>
      <c r="C286" s="14">
        <v>100.629997</v>
      </c>
      <c r="D286" s="14">
        <v>98.099997999999999</v>
      </c>
      <c r="E286" s="14">
        <v>98.150002000000001</v>
      </c>
      <c r="F286" s="14">
        <v>98.150002000000001</v>
      </c>
      <c r="G286" s="14">
        <v>56339200</v>
      </c>
      <c r="H286" s="14">
        <f t="shared" si="4"/>
        <v>-3.5550940646549289E-3</v>
      </c>
    </row>
    <row r="287" spans="1:8" x14ac:dyDescent="0.25">
      <c r="A287" s="46">
        <v>44974</v>
      </c>
      <c r="B287" s="14">
        <v>97.800003000000004</v>
      </c>
      <c r="C287" s="14">
        <v>97.940002000000007</v>
      </c>
      <c r="D287" s="14">
        <v>95.650002000000001</v>
      </c>
      <c r="E287" s="14">
        <v>97.199996999999996</v>
      </c>
      <c r="F287" s="14">
        <v>97.199996999999996</v>
      </c>
      <c r="G287" s="14">
        <v>60029400</v>
      </c>
      <c r="H287" s="14">
        <f t="shared" si="4"/>
        <v>-2.4974475534647822E-2</v>
      </c>
    </row>
    <row r="288" spans="1:8" x14ac:dyDescent="0.25">
      <c r="A288" s="46">
        <v>44978</v>
      </c>
      <c r="B288" s="14">
        <v>95.339995999999999</v>
      </c>
      <c r="C288" s="14">
        <v>95.610000999999997</v>
      </c>
      <c r="D288" s="14">
        <v>94.269997000000004</v>
      </c>
      <c r="E288" s="14">
        <v>94.580001999999993</v>
      </c>
      <c r="F288" s="14">
        <v>94.580001999999993</v>
      </c>
      <c r="G288" s="14">
        <v>56580400</v>
      </c>
      <c r="H288" s="14">
        <f t="shared" si="4"/>
        <v>-3.6069131498815687E-3</v>
      </c>
    </row>
    <row r="289" spans="1:8" x14ac:dyDescent="0.25">
      <c r="A289" s="46">
        <v>44979</v>
      </c>
      <c r="B289" s="14">
        <v>95.099997999999999</v>
      </c>
      <c r="C289" s="14">
        <v>97.010002</v>
      </c>
      <c r="D289" s="14">
        <v>94.800003000000004</v>
      </c>
      <c r="E289" s="14">
        <v>95.790001000000004</v>
      </c>
      <c r="F289" s="14">
        <v>95.790001000000004</v>
      </c>
      <c r="G289" s="14">
        <v>59534100</v>
      </c>
      <c r="H289" s="14">
        <f t="shared" si="4"/>
        <v>5.6222129719596392E-3</v>
      </c>
    </row>
    <row r="290" spans="1:8" x14ac:dyDescent="0.25">
      <c r="A290" s="46">
        <v>44980</v>
      </c>
      <c r="B290" s="14">
        <v>96.120002999999997</v>
      </c>
      <c r="C290" s="14">
        <v>96.43</v>
      </c>
      <c r="D290" s="14">
        <v>93.669998000000007</v>
      </c>
      <c r="E290" s="14">
        <v>95.82</v>
      </c>
      <c r="F290" s="14">
        <v>95.82</v>
      </c>
      <c r="G290" s="14">
        <v>48467000</v>
      </c>
      <c r="H290" s="14">
        <f t="shared" si="4"/>
        <v>-1.1919883589033176E-2</v>
      </c>
    </row>
    <row r="291" spans="1:8" x14ac:dyDescent="0.25">
      <c r="A291" s="46">
        <v>44981</v>
      </c>
      <c r="B291" s="14">
        <v>93.529999000000004</v>
      </c>
      <c r="C291" s="14">
        <v>94.139999000000003</v>
      </c>
      <c r="D291" s="14">
        <v>92.32</v>
      </c>
      <c r="E291" s="14">
        <v>93.5</v>
      </c>
      <c r="F291" s="14">
        <v>93.5</v>
      </c>
      <c r="G291" s="14">
        <v>57053800</v>
      </c>
      <c r="H291" s="14">
        <f t="shared" si="4"/>
        <v>-1.4412277450886801E-2</v>
      </c>
    </row>
    <row r="292" spans="1:8" x14ac:dyDescent="0.25">
      <c r="A292" s="46">
        <v>44984</v>
      </c>
      <c r="B292" s="14">
        <v>94.279999000000004</v>
      </c>
      <c r="C292" s="14">
        <v>94.779999000000004</v>
      </c>
      <c r="D292" s="14">
        <v>93.139999000000003</v>
      </c>
      <c r="E292" s="14">
        <v>93.760002</v>
      </c>
      <c r="F292" s="14">
        <v>93.760002</v>
      </c>
      <c r="G292" s="14">
        <v>47470300</v>
      </c>
      <c r="H292" s="14">
        <f t="shared" si="4"/>
        <v>2.960712738301563E-3</v>
      </c>
    </row>
    <row r="293" spans="1:8" x14ac:dyDescent="0.25">
      <c r="A293" s="46">
        <v>44985</v>
      </c>
      <c r="B293" s="14">
        <v>93.139999000000003</v>
      </c>
      <c r="C293" s="14">
        <v>94.690002000000007</v>
      </c>
      <c r="D293" s="14">
        <v>92.919998000000007</v>
      </c>
      <c r="E293" s="14">
        <v>94.230002999999996</v>
      </c>
      <c r="F293" s="14">
        <v>94.230002999999996</v>
      </c>
      <c r="G293" s="14">
        <v>43959300</v>
      </c>
      <c r="H293" s="14">
        <f t="shared" si="4"/>
        <v>-2.3620464071509861E-3</v>
      </c>
    </row>
    <row r="294" spans="1:8" x14ac:dyDescent="0.25">
      <c r="A294" s="46">
        <v>44986</v>
      </c>
      <c r="B294" s="14">
        <v>93.870002999999997</v>
      </c>
      <c r="C294" s="14">
        <v>94.68</v>
      </c>
      <c r="D294" s="14">
        <v>91.589995999999999</v>
      </c>
      <c r="E294" s="14">
        <v>92.169998000000007</v>
      </c>
      <c r="F294" s="14">
        <v>92.169998000000007</v>
      </c>
      <c r="G294" s="14">
        <v>52299500</v>
      </c>
      <c r="H294" s="14">
        <f t="shared" si="4"/>
        <v>-1.4313409692497059E-2</v>
      </c>
    </row>
    <row r="295" spans="1:8" x14ac:dyDescent="0.25">
      <c r="A295" s="46">
        <v>44987</v>
      </c>
      <c r="B295" s="14">
        <v>91.410004000000001</v>
      </c>
      <c r="C295" s="14">
        <v>92.230002999999996</v>
      </c>
      <c r="D295" s="14">
        <v>90.389999000000003</v>
      </c>
      <c r="E295" s="14">
        <v>92.129997000000003</v>
      </c>
      <c r="F295" s="14">
        <v>92.129997000000003</v>
      </c>
      <c r="G295" s="14">
        <v>55509400</v>
      </c>
      <c r="H295" s="14">
        <f t="shared" si="4"/>
        <v>-1.3101834833577186E-2</v>
      </c>
    </row>
    <row r="296" spans="1:8" x14ac:dyDescent="0.25">
      <c r="A296" s="46">
        <v>44988</v>
      </c>
      <c r="B296" s="14">
        <v>92.739998</v>
      </c>
      <c r="C296" s="14">
        <v>94.940002000000007</v>
      </c>
      <c r="D296" s="14">
        <v>92.660004000000001</v>
      </c>
      <c r="E296" s="14">
        <v>94.900002000000001</v>
      </c>
      <c r="F296" s="14">
        <v>94.900002000000001</v>
      </c>
      <c r="G296" s="14">
        <v>55759600</v>
      </c>
      <c r="H296" s="14">
        <f t="shared" si="4"/>
        <v>2.5113453093411398E-2</v>
      </c>
    </row>
    <row r="297" spans="1:8" x14ac:dyDescent="0.25">
      <c r="A297" s="46">
        <v>44991</v>
      </c>
      <c r="B297" s="14">
        <v>95.190002000000007</v>
      </c>
      <c r="C297" s="14">
        <v>96.550003000000004</v>
      </c>
      <c r="D297" s="14">
        <v>93.739998</v>
      </c>
      <c r="E297" s="14">
        <v>93.75</v>
      </c>
      <c r="F297" s="14">
        <v>93.75</v>
      </c>
      <c r="G297" s="14">
        <v>52112400</v>
      </c>
      <c r="H297" s="14">
        <f t="shared" si="4"/>
        <v>3.8851498430757894E-3</v>
      </c>
    </row>
    <row r="298" spans="1:8" x14ac:dyDescent="0.25">
      <c r="A298" s="46">
        <v>44992</v>
      </c>
      <c r="B298" s="14">
        <v>94.059997999999993</v>
      </c>
      <c r="C298" s="14">
        <v>95.089995999999999</v>
      </c>
      <c r="D298" s="14">
        <v>92.779999000000004</v>
      </c>
      <c r="E298" s="14">
        <v>93.550003000000004</v>
      </c>
      <c r="F298" s="14">
        <v>93.550003000000004</v>
      </c>
      <c r="G298" s="14">
        <v>49100700</v>
      </c>
      <c r="H298" s="14">
        <f t="shared" si="4"/>
        <v>-1.0241081933882623E-2</v>
      </c>
    </row>
    <row r="299" spans="1:8" x14ac:dyDescent="0.25">
      <c r="A299" s="46">
        <v>44993</v>
      </c>
      <c r="B299" s="14">
        <v>93.599997999999999</v>
      </c>
      <c r="C299" s="14">
        <v>94.169998000000007</v>
      </c>
      <c r="D299" s="14">
        <v>92.18</v>
      </c>
      <c r="E299" s="14">
        <v>93.919998000000007</v>
      </c>
      <c r="F299" s="14">
        <v>93.919998000000007</v>
      </c>
      <c r="G299" s="14">
        <v>44899100</v>
      </c>
      <c r="H299" s="14">
        <f t="shared" si="4"/>
        <v>-6.4669002637087747E-3</v>
      </c>
    </row>
    <row r="300" spans="1:8" x14ac:dyDescent="0.25">
      <c r="A300" s="46">
        <v>44994</v>
      </c>
      <c r="B300" s="14">
        <v>93.68</v>
      </c>
      <c r="C300" s="14">
        <v>96.209998999999996</v>
      </c>
      <c r="D300" s="14">
        <v>92.18</v>
      </c>
      <c r="E300" s="14">
        <v>92.25</v>
      </c>
      <c r="F300" s="14">
        <v>92.25</v>
      </c>
      <c r="G300" s="14">
        <v>56218700</v>
      </c>
      <c r="H300" s="14">
        <f t="shared" si="4"/>
        <v>0</v>
      </c>
    </row>
    <row r="301" spans="1:8" x14ac:dyDescent="0.25">
      <c r="A301" s="46">
        <v>44995</v>
      </c>
      <c r="B301" s="14">
        <v>92.669998000000007</v>
      </c>
      <c r="C301" s="14">
        <v>93.57</v>
      </c>
      <c r="D301" s="14">
        <v>90.25</v>
      </c>
      <c r="E301" s="14">
        <v>90.730002999999996</v>
      </c>
      <c r="F301" s="14">
        <v>90.730002999999996</v>
      </c>
      <c r="G301" s="14">
        <v>69827500</v>
      </c>
      <c r="H301" s="14">
        <f t="shared" si="4"/>
        <v>-2.0937296593621202E-2</v>
      </c>
    </row>
    <row r="302" spans="1:8" x14ac:dyDescent="0.25">
      <c r="A302" s="46">
        <v>44998</v>
      </c>
      <c r="B302" s="14">
        <v>89.970000999999996</v>
      </c>
      <c r="C302" s="14">
        <v>94.019997000000004</v>
      </c>
      <c r="D302" s="14">
        <v>88.120002999999997</v>
      </c>
      <c r="E302" s="14">
        <v>92.43</v>
      </c>
      <c r="F302" s="14">
        <v>92.43</v>
      </c>
      <c r="G302" s="14">
        <v>72397100</v>
      </c>
      <c r="H302" s="14">
        <f t="shared" si="4"/>
        <v>-7.8670249307479425E-3</v>
      </c>
    </row>
    <row r="303" spans="1:8" x14ac:dyDescent="0.25">
      <c r="A303" s="46">
        <v>44999</v>
      </c>
      <c r="B303" s="14">
        <v>93.830001999999993</v>
      </c>
      <c r="C303" s="14">
        <v>95.07</v>
      </c>
      <c r="D303" s="14">
        <v>92.709998999999996</v>
      </c>
      <c r="E303" s="14">
        <v>94.879997000000003</v>
      </c>
      <c r="F303" s="14">
        <v>94.879997000000003</v>
      </c>
      <c r="G303" s="14">
        <v>60912700</v>
      </c>
      <c r="H303" s="14">
        <f t="shared" si="4"/>
        <v>5.2088014568043128E-2</v>
      </c>
    </row>
    <row r="304" spans="1:8" x14ac:dyDescent="0.25">
      <c r="A304" s="46">
        <v>45000</v>
      </c>
      <c r="B304" s="14">
        <v>93.220000999999996</v>
      </c>
      <c r="C304" s="14">
        <v>96.669998000000007</v>
      </c>
      <c r="D304" s="14">
        <v>93.07</v>
      </c>
      <c r="E304" s="14">
        <v>96.199996999999996</v>
      </c>
      <c r="F304" s="14">
        <v>96.199996999999996</v>
      </c>
      <c r="G304" s="14">
        <v>70731800</v>
      </c>
      <c r="H304" s="14">
        <f t="shared" si="4"/>
        <v>3.8830870875103951E-3</v>
      </c>
    </row>
    <row r="305" spans="1:8" x14ac:dyDescent="0.25">
      <c r="A305" s="46">
        <v>45001</v>
      </c>
      <c r="B305" s="14">
        <v>95.75</v>
      </c>
      <c r="C305" s="14">
        <v>100.989998</v>
      </c>
      <c r="D305" s="14">
        <v>95.610000999999997</v>
      </c>
      <c r="E305" s="14">
        <v>100.040001</v>
      </c>
      <c r="F305" s="14">
        <v>100.040001</v>
      </c>
      <c r="G305" s="14">
        <v>84446900</v>
      </c>
      <c r="H305" s="14">
        <f t="shared" si="4"/>
        <v>2.7291296873321214E-2</v>
      </c>
    </row>
    <row r="306" spans="1:8" x14ac:dyDescent="0.25">
      <c r="A306" s="46">
        <v>45002</v>
      </c>
      <c r="B306" s="14">
        <v>99.790001000000004</v>
      </c>
      <c r="C306" s="14">
        <v>100.660004</v>
      </c>
      <c r="D306" s="14">
        <v>97.459998999999996</v>
      </c>
      <c r="E306" s="14">
        <v>98.949996999999996</v>
      </c>
      <c r="F306" s="14">
        <v>98.949996999999996</v>
      </c>
      <c r="G306" s="14">
        <v>87300200</v>
      </c>
      <c r="H306" s="14">
        <f t="shared" si="4"/>
        <v>1.9349419314408367E-2</v>
      </c>
    </row>
    <row r="307" spans="1:8" x14ac:dyDescent="0.25">
      <c r="A307" s="46">
        <v>45005</v>
      </c>
      <c r="B307" s="14">
        <v>98.410004000000001</v>
      </c>
      <c r="C307" s="14">
        <v>98.480002999999996</v>
      </c>
      <c r="D307" s="14">
        <v>95.699996999999996</v>
      </c>
      <c r="E307" s="14">
        <v>97.709998999999996</v>
      </c>
      <c r="F307" s="14">
        <v>97.709998999999996</v>
      </c>
      <c r="G307" s="14">
        <v>62388900</v>
      </c>
      <c r="H307" s="14">
        <f t="shared" si="4"/>
        <v>-6.0195704838180335E-3</v>
      </c>
    </row>
    <row r="308" spans="1:8" x14ac:dyDescent="0.25">
      <c r="A308" s="46">
        <v>45006</v>
      </c>
      <c r="B308" s="14">
        <v>98.139999000000003</v>
      </c>
      <c r="C308" s="14">
        <v>100.849998</v>
      </c>
      <c r="D308" s="14">
        <v>98</v>
      </c>
      <c r="E308" s="14">
        <v>100.610001</v>
      </c>
      <c r="F308" s="14">
        <v>100.610001</v>
      </c>
      <c r="G308" s="14">
        <v>58597300</v>
      </c>
      <c r="H308" s="14">
        <f t="shared" si="4"/>
        <v>2.4033469927904116E-2</v>
      </c>
    </row>
    <row r="309" spans="1:8" x14ac:dyDescent="0.25">
      <c r="A309" s="46">
        <v>45007</v>
      </c>
      <c r="B309" s="14">
        <v>100.449997</v>
      </c>
      <c r="C309" s="14">
        <v>102.099998</v>
      </c>
      <c r="D309" s="14">
        <v>98.610000999999997</v>
      </c>
      <c r="E309" s="14">
        <v>98.699996999999996</v>
      </c>
      <c r="F309" s="14">
        <v>98.699996999999996</v>
      </c>
      <c r="G309" s="14">
        <v>57475400</v>
      </c>
      <c r="H309" s="14">
        <f t="shared" si="4"/>
        <v>6.2245000000000772E-3</v>
      </c>
    </row>
    <row r="310" spans="1:8" x14ac:dyDescent="0.25">
      <c r="A310" s="46">
        <v>45008</v>
      </c>
      <c r="B310" s="14">
        <v>100.43</v>
      </c>
      <c r="C310" s="14">
        <v>101.05999799999999</v>
      </c>
      <c r="D310" s="14">
        <v>97.620002999999997</v>
      </c>
      <c r="E310" s="14">
        <v>98.709998999999996</v>
      </c>
      <c r="F310" s="14">
        <v>98.709998999999996</v>
      </c>
      <c r="G310" s="14">
        <v>57559300</v>
      </c>
      <c r="H310" s="14">
        <f t="shared" si="4"/>
        <v>-1.003952935767638E-2</v>
      </c>
    </row>
    <row r="311" spans="1:8" x14ac:dyDescent="0.25">
      <c r="A311" s="46">
        <v>45009</v>
      </c>
      <c r="B311" s="14">
        <v>98.07</v>
      </c>
      <c r="C311" s="14">
        <v>98.300003000000004</v>
      </c>
      <c r="D311" s="14">
        <v>96.400002000000001</v>
      </c>
      <c r="E311" s="14">
        <v>98.129997000000003</v>
      </c>
      <c r="F311" s="14">
        <v>98.129997000000003</v>
      </c>
      <c r="G311" s="14">
        <v>56095400</v>
      </c>
      <c r="H311" s="14">
        <f t="shared" si="4"/>
        <v>-1.2497448909113418E-2</v>
      </c>
    </row>
    <row r="312" spans="1:8" x14ac:dyDescent="0.25">
      <c r="A312" s="46">
        <v>45012</v>
      </c>
      <c r="B312" s="14">
        <v>99.07</v>
      </c>
      <c r="C312" s="14">
        <v>99.339995999999999</v>
      </c>
      <c r="D312" s="14">
        <v>97.080001999999993</v>
      </c>
      <c r="E312" s="14">
        <v>98.040001000000004</v>
      </c>
      <c r="F312" s="14">
        <v>98.040001000000004</v>
      </c>
      <c r="G312" s="14">
        <v>46721300</v>
      </c>
      <c r="H312" s="14">
        <f t="shared" si="4"/>
        <v>2.3513139207887632E-3</v>
      </c>
    </row>
    <row r="313" spans="1:8" x14ac:dyDescent="0.25">
      <c r="A313" s="46">
        <v>45013</v>
      </c>
      <c r="B313" s="14">
        <v>98.110000999999997</v>
      </c>
      <c r="C313" s="14">
        <v>98.440002000000007</v>
      </c>
      <c r="D313" s="14">
        <v>96.290001000000004</v>
      </c>
      <c r="E313" s="14">
        <v>97.239998</v>
      </c>
      <c r="F313" s="14">
        <v>97.239998</v>
      </c>
      <c r="G313" s="14">
        <v>38720100</v>
      </c>
      <c r="H313" s="14">
        <f t="shared" si="4"/>
        <v>-8.1376285921377356E-3</v>
      </c>
    </row>
    <row r="314" spans="1:8" x14ac:dyDescent="0.25">
      <c r="A314" s="46">
        <v>45014</v>
      </c>
      <c r="B314" s="14">
        <v>98.690002000000007</v>
      </c>
      <c r="C314" s="14">
        <v>100.41999800000001</v>
      </c>
      <c r="D314" s="14">
        <v>98.559997999999993</v>
      </c>
      <c r="E314" s="14">
        <v>100.25</v>
      </c>
      <c r="F314" s="14">
        <v>100.25</v>
      </c>
      <c r="G314" s="14">
        <v>49783300</v>
      </c>
      <c r="H314" s="14">
        <f t="shared" si="4"/>
        <v>2.3574586939717479E-2</v>
      </c>
    </row>
    <row r="315" spans="1:8" x14ac:dyDescent="0.25">
      <c r="A315" s="46">
        <v>45015</v>
      </c>
      <c r="B315" s="14">
        <v>101.550003</v>
      </c>
      <c r="C315" s="14">
        <v>103.040001</v>
      </c>
      <c r="D315" s="14">
        <v>101.010002</v>
      </c>
      <c r="E315" s="14">
        <v>102</v>
      </c>
      <c r="F315" s="14">
        <v>102</v>
      </c>
      <c r="G315" s="14">
        <v>53633400</v>
      </c>
      <c r="H315" s="14">
        <f t="shared" si="4"/>
        <v>2.4857995634293806E-2</v>
      </c>
    </row>
    <row r="316" spans="1:8" x14ac:dyDescent="0.25">
      <c r="A316" s="46">
        <v>45016</v>
      </c>
      <c r="B316" s="14">
        <v>102.160004</v>
      </c>
      <c r="C316" s="14">
        <v>103.489998</v>
      </c>
      <c r="D316" s="14">
        <v>101.949997</v>
      </c>
      <c r="E316" s="14">
        <v>103.290001</v>
      </c>
      <c r="F316" s="14">
        <v>103.290001</v>
      </c>
      <c r="G316" s="14">
        <v>56750300</v>
      </c>
      <c r="H316" s="14">
        <f t="shared" si="4"/>
        <v>9.3059596217015539E-3</v>
      </c>
    </row>
    <row r="317" spans="1:8" x14ac:dyDescent="0.25">
      <c r="A317" s="46">
        <v>45019</v>
      </c>
      <c r="B317" s="14">
        <v>102.300003</v>
      </c>
      <c r="C317" s="14">
        <v>103.290001</v>
      </c>
      <c r="D317" s="14">
        <v>101.43</v>
      </c>
      <c r="E317" s="14">
        <v>102.410004</v>
      </c>
      <c r="F317" s="14">
        <v>102.410004</v>
      </c>
      <c r="G317" s="14">
        <v>41135700</v>
      </c>
      <c r="H317" s="14">
        <f t="shared" si="4"/>
        <v>-1.7001700680121523E-3</v>
      </c>
    </row>
    <row r="318" spans="1:8" x14ac:dyDescent="0.25">
      <c r="A318" s="46">
        <v>45020</v>
      </c>
      <c r="B318" s="14">
        <v>102.75</v>
      </c>
      <c r="C318" s="14">
        <v>104.199997</v>
      </c>
      <c r="D318" s="14">
        <v>102.110001</v>
      </c>
      <c r="E318" s="14">
        <v>103.949997</v>
      </c>
      <c r="F318" s="14">
        <v>103.949997</v>
      </c>
      <c r="G318" s="14">
        <v>48662500</v>
      </c>
      <c r="H318" s="14">
        <f t="shared" si="4"/>
        <v>6.7041407867494129E-3</v>
      </c>
    </row>
    <row r="319" spans="1:8" x14ac:dyDescent="0.25">
      <c r="A319" s="46">
        <v>45021</v>
      </c>
      <c r="B319" s="14">
        <v>103.910004</v>
      </c>
      <c r="C319" s="14">
        <v>103.910004</v>
      </c>
      <c r="D319" s="14">
        <v>100.75</v>
      </c>
      <c r="E319" s="14">
        <v>101.099998</v>
      </c>
      <c r="F319" s="14">
        <v>101.099998</v>
      </c>
      <c r="G319" s="14">
        <v>45175400</v>
      </c>
      <c r="H319" s="14">
        <f t="shared" si="4"/>
        <v>-1.3318979401439779E-2</v>
      </c>
    </row>
    <row r="320" spans="1:8" x14ac:dyDescent="0.25">
      <c r="A320" s="46">
        <v>45022</v>
      </c>
      <c r="B320" s="14">
        <v>100.75</v>
      </c>
      <c r="C320" s="14">
        <v>102.379997</v>
      </c>
      <c r="D320" s="14">
        <v>99.800003000000004</v>
      </c>
      <c r="E320" s="14">
        <v>102.05999799999999</v>
      </c>
      <c r="F320" s="14">
        <v>102.05999799999999</v>
      </c>
      <c r="G320" s="14">
        <v>43808000</v>
      </c>
      <c r="H320" s="14">
        <f t="shared" si="4"/>
        <v>-9.4292506203473847E-3</v>
      </c>
    </row>
    <row r="321" spans="1:8" x14ac:dyDescent="0.25">
      <c r="A321" s="46">
        <v>45026</v>
      </c>
      <c r="B321" s="14">
        <v>100.959999</v>
      </c>
      <c r="C321" s="14">
        <v>102.199997</v>
      </c>
      <c r="D321" s="14">
        <v>99.57</v>
      </c>
      <c r="E321" s="14">
        <v>102.16999800000001</v>
      </c>
      <c r="F321" s="14">
        <v>102.16999800000001</v>
      </c>
      <c r="G321" s="14">
        <v>37261200</v>
      </c>
      <c r="H321" s="14">
        <f t="shared" si="4"/>
        <v>-5.7615980231986996E-4</v>
      </c>
    </row>
    <row r="322" spans="1:8" x14ac:dyDescent="0.25">
      <c r="A322" s="46">
        <v>45027</v>
      </c>
      <c r="B322" s="14">
        <v>100.800003</v>
      </c>
      <c r="C322" s="14">
        <v>101</v>
      </c>
      <c r="D322" s="14">
        <v>99.010002</v>
      </c>
      <c r="E322" s="14">
        <v>99.919998000000007</v>
      </c>
      <c r="F322" s="14">
        <v>99.919998000000007</v>
      </c>
      <c r="G322" s="14">
        <v>60417800</v>
      </c>
      <c r="H322" s="14">
        <f t="shared" si="4"/>
        <v>-5.6241639047904801E-3</v>
      </c>
    </row>
    <row r="323" spans="1:8" x14ac:dyDescent="0.25">
      <c r="A323" s="46">
        <v>45028</v>
      </c>
      <c r="B323" s="14">
        <v>100.400002</v>
      </c>
      <c r="C323" s="14">
        <v>100.510002</v>
      </c>
      <c r="D323" s="14">
        <v>97.709998999999996</v>
      </c>
      <c r="E323" s="14">
        <v>97.830001999999993</v>
      </c>
      <c r="F323" s="14">
        <v>97.830001999999993</v>
      </c>
      <c r="G323" s="14">
        <v>56735000</v>
      </c>
      <c r="H323" s="14">
        <f t="shared" si="4"/>
        <v>-1.3130016904756792E-2</v>
      </c>
    </row>
    <row r="324" spans="1:8" x14ac:dyDescent="0.25">
      <c r="A324" s="46">
        <v>45029</v>
      </c>
      <c r="B324" s="14">
        <v>98.949996999999996</v>
      </c>
      <c r="C324" s="14">
        <v>102.57</v>
      </c>
      <c r="D324" s="14">
        <v>98.709998999999996</v>
      </c>
      <c r="E324" s="14">
        <v>102.400002</v>
      </c>
      <c r="F324" s="14">
        <v>102.400002</v>
      </c>
      <c r="G324" s="14">
        <v>67925100</v>
      </c>
      <c r="H324" s="14">
        <f t="shared" ref="H324:H387" si="5">(D324/D323-1)/(A324-A323)</f>
        <v>1.0234367109142939E-2</v>
      </c>
    </row>
    <row r="325" spans="1:8" x14ac:dyDescent="0.25">
      <c r="A325" s="46">
        <v>45030</v>
      </c>
      <c r="B325" s="14">
        <v>102.07</v>
      </c>
      <c r="C325" s="14">
        <v>103.199997</v>
      </c>
      <c r="D325" s="14">
        <v>101.110001</v>
      </c>
      <c r="E325" s="14">
        <v>102.510002</v>
      </c>
      <c r="F325" s="14">
        <v>102.510002</v>
      </c>
      <c r="G325" s="14">
        <v>51450500</v>
      </c>
      <c r="H325" s="14">
        <f t="shared" si="5"/>
        <v>2.4313666541522228E-2</v>
      </c>
    </row>
    <row r="326" spans="1:8" x14ac:dyDescent="0.25">
      <c r="A326" s="46">
        <v>45033</v>
      </c>
      <c r="B326" s="14">
        <v>103.160004</v>
      </c>
      <c r="C326" s="14">
        <v>103.730003</v>
      </c>
      <c r="D326" s="14">
        <v>101.589996</v>
      </c>
      <c r="E326" s="14">
        <v>102.739998</v>
      </c>
      <c r="F326" s="14">
        <v>102.739998</v>
      </c>
      <c r="G326" s="14">
        <v>39919500</v>
      </c>
      <c r="H326" s="14">
        <f t="shared" si="5"/>
        <v>1.5824184724648009E-3</v>
      </c>
    </row>
    <row r="327" spans="1:8" x14ac:dyDescent="0.25">
      <c r="A327" s="46">
        <v>45034</v>
      </c>
      <c r="B327" s="14">
        <v>103.949997</v>
      </c>
      <c r="C327" s="14">
        <v>104.199997</v>
      </c>
      <c r="D327" s="14">
        <v>101.519997</v>
      </c>
      <c r="E327" s="14">
        <v>102.300003</v>
      </c>
      <c r="F327" s="14">
        <v>102.300003</v>
      </c>
      <c r="G327" s="14">
        <v>39790500</v>
      </c>
      <c r="H327" s="14">
        <f t="shared" si="5"/>
        <v>-6.890343809049515E-4</v>
      </c>
    </row>
    <row r="328" spans="1:8" x14ac:dyDescent="0.25">
      <c r="A328" s="46">
        <v>45035</v>
      </c>
      <c r="B328" s="14">
        <v>101.58000199999999</v>
      </c>
      <c r="C328" s="14">
        <v>105.120003</v>
      </c>
      <c r="D328" s="14">
        <v>101.389999</v>
      </c>
      <c r="E328" s="14">
        <v>104.300003</v>
      </c>
      <c r="F328" s="14">
        <v>104.300003</v>
      </c>
      <c r="G328" s="14">
        <v>58398900</v>
      </c>
      <c r="H328" s="14">
        <f t="shared" si="5"/>
        <v>-1.2805161922926356E-3</v>
      </c>
    </row>
    <row r="329" spans="1:8" x14ac:dyDescent="0.25">
      <c r="A329" s="46">
        <v>45036</v>
      </c>
      <c r="B329" s="14">
        <v>103.529999</v>
      </c>
      <c r="C329" s="14">
        <v>105.25</v>
      </c>
      <c r="D329" s="14">
        <v>103.209999</v>
      </c>
      <c r="E329" s="14">
        <v>103.80999799999999</v>
      </c>
      <c r="F329" s="14">
        <v>103.80999799999999</v>
      </c>
      <c r="G329" s="14">
        <v>57696900</v>
      </c>
      <c r="H329" s="14">
        <f t="shared" si="5"/>
        <v>1.7950488390871655E-2</v>
      </c>
    </row>
    <row r="330" spans="1:8" x14ac:dyDescent="0.25">
      <c r="A330" s="46">
        <v>45037</v>
      </c>
      <c r="B330" s="14">
        <v>106.099998</v>
      </c>
      <c r="C330" s="14">
        <v>108.150002</v>
      </c>
      <c r="D330" s="14">
        <v>105.08000199999999</v>
      </c>
      <c r="E330" s="14">
        <v>106.959999</v>
      </c>
      <c r="F330" s="14">
        <v>106.959999</v>
      </c>
      <c r="G330" s="14">
        <v>86774200</v>
      </c>
      <c r="H330" s="14">
        <f t="shared" si="5"/>
        <v>1.8118428622404981E-2</v>
      </c>
    </row>
    <row r="331" spans="1:8" x14ac:dyDescent="0.25">
      <c r="A331" s="46">
        <v>45040</v>
      </c>
      <c r="B331" s="14">
        <v>107.660004</v>
      </c>
      <c r="C331" s="14">
        <v>109.230003</v>
      </c>
      <c r="D331" s="14">
        <v>105.07</v>
      </c>
      <c r="E331" s="14">
        <v>106.209999</v>
      </c>
      <c r="F331" s="14">
        <v>106.209999</v>
      </c>
      <c r="G331" s="14">
        <v>69575600</v>
      </c>
      <c r="H331" s="14">
        <f t="shared" si="5"/>
        <v>-3.1728206476418684E-5</v>
      </c>
    </row>
    <row r="332" spans="1:8" x14ac:dyDescent="0.25">
      <c r="A332" s="46">
        <v>45041</v>
      </c>
      <c r="B332" s="14">
        <v>104.910004</v>
      </c>
      <c r="C332" s="14">
        <v>105.449997</v>
      </c>
      <c r="D332" s="14">
        <v>102.449997</v>
      </c>
      <c r="E332" s="14">
        <v>102.57</v>
      </c>
      <c r="F332" s="14">
        <v>102.57</v>
      </c>
      <c r="G332" s="14">
        <v>65026800</v>
      </c>
      <c r="H332" s="14">
        <f t="shared" si="5"/>
        <v>-2.4935785666698407E-2</v>
      </c>
    </row>
    <row r="333" spans="1:8" x14ac:dyDescent="0.25">
      <c r="A333" s="46">
        <v>45042</v>
      </c>
      <c r="B333" s="14">
        <v>105.040001</v>
      </c>
      <c r="C333" s="14">
        <v>106.620003</v>
      </c>
      <c r="D333" s="14">
        <v>104.099998</v>
      </c>
      <c r="E333" s="14">
        <v>104.980003</v>
      </c>
      <c r="F333" s="14">
        <v>104.980003</v>
      </c>
      <c r="G333" s="14">
        <v>73803800</v>
      </c>
      <c r="H333" s="14">
        <f t="shared" si="5"/>
        <v>1.6105427509187864E-2</v>
      </c>
    </row>
    <row r="334" spans="1:8" x14ac:dyDescent="0.25">
      <c r="A334" s="46">
        <v>45043</v>
      </c>
      <c r="B334" s="14">
        <v>108.160004</v>
      </c>
      <c r="C334" s="14">
        <v>110.860001</v>
      </c>
      <c r="D334" s="14">
        <v>106.800003</v>
      </c>
      <c r="E334" s="14">
        <v>109.82</v>
      </c>
      <c r="F334" s="14">
        <v>109.82</v>
      </c>
      <c r="G334" s="14">
        <v>149961200</v>
      </c>
      <c r="H334" s="14">
        <f t="shared" si="5"/>
        <v>2.5936647952673475E-2</v>
      </c>
    </row>
    <row r="335" spans="1:8" x14ac:dyDescent="0.25">
      <c r="A335" s="46">
        <v>45044</v>
      </c>
      <c r="B335" s="14">
        <v>107.730003</v>
      </c>
      <c r="C335" s="14">
        <v>109.480003</v>
      </c>
      <c r="D335" s="14">
        <v>104.33000199999999</v>
      </c>
      <c r="E335" s="14">
        <v>105.449997</v>
      </c>
      <c r="F335" s="14">
        <v>105.449997</v>
      </c>
      <c r="G335" s="14">
        <v>130565000</v>
      </c>
      <c r="H335" s="14">
        <f t="shared" si="5"/>
        <v>-2.3127349537621411E-2</v>
      </c>
    </row>
    <row r="336" spans="1:8" x14ac:dyDescent="0.25">
      <c r="A336" s="46">
        <v>45047</v>
      </c>
      <c r="B336" s="14">
        <v>104.949997</v>
      </c>
      <c r="C336" s="14">
        <v>105.230003</v>
      </c>
      <c r="D336" s="14">
        <v>101.82</v>
      </c>
      <c r="E336" s="14">
        <v>102.050003</v>
      </c>
      <c r="F336" s="14">
        <v>102.050003</v>
      </c>
      <c r="G336" s="14">
        <v>74728100</v>
      </c>
      <c r="H336" s="14">
        <f t="shared" si="5"/>
        <v>-8.0194317770005599E-3</v>
      </c>
    </row>
    <row r="337" spans="1:8" x14ac:dyDescent="0.25">
      <c r="A337" s="46">
        <v>45048</v>
      </c>
      <c r="B337" s="14">
        <v>101.470001</v>
      </c>
      <c r="C337" s="14">
        <v>103.900002</v>
      </c>
      <c r="D337" s="14">
        <v>101.150002</v>
      </c>
      <c r="E337" s="14">
        <v>103.629997</v>
      </c>
      <c r="F337" s="14">
        <v>103.629997</v>
      </c>
      <c r="G337" s="14">
        <v>73469400</v>
      </c>
      <c r="H337" s="14">
        <f t="shared" si="5"/>
        <v>-6.5802199960713903E-3</v>
      </c>
    </row>
    <row r="338" spans="1:8" x14ac:dyDescent="0.25">
      <c r="A338" s="46">
        <v>45049</v>
      </c>
      <c r="B338" s="14">
        <v>103.739998</v>
      </c>
      <c r="C338" s="14">
        <v>105.959999</v>
      </c>
      <c r="D338" s="14">
        <v>103.279999</v>
      </c>
      <c r="E338" s="14">
        <v>103.650002</v>
      </c>
      <c r="F338" s="14">
        <v>103.650002</v>
      </c>
      <c r="G338" s="14">
        <v>65051900</v>
      </c>
      <c r="H338" s="14">
        <f t="shared" si="5"/>
        <v>2.1057804823375159E-2</v>
      </c>
    </row>
    <row r="339" spans="1:8" x14ac:dyDescent="0.25">
      <c r="A339" s="46">
        <v>45050</v>
      </c>
      <c r="B339" s="14">
        <v>104.040001</v>
      </c>
      <c r="C339" s="14">
        <v>105.389999</v>
      </c>
      <c r="D339" s="14">
        <v>103.30999799999999</v>
      </c>
      <c r="E339" s="14">
        <v>104</v>
      </c>
      <c r="F339" s="14">
        <v>104</v>
      </c>
      <c r="G339" s="14">
        <v>45345500</v>
      </c>
      <c r="H339" s="14">
        <f t="shared" si="5"/>
        <v>2.9046282233213816E-4</v>
      </c>
    </row>
    <row r="340" spans="1:8" x14ac:dyDescent="0.25">
      <c r="A340" s="46">
        <v>45051</v>
      </c>
      <c r="B340" s="14">
        <v>104.269997</v>
      </c>
      <c r="C340" s="14">
        <v>105.760002</v>
      </c>
      <c r="D340" s="14">
        <v>103.550003</v>
      </c>
      <c r="E340" s="14">
        <v>105.660004</v>
      </c>
      <c r="F340" s="14">
        <v>105.660004</v>
      </c>
      <c r="G340" s="14">
        <v>56912900</v>
      </c>
      <c r="H340" s="14">
        <f t="shared" si="5"/>
        <v>2.323153660306998E-3</v>
      </c>
    </row>
    <row r="341" spans="1:8" x14ac:dyDescent="0.25">
      <c r="A341" s="46">
        <v>45054</v>
      </c>
      <c r="B341" s="14">
        <v>105.040001</v>
      </c>
      <c r="C341" s="14">
        <v>106.099998</v>
      </c>
      <c r="D341" s="14">
        <v>104.699997</v>
      </c>
      <c r="E341" s="14">
        <v>105.83000199999999</v>
      </c>
      <c r="F341" s="14">
        <v>105.83000199999999</v>
      </c>
      <c r="G341" s="14">
        <v>49430900</v>
      </c>
      <c r="H341" s="14">
        <f t="shared" si="5"/>
        <v>3.7018959172152588E-3</v>
      </c>
    </row>
    <row r="342" spans="1:8" x14ac:dyDescent="0.25">
      <c r="A342" s="46">
        <v>45055</v>
      </c>
      <c r="B342" s="14">
        <v>105.480003</v>
      </c>
      <c r="C342" s="14">
        <v>106.790001</v>
      </c>
      <c r="D342" s="14">
        <v>105.160004</v>
      </c>
      <c r="E342" s="14">
        <v>106.620003</v>
      </c>
      <c r="F342" s="14">
        <v>106.620003</v>
      </c>
      <c r="G342" s="14">
        <v>44089400</v>
      </c>
      <c r="H342" s="14">
        <f t="shared" si="5"/>
        <v>4.3935722366830188E-3</v>
      </c>
    </row>
    <row r="343" spans="1:8" x14ac:dyDescent="0.25">
      <c r="A343" s="46">
        <v>45056</v>
      </c>
      <c r="B343" s="14">
        <v>108.099998</v>
      </c>
      <c r="C343" s="14">
        <v>110.66999800000001</v>
      </c>
      <c r="D343" s="14">
        <v>108.050003</v>
      </c>
      <c r="E343" s="14">
        <v>110.19000200000001</v>
      </c>
      <c r="F343" s="14">
        <v>110.19000200000001</v>
      </c>
      <c r="G343" s="14">
        <v>78627600</v>
      </c>
      <c r="H343" s="14">
        <f t="shared" si="5"/>
        <v>2.7481921738991222E-2</v>
      </c>
    </row>
    <row r="344" spans="1:8" x14ac:dyDescent="0.25">
      <c r="A344" s="46">
        <v>45057</v>
      </c>
      <c r="B344" s="14">
        <v>111.029999</v>
      </c>
      <c r="C344" s="14">
        <v>113.279999</v>
      </c>
      <c r="D344" s="14">
        <v>110.489998</v>
      </c>
      <c r="E344" s="14">
        <v>112.18</v>
      </c>
      <c r="F344" s="14">
        <v>112.18</v>
      </c>
      <c r="G344" s="14">
        <v>74924800</v>
      </c>
      <c r="H344" s="14">
        <f t="shared" si="5"/>
        <v>2.2582090997258053E-2</v>
      </c>
    </row>
    <row r="345" spans="1:8" x14ac:dyDescent="0.25">
      <c r="A345" s="46">
        <v>45058</v>
      </c>
      <c r="B345" s="14">
        <v>112.160004</v>
      </c>
      <c r="C345" s="14">
        <v>112.639999</v>
      </c>
      <c r="D345" s="14">
        <v>109.32</v>
      </c>
      <c r="E345" s="14">
        <v>110.260002</v>
      </c>
      <c r="F345" s="14">
        <v>110.260002</v>
      </c>
      <c r="G345" s="14">
        <v>49810100</v>
      </c>
      <c r="H345" s="14">
        <f t="shared" si="5"/>
        <v>-1.058917568267137E-2</v>
      </c>
    </row>
    <row r="346" spans="1:8" x14ac:dyDescent="0.25">
      <c r="A346" s="46">
        <v>45061</v>
      </c>
      <c r="B346" s="14">
        <v>111.150002</v>
      </c>
      <c r="C346" s="14">
        <v>112.290001</v>
      </c>
      <c r="D346" s="14">
        <v>109.25</v>
      </c>
      <c r="E346" s="14">
        <v>111.199997</v>
      </c>
      <c r="F346" s="14">
        <v>111.199997</v>
      </c>
      <c r="G346" s="14">
        <v>53011100</v>
      </c>
      <c r="H346" s="14">
        <f t="shared" si="5"/>
        <v>-2.1344066349552696E-4</v>
      </c>
    </row>
    <row r="347" spans="1:8" x14ac:dyDescent="0.25">
      <c r="A347" s="46">
        <v>45062</v>
      </c>
      <c r="B347" s="14">
        <v>111.050003</v>
      </c>
      <c r="C347" s="14">
        <v>114.790001</v>
      </c>
      <c r="D347" s="14">
        <v>111.050003</v>
      </c>
      <c r="E347" s="14">
        <v>113.400002</v>
      </c>
      <c r="F347" s="14">
        <v>113.400002</v>
      </c>
      <c r="G347" s="14">
        <v>71472900</v>
      </c>
      <c r="H347" s="14">
        <f t="shared" si="5"/>
        <v>1.6475999999999935E-2</v>
      </c>
    </row>
    <row r="348" spans="1:8" x14ac:dyDescent="0.25">
      <c r="A348" s="46">
        <v>45063</v>
      </c>
      <c r="B348" s="14">
        <v>114.889999</v>
      </c>
      <c r="C348" s="14">
        <v>115.83000199999999</v>
      </c>
      <c r="D348" s="14">
        <v>114.220001</v>
      </c>
      <c r="E348" s="14">
        <v>115.5</v>
      </c>
      <c r="F348" s="14">
        <v>115.5</v>
      </c>
      <c r="G348" s="14">
        <v>65655200</v>
      </c>
      <c r="H348" s="14">
        <f t="shared" si="5"/>
        <v>2.8545681354011254E-2</v>
      </c>
    </row>
    <row r="349" spans="1:8" x14ac:dyDescent="0.25">
      <c r="A349" s="46">
        <v>45064</v>
      </c>
      <c r="B349" s="14">
        <v>116.69000200000001</v>
      </c>
      <c r="C349" s="14">
        <v>118.599998</v>
      </c>
      <c r="D349" s="14">
        <v>116.339996</v>
      </c>
      <c r="E349" s="14">
        <v>118.150002</v>
      </c>
      <c r="F349" s="14">
        <v>118.150002</v>
      </c>
      <c r="G349" s="14">
        <v>73174100</v>
      </c>
      <c r="H349" s="14">
        <f t="shared" si="5"/>
        <v>1.8560628448952565E-2</v>
      </c>
    </row>
    <row r="350" spans="1:8" x14ac:dyDescent="0.25">
      <c r="A350" s="46">
        <v>45065</v>
      </c>
      <c r="B350" s="14">
        <v>118.160004</v>
      </c>
      <c r="C350" s="14">
        <v>118.30999799999999</v>
      </c>
      <c r="D350" s="14">
        <v>115.699997</v>
      </c>
      <c r="E350" s="14">
        <v>116.25</v>
      </c>
      <c r="F350" s="14">
        <v>116.25</v>
      </c>
      <c r="G350" s="14">
        <v>54990200</v>
      </c>
      <c r="H350" s="14">
        <f t="shared" si="5"/>
        <v>-5.5011090081179548E-3</v>
      </c>
    </row>
    <row r="351" spans="1:8" x14ac:dyDescent="0.25">
      <c r="A351" s="46">
        <v>45068</v>
      </c>
      <c r="B351" s="14">
        <v>116.769997</v>
      </c>
      <c r="C351" s="14">
        <v>116.769997</v>
      </c>
      <c r="D351" s="14">
        <v>114.25</v>
      </c>
      <c r="E351" s="14">
        <v>115.010002</v>
      </c>
      <c r="F351" s="14">
        <v>115.010002</v>
      </c>
      <c r="G351" s="14">
        <v>70741100</v>
      </c>
      <c r="H351" s="14">
        <f t="shared" si="5"/>
        <v>-4.1774619348808884E-3</v>
      </c>
    </row>
    <row r="352" spans="1:8" x14ac:dyDescent="0.25">
      <c r="A352" s="46">
        <v>45069</v>
      </c>
      <c r="B352" s="14">
        <v>114.269997</v>
      </c>
      <c r="C352" s="14">
        <v>117.139999</v>
      </c>
      <c r="D352" s="14">
        <v>113.779999</v>
      </c>
      <c r="E352" s="14">
        <v>114.989998</v>
      </c>
      <c r="F352" s="14">
        <v>114.989998</v>
      </c>
      <c r="G352" s="14">
        <v>67576300</v>
      </c>
      <c r="H352" s="14">
        <f t="shared" si="5"/>
        <v>-4.1137943107221187E-3</v>
      </c>
    </row>
    <row r="353" spans="1:8" x14ac:dyDescent="0.25">
      <c r="A353" s="46">
        <v>45070</v>
      </c>
      <c r="B353" s="14">
        <v>115.349998</v>
      </c>
      <c r="C353" s="14">
        <v>117.339996</v>
      </c>
      <c r="D353" s="14">
        <v>115.019997</v>
      </c>
      <c r="E353" s="14">
        <v>116.75</v>
      </c>
      <c r="F353" s="14">
        <v>116.75</v>
      </c>
      <c r="G353" s="14">
        <v>63487900</v>
      </c>
      <c r="H353" s="14">
        <f t="shared" si="5"/>
        <v>1.0898207162051365E-2</v>
      </c>
    </row>
    <row r="354" spans="1:8" x14ac:dyDescent="0.25">
      <c r="A354" s="46">
        <v>45071</v>
      </c>
      <c r="B354" s="14">
        <v>116.629997</v>
      </c>
      <c r="C354" s="14">
        <v>116.870003</v>
      </c>
      <c r="D354" s="14">
        <v>114.30999799999999</v>
      </c>
      <c r="E354" s="14">
        <v>115</v>
      </c>
      <c r="F354" s="14">
        <v>115</v>
      </c>
      <c r="G354" s="14">
        <v>66496700</v>
      </c>
      <c r="H354" s="14">
        <f t="shared" si="5"/>
        <v>-6.172830973035115E-3</v>
      </c>
    </row>
    <row r="355" spans="1:8" x14ac:dyDescent="0.25">
      <c r="A355" s="46">
        <v>45072</v>
      </c>
      <c r="B355" s="14">
        <v>116.040001</v>
      </c>
      <c r="C355" s="14">
        <v>121.5</v>
      </c>
      <c r="D355" s="14">
        <v>116.019997</v>
      </c>
      <c r="E355" s="14">
        <v>120.110001</v>
      </c>
      <c r="F355" s="14">
        <v>120.110001</v>
      </c>
      <c r="G355" s="14">
        <v>96779900</v>
      </c>
      <c r="H355" s="14">
        <f t="shared" si="5"/>
        <v>1.4959312657848223E-2</v>
      </c>
    </row>
    <row r="356" spans="1:8" x14ac:dyDescent="0.25">
      <c r="A356" s="46">
        <v>45076</v>
      </c>
      <c r="B356" s="14">
        <v>122.370003</v>
      </c>
      <c r="C356" s="14">
        <v>122.91999800000001</v>
      </c>
      <c r="D356" s="14">
        <v>119.860001</v>
      </c>
      <c r="E356" s="14">
        <v>121.660004</v>
      </c>
      <c r="F356" s="14">
        <v>121.660004</v>
      </c>
      <c r="G356" s="14">
        <v>64314800</v>
      </c>
      <c r="H356" s="14">
        <f t="shared" si="5"/>
        <v>8.2744442753260872E-3</v>
      </c>
    </row>
    <row r="357" spans="1:8" x14ac:dyDescent="0.25">
      <c r="A357" s="46">
        <v>45077</v>
      </c>
      <c r="B357" s="14">
        <v>121.449997</v>
      </c>
      <c r="C357" s="14">
        <v>122.040001</v>
      </c>
      <c r="D357" s="14">
        <v>119.16999800000001</v>
      </c>
      <c r="E357" s="14">
        <v>120.58000199999999</v>
      </c>
      <c r="F357" s="14">
        <v>120.58000199999999</v>
      </c>
      <c r="G357" s="14">
        <v>72800800</v>
      </c>
      <c r="H357" s="14">
        <f t="shared" si="5"/>
        <v>-5.7567411500354382E-3</v>
      </c>
    </row>
    <row r="358" spans="1:8" x14ac:dyDescent="0.25">
      <c r="A358" s="46">
        <v>45078</v>
      </c>
      <c r="B358" s="14">
        <v>120.69000200000001</v>
      </c>
      <c r="C358" s="14">
        <v>123.489998</v>
      </c>
      <c r="D358" s="14">
        <v>119.93</v>
      </c>
      <c r="E358" s="14">
        <v>122.769997</v>
      </c>
      <c r="F358" s="14">
        <v>122.769997</v>
      </c>
      <c r="G358" s="14">
        <v>54375100</v>
      </c>
      <c r="H358" s="14">
        <f t="shared" si="5"/>
        <v>6.3774608773594643E-3</v>
      </c>
    </row>
    <row r="359" spans="1:8" x14ac:dyDescent="0.25">
      <c r="A359" s="46">
        <v>45079</v>
      </c>
      <c r="B359" s="14">
        <v>124.91999800000001</v>
      </c>
      <c r="C359" s="14">
        <v>126.389999</v>
      </c>
      <c r="D359" s="14">
        <v>124.019997</v>
      </c>
      <c r="E359" s="14">
        <v>124.25</v>
      </c>
      <c r="F359" s="14">
        <v>124.25</v>
      </c>
      <c r="G359" s="14">
        <v>61215000</v>
      </c>
      <c r="H359" s="14">
        <f t="shared" si="5"/>
        <v>3.4103201867756061E-2</v>
      </c>
    </row>
    <row r="360" spans="1:8" x14ac:dyDescent="0.25">
      <c r="A360" s="46">
        <v>45082</v>
      </c>
      <c r="B360" s="14">
        <v>123.360001</v>
      </c>
      <c r="C360" s="14">
        <v>125.800003</v>
      </c>
      <c r="D360" s="14">
        <v>123.029999</v>
      </c>
      <c r="E360" s="14">
        <v>125.300003</v>
      </c>
      <c r="F360" s="14">
        <v>125.300003</v>
      </c>
      <c r="G360" s="14">
        <v>47950100</v>
      </c>
      <c r="H360" s="14">
        <f t="shared" si="5"/>
        <v>-2.6608558403152793E-3</v>
      </c>
    </row>
    <row r="361" spans="1:8" x14ac:dyDescent="0.25">
      <c r="A361" s="46">
        <v>45083</v>
      </c>
      <c r="B361" s="14">
        <v>125.07</v>
      </c>
      <c r="C361" s="14">
        <v>127.400002</v>
      </c>
      <c r="D361" s="14">
        <v>125</v>
      </c>
      <c r="E361" s="14">
        <v>126.610001</v>
      </c>
      <c r="F361" s="14">
        <v>126.610001</v>
      </c>
      <c r="G361" s="14">
        <v>45695200</v>
      </c>
      <c r="H361" s="14">
        <f t="shared" si="5"/>
        <v>1.6012362968482075E-2</v>
      </c>
    </row>
    <row r="362" spans="1:8" x14ac:dyDescent="0.25">
      <c r="A362" s="46">
        <v>45084</v>
      </c>
      <c r="B362" s="14">
        <v>127.010002</v>
      </c>
      <c r="C362" s="14">
        <v>127.370003</v>
      </c>
      <c r="D362" s="14">
        <v>120.629997</v>
      </c>
      <c r="E362" s="14">
        <v>121.230003</v>
      </c>
      <c r="F362" s="14">
        <v>121.230003</v>
      </c>
      <c r="G362" s="14">
        <v>95663300</v>
      </c>
      <c r="H362" s="14">
        <f t="shared" si="5"/>
        <v>-3.4960023999999978E-2</v>
      </c>
    </row>
    <row r="363" spans="1:8" x14ac:dyDescent="0.25">
      <c r="A363" s="46">
        <v>45085</v>
      </c>
      <c r="B363" s="14">
        <v>123.010002</v>
      </c>
      <c r="C363" s="14">
        <v>125.629997</v>
      </c>
      <c r="D363" s="14">
        <v>122.260002</v>
      </c>
      <c r="E363" s="14">
        <v>124.25</v>
      </c>
      <c r="F363" s="14">
        <v>124.25</v>
      </c>
      <c r="G363" s="14">
        <v>62159300</v>
      </c>
      <c r="H363" s="14">
        <f t="shared" si="5"/>
        <v>1.3512435053778526E-2</v>
      </c>
    </row>
    <row r="364" spans="1:8" x14ac:dyDescent="0.25">
      <c r="A364" s="46">
        <v>45086</v>
      </c>
      <c r="B364" s="14">
        <v>124.08000199999999</v>
      </c>
      <c r="C364" s="14">
        <v>125.800003</v>
      </c>
      <c r="D364" s="14">
        <v>123.19000200000001</v>
      </c>
      <c r="E364" s="14">
        <v>123.43</v>
      </c>
      <c r="F364" s="14">
        <v>123.43</v>
      </c>
      <c r="G364" s="14">
        <v>51330000</v>
      </c>
      <c r="H364" s="14">
        <f t="shared" si="5"/>
        <v>7.6067396105556906E-3</v>
      </c>
    </row>
    <row r="365" spans="1:8" x14ac:dyDescent="0.25">
      <c r="A365" s="46">
        <v>45089</v>
      </c>
      <c r="B365" s="14">
        <v>124.019997</v>
      </c>
      <c r="C365" s="14">
        <v>126.779999</v>
      </c>
      <c r="D365" s="14">
        <v>123.529999</v>
      </c>
      <c r="E365" s="14">
        <v>126.57</v>
      </c>
      <c r="F365" s="14">
        <v>126.57</v>
      </c>
      <c r="G365" s="14">
        <v>51338000</v>
      </c>
      <c r="H365" s="14">
        <f t="shared" si="5"/>
        <v>9.1997996179375241E-4</v>
      </c>
    </row>
    <row r="366" spans="1:8" x14ac:dyDescent="0.25">
      <c r="A366" s="46">
        <v>45090</v>
      </c>
      <c r="B366" s="14">
        <v>128.11999499999999</v>
      </c>
      <c r="C366" s="14">
        <v>128.41000399999999</v>
      </c>
      <c r="D366" s="14">
        <v>125.18</v>
      </c>
      <c r="E366" s="14">
        <v>126.660004</v>
      </c>
      <c r="F366" s="14">
        <v>126.660004</v>
      </c>
      <c r="G366" s="14">
        <v>50564800</v>
      </c>
      <c r="H366" s="14">
        <f t="shared" si="5"/>
        <v>1.3357087455331484E-2</v>
      </c>
    </row>
    <row r="367" spans="1:8" x14ac:dyDescent="0.25">
      <c r="A367" s="46">
        <v>45091</v>
      </c>
      <c r="B367" s="14">
        <v>126.699997</v>
      </c>
      <c r="C367" s="14">
        <v>126.949997</v>
      </c>
      <c r="D367" s="14">
        <v>124.120003</v>
      </c>
      <c r="E367" s="14">
        <v>126.41999800000001</v>
      </c>
      <c r="F367" s="14">
        <v>126.41999800000001</v>
      </c>
      <c r="G367" s="14">
        <v>52422500</v>
      </c>
      <c r="H367" s="14">
        <f t="shared" si="5"/>
        <v>-8.4677823933536622E-3</v>
      </c>
    </row>
    <row r="368" spans="1:8" x14ac:dyDescent="0.25">
      <c r="A368" s="46">
        <v>45092</v>
      </c>
      <c r="B368" s="14">
        <v>125.209999</v>
      </c>
      <c r="C368" s="14">
        <v>127.69000200000001</v>
      </c>
      <c r="D368" s="14">
        <v>124.32</v>
      </c>
      <c r="E368" s="14">
        <v>127.110001</v>
      </c>
      <c r="F368" s="14">
        <v>127.110001</v>
      </c>
      <c r="G368" s="14">
        <v>60458500</v>
      </c>
      <c r="H368" s="14">
        <f t="shared" si="5"/>
        <v>1.6113196516760464E-3</v>
      </c>
    </row>
    <row r="369" spans="1:8" x14ac:dyDescent="0.25">
      <c r="A369" s="46">
        <v>45093</v>
      </c>
      <c r="B369" s="14">
        <v>127.709999</v>
      </c>
      <c r="C369" s="14">
        <v>127.900002</v>
      </c>
      <c r="D369" s="14">
        <v>125.300003</v>
      </c>
      <c r="E369" s="14">
        <v>125.489998</v>
      </c>
      <c r="F369" s="14">
        <v>125.489998</v>
      </c>
      <c r="G369" s="14">
        <v>84188100</v>
      </c>
      <c r="H369" s="14">
        <f t="shared" si="5"/>
        <v>7.882907014157059E-3</v>
      </c>
    </row>
    <row r="370" spans="1:8" x14ac:dyDescent="0.25">
      <c r="A370" s="46">
        <v>45097</v>
      </c>
      <c r="B370" s="14">
        <v>124.970001</v>
      </c>
      <c r="C370" s="14">
        <v>127.25</v>
      </c>
      <c r="D370" s="14">
        <v>124.5</v>
      </c>
      <c r="E370" s="14">
        <v>125.779999</v>
      </c>
      <c r="F370" s="14">
        <v>125.779999</v>
      </c>
      <c r="G370" s="14">
        <v>56930100</v>
      </c>
      <c r="H370" s="14">
        <f t="shared" si="5"/>
        <v>-1.596175141352546E-3</v>
      </c>
    </row>
    <row r="371" spans="1:8" x14ac:dyDescent="0.25">
      <c r="A371" s="46">
        <v>45098</v>
      </c>
      <c r="B371" s="14">
        <v>125.639999</v>
      </c>
      <c r="C371" s="14">
        <v>126.730003</v>
      </c>
      <c r="D371" s="14">
        <v>123.849998</v>
      </c>
      <c r="E371" s="14">
        <v>124.83000199999999</v>
      </c>
      <c r="F371" s="14">
        <v>124.83000199999999</v>
      </c>
      <c r="G371" s="14">
        <v>52137700</v>
      </c>
      <c r="H371" s="14">
        <f t="shared" si="5"/>
        <v>-5.220899598393558E-3</v>
      </c>
    </row>
    <row r="372" spans="1:8" x14ac:dyDescent="0.25">
      <c r="A372" s="46">
        <v>45099</v>
      </c>
      <c r="B372" s="14">
        <v>125.30999799999999</v>
      </c>
      <c r="C372" s="14">
        <v>130.33000200000001</v>
      </c>
      <c r="D372" s="14">
        <v>125.139999</v>
      </c>
      <c r="E372" s="14">
        <v>130.14999399999999</v>
      </c>
      <c r="F372" s="14">
        <v>130.14999399999999</v>
      </c>
      <c r="G372" s="14">
        <v>90354600</v>
      </c>
      <c r="H372" s="14">
        <f t="shared" si="5"/>
        <v>1.0415833837962518E-2</v>
      </c>
    </row>
    <row r="373" spans="1:8" x14ac:dyDescent="0.25">
      <c r="A373" s="46">
        <v>45100</v>
      </c>
      <c r="B373" s="14">
        <v>129.11000100000001</v>
      </c>
      <c r="C373" s="14">
        <v>130.83999600000001</v>
      </c>
      <c r="D373" s="14">
        <v>128.279999</v>
      </c>
      <c r="E373" s="14">
        <v>129.33000200000001</v>
      </c>
      <c r="F373" s="14">
        <v>129.33000200000001</v>
      </c>
      <c r="G373" s="14">
        <v>71855200</v>
      </c>
      <c r="H373" s="14">
        <f t="shared" si="5"/>
        <v>2.5091897275786312E-2</v>
      </c>
    </row>
    <row r="374" spans="1:8" x14ac:dyDescent="0.25">
      <c r="A374" s="46">
        <v>45103</v>
      </c>
      <c r="B374" s="14">
        <v>129.33000200000001</v>
      </c>
      <c r="C374" s="14">
        <v>131.490005</v>
      </c>
      <c r="D374" s="14">
        <v>127.099998</v>
      </c>
      <c r="E374" s="14">
        <v>127.33000199999999</v>
      </c>
      <c r="F374" s="14">
        <v>127.33000199999999</v>
      </c>
      <c r="G374" s="14">
        <v>59989300</v>
      </c>
      <c r="H374" s="14">
        <f t="shared" si="5"/>
        <v>-3.0662119561340648E-3</v>
      </c>
    </row>
    <row r="375" spans="1:8" x14ac:dyDescent="0.25">
      <c r="A375" s="46">
        <v>45104</v>
      </c>
      <c r="B375" s="14">
        <v>128.63000500000001</v>
      </c>
      <c r="C375" s="14">
        <v>130.08999600000001</v>
      </c>
      <c r="D375" s="14">
        <v>127.550003</v>
      </c>
      <c r="E375" s="14">
        <v>129.179993</v>
      </c>
      <c r="F375" s="14">
        <v>129.179993</v>
      </c>
      <c r="G375" s="14">
        <v>46801000</v>
      </c>
      <c r="H375" s="14">
        <f t="shared" si="5"/>
        <v>3.540558670976468E-3</v>
      </c>
    </row>
    <row r="376" spans="1:8" x14ac:dyDescent="0.25">
      <c r="A376" s="46">
        <v>45105</v>
      </c>
      <c r="B376" s="14">
        <v>128.94000199999999</v>
      </c>
      <c r="C376" s="14">
        <v>131.479996</v>
      </c>
      <c r="D376" s="14">
        <v>128.44000199999999</v>
      </c>
      <c r="E376" s="14">
        <v>129.03999300000001</v>
      </c>
      <c r="F376" s="14">
        <v>129.03999300000001</v>
      </c>
      <c r="G376" s="14">
        <v>52149500</v>
      </c>
      <c r="H376" s="14">
        <f t="shared" si="5"/>
        <v>6.9776478170682221E-3</v>
      </c>
    </row>
    <row r="377" spans="1:8" x14ac:dyDescent="0.25">
      <c r="A377" s="46">
        <v>45106</v>
      </c>
      <c r="B377" s="14">
        <v>128.770004</v>
      </c>
      <c r="C377" s="14">
        <v>129.259995</v>
      </c>
      <c r="D377" s="14">
        <v>127.260002</v>
      </c>
      <c r="E377" s="14">
        <v>127.900002</v>
      </c>
      <c r="F377" s="14">
        <v>127.900002</v>
      </c>
      <c r="G377" s="14">
        <v>40761000</v>
      </c>
      <c r="H377" s="14">
        <f t="shared" si="5"/>
        <v>-9.1871689631396469E-3</v>
      </c>
    </row>
    <row r="378" spans="1:8" x14ac:dyDescent="0.25">
      <c r="A378" s="46">
        <v>45107</v>
      </c>
      <c r="B378" s="14">
        <v>129.470001</v>
      </c>
      <c r="C378" s="14">
        <v>131.25</v>
      </c>
      <c r="D378" s="14">
        <v>128.949997</v>
      </c>
      <c r="E378" s="14">
        <v>130.36000100000001</v>
      </c>
      <c r="F378" s="14">
        <v>130.36000100000001</v>
      </c>
      <c r="G378" s="14">
        <v>54310500</v>
      </c>
      <c r="H378" s="14">
        <f t="shared" si="5"/>
        <v>1.327985992016556E-2</v>
      </c>
    </row>
    <row r="379" spans="1:8" x14ac:dyDescent="0.25">
      <c r="A379" s="46">
        <v>45110</v>
      </c>
      <c r="B379" s="14">
        <v>130.820007</v>
      </c>
      <c r="C379" s="14">
        <v>131.85000600000001</v>
      </c>
      <c r="D379" s="14">
        <v>130.070007</v>
      </c>
      <c r="E379" s="14">
        <v>130.220001</v>
      </c>
      <c r="F379" s="14">
        <v>130.220001</v>
      </c>
      <c r="G379" s="14">
        <v>28264800</v>
      </c>
      <c r="H379" s="14">
        <f t="shared" si="5"/>
        <v>2.8952049271212164E-3</v>
      </c>
    </row>
    <row r="380" spans="1:8" x14ac:dyDescent="0.25">
      <c r="A380" s="46">
        <v>45112</v>
      </c>
      <c r="B380" s="14">
        <v>130.240005</v>
      </c>
      <c r="C380" s="14">
        <v>131.39999399999999</v>
      </c>
      <c r="D380" s="14">
        <v>129.63999899999999</v>
      </c>
      <c r="E380" s="14">
        <v>130.38000500000001</v>
      </c>
      <c r="F380" s="14">
        <v>130.38000500000001</v>
      </c>
      <c r="G380" s="14">
        <v>35895400</v>
      </c>
      <c r="H380" s="14">
        <f t="shared" si="5"/>
        <v>-1.6529867642738338E-3</v>
      </c>
    </row>
    <row r="381" spans="1:8" x14ac:dyDescent="0.25">
      <c r="A381" s="46">
        <v>45113</v>
      </c>
      <c r="B381" s="14">
        <v>128.25</v>
      </c>
      <c r="C381" s="14">
        <v>128.729996</v>
      </c>
      <c r="D381" s="14">
        <v>127.370003</v>
      </c>
      <c r="E381" s="14">
        <v>128.36000100000001</v>
      </c>
      <c r="F381" s="14">
        <v>128.36000100000001</v>
      </c>
      <c r="G381" s="14">
        <v>40639900</v>
      </c>
      <c r="H381" s="14">
        <f t="shared" si="5"/>
        <v>-1.7509997049598769E-2</v>
      </c>
    </row>
    <row r="382" spans="1:8" x14ac:dyDescent="0.25">
      <c r="A382" s="46">
        <v>45114</v>
      </c>
      <c r="B382" s="14">
        <v>128.58999600000001</v>
      </c>
      <c r="C382" s="14">
        <v>130.970001</v>
      </c>
      <c r="D382" s="14">
        <v>128.13000500000001</v>
      </c>
      <c r="E382" s="14">
        <v>129.779999</v>
      </c>
      <c r="F382" s="14">
        <v>129.779999</v>
      </c>
      <c r="G382" s="14">
        <v>41928700</v>
      </c>
      <c r="H382" s="14">
        <f t="shared" si="5"/>
        <v>5.9668837410642439E-3</v>
      </c>
    </row>
    <row r="383" spans="1:8" x14ac:dyDescent="0.25">
      <c r="A383" s="46">
        <v>45117</v>
      </c>
      <c r="B383" s="14">
        <v>129.070007</v>
      </c>
      <c r="C383" s="14">
        <v>129.279999</v>
      </c>
      <c r="D383" s="14">
        <v>125.91999800000001</v>
      </c>
      <c r="E383" s="14">
        <v>127.129997</v>
      </c>
      <c r="F383" s="14">
        <v>127.129997</v>
      </c>
      <c r="G383" s="14">
        <v>61889300</v>
      </c>
      <c r="H383" s="14">
        <f t="shared" si="5"/>
        <v>-5.7493871166242423E-3</v>
      </c>
    </row>
    <row r="384" spans="1:8" x14ac:dyDescent="0.25">
      <c r="A384" s="46">
        <v>45118</v>
      </c>
      <c r="B384" s="14">
        <v>127.75</v>
      </c>
      <c r="C384" s="14">
        <v>129.770004</v>
      </c>
      <c r="D384" s="14">
        <v>127.349998</v>
      </c>
      <c r="E384" s="14">
        <v>128.779999</v>
      </c>
      <c r="F384" s="14">
        <v>128.779999</v>
      </c>
      <c r="G384" s="14">
        <v>49951500</v>
      </c>
      <c r="H384" s="14">
        <f t="shared" si="5"/>
        <v>1.1356416952928994E-2</v>
      </c>
    </row>
    <row r="385" spans="1:8" x14ac:dyDescent="0.25">
      <c r="A385" s="46">
        <v>45119</v>
      </c>
      <c r="B385" s="14">
        <v>130.30999800000001</v>
      </c>
      <c r="C385" s="14">
        <v>131.259995</v>
      </c>
      <c r="D385" s="14">
        <v>128.83000200000001</v>
      </c>
      <c r="E385" s="14">
        <v>130.800003</v>
      </c>
      <c r="F385" s="14">
        <v>130.800003</v>
      </c>
      <c r="G385" s="14">
        <v>54022800</v>
      </c>
      <c r="H385" s="14">
        <f t="shared" si="5"/>
        <v>1.1621547100456153E-2</v>
      </c>
    </row>
    <row r="386" spans="1:8" x14ac:dyDescent="0.25">
      <c r="A386" s="46">
        <v>45120</v>
      </c>
      <c r="B386" s="14">
        <v>134.03999300000001</v>
      </c>
      <c r="C386" s="14">
        <v>134.66999799999999</v>
      </c>
      <c r="D386" s="14">
        <v>132.71000699999999</v>
      </c>
      <c r="E386" s="14">
        <v>134.300003</v>
      </c>
      <c r="F386" s="14">
        <v>134.300003</v>
      </c>
      <c r="G386" s="14">
        <v>61170900</v>
      </c>
      <c r="H386" s="14">
        <f t="shared" si="5"/>
        <v>3.0117247067961594E-2</v>
      </c>
    </row>
    <row r="387" spans="1:8" x14ac:dyDescent="0.25">
      <c r="A387" s="46">
        <v>45121</v>
      </c>
      <c r="B387" s="14">
        <v>134.05999800000001</v>
      </c>
      <c r="C387" s="14">
        <v>136.64999399999999</v>
      </c>
      <c r="D387" s="14">
        <v>134.05999800000001</v>
      </c>
      <c r="E387" s="14">
        <v>134.679993</v>
      </c>
      <c r="F387" s="14">
        <v>134.679993</v>
      </c>
      <c r="G387" s="14">
        <v>54388100</v>
      </c>
      <c r="H387" s="14">
        <f t="shared" si="5"/>
        <v>1.0172488348975994E-2</v>
      </c>
    </row>
    <row r="388" spans="1:8" x14ac:dyDescent="0.25">
      <c r="A388" s="46">
        <v>45124</v>
      </c>
      <c r="B388" s="14">
        <v>134.55999800000001</v>
      </c>
      <c r="C388" s="14">
        <v>135.61999499999999</v>
      </c>
      <c r="D388" s="14">
        <v>133.21000699999999</v>
      </c>
      <c r="E388" s="14">
        <v>133.55999800000001</v>
      </c>
      <c r="F388" s="14">
        <v>133.55999800000001</v>
      </c>
      <c r="G388" s="14">
        <v>48450200</v>
      </c>
      <c r="H388" s="14">
        <f t="shared" ref="H388:H451" si="6">(D388/D387-1)/(A388-A387)</f>
        <v>-2.1134591791754178E-3</v>
      </c>
    </row>
    <row r="389" spans="1:8" x14ac:dyDescent="0.25">
      <c r="A389" s="46">
        <v>45125</v>
      </c>
      <c r="B389" s="14">
        <v>132.71000699999999</v>
      </c>
      <c r="C389" s="14">
        <v>133.86000100000001</v>
      </c>
      <c r="D389" s="14">
        <v>131.35000600000001</v>
      </c>
      <c r="E389" s="14">
        <v>132.83000200000001</v>
      </c>
      <c r="F389" s="14">
        <v>132.83000200000001</v>
      </c>
      <c r="G389" s="14">
        <v>54969100</v>
      </c>
      <c r="H389" s="14">
        <f t="shared" si="6"/>
        <v>-1.3962922470231454E-2</v>
      </c>
    </row>
    <row r="390" spans="1:8" x14ac:dyDescent="0.25">
      <c r="A390" s="46">
        <v>45126</v>
      </c>
      <c r="B390" s="14">
        <v>133.38999899999999</v>
      </c>
      <c r="C390" s="14">
        <v>135.990005</v>
      </c>
      <c r="D390" s="14">
        <v>132.529999</v>
      </c>
      <c r="E390" s="14">
        <v>135.36000100000001</v>
      </c>
      <c r="F390" s="14">
        <v>135.36000100000001</v>
      </c>
      <c r="G390" s="14">
        <v>54531000</v>
      </c>
      <c r="H390" s="14">
        <f t="shared" si="6"/>
        <v>8.9835778157483226E-3</v>
      </c>
    </row>
    <row r="391" spans="1:8" x14ac:dyDescent="0.25">
      <c r="A391" s="46">
        <v>45127</v>
      </c>
      <c r="B391" s="14">
        <v>134.070007</v>
      </c>
      <c r="C391" s="14">
        <v>134.78999300000001</v>
      </c>
      <c r="D391" s="14">
        <v>129.33000200000001</v>
      </c>
      <c r="E391" s="14">
        <v>129.96000699999999</v>
      </c>
      <c r="F391" s="14">
        <v>129.96000699999999</v>
      </c>
      <c r="G391" s="14">
        <v>59820600</v>
      </c>
      <c r="H391" s="14">
        <f t="shared" si="6"/>
        <v>-2.4145454041692105E-2</v>
      </c>
    </row>
    <row r="392" spans="1:8" x14ac:dyDescent="0.25">
      <c r="A392" s="46">
        <v>45128</v>
      </c>
      <c r="B392" s="14">
        <v>131.33999600000001</v>
      </c>
      <c r="C392" s="14">
        <v>131.36999499999999</v>
      </c>
      <c r="D392" s="14">
        <v>128.41999799999999</v>
      </c>
      <c r="E392" s="14">
        <v>130</v>
      </c>
      <c r="F392" s="14">
        <v>130</v>
      </c>
      <c r="G392" s="14">
        <v>133265000</v>
      </c>
      <c r="H392" s="14">
        <f t="shared" si="6"/>
        <v>-7.0362946410532645E-3</v>
      </c>
    </row>
    <row r="393" spans="1:8" x14ac:dyDescent="0.25">
      <c r="A393" s="46">
        <v>45131</v>
      </c>
      <c r="B393" s="14">
        <v>130.30999800000001</v>
      </c>
      <c r="C393" s="14">
        <v>131.66000399999999</v>
      </c>
      <c r="D393" s="14">
        <v>128.35000600000001</v>
      </c>
      <c r="E393" s="14">
        <v>128.800003</v>
      </c>
      <c r="F393" s="14">
        <v>128.800003</v>
      </c>
      <c r="G393" s="14">
        <v>45591100</v>
      </c>
      <c r="H393" s="14">
        <f t="shared" si="6"/>
        <v>-1.8167471601004959E-4</v>
      </c>
    </row>
    <row r="394" spans="1:8" x14ac:dyDescent="0.25">
      <c r="A394" s="46">
        <v>45132</v>
      </c>
      <c r="B394" s="14">
        <v>129.30999800000001</v>
      </c>
      <c r="C394" s="14">
        <v>129.58000200000001</v>
      </c>
      <c r="D394" s="14">
        <v>128.529999</v>
      </c>
      <c r="E394" s="14">
        <v>129.13000500000001</v>
      </c>
      <c r="F394" s="14">
        <v>129.13000500000001</v>
      </c>
      <c r="G394" s="14">
        <v>39236700</v>
      </c>
      <c r="H394" s="14">
        <f t="shared" si="6"/>
        <v>1.4023606668160937E-3</v>
      </c>
    </row>
    <row r="395" spans="1:8" x14ac:dyDescent="0.25">
      <c r="A395" s="46">
        <v>45133</v>
      </c>
      <c r="B395" s="14">
        <v>126.510002</v>
      </c>
      <c r="C395" s="14">
        <v>129.08000200000001</v>
      </c>
      <c r="D395" s="14">
        <v>126.110001</v>
      </c>
      <c r="E395" s="14">
        <v>128.14999399999999</v>
      </c>
      <c r="F395" s="14">
        <v>128.14999399999999</v>
      </c>
      <c r="G395" s="14">
        <v>53910100</v>
      </c>
      <c r="H395" s="14">
        <f t="shared" si="6"/>
        <v>-1.8828273701301468E-2</v>
      </c>
    </row>
    <row r="396" spans="1:8" x14ac:dyDescent="0.25">
      <c r="A396" s="46">
        <v>45134</v>
      </c>
      <c r="B396" s="14">
        <v>131</v>
      </c>
      <c r="C396" s="14">
        <v>132.63000500000001</v>
      </c>
      <c r="D396" s="14">
        <v>127.790001</v>
      </c>
      <c r="E396" s="14">
        <v>128.25</v>
      </c>
      <c r="F396" s="14">
        <v>128.25</v>
      </c>
      <c r="G396" s="14">
        <v>52610700</v>
      </c>
      <c r="H396" s="14">
        <f t="shared" si="6"/>
        <v>1.3321703169283161E-2</v>
      </c>
    </row>
    <row r="397" spans="1:8" x14ac:dyDescent="0.25">
      <c r="A397" s="46">
        <v>45135</v>
      </c>
      <c r="B397" s="14">
        <v>129.69000199999999</v>
      </c>
      <c r="C397" s="14">
        <v>133.009995</v>
      </c>
      <c r="D397" s="14">
        <v>129.33000200000001</v>
      </c>
      <c r="E397" s="14">
        <v>132.21000699999999</v>
      </c>
      <c r="F397" s="14">
        <v>132.21000699999999</v>
      </c>
      <c r="G397" s="14">
        <v>46317400</v>
      </c>
      <c r="H397" s="14">
        <f t="shared" si="6"/>
        <v>1.2051028937702268E-2</v>
      </c>
    </row>
    <row r="398" spans="1:8" x14ac:dyDescent="0.25">
      <c r="A398" s="46">
        <v>45138</v>
      </c>
      <c r="B398" s="14">
        <v>133.199997</v>
      </c>
      <c r="C398" s="14">
        <v>133.86999499999999</v>
      </c>
      <c r="D398" s="14">
        <v>132.38000500000001</v>
      </c>
      <c r="E398" s="14">
        <v>133.679993</v>
      </c>
      <c r="F398" s="14">
        <v>133.679993</v>
      </c>
      <c r="G398" s="14">
        <v>41901500</v>
      </c>
      <c r="H398" s="14">
        <f t="shared" si="6"/>
        <v>7.8610349566581306E-3</v>
      </c>
    </row>
    <row r="399" spans="1:8" x14ac:dyDescent="0.25">
      <c r="A399" s="46">
        <v>45139</v>
      </c>
      <c r="B399" s="14">
        <v>133.550003</v>
      </c>
      <c r="C399" s="14">
        <v>133.69000199999999</v>
      </c>
      <c r="D399" s="14">
        <v>131.61999499999999</v>
      </c>
      <c r="E399" s="14">
        <v>131.69000199999999</v>
      </c>
      <c r="F399" s="14">
        <v>131.69000199999999</v>
      </c>
      <c r="G399" s="14">
        <v>42098500</v>
      </c>
      <c r="H399" s="14">
        <f t="shared" si="6"/>
        <v>-5.7411238200211212E-3</v>
      </c>
    </row>
    <row r="400" spans="1:8" x14ac:dyDescent="0.25">
      <c r="A400" s="46">
        <v>45140</v>
      </c>
      <c r="B400" s="14">
        <v>130.14999399999999</v>
      </c>
      <c r="C400" s="14">
        <v>130.229996</v>
      </c>
      <c r="D400" s="14">
        <v>126.82</v>
      </c>
      <c r="E400" s="14">
        <v>128.21000699999999</v>
      </c>
      <c r="F400" s="14">
        <v>128.21000699999999</v>
      </c>
      <c r="G400" s="14">
        <v>51027600</v>
      </c>
      <c r="H400" s="14">
        <f t="shared" si="6"/>
        <v>-3.6468585187227842E-2</v>
      </c>
    </row>
    <row r="401" spans="1:8" x14ac:dyDescent="0.25">
      <c r="A401" s="46">
        <v>45141</v>
      </c>
      <c r="B401" s="14">
        <v>127.480003</v>
      </c>
      <c r="C401" s="14">
        <v>129.83999600000001</v>
      </c>
      <c r="D401" s="14">
        <v>126.410004</v>
      </c>
      <c r="E401" s="14">
        <v>128.91000399999999</v>
      </c>
      <c r="F401" s="14">
        <v>128.91000399999999</v>
      </c>
      <c r="G401" s="14">
        <v>88585200</v>
      </c>
      <c r="H401" s="14">
        <f t="shared" si="6"/>
        <v>-3.2328970193975515E-3</v>
      </c>
    </row>
    <row r="402" spans="1:8" x14ac:dyDescent="0.25">
      <c r="A402" s="46">
        <v>45142</v>
      </c>
      <c r="B402" s="14">
        <v>141.05999800000001</v>
      </c>
      <c r="C402" s="14">
        <v>143.63000500000001</v>
      </c>
      <c r="D402" s="14">
        <v>139.320007</v>
      </c>
      <c r="E402" s="14">
        <v>139.570007</v>
      </c>
      <c r="F402" s="14">
        <v>139.570007</v>
      </c>
      <c r="G402" s="14">
        <v>152938700</v>
      </c>
      <c r="H402" s="14">
        <f t="shared" si="6"/>
        <v>0.10212801670348814</v>
      </c>
    </row>
    <row r="403" spans="1:8" x14ac:dyDescent="0.25">
      <c r="A403" s="46">
        <v>45145</v>
      </c>
      <c r="B403" s="14">
        <v>140.990005</v>
      </c>
      <c r="C403" s="14">
        <v>142.53999300000001</v>
      </c>
      <c r="D403" s="14">
        <v>138.949997</v>
      </c>
      <c r="E403" s="14">
        <v>142.220001</v>
      </c>
      <c r="F403" s="14">
        <v>142.220001</v>
      </c>
      <c r="G403" s="14">
        <v>71213100</v>
      </c>
      <c r="H403" s="14">
        <f t="shared" si="6"/>
        <v>-8.8527605849653135E-4</v>
      </c>
    </row>
    <row r="404" spans="1:8" x14ac:dyDescent="0.25">
      <c r="A404" s="46">
        <v>45146</v>
      </c>
      <c r="B404" s="14">
        <v>140.61999499999999</v>
      </c>
      <c r="C404" s="14">
        <v>140.83999600000001</v>
      </c>
      <c r="D404" s="14">
        <v>138.41999799999999</v>
      </c>
      <c r="E404" s="14">
        <v>139.94000199999999</v>
      </c>
      <c r="F404" s="14">
        <v>139.94000199999999</v>
      </c>
      <c r="G404" s="14">
        <v>51710500</v>
      </c>
      <c r="H404" s="14">
        <f t="shared" si="6"/>
        <v>-3.8143145839723003E-3</v>
      </c>
    </row>
    <row r="405" spans="1:8" x14ac:dyDescent="0.25">
      <c r="A405" s="46">
        <v>45147</v>
      </c>
      <c r="B405" s="14">
        <v>139.970001</v>
      </c>
      <c r="C405" s="14">
        <v>140.320007</v>
      </c>
      <c r="D405" s="14">
        <v>137.10000600000001</v>
      </c>
      <c r="E405" s="14">
        <v>137.85000600000001</v>
      </c>
      <c r="F405" s="14">
        <v>137.85000600000001</v>
      </c>
      <c r="G405" s="14">
        <v>50017300</v>
      </c>
      <c r="H405" s="14">
        <f t="shared" si="6"/>
        <v>-9.5361365342598869E-3</v>
      </c>
    </row>
    <row r="406" spans="1:8" x14ac:dyDescent="0.25">
      <c r="A406" s="46">
        <v>45148</v>
      </c>
      <c r="B406" s="14">
        <v>139.070007</v>
      </c>
      <c r="C406" s="14">
        <v>140.41000399999999</v>
      </c>
      <c r="D406" s="14">
        <v>137.490005</v>
      </c>
      <c r="E406" s="14">
        <v>138.55999800000001</v>
      </c>
      <c r="F406" s="14">
        <v>138.55999800000001</v>
      </c>
      <c r="G406" s="14">
        <v>58928400</v>
      </c>
      <c r="H406" s="14">
        <f t="shared" si="6"/>
        <v>2.8446315312340431E-3</v>
      </c>
    </row>
    <row r="407" spans="1:8" x14ac:dyDescent="0.25">
      <c r="A407" s="46">
        <v>45149</v>
      </c>
      <c r="B407" s="14">
        <v>137.39999399999999</v>
      </c>
      <c r="C407" s="14">
        <v>139.33000200000001</v>
      </c>
      <c r="D407" s="14">
        <v>137</v>
      </c>
      <c r="E407" s="14">
        <v>138.41000399999999</v>
      </c>
      <c r="F407" s="14">
        <v>138.41000399999999</v>
      </c>
      <c r="G407" s="14">
        <v>42832100</v>
      </c>
      <c r="H407" s="14">
        <f t="shared" si="6"/>
        <v>-3.5639317927146363E-3</v>
      </c>
    </row>
    <row r="408" spans="1:8" x14ac:dyDescent="0.25">
      <c r="A408" s="46">
        <v>45152</v>
      </c>
      <c r="B408" s="14">
        <v>138.300003</v>
      </c>
      <c r="C408" s="14">
        <v>140.58999600000001</v>
      </c>
      <c r="D408" s="14">
        <v>137.75</v>
      </c>
      <c r="E408" s="14">
        <v>140.570007</v>
      </c>
      <c r="F408" s="14">
        <v>140.570007</v>
      </c>
      <c r="G408" s="14">
        <v>47148700</v>
      </c>
      <c r="H408" s="14">
        <f t="shared" si="6"/>
        <v>1.8248175182481823E-3</v>
      </c>
    </row>
    <row r="409" spans="1:8" x14ac:dyDescent="0.25">
      <c r="A409" s="46">
        <v>45153</v>
      </c>
      <c r="B409" s="14">
        <v>140.050003</v>
      </c>
      <c r="C409" s="14">
        <v>141.279999</v>
      </c>
      <c r="D409" s="14">
        <v>137.229996</v>
      </c>
      <c r="E409" s="14">
        <v>137.66999799999999</v>
      </c>
      <c r="F409" s="14">
        <v>137.66999799999999</v>
      </c>
      <c r="G409" s="14">
        <v>42781500</v>
      </c>
      <c r="H409" s="14">
        <f t="shared" si="6"/>
        <v>-3.7749836660616598E-3</v>
      </c>
    </row>
    <row r="410" spans="1:8" x14ac:dyDescent="0.25">
      <c r="A410" s="46">
        <v>45154</v>
      </c>
      <c r="B410" s="14">
        <v>137.19000199999999</v>
      </c>
      <c r="C410" s="14">
        <v>137.270004</v>
      </c>
      <c r="D410" s="14">
        <v>135.009995</v>
      </c>
      <c r="E410" s="14">
        <v>135.070007</v>
      </c>
      <c r="F410" s="14">
        <v>135.070007</v>
      </c>
      <c r="G410" s="14">
        <v>41675900</v>
      </c>
      <c r="H410" s="14">
        <f t="shared" si="6"/>
        <v>-1.6177228482903927E-2</v>
      </c>
    </row>
    <row r="411" spans="1:8" x14ac:dyDescent="0.25">
      <c r="A411" s="46">
        <v>45155</v>
      </c>
      <c r="B411" s="14">
        <v>135.46000699999999</v>
      </c>
      <c r="C411" s="14">
        <v>136.08999600000001</v>
      </c>
      <c r="D411" s="14">
        <v>133.529999</v>
      </c>
      <c r="E411" s="14">
        <v>133.979996</v>
      </c>
      <c r="F411" s="14">
        <v>133.979996</v>
      </c>
      <c r="G411" s="14">
        <v>48354100</v>
      </c>
      <c r="H411" s="14">
        <f t="shared" si="6"/>
        <v>-1.096212173032074E-2</v>
      </c>
    </row>
    <row r="412" spans="1:8" x14ac:dyDescent="0.25">
      <c r="A412" s="46">
        <v>45156</v>
      </c>
      <c r="B412" s="14">
        <v>131.61999499999999</v>
      </c>
      <c r="C412" s="14">
        <v>134.070007</v>
      </c>
      <c r="D412" s="14">
        <v>131.14999399999999</v>
      </c>
      <c r="E412" s="14">
        <v>133.220001</v>
      </c>
      <c r="F412" s="14">
        <v>133.220001</v>
      </c>
      <c r="G412" s="14">
        <v>48469400</v>
      </c>
      <c r="H412" s="14">
        <f t="shared" si="6"/>
        <v>-1.7823747605959395E-2</v>
      </c>
    </row>
    <row r="413" spans="1:8" x14ac:dyDescent="0.25">
      <c r="A413" s="46">
        <v>45159</v>
      </c>
      <c r="B413" s="14">
        <v>133.740005</v>
      </c>
      <c r="C413" s="14">
        <v>135.19000199999999</v>
      </c>
      <c r="D413" s="14">
        <v>132.71000699999999</v>
      </c>
      <c r="E413" s="14">
        <v>134.679993</v>
      </c>
      <c r="F413" s="14">
        <v>134.679993</v>
      </c>
      <c r="G413" s="14">
        <v>41442500</v>
      </c>
      <c r="H413" s="14">
        <f t="shared" si="6"/>
        <v>3.9649588800845237E-3</v>
      </c>
    </row>
    <row r="414" spans="1:8" x14ac:dyDescent="0.25">
      <c r="A414" s="46">
        <v>45160</v>
      </c>
      <c r="B414" s="14">
        <v>135.08000200000001</v>
      </c>
      <c r="C414" s="14">
        <v>135.64999399999999</v>
      </c>
      <c r="D414" s="14">
        <v>133.729996</v>
      </c>
      <c r="E414" s="14">
        <v>134.25</v>
      </c>
      <c r="F414" s="14">
        <v>134.25</v>
      </c>
      <c r="G414" s="14">
        <v>32935100</v>
      </c>
      <c r="H414" s="14">
        <f t="shared" si="6"/>
        <v>7.6858484379402903E-3</v>
      </c>
    </row>
    <row r="415" spans="1:8" x14ac:dyDescent="0.25">
      <c r="A415" s="46">
        <v>45161</v>
      </c>
      <c r="B415" s="14">
        <v>134.5</v>
      </c>
      <c r="C415" s="14">
        <v>135.949997</v>
      </c>
      <c r="D415" s="14">
        <v>133.220001</v>
      </c>
      <c r="E415" s="14">
        <v>135.520004</v>
      </c>
      <c r="F415" s="14">
        <v>135.520004</v>
      </c>
      <c r="G415" s="14">
        <v>42801000</v>
      </c>
      <c r="H415" s="14">
        <f t="shared" si="6"/>
        <v>-3.8136171035255684E-3</v>
      </c>
    </row>
    <row r="416" spans="1:8" x14ac:dyDescent="0.25">
      <c r="A416" s="46">
        <v>45162</v>
      </c>
      <c r="B416" s="14">
        <v>136.39999399999999</v>
      </c>
      <c r="C416" s="14">
        <v>136.779999</v>
      </c>
      <c r="D416" s="14">
        <v>131.83000200000001</v>
      </c>
      <c r="E416" s="14">
        <v>131.83999600000001</v>
      </c>
      <c r="F416" s="14">
        <v>131.83999600000001</v>
      </c>
      <c r="G416" s="14">
        <v>43646300</v>
      </c>
      <c r="H416" s="14">
        <f t="shared" si="6"/>
        <v>-1.0433861203769212E-2</v>
      </c>
    </row>
    <row r="417" spans="1:8" x14ac:dyDescent="0.25">
      <c r="A417" s="46">
        <v>45163</v>
      </c>
      <c r="B417" s="14">
        <v>132.470001</v>
      </c>
      <c r="C417" s="14">
        <v>133.86999499999999</v>
      </c>
      <c r="D417" s="14">
        <v>130.58000200000001</v>
      </c>
      <c r="E417" s="14">
        <v>133.259995</v>
      </c>
      <c r="F417" s="14">
        <v>133.259995</v>
      </c>
      <c r="G417" s="14">
        <v>44147500</v>
      </c>
      <c r="H417" s="14">
        <f t="shared" si="6"/>
        <v>-9.4819083746960908E-3</v>
      </c>
    </row>
    <row r="418" spans="1:8" x14ac:dyDescent="0.25">
      <c r="A418" s="46">
        <v>45166</v>
      </c>
      <c r="B418" s="14">
        <v>133.779999</v>
      </c>
      <c r="C418" s="14">
        <v>133.949997</v>
      </c>
      <c r="D418" s="14">
        <v>131.85000600000001</v>
      </c>
      <c r="E418" s="14">
        <v>133.13999899999999</v>
      </c>
      <c r="F418" s="14">
        <v>133.13999899999999</v>
      </c>
      <c r="G418" s="14">
        <v>34108400</v>
      </c>
      <c r="H418" s="14">
        <f t="shared" si="6"/>
        <v>3.2419563499981319E-3</v>
      </c>
    </row>
    <row r="419" spans="1:8" x14ac:dyDescent="0.25">
      <c r="A419" s="46">
        <v>45167</v>
      </c>
      <c r="B419" s="14">
        <v>133.38000500000001</v>
      </c>
      <c r="C419" s="14">
        <v>135.13999899999999</v>
      </c>
      <c r="D419" s="14">
        <v>133.25</v>
      </c>
      <c r="E419" s="14">
        <v>134.91000399999999</v>
      </c>
      <c r="F419" s="14">
        <v>134.91000399999999</v>
      </c>
      <c r="G419" s="14">
        <v>38646100</v>
      </c>
      <c r="H419" s="14">
        <f t="shared" si="6"/>
        <v>1.0618080669636099E-2</v>
      </c>
    </row>
    <row r="420" spans="1:8" x14ac:dyDescent="0.25">
      <c r="A420" s="46">
        <v>45168</v>
      </c>
      <c r="B420" s="14">
        <v>134.929993</v>
      </c>
      <c r="C420" s="14">
        <v>135.679993</v>
      </c>
      <c r="D420" s="14">
        <v>133.91999799999999</v>
      </c>
      <c r="E420" s="14">
        <v>135.070007</v>
      </c>
      <c r="F420" s="14">
        <v>135.070007</v>
      </c>
      <c r="G420" s="14">
        <v>36137000</v>
      </c>
      <c r="H420" s="14">
        <f t="shared" si="6"/>
        <v>5.0281275797372516E-3</v>
      </c>
    </row>
    <row r="421" spans="1:8" x14ac:dyDescent="0.25">
      <c r="A421" s="46">
        <v>45169</v>
      </c>
      <c r="B421" s="14">
        <v>135.05999800000001</v>
      </c>
      <c r="C421" s="14">
        <v>138.78999300000001</v>
      </c>
      <c r="D421" s="14">
        <v>135</v>
      </c>
      <c r="E421" s="14">
        <v>138.009995</v>
      </c>
      <c r="F421" s="14">
        <v>138.009995</v>
      </c>
      <c r="G421" s="14">
        <v>58781300</v>
      </c>
      <c r="H421" s="14">
        <f t="shared" si="6"/>
        <v>8.0645311837594935E-3</v>
      </c>
    </row>
    <row r="422" spans="1:8" x14ac:dyDescent="0.25">
      <c r="A422" s="46">
        <v>45170</v>
      </c>
      <c r="B422" s="14">
        <v>139.46000699999999</v>
      </c>
      <c r="C422" s="14">
        <v>139.96000699999999</v>
      </c>
      <c r="D422" s="14">
        <v>136.88000500000001</v>
      </c>
      <c r="E422" s="14">
        <v>138.11999499999999</v>
      </c>
      <c r="F422" s="14">
        <v>138.11999499999999</v>
      </c>
      <c r="G422" s="14">
        <v>40948300</v>
      </c>
      <c r="H422" s="14">
        <f t="shared" si="6"/>
        <v>1.3925962962963112E-2</v>
      </c>
    </row>
    <row r="423" spans="1:8" x14ac:dyDescent="0.25">
      <c r="A423" s="46">
        <v>45174</v>
      </c>
      <c r="B423" s="14">
        <v>137.729996</v>
      </c>
      <c r="C423" s="14">
        <v>137.800003</v>
      </c>
      <c r="D423" s="14">
        <v>135.820007</v>
      </c>
      <c r="E423" s="14">
        <v>137.270004</v>
      </c>
      <c r="F423" s="14">
        <v>137.270004</v>
      </c>
      <c r="G423" s="14">
        <v>40636700</v>
      </c>
      <c r="H423" s="14">
        <f t="shared" si="6"/>
        <v>-1.93599861426072E-3</v>
      </c>
    </row>
    <row r="424" spans="1:8" x14ac:dyDescent="0.25">
      <c r="A424" s="46">
        <v>45175</v>
      </c>
      <c r="B424" s="14">
        <v>136.320007</v>
      </c>
      <c r="C424" s="14">
        <v>137.449997</v>
      </c>
      <c r="D424" s="14">
        <v>134.61000100000001</v>
      </c>
      <c r="E424" s="14">
        <v>135.36000100000001</v>
      </c>
      <c r="F424" s="14">
        <v>135.36000100000001</v>
      </c>
      <c r="G424" s="14">
        <v>41785500</v>
      </c>
      <c r="H424" s="14">
        <f t="shared" si="6"/>
        <v>-8.9088936654229123E-3</v>
      </c>
    </row>
    <row r="425" spans="1:8" x14ac:dyDescent="0.25">
      <c r="A425" s="46">
        <v>45176</v>
      </c>
      <c r="B425" s="14">
        <v>133.89999399999999</v>
      </c>
      <c r="C425" s="14">
        <v>138.029999</v>
      </c>
      <c r="D425" s="14">
        <v>133.16000399999999</v>
      </c>
      <c r="E425" s="14">
        <v>137.85000600000001</v>
      </c>
      <c r="F425" s="14">
        <v>137.85000600000001</v>
      </c>
      <c r="G425" s="14">
        <v>48498900</v>
      </c>
      <c r="H425" s="14">
        <f t="shared" si="6"/>
        <v>-1.0771837079178281E-2</v>
      </c>
    </row>
    <row r="426" spans="1:8" x14ac:dyDescent="0.25">
      <c r="A426" s="46">
        <v>45177</v>
      </c>
      <c r="B426" s="14">
        <v>136.86000100000001</v>
      </c>
      <c r="C426" s="14">
        <v>138.85000600000001</v>
      </c>
      <c r="D426" s="14">
        <v>136.75</v>
      </c>
      <c r="E426" s="14">
        <v>138.229996</v>
      </c>
      <c r="F426" s="14">
        <v>138.229996</v>
      </c>
      <c r="G426" s="14">
        <v>38348200</v>
      </c>
      <c r="H426" s="14">
        <f t="shared" si="6"/>
        <v>2.6960017213577325E-2</v>
      </c>
    </row>
    <row r="427" spans="1:8" x14ac:dyDescent="0.25">
      <c r="A427" s="46">
        <v>45180</v>
      </c>
      <c r="B427" s="14">
        <v>138.75</v>
      </c>
      <c r="C427" s="14">
        <v>143.61999499999999</v>
      </c>
      <c r="D427" s="14">
        <v>138.63999899999999</v>
      </c>
      <c r="E427" s="14">
        <v>143.10000600000001</v>
      </c>
      <c r="F427" s="14">
        <v>143.10000600000001</v>
      </c>
      <c r="G427" s="14">
        <v>56764500</v>
      </c>
      <c r="H427" s="14">
        <f t="shared" si="6"/>
        <v>4.6069445460084806E-3</v>
      </c>
    </row>
    <row r="428" spans="1:8" x14ac:dyDescent="0.25">
      <c r="A428" s="46">
        <v>45181</v>
      </c>
      <c r="B428" s="14">
        <v>142.320007</v>
      </c>
      <c r="C428" s="14">
        <v>143</v>
      </c>
      <c r="D428" s="14">
        <v>140.61000100000001</v>
      </c>
      <c r="E428" s="14">
        <v>141.229996</v>
      </c>
      <c r="F428" s="14">
        <v>141.229996</v>
      </c>
      <c r="G428" s="14">
        <v>42668500</v>
      </c>
      <c r="H428" s="14">
        <f t="shared" si="6"/>
        <v>1.4209477886681254E-2</v>
      </c>
    </row>
    <row r="429" spans="1:8" x14ac:dyDescent="0.25">
      <c r="A429" s="46">
        <v>45182</v>
      </c>
      <c r="B429" s="14">
        <v>140.949997</v>
      </c>
      <c r="C429" s="14">
        <v>144.979996</v>
      </c>
      <c r="D429" s="14">
        <v>140.86999499999999</v>
      </c>
      <c r="E429" s="14">
        <v>144.85000600000001</v>
      </c>
      <c r="F429" s="14">
        <v>144.85000600000001</v>
      </c>
      <c r="G429" s="14">
        <v>60465200</v>
      </c>
      <c r="H429" s="14">
        <f t="shared" si="6"/>
        <v>1.8490434403735101E-3</v>
      </c>
    </row>
    <row r="430" spans="1:8" x14ac:dyDescent="0.25">
      <c r="A430" s="46">
        <v>45183</v>
      </c>
      <c r="B430" s="14">
        <v>145.08000200000001</v>
      </c>
      <c r="C430" s="14">
        <v>145.86000100000001</v>
      </c>
      <c r="D430" s="14">
        <v>142.949997</v>
      </c>
      <c r="E430" s="14">
        <v>144.720001</v>
      </c>
      <c r="F430" s="14">
        <v>144.720001</v>
      </c>
      <c r="G430" s="14">
        <v>64033600</v>
      </c>
      <c r="H430" s="14">
        <f t="shared" si="6"/>
        <v>1.4765401248150845E-2</v>
      </c>
    </row>
    <row r="431" spans="1:8" x14ac:dyDescent="0.25">
      <c r="A431" s="46">
        <v>45184</v>
      </c>
      <c r="B431" s="14">
        <v>142.69000199999999</v>
      </c>
      <c r="C431" s="14">
        <v>143.570007</v>
      </c>
      <c r="D431" s="14">
        <v>140.08999600000001</v>
      </c>
      <c r="E431" s="14">
        <v>140.38999899999999</v>
      </c>
      <c r="F431" s="14">
        <v>140.38999899999999</v>
      </c>
      <c r="G431" s="14">
        <v>102861700</v>
      </c>
      <c r="H431" s="14">
        <f t="shared" si="6"/>
        <v>-2.0007002868282608E-2</v>
      </c>
    </row>
    <row r="432" spans="1:8" x14ac:dyDescent="0.25">
      <c r="A432" s="46">
        <v>45187</v>
      </c>
      <c r="B432" s="14">
        <v>140.479996</v>
      </c>
      <c r="C432" s="14">
        <v>141.75</v>
      </c>
      <c r="D432" s="14">
        <v>139.220001</v>
      </c>
      <c r="E432" s="14">
        <v>139.979996</v>
      </c>
      <c r="F432" s="14">
        <v>139.979996</v>
      </c>
      <c r="G432" s="14">
        <v>42823500</v>
      </c>
      <c r="H432" s="14">
        <f t="shared" si="6"/>
        <v>-2.0700859562687115E-3</v>
      </c>
    </row>
    <row r="433" spans="1:8" x14ac:dyDescent="0.25">
      <c r="A433" s="46">
        <v>45188</v>
      </c>
      <c r="B433" s="14">
        <v>138.699997</v>
      </c>
      <c r="C433" s="14">
        <v>138.83999600000001</v>
      </c>
      <c r="D433" s="14">
        <v>135.55999800000001</v>
      </c>
      <c r="E433" s="14">
        <v>137.63000500000001</v>
      </c>
      <c r="F433" s="14">
        <v>137.63000500000001</v>
      </c>
      <c r="G433" s="14">
        <v>61482500</v>
      </c>
      <c r="H433" s="14">
        <f t="shared" si="6"/>
        <v>-2.6289347606023861E-2</v>
      </c>
    </row>
    <row r="434" spans="1:8" x14ac:dyDescent="0.25">
      <c r="A434" s="46">
        <v>45189</v>
      </c>
      <c r="B434" s="14">
        <v>138.550003</v>
      </c>
      <c r="C434" s="14">
        <v>139.36999499999999</v>
      </c>
      <c r="D434" s="14">
        <v>135.199997</v>
      </c>
      <c r="E434" s="14">
        <v>135.28999300000001</v>
      </c>
      <c r="F434" s="14">
        <v>135.28999300000001</v>
      </c>
      <c r="G434" s="14">
        <v>46263700</v>
      </c>
      <c r="H434" s="14">
        <f t="shared" si="6"/>
        <v>-2.6556580503933613E-3</v>
      </c>
    </row>
    <row r="435" spans="1:8" x14ac:dyDescent="0.25">
      <c r="A435" s="46">
        <v>45190</v>
      </c>
      <c r="B435" s="14">
        <v>131.94000199999999</v>
      </c>
      <c r="C435" s="14">
        <v>132.240005</v>
      </c>
      <c r="D435" s="14">
        <v>129.30999800000001</v>
      </c>
      <c r="E435" s="14">
        <v>129.33000200000001</v>
      </c>
      <c r="F435" s="14">
        <v>129.33000200000001</v>
      </c>
      <c r="G435" s="14">
        <v>70234800</v>
      </c>
      <c r="H435" s="14">
        <f t="shared" si="6"/>
        <v>-4.3565082327627458E-2</v>
      </c>
    </row>
    <row r="436" spans="1:8" x14ac:dyDescent="0.25">
      <c r="A436" s="46">
        <v>45191</v>
      </c>
      <c r="B436" s="14">
        <v>131.11000100000001</v>
      </c>
      <c r="C436" s="14">
        <v>132.029999</v>
      </c>
      <c r="D436" s="14">
        <v>128.520004</v>
      </c>
      <c r="E436" s="14">
        <v>129.11999499999999</v>
      </c>
      <c r="F436" s="14">
        <v>129.11999499999999</v>
      </c>
      <c r="G436" s="14">
        <v>59904300</v>
      </c>
      <c r="H436" s="14">
        <f t="shared" si="6"/>
        <v>-6.1093033192994861E-3</v>
      </c>
    </row>
    <row r="437" spans="1:8" x14ac:dyDescent="0.25">
      <c r="A437" s="46">
        <v>45194</v>
      </c>
      <c r="B437" s="14">
        <v>129.36000100000001</v>
      </c>
      <c r="C437" s="14">
        <v>131.779999</v>
      </c>
      <c r="D437" s="14">
        <v>128.770004</v>
      </c>
      <c r="E437" s="14">
        <v>131.270004</v>
      </c>
      <c r="F437" s="14">
        <v>131.270004</v>
      </c>
      <c r="G437" s="14">
        <v>46017800</v>
      </c>
      <c r="H437" s="14">
        <f t="shared" si="6"/>
        <v>6.4840749097183625E-4</v>
      </c>
    </row>
    <row r="438" spans="1:8" x14ac:dyDescent="0.25">
      <c r="A438" s="46">
        <v>45195</v>
      </c>
      <c r="B438" s="14">
        <v>130.11999499999999</v>
      </c>
      <c r="C438" s="14">
        <v>130.38999899999999</v>
      </c>
      <c r="D438" s="14">
        <v>125.279999</v>
      </c>
      <c r="E438" s="14">
        <v>125.980003</v>
      </c>
      <c r="F438" s="14">
        <v>125.980003</v>
      </c>
      <c r="G438" s="14">
        <v>73048200</v>
      </c>
      <c r="H438" s="14">
        <f t="shared" si="6"/>
        <v>-2.7102623993084607E-2</v>
      </c>
    </row>
    <row r="439" spans="1:8" x14ac:dyDescent="0.25">
      <c r="A439" s="46">
        <v>45196</v>
      </c>
      <c r="B439" s="14">
        <v>125.760002</v>
      </c>
      <c r="C439" s="14">
        <v>127.480003</v>
      </c>
      <c r="D439" s="14">
        <v>124.129997</v>
      </c>
      <c r="E439" s="14">
        <v>125.980003</v>
      </c>
      <c r="F439" s="14">
        <v>125.980003</v>
      </c>
      <c r="G439" s="14">
        <v>66553400</v>
      </c>
      <c r="H439" s="14">
        <f t="shared" si="6"/>
        <v>-9.1794540962599758E-3</v>
      </c>
    </row>
    <row r="440" spans="1:8" x14ac:dyDescent="0.25">
      <c r="A440" s="46">
        <v>45197</v>
      </c>
      <c r="B440" s="14">
        <v>124.040001</v>
      </c>
      <c r="C440" s="14">
        <v>126.58000199999999</v>
      </c>
      <c r="D440" s="14">
        <v>123.040001</v>
      </c>
      <c r="E440" s="14">
        <v>125.980003</v>
      </c>
      <c r="F440" s="14">
        <v>125.980003</v>
      </c>
      <c r="G440" s="14">
        <v>54555000</v>
      </c>
      <c r="H440" s="14">
        <f t="shared" si="6"/>
        <v>-8.781084559278618E-3</v>
      </c>
    </row>
    <row r="441" spans="1:8" x14ac:dyDescent="0.25">
      <c r="A441" s="46">
        <v>45198</v>
      </c>
      <c r="B441" s="14">
        <v>128.199997</v>
      </c>
      <c r="C441" s="14">
        <v>129.14999399999999</v>
      </c>
      <c r="D441" s="14">
        <v>126.32</v>
      </c>
      <c r="E441" s="14">
        <v>127.120003</v>
      </c>
      <c r="F441" s="14">
        <v>127.120003</v>
      </c>
      <c r="G441" s="14">
        <v>62377600</v>
      </c>
      <c r="H441" s="14">
        <f t="shared" si="6"/>
        <v>2.6657989055120179E-2</v>
      </c>
    </row>
    <row r="442" spans="1:8" x14ac:dyDescent="0.25">
      <c r="A442" s="46">
        <v>45201</v>
      </c>
      <c r="B442" s="14">
        <v>127.279999</v>
      </c>
      <c r="C442" s="14">
        <v>130.470001</v>
      </c>
      <c r="D442" s="14">
        <v>126.540001</v>
      </c>
      <c r="E442" s="14">
        <v>129.46000699999999</v>
      </c>
      <c r="F442" s="14">
        <v>129.46000699999999</v>
      </c>
      <c r="G442" s="14">
        <v>48029700</v>
      </c>
      <c r="H442" s="14">
        <f t="shared" si="6"/>
        <v>5.8053884314968052E-4</v>
      </c>
    </row>
    <row r="443" spans="1:8" x14ac:dyDescent="0.25">
      <c r="A443" s="46">
        <v>45202</v>
      </c>
      <c r="B443" s="14">
        <v>128.05999800000001</v>
      </c>
      <c r="C443" s="14">
        <v>128.520004</v>
      </c>
      <c r="D443" s="14">
        <v>124.25</v>
      </c>
      <c r="E443" s="14">
        <v>124.720001</v>
      </c>
      <c r="F443" s="14">
        <v>124.720001</v>
      </c>
      <c r="G443" s="14">
        <v>51565000</v>
      </c>
      <c r="H443" s="14">
        <f t="shared" si="6"/>
        <v>-1.8097052172458938E-2</v>
      </c>
    </row>
    <row r="444" spans="1:8" x14ac:dyDescent="0.25">
      <c r="A444" s="46">
        <v>45203</v>
      </c>
      <c r="B444" s="14">
        <v>126.05999799999999</v>
      </c>
      <c r="C444" s="14">
        <v>127.360001</v>
      </c>
      <c r="D444" s="14">
        <v>125.68</v>
      </c>
      <c r="E444" s="14">
        <v>127</v>
      </c>
      <c r="F444" s="14">
        <v>127</v>
      </c>
      <c r="G444" s="14">
        <v>44203900</v>
      </c>
      <c r="H444" s="14">
        <f t="shared" si="6"/>
        <v>1.1509054325955725E-2</v>
      </c>
    </row>
    <row r="445" spans="1:8" x14ac:dyDescent="0.25">
      <c r="A445" s="46">
        <v>45204</v>
      </c>
      <c r="B445" s="14">
        <v>126.709999</v>
      </c>
      <c r="C445" s="14">
        <v>126.730003</v>
      </c>
      <c r="D445" s="14">
        <v>124.33000199999999</v>
      </c>
      <c r="E445" s="14">
        <v>125.959999</v>
      </c>
      <c r="F445" s="14">
        <v>125.959999</v>
      </c>
      <c r="G445" s="14">
        <v>39660600</v>
      </c>
      <c r="H445" s="14">
        <f t="shared" si="6"/>
        <v>-1.0741549968173225E-2</v>
      </c>
    </row>
    <row r="446" spans="1:8" x14ac:dyDescent="0.25">
      <c r="A446" s="46">
        <v>45205</v>
      </c>
      <c r="B446" s="14">
        <v>124.160004</v>
      </c>
      <c r="C446" s="14">
        <v>128.449997</v>
      </c>
      <c r="D446" s="14">
        <v>124.129997</v>
      </c>
      <c r="E446" s="14">
        <v>127.959999</v>
      </c>
      <c r="F446" s="14">
        <v>127.959999</v>
      </c>
      <c r="G446" s="14">
        <v>46795900</v>
      </c>
      <c r="H446" s="14">
        <f t="shared" si="6"/>
        <v>-1.6086624047507714E-3</v>
      </c>
    </row>
    <row r="447" spans="1:8" x14ac:dyDescent="0.25">
      <c r="A447" s="46">
        <v>45208</v>
      </c>
      <c r="B447" s="14">
        <v>126.220001</v>
      </c>
      <c r="C447" s="14">
        <v>128.78999300000001</v>
      </c>
      <c r="D447" s="14">
        <v>124.760002</v>
      </c>
      <c r="E447" s="14">
        <v>128.259995</v>
      </c>
      <c r="F447" s="14">
        <v>128.259995</v>
      </c>
      <c r="G447" s="14">
        <v>38773700</v>
      </c>
      <c r="H447" s="14">
        <f t="shared" si="6"/>
        <v>1.6917882199470509E-3</v>
      </c>
    </row>
    <row r="448" spans="1:8" x14ac:dyDescent="0.25">
      <c r="A448" s="46">
        <v>45209</v>
      </c>
      <c r="B448" s="14">
        <v>128.820007</v>
      </c>
      <c r="C448" s="14">
        <v>130.740005</v>
      </c>
      <c r="D448" s="14">
        <v>128.050003</v>
      </c>
      <c r="E448" s="14">
        <v>129.479996</v>
      </c>
      <c r="F448" s="14">
        <v>129.479996</v>
      </c>
      <c r="G448" s="14">
        <v>42178600</v>
      </c>
      <c r="H448" s="14">
        <f t="shared" si="6"/>
        <v>2.6370639205343993E-2</v>
      </c>
    </row>
    <row r="449" spans="1:8" x14ac:dyDescent="0.25">
      <c r="A449" s="46">
        <v>45210</v>
      </c>
      <c r="B449" s="14">
        <v>129.740005</v>
      </c>
      <c r="C449" s="14">
        <v>132.050003</v>
      </c>
      <c r="D449" s="14">
        <v>129.61000100000001</v>
      </c>
      <c r="E449" s="14">
        <v>131.83000200000001</v>
      </c>
      <c r="F449" s="14">
        <v>131.83000200000001</v>
      </c>
      <c r="G449" s="14">
        <v>40741800</v>
      </c>
      <c r="H449" s="14">
        <f t="shared" si="6"/>
        <v>1.2182725212431356E-2</v>
      </c>
    </row>
    <row r="450" spans="1:8" x14ac:dyDescent="0.25">
      <c r="A450" s="46">
        <v>45211</v>
      </c>
      <c r="B450" s="14">
        <v>132.16999799999999</v>
      </c>
      <c r="C450" s="14">
        <v>134.479996</v>
      </c>
      <c r="D450" s="14">
        <v>131.229996</v>
      </c>
      <c r="E450" s="14">
        <v>132.33000200000001</v>
      </c>
      <c r="F450" s="14">
        <v>132.33000200000001</v>
      </c>
      <c r="G450" s="14">
        <v>55528600</v>
      </c>
      <c r="H450" s="14">
        <f t="shared" si="6"/>
        <v>1.2498996894537484E-2</v>
      </c>
    </row>
    <row r="451" spans="1:8" x14ac:dyDescent="0.25">
      <c r="A451" s="46">
        <v>45212</v>
      </c>
      <c r="B451" s="14">
        <v>132.979996</v>
      </c>
      <c r="C451" s="14">
        <v>133.30999800000001</v>
      </c>
      <c r="D451" s="14">
        <v>128.949997</v>
      </c>
      <c r="E451" s="14">
        <v>129.78999300000001</v>
      </c>
      <c r="F451" s="14">
        <v>129.78999300000001</v>
      </c>
      <c r="G451" s="14">
        <v>45786600</v>
      </c>
      <c r="H451" s="14">
        <f t="shared" si="6"/>
        <v>-1.7374068959051137E-2</v>
      </c>
    </row>
    <row r="452" spans="1:8" x14ac:dyDescent="0.25">
      <c r="A452" s="46">
        <v>45215</v>
      </c>
      <c r="B452" s="14">
        <v>130.69000199999999</v>
      </c>
      <c r="C452" s="14">
        <v>133.070007</v>
      </c>
      <c r="D452" s="14">
        <v>130.429993</v>
      </c>
      <c r="E452" s="14">
        <v>132.550003</v>
      </c>
      <c r="F452" s="14">
        <v>132.550003</v>
      </c>
      <c r="G452" s="14">
        <v>42832900</v>
      </c>
      <c r="H452" s="14">
        <f t="shared" ref="H452:H515" si="7">(D452/D451-1)/(A452-A451)</f>
        <v>3.8257620122318001E-3</v>
      </c>
    </row>
    <row r="453" spans="1:8" x14ac:dyDescent="0.25">
      <c r="A453" s="46">
        <v>45216</v>
      </c>
      <c r="B453" s="14">
        <v>130.38999899999999</v>
      </c>
      <c r="C453" s="14">
        <v>132.58000200000001</v>
      </c>
      <c r="D453" s="14">
        <v>128.71000699999999</v>
      </c>
      <c r="E453" s="14">
        <v>131.470001</v>
      </c>
      <c r="F453" s="14">
        <v>131.470001</v>
      </c>
      <c r="G453" s="14">
        <v>49344600</v>
      </c>
      <c r="H453" s="14">
        <f t="shared" si="7"/>
        <v>-1.3187043565968781E-2</v>
      </c>
    </row>
    <row r="454" spans="1:8" x14ac:dyDescent="0.25">
      <c r="A454" s="46">
        <v>45217</v>
      </c>
      <c r="B454" s="14">
        <v>129.89999399999999</v>
      </c>
      <c r="C454" s="14">
        <v>130.66999799999999</v>
      </c>
      <c r="D454" s="14">
        <v>127.510002</v>
      </c>
      <c r="E454" s="14">
        <v>128.13000500000001</v>
      </c>
      <c r="F454" s="14">
        <v>128.13000500000001</v>
      </c>
      <c r="G454" s="14">
        <v>42699500</v>
      </c>
      <c r="H454" s="14">
        <f t="shared" si="7"/>
        <v>-9.3233232440115277E-3</v>
      </c>
    </row>
    <row r="455" spans="1:8" x14ac:dyDescent="0.25">
      <c r="A455" s="46">
        <v>45218</v>
      </c>
      <c r="B455" s="14">
        <v>130.570007</v>
      </c>
      <c r="C455" s="14">
        <v>132.240005</v>
      </c>
      <c r="D455" s="14">
        <v>127.470001</v>
      </c>
      <c r="E455" s="14">
        <v>128.39999399999999</v>
      </c>
      <c r="F455" s="14">
        <v>128.39999399999999</v>
      </c>
      <c r="G455" s="14">
        <v>60961400</v>
      </c>
      <c r="H455" s="14">
        <f t="shared" si="7"/>
        <v>-3.1370872380664938E-4</v>
      </c>
    </row>
    <row r="456" spans="1:8" x14ac:dyDescent="0.25">
      <c r="A456" s="46">
        <v>45219</v>
      </c>
      <c r="B456" s="14">
        <v>128.050003</v>
      </c>
      <c r="C456" s="14">
        <v>128.16999799999999</v>
      </c>
      <c r="D456" s="14">
        <v>124.970001</v>
      </c>
      <c r="E456" s="14">
        <v>125.16999800000001</v>
      </c>
      <c r="F456" s="14">
        <v>125.16999800000001</v>
      </c>
      <c r="G456" s="14">
        <v>56343300</v>
      </c>
      <c r="H456" s="14">
        <f t="shared" si="7"/>
        <v>-1.9612457679356265E-2</v>
      </c>
    </row>
    <row r="457" spans="1:8" x14ac:dyDescent="0.25">
      <c r="A457" s="46">
        <v>45222</v>
      </c>
      <c r="B457" s="14">
        <v>124.629997</v>
      </c>
      <c r="C457" s="14">
        <v>127.879997</v>
      </c>
      <c r="D457" s="14">
        <v>123.980003</v>
      </c>
      <c r="E457" s="14">
        <v>126.55999799999999</v>
      </c>
      <c r="F457" s="14">
        <v>126.55999799999999</v>
      </c>
      <c r="G457" s="14">
        <v>48260000</v>
      </c>
      <c r="H457" s="14">
        <f t="shared" si="7"/>
        <v>-2.6406283963567776E-3</v>
      </c>
    </row>
    <row r="458" spans="1:8" x14ac:dyDescent="0.25">
      <c r="A458" s="46">
        <v>45223</v>
      </c>
      <c r="B458" s="14">
        <v>127.739998</v>
      </c>
      <c r="C458" s="14">
        <v>128.800003</v>
      </c>
      <c r="D458" s="14">
        <v>126.339996</v>
      </c>
      <c r="E458" s="14">
        <v>128.55999800000001</v>
      </c>
      <c r="F458" s="14">
        <v>128.55999800000001</v>
      </c>
      <c r="G458" s="14">
        <v>46477400</v>
      </c>
      <c r="H458" s="14">
        <f t="shared" si="7"/>
        <v>1.9035271357430217E-2</v>
      </c>
    </row>
    <row r="459" spans="1:8" x14ac:dyDescent="0.25">
      <c r="A459" s="46">
        <v>45224</v>
      </c>
      <c r="B459" s="14">
        <v>126.040001</v>
      </c>
      <c r="C459" s="14">
        <v>126.339996</v>
      </c>
      <c r="D459" s="14">
        <v>120.790001</v>
      </c>
      <c r="E459" s="14">
        <v>121.389999</v>
      </c>
      <c r="F459" s="14">
        <v>121.389999</v>
      </c>
      <c r="G459" s="14">
        <v>74577500</v>
      </c>
      <c r="H459" s="14">
        <f t="shared" si="7"/>
        <v>-4.3929042074688618E-2</v>
      </c>
    </row>
    <row r="460" spans="1:8" x14ac:dyDescent="0.25">
      <c r="A460" s="46">
        <v>45225</v>
      </c>
      <c r="B460" s="14">
        <v>120.629997</v>
      </c>
      <c r="C460" s="14">
        <v>121.639999</v>
      </c>
      <c r="D460" s="14">
        <v>118.349998</v>
      </c>
      <c r="E460" s="14">
        <v>119.57</v>
      </c>
      <c r="F460" s="14">
        <v>119.57</v>
      </c>
      <c r="G460" s="14">
        <v>100419500</v>
      </c>
      <c r="H460" s="14">
        <f t="shared" si="7"/>
        <v>-2.0200372380160925E-2</v>
      </c>
    </row>
    <row r="461" spans="1:8" x14ac:dyDescent="0.25">
      <c r="A461" s="46">
        <v>45226</v>
      </c>
      <c r="B461" s="14">
        <v>126.199997</v>
      </c>
      <c r="C461" s="14">
        <v>130.020004</v>
      </c>
      <c r="D461" s="14">
        <v>125.519997</v>
      </c>
      <c r="E461" s="14">
        <v>127.739998</v>
      </c>
      <c r="F461" s="14">
        <v>127.739998</v>
      </c>
      <c r="G461" s="14">
        <v>125309300</v>
      </c>
      <c r="H461" s="14">
        <f t="shared" si="7"/>
        <v>6.0583009050832359E-2</v>
      </c>
    </row>
    <row r="462" spans="1:8" x14ac:dyDescent="0.25">
      <c r="A462" s="46">
        <v>45229</v>
      </c>
      <c r="B462" s="14">
        <v>129.720001</v>
      </c>
      <c r="C462" s="14">
        <v>133</v>
      </c>
      <c r="D462" s="14">
        <v>128.55999800000001</v>
      </c>
      <c r="E462" s="14">
        <v>132.71000699999999</v>
      </c>
      <c r="F462" s="14">
        <v>132.71000699999999</v>
      </c>
      <c r="G462" s="14">
        <v>72485500</v>
      </c>
      <c r="H462" s="14">
        <f t="shared" si="7"/>
        <v>8.0730854914429582E-3</v>
      </c>
    </row>
    <row r="463" spans="1:8" x14ac:dyDescent="0.25">
      <c r="A463" s="46">
        <v>45230</v>
      </c>
      <c r="B463" s="14">
        <v>132.75</v>
      </c>
      <c r="C463" s="14">
        <v>133.570007</v>
      </c>
      <c r="D463" s="14">
        <v>131.71000699999999</v>
      </c>
      <c r="E463" s="14">
        <v>133.08999600000001</v>
      </c>
      <c r="F463" s="14">
        <v>133.08999600000001</v>
      </c>
      <c r="G463" s="14">
        <v>51589400</v>
      </c>
      <c r="H463" s="14">
        <f t="shared" si="7"/>
        <v>2.450224835877779E-2</v>
      </c>
    </row>
    <row r="464" spans="1:8" x14ac:dyDescent="0.25">
      <c r="A464" s="46">
        <v>45231</v>
      </c>
      <c r="B464" s="14">
        <v>133.96000699999999</v>
      </c>
      <c r="C464" s="14">
        <v>137.35000600000001</v>
      </c>
      <c r="D464" s="14">
        <v>133.71000699999999</v>
      </c>
      <c r="E464" s="14">
        <v>137</v>
      </c>
      <c r="F464" s="14">
        <v>137</v>
      </c>
      <c r="G464" s="14">
        <v>61529400</v>
      </c>
      <c r="H464" s="14">
        <f t="shared" si="7"/>
        <v>1.5184875056608371E-2</v>
      </c>
    </row>
    <row r="465" spans="1:8" x14ac:dyDescent="0.25">
      <c r="A465" s="46">
        <v>45232</v>
      </c>
      <c r="B465" s="14">
        <v>138.729996</v>
      </c>
      <c r="C465" s="14">
        <v>138.80999800000001</v>
      </c>
      <c r="D465" s="14">
        <v>136.470001</v>
      </c>
      <c r="E465" s="14">
        <v>138.070007</v>
      </c>
      <c r="F465" s="14">
        <v>138.070007</v>
      </c>
      <c r="G465" s="14">
        <v>52236700</v>
      </c>
      <c r="H465" s="14">
        <f t="shared" si="7"/>
        <v>2.0641641279698808E-2</v>
      </c>
    </row>
    <row r="466" spans="1:8" x14ac:dyDescent="0.25">
      <c r="A466" s="46">
        <v>45233</v>
      </c>
      <c r="B466" s="14">
        <v>138.990005</v>
      </c>
      <c r="C466" s="14">
        <v>139.490005</v>
      </c>
      <c r="D466" s="14">
        <v>137.449997</v>
      </c>
      <c r="E466" s="14">
        <v>138.60000600000001</v>
      </c>
      <c r="F466" s="14">
        <v>138.60000600000001</v>
      </c>
      <c r="G466" s="14">
        <v>44007200</v>
      </c>
      <c r="H466" s="14">
        <f t="shared" si="7"/>
        <v>7.1810360725357292E-3</v>
      </c>
    </row>
    <row r="467" spans="1:8" x14ac:dyDescent="0.25">
      <c r="A467" s="46">
        <v>45236</v>
      </c>
      <c r="B467" s="14">
        <v>138.759995</v>
      </c>
      <c r="C467" s="14">
        <v>140.729996</v>
      </c>
      <c r="D467" s="14">
        <v>138.36000100000001</v>
      </c>
      <c r="E467" s="14">
        <v>139.740005</v>
      </c>
      <c r="F467" s="14">
        <v>139.740005</v>
      </c>
      <c r="G467" s="14">
        <v>44970400</v>
      </c>
      <c r="H467" s="14">
        <f t="shared" si="7"/>
        <v>2.2068728503986299E-3</v>
      </c>
    </row>
    <row r="468" spans="1:8" x14ac:dyDescent="0.25">
      <c r="A468" s="46">
        <v>45237</v>
      </c>
      <c r="B468" s="14">
        <v>140.550003</v>
      </c>
      <c r="C468" s="14">
        <v>143.36999499999999</v>
      </c>
      <c r="D468" s="14">
        <v>140.5</v>
      </c>
      <c r="E468" s="14">
        <v>142.71000699999999</v>
      </c>
      <c r="F468" s="14">
        <v>142.71000699999999</v>
      </c>
      <c r="G468" s="14">
        <v>53553500</v>
      </c>
      <c r="H468" s="14">
        <f t="shared" si="7"/>
        <v>1.5466890608073935E-2</v>
      </c>
    </row>
    <row r="469" spans="1:8" x14ac:dyDescent="0.25">
      <c r="A469" s="46">
        <v>45238</v>
      </c>
      <c r="B469" s="14">
        <v>142.970001</v>
      </c>
      <c r="C469" s="14">
        <v>143.11999499999999</v>
      </c>
      <c r="D469" s="14">
        <v>141.220001</v>
      </c>
      <c r="E469" s="14">
        <v>142.08000200000001</v>
      </c>
      <c r="F469" s="14">
        <v>142.08000200000001</v>
      </c>
      <c r="G469" s="14">
        <v>44521700</v>
      </c>
      <c r="H469" s="14">
        <f t="shared" si="7"/>
        <v>5.1245622775799582E-3</v>
      </c>
    </row>
    <row r="470" spans="1:8" x14ac:dyDescent="0.25">
      <c r="A470" s="46">
        <v>45239</v>
      </c>
      <c r="B470" s="14">
        <v>142.020004</v>
      </c>
      <c r="C470" s="14">
        <v>142.64999399999999</v>
      </c>
      <c r="D470" s="14">
        <v>139.83999600000001</v>
      </c>
      <c r="E470" s="14">
        <v>140.60000600000001</v>
      </c>
      <c r="F470" s="14">
        <v>140.60000600000001</v>
      </c>
      <c r="G470" s="14">
        <v>36235400</v>
      </c>
      <c r="H470" s="14">
        <f t="shared" si="7"/>
        <v>-9.7720223072366164E-3</v>
      </c>
    </row>
    <row r="471" spans="1:8" x14ac:dyDescent="0.25">
      <c r="A471" s="46">
        <v>45240</v>
      </c>
      <c r="B471" s="14">
        <v>140.46000699999999</v>
      </c>
      <c r="C471" s="14">
        <v>143.64999399999999</v>
      </c>
      <c r="D471" s="14">
        <v>139.91000399999999</v>
      </c>
      <c r="E471" s="14">
        <v>143.55999800000001</v>
      </c>
      <c r="F471" s="14">
        <v>143.55999800000001</v>
      </c>
      <c r="G471" s="14">
        <v>49287800</v>
      </c>
      <c r="H471" s="14">
        <f t="shared" si="7"/>
        <v>5.0062930493766089E-4</v>
      </c>
    </row>
    <row r="472" spans="1:8" x14ac:dyDescent="0.25">
      <c r="A472" s="46">
        <v>45243</v>
      </c>
      <c r="B472" s="14">
        <v>142.08000200000001</v>
      </c>
      <c r="C472" s="14">
        <v>143.229996</v>
      </c>
      <c r="D472" s="14">
        <v>140.66999799999999</v>
      </c>
      <c r="E472" s="14">
        <v>142.58999600000001</v>
      </c>
      <c r="F472" s="14">
        <v>142.58999600000001</v>
      </c>
      <c r="G472" s="14">
        <v>35680600</v>
      </c>
      <c r="H472" s="14">
        <f t="shared" si="7"/>
        <v>1.8106734764537318E-3</v>
      </c>
    </row>
    <row r="473" spans="1:8" x14ac:dyDescent="0.25">
      <c r="A473" s="46">
        <v>45244</v>
      </c>
      <c r="B473" s="14">
        <v>145</v>
      </c>
      <c r="C473" s="14">
        <v>147.259995</v>
      </c>
      <c r="D473" s="14">
        <v>144.679993</v>
      </c>
      <c r="E473" s="14">
        <v>145.800003</v>
      </c>
      <c r="F473" s="14">
        <v>145.800003</v>
      </c>
      <c r="G473" s="14">
        <v>56674600</v>
      </c>
      <c r="H473" s="14">
        <f t="shared" si="7"/>
        <v>2.850639835794988E-2</v>
      </c>
    </row>
    <row r="474" spans="1:8" x14ac:dyDescent="0.25">
      <c r="A474" s="46">
        <v>45245</v>
      </c>
      <c r="B474" s="14">
        <v>147.05999800000001</v>
      </c>
      <c r="C474" s="14">
        <v>147.28999300000001</v>
      </c>
      <c r="D474" s="14">
        <v>142.58999600000001</v>
      </c>
      <c r="E474" s="14">
        <v>143.199997</v>
      </c>
      <c r="F474" s="14">
        <v>143.199997</v>
      </c>
      <c r="G474" s="14">
        <v>63875700</v>
      </c>
      <c r="H474" s="14">
        <f t="shared" si="7"/>
        <v>-1.4445653173345008E-2</v>
      </c>
    </row>
    <row r="475" spans="1:8" x14ac:dyDescent="0.25">
      <c r="A475" s="46">
        <v>45246</v>
      </c>
      <c r="B475" s="14">
        <v>140.91000399999999</v>
      </c>
      <c r="C475" s="14">
        <v>143.320007</v>
      </c>
      <c r="D475" s="14">
        <v>139.520004</v>
      </c>
      <c r="E475" s="14">
        <v>142.83000200000001</v>
      </c>
      <c r="F475" s="14">
        <v>142.83000200000001</v>
      </c>
      <c r="G475" s="14">
        <v>49653500</v>
      </c>
      <c r="H475" s="14">
        <f t="shared" si="7"/>
        <v>-2.1530206088230863E-2</v>
      </c>
    </row>
    <row r="476" spans="1:8" x14ac:dyDescent="0.25">
      <c r="A476" s="46">
        <v>45247</v>
      </c>
      <c r="B476" s="14">
        <v>142.66000399999999</v>
      </c>
      <c r="C476" s="14">
        <v>145.229996</v>
      </c>
      <c r="D476" s="14">
        <v>142.53999300000001</v>
      </c>
      <c r="E476" s="14">
        <v>145.179993</v>
      </c>
      <c r="F476" s="14">
        <v>145.179993</v>
      </c>
      <c r="G476" s="14">
        <v>49636700</v>
      </c>
      <c r="H476" s="14">
        <f t="shared" si="7"/>
        <v>2.1645562739519564E-2</v>
      </c>
    </row>
    <row r="477" spans="1:8" x14ac:dyDescent="0.25">
      <c r="A477" s="46">
        <v>45250</v>
      </c>
      <c r="B477" s="14">
        <v>145.13000500000001</v>
      </c>
      <c r="C477" s="14">
        <v>146.63000500000001</v>
      </c>
      <c r="D477" s="14">
        <v>144.729996</v>
      </c>
      <c r="E477" s="14">
        <v>146.13000500000001</v>
      </c>
      <c r="F477" s="14">
        <v>146.13000500000001</v>
      </c>
      <c r="G477" s="14">
        <v>41951200</v>
      </c>
      <c r="H477" s="14">
        <f t="shared" si="7"/>
        <v>5.1213767072374834E-3</v>
      </c>
    </row>
    <row r="478" spans="1:8" x14ac:dyDescent="0.25">
      <c r="A478" s="46">
        <v>45251</v>
      </c>
      <c r="B478" s="14">
        <v>143.91000399999999</v>
      </c>
      <c r="C478" s="14">
        <v>144.050003</v>
      </c>
      <c r="D478" s="14">
        <v>141.5</v>
      </c>
      <c r="E478" s="14">
        <v>143.89999399999999</v>
      </c>
      <c r="F478" s="14">
        <v>143.89999399999999</v>
      </c>
      <c r="G478" s="14">
        <v>71226000</v>
      </c>
      <c r="H478" s="14">
        <f t="shared" si="7"/>
        <v>-2.2317391620739091E-2</v>
      </c>
    </row>
    <row r="479" spans="1:8" x14ac:dyDescent="0.25">
      <c r="A479" s="46">
        <v>45252</v>
      </c>
      <c r="B479" s="14">
        <v>144.570007</v>
      </c>
      <c r="C479" s="14">
        <v>147.740005</v>
      </c>
      <c r="D479" s="14">
        <v>144.570007</v>
      </c>
      <c r="E479" s="14">
        <v>146.71000699999999</v>
      </c>
      <c r="F479" s="14">
        <v>146.71000699999999</v>
      </c>
      <c r="G479" s="14">
        <v>45669100</v>
      </c>
      <c r="H479" s="14">
        <f t="shared" si="7"/>
        <v>2.1696162544169617E-2</v>
      </c>
    </row>
    <row r="480" spans="1:8" x14ac:dyDescent="0.25">
      <c r="A480" s="46">
        <v>45254</v>
      </c>
      <c r="B480" s="14">
        <v>146.699997</v>
      </c>
      <c r="C480" s="14">
        <v>147.199997</v>
      </c>
      <c r="D480" s="14">
        <v>145.320007</v>
      </c>
      <c r="E480" s="14">
        <v>146.740005</v>
      </c>
      <c r="F480" s="14">
        <v>146.740005</v>
      </c>
      <c r="G480" s="14">
        <v>22378400</v>
      </c>
      <c r="H480" s="14">
        <f t="shared" si="7"/>
        <v>2.5938990236059611E-3</v>
      </c>
    </row>
    <row r="481" spans="1:8" x14ac:dyDescent="0.25">
      <c r="A481" s="46">
        <v>45257</v>
      </c>
      <c r="B481" s="14">
        <v>147.529999</v>
      </c>
      <c r="C481" s="14">
        <v>149.259995</v>
      </c>
      <c r="D481" s="14">
        <v>146.88000500000001</v>
      </c>
      <c r="E481" s="14">
        <v>147.729996</v>
      </c>
      <c r="F481" s="14">
        <v>147.729996</v>
      </c>
      <c r="G481" s="14">
        <v>53762400</v>
      </c>
      <c r="H481" s="14">
        <f t="shared" si="7"/>
        <v>3.5783051767492116E-3</v>
      </c>
    </row>
    <row r="482" spans="1:8" x14ac:dyDescent="0.25">
      <c r="A482" s="46">
        <v>45258</v>
      </c>
      <c r="B482" s="14">
        <v>146.979996</v>
      </c>
      <c r="C482" s="14">
        <v>147.60000600000001</v>
      </c>
      <c r="D482" s="14">
        <v>145.529999</v>
      </c>
      <c r="E482" s="14">
        <v>147.029999</v>
      </c>
      <c r="F482" s="14">
        <v>147.029999</v>
      </c>
      <c r="G482" s="14">
        <v>42711700</v>
      </c>
      <c r="H482" s="14">
        <f t="shared" si="7"/>
        <v>-9.1912170073796817E-3</v>
      </c>
    </row>
    <row r="483" spans="1:8" x14ac:dyDescent="0.25">
      <c r="A483" s="46">
        <v>45259</v>
      </c>
      <c r="B483" s="14">
        <v>147.85000600000001</v>
      </c>
      <c r="C483" s="14">
        <v>148.53999300000001</v>
      </c>
      <c r="D483" s="14">
        <v>145.970001</v>
      </c>
      <c r="E483" s="14">
        <v>146.320007</v>
      </c>
      <c r="F483" s="14">
        <v>146.320007</v>
      </c>
      <c r="G483" s="14">
        <v>40610900</v>
      </c>
      <c r="H483" s="14">
        <f t="shared" si="7"/>
        <v>3.0234453585065157E-3</v>
      </c>
    </row>
    <row r="484" spans="1:8" x14ac:dyDescent="0.25">
      <c r="A484" s="46">
        <v>45260</v>
      </c>
      <c r="B484" s="14">
        <v>144.759995</v>
      </c>
      <c r="C484" s="14">
        <v>146.929993</v>
      </c>
      <c r="D484" s="14">
        <v>144.33000200000001</v>
      </c>
      <c r="E484" s="14">
        <v>146.08999600000001</v>
      </c>
      <c r="F484" s="14">
        <v>146.08999600000001</v>
      </c>
      <c r="G484" s="14">
        <v>65814000</v>
      </c>
      <c r="H484" s="14">
        <f t="shared" si="7"/>
        <v>-1.1235178384358502E-2</v>
      </c>
    </row>
    <row r="485" spans="1:8" x14ac:dyDescent="0.25">
      <c r="A485" s="46">
        <v>45261</v>
      </c>
      <c r="B485" s="14">
        <v>146</v>
      </c>
      <c r="C485" s="14">
        <v>147.25</v>
      </c>
      <c r="D485" s="14">
        <v>145.550003</v>
      </c>
      <c r="E485" s="14">
        <v>147.029999</v>
      </c>
      <c r="F485" s="14">
        <v>147.029999</v>
      </c>
      <c r="G485" s="14">
        <v>39924600</v>
      </c>
      <c r="H485" s="14">
        <f t="shared" si="7"/>
        <v>8.4528579165403794E-3</v>
      </c>
    </row>
    <row r="486" spans="1:8" x14ac:dyDescent="0.25">
      <c r="A486" s="46">
        <v>45264</v>
      </c>
      <c r="B486" s="14">
        <v>145.25</v>
      </c>
      <c r="C486" s="14">
        <v>145.35000600000001</v>
      </c>
      <c r="D486" s="14">
        <v>142.80999800000001</v>
      </c>
      <c r="E486" s="14">
        <v>144.83999600000001</v>
      </c>
      <c r="F486" s="14">
        <v>144.83999600000001</v>
      </c>
      <c r="G486" s="14">
        <v>48294200</v>
      </c>
      <c r="H486" s="14">
        <f t="shared" si="7"/>
        <v>-6.2750599874601036E-3</v>
      </c>
    </row>
    <row r="487" spans="1:8" x14ac:dyDescent="0.25">
      <c r="A487" s="46">
        <v>45265</v>
      </c>
      <c r="B487" s="14">
        <v>143.550003</v>
      </c>
      <c r="C487" s="14">
        <v>148.570007</v>
      </c>
      <c r="D487" s="14">
        <v>143.13000500000001</v>
      </c>
      <c r="E487" s="14">
        <v>146.88000500000001</v>
      </c>
      <c r="F487" s="14">
        <v>146.88000500000001</v>
      </c>
      <c r="G487" s="14">
        <v>46822400</v>
      </c>
      <c r="H487" s="14">
        <f t="shared" si="7"/>
        <v>2.2407884915733867E-3</v>
      </c>
    </row>
    <row r="488" spans="1:8" x14ac:dyDescent="0.25">
      <c r="A488" s="46">
        <v>45266</v>
      </c>
      <c r="B488" s="14">
        <v>147.58000200000001</v>
      </c>
      <c r="C488" s="14">
        <v>147.85000600000001</v>
      </c>
      <c r="D488" s="14">
        <v>144.279999</v>
      </c>
      <c r="E488" s="14">
        <v>144.520004</v>
      </c>
      <c r="F488" s="14">
        <v>144.520004</v>
      </c>
      <c r="G488" s="14">
        <v>39679000</v>
      </c>
      <c r="H488" s="14">
        <f t="shared" si="7"/>
        <v>8.0346116106122523E-3</v>
      </c>
    </row>
    <row r="489" spans="1:8" x14ac:dyDescent="0.25">
      <c r="A489" s="46">
        <v>45267</v>
      </c>
      <c r="B489" s="14">
        <v>146.14999399999999</v>
      </c>
      <c r="C489" s="14">
        <v>147.91999799999999</v>
      </c>
      <c r="D489" s="14">
        <v>145.33999600000001</v>
      </c>
      <c r="E489" s="14">
        <v>146.88000500000001</v>
      </c>
      <c r="F489" s="14">
        <v>146.88000500000001</v>
      </c>
      <c r="G489" s="14">
        <v>52352800</v>
      </c>
      <c r="H489" s="14">
        <f t="shared" si="7"/>
        <v>7.3468048748739356E-3</v>
      </c>
    </row>
    <row r="490" spans="1:8" x14ac:dyDescent="0.25">
      <c r="A490" s="46">
        <v>45268</v>
      </c>
      <c r="B490" s="14">
        <v>145.479996</v>
      </c>
      <c r="C490" s="14">
        <v>147.83999600000001</v>
      </c>
      <c r="D490" s="14">
        <v>145.39999399999999</v>
      </c>
      <c r="E490" s="14">
        <v>147.41999799999999</v>
      </c>
      <c r="F490" s="14">
        <v>147.41999799999999</v>
      </c>
      <c r="G490" s="14">
        <v>41858000</v>
      </c>
      <c r="H490" s="14">
        <f t="shared" si="7"/>
        <v>4.1281135029058724E-4</v>
      </c>
    </row>
    <row r="491" spans="1:8" x14ac:dyDescent="0.25">
      <c r="A491" s="46">
        <v>45271</v>
      </c>
      <c r="B491" s="14">
        <v>145.66000399999999</v>
      </c>
      <c r="C491" s="14">
        <v>146.19000199999999</v>
      </c>
      <c r="D491" s="14">
        <v>143.63999899999999</v>
      </c>
      <c r="E491" s="14">
        <v>145.88999899999999</v>
      </c>
      <c r="F491" s="14">
        <v>145.88999899999999</v>
      </c>
      <c r="G491" s="14">
        <v>50907300</v>
      </c>
      <c r="H491" s="14">
        <f t="shared" si="7"/>
        <v>-4.0348351046011937E-3</v>
      </c>
    </row>
    <row r="492" spans="1:8" x14ac:dyDescent="0.25">
      <c r="A492" s="46">
        <v>45272</v>
      </c>
      <c r="B492" s="14">
        <v>145.520004</v>
      </c>
      <c r="C492" s="14">
        <v>147.5</v>
      </c>
      <c r="D492" s="14">
        <v>145.300003</v>
      </c>
      <c r="E492" s="14">
        <v>147.479996</v>
      </c>
      <c r="F492" s="14">
        <v>147.479996</v>
      </c>
      <c r="G492" s="14">
        <v>44944300</v>
      </c>
      <c r="H492" s="14">
        <f t="shared" si="7"/>
        <v>1.1556697379258685E-2</v>
      </c>
    </row>
    <row r="493" spans="1:8" x14ac:dyDescent="0.25">
      <c r="A493" s="46">
        <v>45273</v>
      </c>
      <c r="B493" s="14">
        <v>148.11999499999999</v>
      </c>
      <c r="C493" s="14">
        <v>149.46000699999999</v>
      </c>
      <c r="D493" s="14">
        <v>146.820007</v>
      </c>
      <c r="E493" s="14">
        <v>148.83999600000001</v>
      </c>
      <c r="F493" s="14">
        <v>148.83999600000001</v>
      </c>
      <c r="G493" s="14">
        <v>52766200</v>
      </c>
      <c r="H493" s="14">
        <f t="shared" si="7"/>
        <v>1.0461142247877309E-2</v>
      </c>
    </row>
    <row r="494" spans="1:8" x14ac:dyDescent="0.25">
      <c r="A494" s="46">
        <v>45274</v>
      </c>
      <c r="B494" s="14">
        <v>149.929993</v>
      </c>
      <c r="C494" s="14">
        <v>150.53999300000001</v>
      </c>
      <c r="D494" s="14">
        <v>145.520004</v>
      </c>
      <c r="E494" s="14">
        <v>147.41999799999999</v>
      </c>
      <c r="F494" s="14">
        <v>147.41999799999999</v>
      </c>
      <c r="G494" s="14">
        <v>58400800</v>
      </c>
      <c r="H494" s="14">
        <f t="shared" si="7"/>
        <v>-8.8543995233565376E-3</v>
      </c>
    </row>
    <row r="495" spans="1:8" x14ac:dyDescent="0.25">
      <c r="A495" s="46">
        <v>45275</v>
      </c>
      <c r="B495" s="14">
        <v>148.38000500000001</v>
      </c>
      <c r="C495" s="14">
        <v>150.570007</v>
      </c>
      <c r="D495" s="14">
        <v>147.88000500000001</v>
      </c>
      <c r="E495" s="14">
        <v>149.970001</v>
      </c>
      <c r="F495" s="14">
        <v>149.970001</v>
      </c>
      <c r="G495" s="14">
        <v>110039100</v>
      </c>
      <c r="H495" s="14">
        <f t="shared" si="7"/>
        <v>1.6217708460205982E-2</v>
      </c>
    </row>
    <row r="496" spans="1:8" x14ac:dyDescent="0.25">
      <c r="A496" s="46">
        <v>45278</v>
      </c>
      <c r="B496" s="14">
        <v>150.55999800000001</v>
      </c>
      <c r="C496" s="14">
        <v>154.85000600000001</v>
      </c>
      <c r="D496" s="14">
        <v>150.050003</v>
      </c>
      <c r="E496" s="14">
        <v>154.070007</v>
      </c>
      <c r="F496" s="14">
        <v>154.070007</v>
      </c>
      <c r="G496" s="14">
        <v>62512800</v>
      </c>
      <c r="H496" s="14">
        <f t="shared" si="7"/>
        <v>4.8913486760205531E-3</v>
      </c>
    </row>
    <row r="497" spans="1:8" x14ac:dyDescent="0.25">
      <c r="A497" s="46">
        <v>45279</v>
      </c>
      <c r="B497" s="14">
        <v>154.39999399999999</v>
      </c>
      <c r="C497" s="14">
        <v>155.11999499999999</v>
      </c>
      <c r="D497" s="14">
        <v>152.69000199999999</v>
      </c>
      <c r="E497" s="14">
        <v>153.78999300000001</v>
      </c>
      <c r="F497" s="14">
        <v>153.78999300000001</v>
      </c>
      <c r="G497" s="14">
        <v>43171300</v>
      </c>
      <c r="H497" s="14">
        <f t="shared" si="7"/>
        <v>1.7594128272026666E-2</v>
      </c>
    </row>
    <row r="498" spans="1:8" x14ac:dyDescent="0.25">
      <c r="A498" s="46">
        <v>45280</v>
      </c>
      <c r="B498" s="14">
        <v>152.89999399999999</v>
      </c>
      <c r="C498" s="14">
        <v>155.63000500000001</v>
      </c>
      <c r="D498" s="14">
        <v>151.55999800000001</v>
      </c>
      <c r="E498" s="14">
        <v>152.11999499999999</v>
      </c>
      <c r="F498" s="14">
        <v>152.11999499999999</v>
      </c>
      <c r="G498" s="14">
        <v>50322100</v>
      </c>
      <c r="H498" s="14">
        <f t="shared" si="7"/>
        <v>-7.4006417263652313E-3</v>
      </c>
    </row>
    <row r="499" spans="1:8" x14ac:dyDescent="0.25">
      <c r="A499" s="46">
        <v>45281</v>
      </c>
      <c r="B499" s="14">
        <v>153.300003</v>
      </c>
      <c r="C499" s="14">
        <v>153.970001</v>
      </c>
      <c r="D499" s="14">
        <v>152.10000600000001</v>
      </c>
      <c r="E499" s="14">
        <v>153.83999600000001</v>
      </c>
      <c r="F499" s="14">
        <v>153.83999600000001</v>
      </c>
      <c r="G499" s="14">
        <v>36305700</v>
      </c>
      <c r="H499" s="14">
        <f t="shared" si="7"/>
        <v>3.5629981995644044E-3</v>
      </c>
    </row>
    <row r="500" spans="1:8" x14ac:dyDescent="0.25">
      <c r="A500" s="46">
        <v>45282</v>
      </c>
      <c r="B500" s="14">
        <v>153.770004</v>
      </c>
      <c r="C500" s="14">
        <v>154.35000600000001</v>
      </c>
      <c r="D500" s="14">
        <v>152.71000699999999</v>
      </c>
      <c r="E500" s="14">
        <v>153.41999799999999</v>
      </c>
      <c r="F500" s="14">
        <v>153.41999799999999</v>
      </c>
      <c r="G500" s="14">
        <v>29480100</v>
      </c>
      <c r="H500" s="14">
        <f t="shared" si="7"/>
        <v>4.0105258115503695E-3</v>
      </c>
    </row>
    <row r="501" spans="1:8" x14ac:dyDescent="0.25">
      <c r="A501" s="46">
        <v>45286</v>
      </c>
      <c r="B501" s="14">
        <v>153.55999800000001</v>
      </c>
      <c r="C501" s="14">
        <v>153.979996</v>
      </c>
      <c r="D501" s="14">
        <v>153.029999</v>
      </c>
      <c r="E501" s="14">
        <v>153.41000399999999</v>
      </c>
      <c r="F501" s="14">
        <v>153.41000399999999</v>
      </c>
      <c r="G501" s="14">
        <v>25067200</v>
      </c>
      <c r="H501" s="14">
        <f t="shared" si="7"/>
        <v>5.2385565014090307E-4</v>
      </c>
    </row>
    <row r="502" spans="1:8" x14ac:dyDescent="0.25">
      <c r="A502" s="46">
        <v>45287</v>
      </c>
      <c r="B502" s="14">
        <v>153.55999800000001</v>
      </c>
      <c r="C502" s="14">
        <v>154.779999</v>
      </c>
      <c r="D502" s="14">
        <v>153.11999499999999</v>
      </c>
      <c r="E502" s="14">
        <v>153.33999600000001</v>
      </c>
      <c r="F502" s="14">
        <v>153.33999600000001</v>
      </c>
      <c r="G502" s="14">
        <v>31434700</v>
      </c>
      <c r="H502" s="14">
        <f t="shared" si="7"/>
        <v>5.8809384165248169E-4</v>
      </c>
    </row>
    <row r="503" spans="1:8" x14ac:dyDescent="0.25">
      <c r="A503" s="46">
        <v>45288</v>
      </c>
      <c r="B503" s="14">
        <v>153.720001</v>
      </c>
      <c r="C503" s="14">
        <v>154.08000200000001</v>
      </c>
      <c r="D503" s="14">
        <v>152.949997</v>
      </c>
      <c r="E503" s="14">
        <v>153.38000500000001</v>
      </c>
      <c r="F503" s="14">
        <v>153.38000500000001</v>
      </c>
      <c r="G503" s="14">
        <v>27057000</v>
      </c>
      <c r="H503" s="14">
        <f t="shared" si="7"/>
        <v>-1.1102273089806936E-3</v>
      </c>
    </row>
    <row r="504" spans="1:8" x14ac:dyDescent="0.25">
      <c r="A504" s="46">
        <v>45289</v>
      </c>
      <c r="B504" s="14">
        <v>153.10000600000001</v>
      </c>
      <c r="C504" s="14">
        <v>153.88999899999999</v>
      </c>
      <c r="D504" s="14">
        <v>151.029999</v>
      </c>
      <c r="E504" s="14">
        <v>151.94000199999999</v>
      </c>
      <c r="F504" s="14">
        <v>151.94000199999999</v>
      </c>
      <c r="G504" s="14">
        <v>39789000</v>
      </c>
      <c r="H504" s="14">
        <f t="shared" si="7"/>
        <v>-1.2553109105324145E-2</v>
      </c>
    </row>
    <row r="505" spans="1:8" x14ac:dyDescent="0.25">
      <c r="A505" s="46">
        <v>45293</v>
      </c>
      <c r="B505" s="14">
        <v>151.53999300000001</v>
      </c>
      <c r="C505" s="14">
        <v>152.38000500000001</v>
      </c>
      <c r="D505" s="14">
        <v>148.38999899999999</v>
      </c>
      <c r="E505" s="14">
        <v>149.929993</v>
      </c>
      <c r="F505" s="14">
        <v>149.929993</v>
      </c>
      <c r="G505" s="14">
        <v>47339400</v>
      </c>
      <c r="H505" s="14">
        <f t="shared" si="7"/>
        <v>-4.3699927456134213E-3</v>
      </c>
    </row>
    <row r="506" spans="1:8" x14ac:dyDescent="0.25">
      <c r="A506" s="46">
        <v>45294</v>
      </c>
      <c r="B506" s="14">
        <v>149.199997</v>
      </c>
      <c r="C506" s="14">
        <v>151.050003</v>
      </c>
      <c r="D506" s="14">
        <v>148.33000200000001</v>
      </c>
      <c r="E506" s="14">
        <v>148.470001</v>
      </c>
      <c r="F506" s="14">
        <v>148.470001</v>
      </c>
      <c r="G506" s="14">
        <v>49425500</v>
      </c>
      <c r="H506" s="14">
        <f t="shared" si="7"/>
        <v>-4.0431970081744595E-4</v>
      </c>
    </row>
    <row r="507" spans="1:8" x14ac:dyDescent="0.25">
      <c r="A507" s="46">
        <v>45295</v>
      </c>
      <c r="B507" s="14">
        <v>145.58999600000001</v>
      </c>
      <c r="C507" s="14">
        <v>147.38000500000001</v>
      </c>
      <c r="D507" s="14">
        <v>144.050003</v>
      </c>
      <c r="E507" s="14">
        <v>144.570007</v>
      </c>
      <c r="F507" s="14">
        <v>144.570007</v>
      </c>
      <c r="G507" s="14">
        <v>56039800</v>
      </c>
      <c r="H507" s="14">
        <f t="shared" si="7"/>
        <v>-2.8854573871036626E-2</v>
      </c>
    </row>
    <row r="508" spans="1:8" x14ac:dyDescent="0.25">
      <c r="A508" s="46">
        <v>45296</v>
      </c>
      <c r="B508" s="14">
        <v>144.69000199999999</v>
      </c>
      <c r="C508" s="14">
        <v>146.58999600000001</v>
      </c>
      <c r="D508" s="14">
        <v>144.529999</v>
      </c>
      <c r="E508" s="14">
        <v>145.240005</v>
      </c>
      <c r="F508" s="14">
        <v>145.240005</v>
      </c>
      <c r="G508" s="14">
        <v>45124800</v>
      </c>
      <c r="H508" s="14">
        <f t="shared" si="7"/>
        <v>3.3321484901323029E-3</v>
      </c>
    </row>
    <row r="509" spans="1:8" x14ac:dyDescent="0.25">
      <c r="A509" s="46">
        <v>45299</v>
      </c>
      <c r="B509" s="14">
        <v>146.740005</v>
      </c>
      <c r="C509" s="14">
        <v>149.39999399999999</v>
      </c>
      <c r="D509" s="14">
        <v>146.14999399999999</v>
      </c>
      <c r="E509" s="14">
        <v>149.10000600000001</v>
      </c>
      <c r="F509" s="14">
        <v>149.10000600000001</v>
      </c>
      <c r="G509" s="14">
        <v>46757100</v>
      </c>
      <c r="H509" s="14">
        <f t="shared" si="7"/>
        <v>3.7362370239366616E-3</v>
      </c>
    </row>
    <row r="510" spans="1:8" x14ac:dyDescent="0.25">
      <c r="A510" s="46">
        <v>45300</v>
      </c>
      <c r="B510" s="14">
        <v>148.33000200000001</v>
      </c>
      <c r="C510" s="14">
        <v>151.71000699999999</v>
      </c>
      <c r="D510" s="14">
        <v>148.21000699999999</v>
      </c>
      <c r="E510" s="14">
        <v>151.36999499999999</v>
      </c>
      <c r="F510" s="14">
        <v>151.36999499999999</v>
      </c>
      <c r="G510" s="14">
        <v>43812600</v>
      </c>
      <c r="H510" s="14">
        <f t="shared" si="7"/>
        <v>1.409519729436326E-2</v>
      </c>
    </row>
    <row r="511" spans="1:8" x14ac:dyDescent="0.25">
      <c r="A511" s="46">
        <v>45301</v>
      </c>
      <c r="B511" s="14">
        <v>152.05999800000001</v>
      </c>
      <c r="C511" s="14">
        <v>154.41999799999999</v>
      </c>
      <c r="D511" s="14">
        <v>151.88000500000001</v>
      </c>
      <c r="E511" s="14">
        <v>153.729996</v>
      </c>
      <c r="F511" s="14">
        <v>153.729996</v>
      </c>
      <c r="G511" s="14">
        <v>44421800</v>
      </c>
      <c r="H511" s="14">
        <f t="shared" si="7"/>
        <v>2.4762147133560397E-2</v>
      </c>
    </row>
    <row r="512" spans="1:8" x14ac:dyDescent="0.25">
      <c r="A512" s="46">
        <v>45302</v>
      </c>
      <c r="B512" s="14">
        <v>155.03999300000001</v>
      </c>
      <c r="C512" s="14">
        <v>157.16999799999999</v>
      </c>
      <c r="D512" s="14">
        <v>153.11999499999999</v>
      </c>
      <c r="E512" s="14">
        <v>155.179993</v>
      </c>
      <c r="F512" s="14">
        <v>155.179993</v>
      </c>
      <c r="G512" s="14">
        <v>49072700</v>
      </c>
      <c r="H512" s="14">
        <f t="shared" si="7"/>
        <v>8.1642741584053713E-3</v>
      </c>
    </row>
    <row r="513" spans="1:8" x14ac:dyDescent="0.25">
      <c r="A513" s="46">
        <v>45303</v>
      </c>
      <c r="B513" s="14">
        <v>155.38999899999999</v>
      </c>
      <c r="C513" s="14">
        <v>156.199997</v>
      </c>
      <c r="D513" s="14">
        <v>154.009995</v>
      </c>
      <c r="E513" s="14">
        <v>154.61999499999999</v>
      </c>
      <c r="F513" s="14">
        <v>154.61999499999999</v>
      </c>
      <c r="G513" s="14">
        <v>40460300</v>
      </c>
      <c r="H513" s="14">
        <f t="shared" si="7"/>
        <v>5.8124348815451476E-3</v>
      </c>
    </row>
    <row r="514" spans="1:8" x14ac:dyDescent="0.25">
      <c r="A514" s="46">
        <v>45307</v>
      </c>
      <c r="B514" s="14">
        <v>153.529999</v>
      </c>
      <c r="C514" s="14">
        <v>154.990005</v>
      </c>
      <c r="D514" s="14">
        <v>152.14999399999999</v>
      </c>
      <c r="E514" s="14">
        <v>153.16000399999999</v>
      </c>
      <c r="F514" s="14">
        <v>153.16000399999999</v>
      </c>
      <c r="G514" s="14">
        <v>41384600</v>
      </c>
      <c r="H514" s="14">
        <f t="shared" si="7"/>
        <v>-3.0192861833415741E-3</v>
      </c>
    </row>
    <row r="515" spans="1:8" x14ac:dyDescent="0.25">
      <c r="A515" s="46">
        <v>45308</v>
      </c>
      <c r="B515" s="14">
        <v>151.490005</v>
      </c>
      <c r="C515" s="14">
        <v>152.14999399999999</v>
      </c>
      <c r="D515" s="14">
        <v>149.91000399999999</v>
      </c>
      <c r="E515" s="14">
        <v>151.71000699999999</v>
      </c>
      <c r="F515" s="14">
        <v>151.71000699999999</v>
      </c>
      <c r="G515" s="14">
        <v>34953400</v>
      </c>
      <c r="H515" s="14">
        <f t="shared" si="7"/>
        <v>-1.47222483623628E-2</v>
      </c>
    </row>
    <row r="516" spans="1:8" x14ac:dyDescent="0.25">
      <c r="A516" s="46">
        <v>45309</v>
      </c>
      <c r="B516" s="14">
        <v>152.770004</v>
      </c>
      <c r="C516" s="14">
        <v>153.779999</v>
      </c>
      <c r="D516" s="14">
        <v>151.820007</v>
      </c>
      <c r="E516" s="14">
        <v>153.5</v>
      </c>
      <c r="F516" s="14">
        <v>153.5</v>
      </c>
      <c r="G516" s="14">
        <v>37850200</v>
      </c>
      <c r="H516" s="14">
        <f t="shared" ref="H516:H570" si="8">(D516/D515-1)/(A516-A515)</f>
        <v>1.2740997592128878E-2</v>
      </c>
    </row>
    <row r="517" spans="1:8" x14ac:dyDescent="0.25">
      <c r="A517" s="46">
        <v>45310</v>
      </c>
      <c r="B517" s="14">
        <v>153.83000200000001</v>
      </c>
      <c r="C517" s="14">
        <v>155.759995</v>
      </c>
      <c r="D517" s="14">
        <v>152.740005</v>
      </c>
      <c r="E517" s="14">
        <v>155.33999600000001</v>
      </c>
      <c r="F517" s="14">
        <v>155.33999600000001</v>
      </c>
      <c r="G517" s="14">
        <v>51033700</v>
      </c>
      <c r="H517" s="14">
        <f t="shared" si="8"/>
        <v>6.059794214078762E-3</v>
      </c>
    </row>
    <row r="518" spans="1:8" x14ac:dyDescent="0.25">
      <c r="A518" s="46">
        <v>45313</v>
      </c>
      <c r="B518" s="14">
        <v>156.88999899999999</v>
      </c>
      <c r="C518" s="14">
        <v>157.050003</v>
      </c>
      <c r="D518" s="14">
        <v>153.89999399999999</v>
      </c>
      <c r="E518" s="14">
        <v>154.779999</v>
      </c>
      <c r="F518" s="14">
        <v>154.779999</v>
      </c>
      <c r="G518" s="14">
        <v>43687500</v>
      </c>
      <c r="H518" s="14">
        <f t="shared" si="8"/>
        <v>2.5315109816842116E-3</v>
      </c>
    </row>
    <row r="519" spans="1:8" x14ac:dyDescent="0.25">
      <c r="A519" s="46">
        <v>45314</v>
      </c>
      <c r="B519" s="14">
        <v>154.85000600000001</v>
      </c>
      <c r="C519" s="14">
        <v>156.21000699999999</v>
      </c>
      <c r="D519" s="14">
        <v>153.929993</v>
      </c>
      <c r="E519" s="14">
        <v>156.020004</v>
      </c>
      <c r="F519" s="14">
        <v>156.020004</v>
      </c>
      <c r="G519" s="14">
        <v>37986000</v>
      </c>
      <c r="H519" s="14">
        <f t="shared" si="8"/>
        <v>1.9492528375275597E-4</v>
      </c>
    </row>
    <row r="520" spans="1:8" x14ac:dyDescent="0.25">
      <c r="A520" s="46">
        <v>45315</v>
      </c>
      <c r="B520" s="14">
        <v>157.800003</v>
      </c>
      <c r="C520" s="14">
        <v>158.509995</v>
      </c>
      <c r="D520" s="14">
        <v>156.479996</v>
      </c>
      <c r="E520" s="14">
        <v>156.86999499999999</v>
      </c>
      <c r="F520" s="14">
        <v>156.86999499999999</v>
      </c>
      <c r="G520" s="14">
        <v>48547300</v>
      </c>
      <c r="H520" s="14">
        <f t="shared" si="8"/>
        <v>1.6565991788228152E-2</v>
      </c>
    </row>
    <row r="521" spans="1:8" x14ac:dyDescent="0.25">
      <c r="A521" s="46">
        <v>45316</v>
      </c>
      <c r="B521" s="14">
        <v>156.949997</v>
      </c>
      <c r="C521" s="14">
        <v>158.509995</v>
      </c>
      <c r="D521" s="14">
        <v>154.550003</v>
      </c>
      <c r="E521" s="14">
        <v>157.75</v>
      </c>
      <c r="F521" s="14">
        <v>157.75</v>
      </c>
      <c r="G521" s="14">
        <v>43638600</v>
      </c>
      <c r="H521" s="14">
        <f t="shared" si="8"/>
        <v>-1.2333800161906883E-2</v>
      </c>
    </row>
    <row r="522" spans="1:8" x14ac:dyDescent="0.25">
      <c r="A522" s="46">
        <v>45317</v>
      </c>
      <c r="B522" s="14">
        <v>158.41999799999999</v>
      </c>
      <c r="C522" s="14">
        <v>160.720001</v>
      </c>
      <c r="D522" s="14">
        <v>157.91000399999999</v>
      </c>
      <c r="E522" s="14">
        <v>159.11999499999999</v>
      </c>
      <c r="F522" s="14">
        <v>159.11999499999999</v>
      </c>
      <c r="G522" s="14">
        <v>51047400</v>
      </c>
      <c r="H522" s="14">
        <f t="shared" si="8"/>
        <v>2.1740543091416153E-2</v>
      </c>
    </row>
    <row r="523" spans="1:8" x14ac:dyDescent="0.25">
      <c r="A523" s="46">
        <v>45320</v>
      </c>
      <c r="B523" s="14">
        <v>159.33999600000001</v>
      </c>
      <c r="C523" s="14">
        <v>161.28999300000001</v>
      </c>
      <c r="D523" s="14">
        <v>158.89999399999999</v>
      </c>
      <c r="E523" s="14">
        <v>161.259995</v>
      </c>
      <c r="F523" s="14">
        <v>161.259995</v>
      </c>
      <c r="G523" s="14">
        <v>45270400</v>
      </c>
      <c r="H523" s="14">
        <f t="shared" si="8"/>
        <v>2.0897768241882422E-3</v>
      </c>
    </row>
    <row r="524" spans="1:8" x14ac:dyDescent="0.25">
      <c r="A524" s="46">
        <v>45321</v>
      </c>
      <c r="B524" s="14">
        <v>160.699997</v>
      </c>
      <c r="C524" s="14">
        <v>161.729996</v>
      </c>
      <c r="D524" s="14">
        <v>158.490005</v>
      </c>
      <c r="E524" s="14">
        <v>159</v>
      </c>
      <c r="F524" s="14">
        <v>159</v>
      </c>
      <c r="G524" s="14">
        <v>45207400</v>
      </c>
      <c r="H524" s="14">
        <f t="shared" si="8"/>
        <v>-2.5801700156137253E-3</v>
      </c>
    </row>
    <row r="525" spans="1:8" x14ac:dyDescent="0.25">
      <c r="A525" s="46">
        <v>45322</v>
      </c>
      <c r="B525" s="14">
        <v>157</v>
      </c>
      <c r="C525" s="14">
        <v>159.009995</v>
      </c>
      <c r="D525" s="14">
        <v>154.80999800000001</v>
      </c>
      <c r="E525" s="14">
        <v>155.199997</v>
      </c>
      <c r="F525" s="14">
        <v>155.199997</v>
      </c>
      <c r="G525" s="14">
        <v>50284400</v>
      </c>
      <c r="H525" s="14">
        <f t="shared" si="8"/>
        <v>-2.3219173978825891E-2</v>
      </c>
    </row>
    <row r="526" spans="1:8" x14ac:dyDescent="0.25">
      <c r="A526" s="46">
        <v>45323</v>
      </c>
      <c r="B526" s="14">
        <v>155.86999499999999</v>
      </c>
      <c r="C526" s="14">
        <v>159.759995</v>
      </c>
      <c r="D526" s="14">
        <v>155.61999499999999</v>
      </c>
      <c r="E526" s="14">
        <v>159.279999</v>
      </c>
      <c r="F526" s="14">
        <v>159.279999</v>
      </c>
      <c r="G526" s="14">
        <v>76542400</v>
      </c>
      <c r="H526" s="14">
        <f t="shared" si="8"/>
        <v>5.2322008298195666E-3</v>
      </c>
    </row>
    <row r="527" spans="1:8" x14ac:dyDescent="0.25">
      <c r="A527" s="46">
        <v>45324</v>
      </c>
      <c r="B527" s="14">
        <v>169.19000199999999</v>
      </c>
      <c r="C527" s="14">
        <v>172.5</v>
      </c>
      <c r="D527" s="14">
        <v>167.33000200000001</v>
      </c>
      <c r="E527" s="14">
        <v>171.80999800000001</v>
      </c>
      <c r="F527" s="14">
        <v>171.80999800000001</v>
      </c>
      <c r="G527" s="14">
        <v>117154900</v>
      </c>
      <c r="H527" s="14">
        <f t="shared" si="8"/>
        <v>7.5247444905778504E-2</v>
      </c>
    </row>
    <row r="528" spans="1:8" x14ac:dyDescent="0.25">
      <c r="A528" s="46">
        <v>45327</v>
      </c>
      <c r="B528" s="14">
        <v>170.199997</v>
      </c>
      <c r="C528" s="14">
        <v>170.550003</v>
      </c>
      <c r="D528" s="14">
        <v>167.699997</v>
      </c>
      <c r="E528" s="14">
        <v>170.30999800000001</v>
      </c>
      <c r="F528" s="14">
        <v>170.30999800000001</v>
      </c>
      <c r="G528" s="14">
        <v>55081300</v>
      </c>
      <c r="H528" s="14">
        <f t="shared" si="8"/>
        <v>7.370565062603992E-4</v>
      </c>
    </row>
    <row r="529" spans="1:8" x14ac:dyDescent="0.25">
      <c r="A529" s="46">
        <v>45328</v>
      </c>
      <c r="B529" s="14">
        <v>169.38999899999999</v>
      </c>
      <c r="C529" s="14">
        <v>170.71000699999999</v>
      </c>
      <c r="D529" s="14">
        <v>167.64999399999999</v>
      </c>
      <c r="E529" s="14">
        <v>169.14999399999999</v>
      </c>
      <c r="F529" s="14">
        <v>169.14999399999999</v>
      </c>
      <c r="G529" s="14">
        <v>42505500</v>
      </c>
      <c r="H529" s="14">
        <f t="shared" si="8"/>
        <v>-2.9816935536386424E-4</v>
      </c>
    </row>
    <row r="530" spans="1:8" x14ac:dyDescent="0.25">
      <c r="A530" s="46">
        <v>45329</v>
      </c>
      <c r="B530" s="14">
        <v>169.479996</v>
      </c>
      <c r="C530" s="14">
        <v>170.88000500000001</v>
      </c>
      <c r="D530" s="14">
        <v>168.94000199999999</v>
      </c>
      <c r="E530" s="14">
        <v>170.529999</v>
      </c>
      <c r="F530" s="14">
        <v>170.529999</v>
      </c>
      <c r="G530" s="14">
        <v>47174100</v>
      </c>
      <c r="H530" s="14">
        <f t="shared" si="8"/>
        <v>7.6946498429339982E-3</v>
      </c>
    </row>
    <row r="531" spans="1:8" x14ac:dyDescent="0.25">
      <c r="A531" s="46">
        <v>45330</v>
      </c>
      <c r="B531" s="14">
        <v>169.64999399999999</v>
      </c>
      <c r="C531" s="14">
        <v>171.429993</v>
      </c>
      <c r="D531" s="14">
        <v>168.88000500000001</v>
      </c>
      <c r="E531" s="14">
        <v>169.83999600000001</v>
      </c>
      <c r="F531" s="14">
        <v>169.83999600000001</v>
      </c>
      <c r="G531" s="14">
        <v>42316500</v>
      </c>
      <c r="H531" s="14">
        <f t="shared" si="8"/>
        <v>-3.5513791458330335E-4</v>
      </c>
    </row>
    <row r="532" spans="1:8" x14ac:dyDescent="0.25">
      <c r="A532" s="46">
        <v>45331</v>
      </c>
      <c r="B532" s="14">
        <v>170.89999399999999</v>
      </c>
      <c r="C532" s="14">
        <v>175</v>
      </c>
      <c r="D532" s="14">
        <v>170.58000200000001</v>
      </c>
      <c r="E532" s="14">
        <v>174.449997</v>
      </c>
      <c r="F532" s="14">
        <v>174.449997</v>
      </c>
      <c r="G532" s="14">
        <v>56986000</v>
      </c>
      <c r="H532" s="14">
        <f t="shared" si="8"/>
        <v>1.0066301217838136E-2</v>
      </c>
    </row>
    <row r="533" spans="1:8" x14ac:dyDescent="0.25">
      <c r="A533" s="46">
        <v>45334</v>
      </c>
      <c r="B533" s="14">
        <v>174.800003</v>
      </c>
      <c r="C533" s="14">
        <v>175.38999899999999</v>
      </c>
      <c r="D533" s="14">
        <v>171.53999300000001</v>
      </c>
      <c r="E533" s="14">
        <v>172.33999600000001</v>
      </c>
      <c r="F533" s="14">
        <v>172.33999600000001</v>
      </c>
      <c r="G533" s="14">
        <v>51050400</v>
      </c>
      <c r="H533" s="14">
        <f t="shared" si="8"/>
        <v>1.8759350231453513E-3</v>
      </c>
    </row>
    <row r="534" spans="1:8" x14ac:dyDescent="0.25">
      <c r="A534" s="46">
        <v>45335</v>
      </c>
      <c r="B534" s="14">
        <v>167.729996</v>
      </c>
      <c r="C534" s="14">
        <v>170.949997</v>
      </c>
      <c r="D534" s="14">
        <v>165.75</v>
      </c>
      <c r="E534" s="14">
        <v>168.63999899999999</v>
      </c>
      <c r="F534" s="14">
        <v>168.63999899999999</v>
      </c>
      <c r="G534" s="14">
        <v>56345100</v>
      </c>
      <c r="H534" s="14">
        <f t="shared" si="8"/>
        <v>-3.3753021081212253E-2</v>
      </c>
    </row>
    <row r="535" spans="1:8" x14ac:dyDescent="0.25">
      <c r="A535" s="46">
        <v>45336</v>
      </c>
      <c r="B535" s="14">
        <v>169.21000699999999</v>
      </c>
      <c r="C535" s="14">
        <v>171.21000699999999</v>
      </c>
      <c r="D535" s="14">
        <v>168.279999</v>
      </c>
      <c r="E535" s="14">
        <v>170.979996</v>
      </c>
      <c r="F535" s="14">
        <v>170.979996</v>
      </c>
      <c r="G535" s="14">
        <v>42815500</v>
      </c>
      <c r="H535" s="14">
        <f t="shared" si="8"/>
        <v>1.5263945701357473E-2</v>
      </c>
    </row>
    <row r="536" spans="1:8" x14ac:dyDescent="0.25">
      <c r="A536" s="46">
        <v>45337</v>
      </c>
      <c r="B536" s="14">
        <v>170.58000200000001</v>
      </c>
      <c r="C536" s="14">
        <v>171.16999799999999</v>
      </c>
      <c r="D536" s="14">
        <v>167.58999600000001</v>
      </c>
      <c r="E536" s="14">
        <v>169.800003</v>
      </c>
      <c r="F536" s="14">
        <v>169.800003</v>
      </c>
      <c r="G536" s="14">
        <v>49855200</v>
      </c>
      <c r="H536" s="14">
        <f t="shared" si="8"/>
        <v>-4.1003268605913634E-3</v>
      </c>
    </row>
    <row r="537" spans="1:8" x14ac:dyDescent="0.25">
      <c r="A537" s="46">
        <v>45338</v>
      </c>
      <c r="B537" s="14">
        <v>168.740005</v>
      </c>
      <c r="C537" s="14">
        <v>170.41999799999999</v>
      </c>
      <c r="D537" s="14">
        <v>167.16999799999999</v>
      </c>
      <c r="E537" s="14">
        <v>169.509995</v>
      </c>
      <c r="F537" s="14">
        <v>169.509995</v>
      </c>
      <c r="G537" s="14">
        <v>48074600</v>
      </c>
      <c r="H537" s="14">
        <f t="shared" si="8"/>
        <v>-2.5061042426424152E-3</v>
      </c>
    </row>
    <row r="538" spans="1:8" x14ac:dyDescent="0.25">
      <c r="A538" s="46">
        <v>45342</v>
      </c>
      <c r="B538" s="14">
        <v>167.83000200000001</v>
      </c>
      <c r="C538" s="14">
        <v>168.71000699999999</v>
      </c>
      <c r="D538" s="14">
        <v>165.740005</v>
      </c>
      <c r="E538" s="14">
        <v>167.08000200000001</v>
      </c>
      <c r="F538" s="14">
        <v>167.08000200000001</v>
      </c>
      <c r="G538" s="14">
        <v>41980300</v>
      </c>
      <c r="H538" s="14">
        <f t="shared" si="8"/>
        <v>-2.1385311615544633E-3</v>
      </c>
    </row>
    <row r="539" spans="1:8" x14ac:dyDescent="0.25">
      <c r="A539" s="46">
        <v>45343</v>
      </c>
      <c r="B539" s="14">
        <v>168.94000199999999</v>
      </c>
      <c r="C539" s="14">
        <v>170.229996</v>
      </c>
      <c r="D539" s="14">
        <v>167.13999899999999</v>
      </c>
      <c r="E539" s="14">
        <v>168.58999600000001</v>
      </c>
      <c r="F539" s="14">
        <v>168.58999600000001</v>
      </c>
      <c r="G539" s="14">
        <v>44575600</v>
      </c>
      <c r="H539" s="14">
        <f t="shared" si="8"/>
        <v>8.4469286699973001E-3</v>
      </c>
    </row>
    <row r="540" spans="1:8" x14ac:dyDescent="0.25">
      <c r="A540" s="46">
        <v>45344</v>
      </c>
      <c r="B540" s="14">
        <v>173.10000600000001</v>
      </c>
      <c r="C540" s="14">
        <v>174.800003</v>
      </c>
      <c r="D540" s="14">
        <v>171.770004</v>
      </c>
      <c r="E540" s="14">
        <v>174.58000200000001</v>
      </c>
      <c r="F540" s="14">
        <v>174.58000200000001</v>
      </c>
      <c r="G540" s="14">
        <v>55392400</v>
      </c>
      <c r="H540" s="14">
        <f t="shared" si="8"/>
        <v>2.7701358308611868E-2</v>
      </c>
    </row>
    <row r="541" spans="1:8" x14ac:dyDescent="0.25">
      <c r="A541" s="46">
        <v>45345</v>
      </c>
      <c r="B541" s="14">
        <v>174.279999</v>
      </c>
      <c r="C541" s="14">
        <v>175.75</v>
      </c>
      <c r="D541" s="14">
        <v>173.699997</v>
      </c>
      <c r="E541" s="14">
        <v>174.990005</v>
      </c>
      <c r="F541" s="14">
        <v>174.990005</v>
      </c>
      <c r="G541" s="14">
        <v>59715200</v>
      </c>
      <c r="H541" s="14">
        <f t="shared" si="8"/>
        <v>1.1235914042361017E-2</v>
      </c>
    </row>
    <row r="542" spans="1:8" x14ac:dyDescent="0.25">
      <c r="A542" s="46">
        <v>45348</v>
      </c>
      <c r="B542" s="14">
        <v>175.699997</v>
      </c>
      <c r="C542" s="14">
        <v>176.36999499999999</v>
      </c>
      <c r="D542" s="14">
        <v>174.259995</v>
      </c>
      <c r="E542" s="14">
        <v>174.729996</v>
      </c>
      <c r="F542" s="14">
        <v>174.729996</v>
      </c>
      <c r="G542" s="14">
        <v>44368600</v>
      </c>
      <c r="H542" s="14">
        <f t="shared" si="8"/>
        <v>1.0746459598384532E-3</v>
      </c>
    </row>
    <row r="543" spans="1:8" x14ac:dyDescent="0.25">
      <c r="A543" s="46">
        <v>45349</v>
      </c>
      <c r="B543" s="14">
        <v>174.08000200000001</v>
      </c>
      <c r="C543" s="14">
        <v>174.61999499999999</v>
      </c>
      <c r="D543" s="14">
        <v>172.86000100000001</v>
      </c>
      <c r="E543" s="14">
        <v>173.53999300000001</v>
      </c>
      <c r="F543" s="14">
        <v>173.53999300000001</v>
      </c>
      <c r="G543" s="14">
        <v>31141700</v>
      </c>
      <c r="H543" s="14">
        <f t="shared" si="8"/>
        <v>-8.0339380246166048E-3</v>
      </c>
    </row>
    <row r="544" spans="1:8" x14ac:dyDescent="0.25">
      <c r="A544" s="46">
        <v>45350</v>
      </c>
      <c r="B544" s="14">
        <v>172.44000199999999</v>
      </c>
      <c r="C544" s="14">
        <v>174.050003</v>
      </c>
      <c r="D544" s="14">
        <v>172.270004</v>
      </c>
      <c r="E544" s="14">
        <v>173.16000399999999</v>
      </c>
      <c r="F544" s="14">
        <v>173.16000399999999</v>
      </c>
      <c r="G544" s="14">
        <v>28180500</v>
      </c>
      <c r="H544" s="14">
        <f t="shared" si="8"/>
        <v>-3.4131493496868393E-3</v>
      </c>
    </row>
    <row r="545" spans="1:8" x14ac:dyDescent="0.25">
      <c r="A545" s="46">
        <v>45351</v>
      </c>
      <c r="B545" s="14">
        <v>173.009995</v>
      </c>
      <c r="C545" s="14">
        <v>177.220001</v>
      </c>
      <c r="D545" s="14">
        <v>172.85000600000001</v>
      </c>
      <c r="E545" s="14">
        <v>176.759995</v>
      </c>
      <c r="F545" s="14">
        <v>176.759995</v>
      </c>
      <c r="G545" s="14">
        <v>53805400</v>
      </c>
      <c r="H545" s="14">
        <f t="shared" si="8"/>
        <v>3.3668194493106096E-3</v>
      </c>
    </row>
    <row r="546" spans="1:8" x14ac:dyDescent="0.25">
      <c r="A546" s="46">
        <v>45352</v>
      </c>
      <c r="B546" s="14">
        <v>176.75</v>
      </c>
      <c r="C546" s="14">
        <v>178.729996</v>
      </c>
      <c r="D546" s="14">
        <v>176.070007</v>
      </c>
      <c r="E546" s="14">
        <v>178.220001</v>
      </c>
      <c r="F546" s="14">
        <v>178.220001</v>
      </c>
      <c r="G546" s="14">
        <v>31956200</v>
      </c>
      <c r="H546" s="14">
        <f t="shared" si="8"/>
        <v>1.862887410024161E-2</v>
      </c>
    </row>
    <row r="547" spans="1:8" x14ac:dyDescent="0.25">
      <c r="A547" s="46">
        <v>45355</v>
      </c>
      <c r="B547" s="14">
        <v>177.529999</v>
      </c>
      <c r="C547" s="14">
        <v>180.13999899999999</v>
      </c>
      <c r="D547" s="14">
        <v>177.490005</v>
      </c>
      <c r="E547" s="14">
        <v>177.58000200000001</v>
      </c>
      <c r="F547" s="14">
        <v>177.58000200000001</v>
      </c>
      <c r="G547" s="14">
        <v>37381500</v>
      </c>
      <c r="H547" s="14">
        <f t="shared" si="8"/>
        <v>2.6883208260829092E-3</v>
      </c>
    </row>
    <row r="548" spans="1:8" x14ac:dyDescent="0.25">
      <c r="A548" s="46">
        <v>45356</v>
      </c>
      <c r="B548" s="14">
        <v>176.929993</v>
      </c>
      <c r="C548" s="14">
        <v>176.929993</v>
      </c>
      <c r="D548" s="14">
        <v>173.300003</v>
      </c>
      <c r="E548" s="14">
        <v>174.11999499999999</v>
      </c>
      <c r="F548" s="14">
        <v>174.11999499999999</v>
      </c>
      <c r="G548" s="14">
        <v>37228300</v>
      </c>
      <c r="H548" s="14">
        <f t="shared" si="8"/>
        <v>-2.3606974375824707E-2</v>
      </c>
    </row>
    <row r="549" spans="1:8" x14ac:dyDescent="0.25">
      <c r="A549" s="46">
        <v>45357</v>
      </c>
      <c r="B549" s="14">
        <v>175.53999300000001</v>
      </c>
      <c r="C549" s="14">
        <v>176.46000699999999</v>
      </c>
      <c r="D549" s="14">
        <v>173.259995</v>
      </c>
      <c r="E549" s="14">
        <v>173.509995</v>
      </c>
      <c r="F549" s="14">
        <v>173.509995</v>
      </c>
      <c r="G549" s="14">
        <v>32090900</v>
      </c>
      <c r="H549" s="14">
        <f t="shared" si="8"/>
        <v>-2.3085977673065194E-4</v>
      </c>
    </row>
    <row r="550" spans="1:8" x14ac:dyDescent="0.25">
      <c r="A550" s="46">
        <v>45358</v>
      </c>
      <c r="B550" s="14">
        <v>174.83000200000001</v>
      </c>
      <c r="C550" s="14">
        <v>177.990005</v>
      </c>
      <c r="D550" s="14">
        <v>173.720001</v>
      </c>
      <c r="E550" s="14">
        <v>176.820007</v>
      </c>
      <c r="F550" s="14">
        <v>176.820007</v>
      </c>
      <c r="G550" s="14">
        <v>34063300</v>
      </c>
      <c r="H550" s="14">
        <f t="shared" si="8"/>
        <v>2.6550041167898719E-3</v>
      </c>
    </row>
    <row r="551" spans="1:8" x14ac:dyDescent="0.25">
      <c r="A551" s="46">
        <v>45359</v>
      </c>
      <c r="B551" s="14">
        <v>176.44000199999999</v>
      </c>
      <c r="C551" s="14">
        <v>178.78999300000001</v>
      </c>
      <c r="D551" s="14">
        <v>174.33000200000001</v>
      </c>
      <c r="E551" s="14">
        <v>175.35000600000001</v>
      </c>
      <c r="F551" s="14">
        <v>175.35000600000001</v>
      </c>
      <c r="G551" s="14">
        <v>37853500</v>
      </c>
      <c r="H551" s="14">
        <f t="shared" si="8"/>
        <v>3.5114033875696116E-3</v>
      </c>
    </row>
    <row r="552" spans="1:8" x14ac:dyDescent="0.25">
      <c r="A552" s="46">
        <v>45362</v>
      </c>
      <c r="B552" s="14">
        <v>174.30999800000001</v>
      </c>
      <c r="C552" s="14">
        <v>174.470001</v>
      </c>
      <c r="D552" s="14">
        <v>171.470001</v>
      </c>
      <c r="E552" s="14">
        <v>171.96000699999999</v>
      </c>
      <c r="F552" s="14">
        <v>171.96000699999999</v>
      </c>
      <c r="G552" s="14">
        <v>28484800</v>
      </c>
      <c r="H552" s="14">
        <f t="shared" si="8"/>
        <v>-5.4685576534707625E-3</v>
      </c>
    </row>
    <row r="553" spans="1:8" x14ac:dyDescent="0.25">
      <c r="A553" s="46">
        <v>45363</v>
      </c>
      <c r="B553" s="14">
        <v>173.5</v>
      </c>
      <c r="C553" s="14">
        <v>176.759995</v>
      </c>
      <c r="D553" s="14">
        <v>171.979996</v>
      </c>
      <c r="E553" s="14">
        <v>175.38999899999999</v>
      </c>
      <c r="F553" s="14">
        <v>175.38999899999999</v>
      </c>
      <c r="G553" s="14">
        <v>36610600</v>
      </c>
      <c r="H553" s="14">
        <f t="shared" si="8"/>
        <v>2.97425203840751E-3</v>
      </c>
    </row>
    <row r="554" spans="1:8" x14ac:dyDescent="0.25">
      <c r="A554" s="46">
        <v>45364</v>
      </c>
      <c r="B554" s="14">
        <v>175.89999399999999</v>
      </c>
      <c r="C554" s="14">
        <v>177.61999499999999</v>
      </c>
      <c r="D554" s="14">
        <v>175.550003</v>
      </c>
      <c r="E554" s="14">
        <v>176.55999800000001</v>
      </c>
      <c r="F554" s="14">
        <v>176.55999800000001</v>
      </c>
      <c r="G554" s="14">
        <v>30772600</v>
      </c>
      <c r="H554" s="14">
        <f t="shared" si="8"/>
        <v>2.075826888610921E-2</v>
      </c>
    </row>
    <row r="555" spans="1:8" x14ac:dyDescent="0.25">
      <c r="A555" s="46">
        <v>45365</v>
      </c>
      <c r="B555" s="14">
        <v>177.69000199999999</v>
      </c>
      <c r="C555" s="14">
        <v>179.529999</v>
      </c>
      <c r="D555" s="14">
        <v>176.470001</v>
      </c>
      <c r="E555" s="14">
        <v>178.75</v>
      </c>
      <c r="F555" s="14">
        <v>178.75</v>
      </c>
      <c r="G555" s="14">
        <v>43705800</v>
      </c>
      <c r="H555" s="14">
        <f t="shared" si="8"/>
        <v>5.2406606908459441E-3</v>
      </c>
    </row>
    <row r="556" spans="1:8" x14ac:dyDescent="0.25">
      <c r="A556" s="46">
        <v>45366</v>
      </c>
      <c r="B556" s="14">
        <v>176.63999899999999</v>
      </c>
      <c r="C556" s="14">
        <v>177.929993</v>
      </c>
      <c r="D556" s="14">
        <v>173.89999399999999</v>
      </c>
      <c r="E556" s="14">
        <v>174.41999799999999</v>
      </c>
      <c r="F556" s="14">
        <v>174.41999799999999</v>
      </c>
      <c r="G556" s="14">
        <v>72115500</v>
      </c>
      <c r="H556" s="14">
        <f t="shared" si="8"/>
        <v>-1.4563421462212123E-2</v>
      </c>
    </row>
    <row r="557" spans="1:8" x14ac:dyDescent="0.25">
      <c r="A557" s="46">
        <v>45369</v>
      </c>
      <c r="B557" s="14">
        <v>175.800003</v>
      </c>
      <c r="C557" s="14">
        <v>176.69000199999999</v>
      </c>
      <c r="D557" s="14">
        <v>174.279999</v>
      </c>
      <c r="E557" s="14">
        <v>174.479996</v>
      </c>
      <c r="F557" s="14">
        <v>174.479996</v>
      </c>
      <c r="G557" s="14">
        <v>31250700</v>
      </c>
      <c r="H557" s="14">
        <f t="shared" si="8"/>
        <v>7.2839757161428465E-4</v>
      </c>
    </row>
    <row r="558" spans="1:8" x14ac:dyDescent="0.25">
      <c r="A558" s="46">
        <v>45370</v>
      </c>
      <c r="B558" s="14">
        <v>174.220001</v>
      </c>
      <c r="C558" s="14">
        <v>176.08999600000001</v>
      </c>
      <c r="D558" s="14">
        <v>173.520004</v>
      </c>
      <c r="E558" s="14">
        <v>175.89999399999999</v>
      </c>
      <c r="F558" s="14">
        <v>175.89999399999999</v>
      </c>
      <c r="G558" s="14">
        <v>26880900</v>
      </c>
      <c r="H558" s="14">
        <f t="shared" si="8"/>
        <v>-4.3607700502683588E-3</v>
      </c>
    </row>
    <row r="559" spans="1:8" x14ac:dyDescent="0.25">
      <c r="A559" s="46">
        <v>45371</v>
      </c>
      <c r="B559" s="14">
        <v>176.13999899999999</v>
      </c>
      <c r="C559" s="14">
        <v>178.529999</v>
      </c>
      <c r="D559" s="14">
        <v>174.63999899999999</v>
      </c>
      <c r="E559" s="14">
        <v>178.14999399999999</v>
      </c>
      <c r="F559" s="14">
        <v>178.14999399999999</v>
      </c>
      <c r="G559" s="14">
        <v>29947200</v>
      </c>
      <c r="H559" s="14">
        <f t="shared" si="8"/>
        <v>6.4545584035371473E-3</v>
      </c>
    </row>
    <row r="560" spans="1:8" x14ac:dyDescent="0.25">
      <c r="A560" s="46">
        <v>45372</v>
      </c>
      <c r="B560" s="14">
        <v>179.990005</v>
      </c>
      <c r="C560" s="14">
        <v>181.41999799999999</v>
      </c>
      <c r="D560" s="14">
        <v>178.14999399999999</v>
      </c>
      <c r="E560" s="14">
        <v>178.14999399999999</v>
      </c>
      <c r="F560" s="14">
        <v>178.14999399999999</v>
      </c>
      <c r="G560" s="14">
        <v>32824300</v>
      </c>
      <c r="H560" s="14">
        <f t="shared" si="8"/>
        <v>2.0098459803587154E-2</v>
      </c>
    </row>
    <row r="561" spans="1:8" x14ac:dyDescent="0.25">
      <c r="A561" s="46">
        <v>45373</v>
      </c>
      <c r="B561" s="14">
        <v>177.75</v>
      </c>
      <c r="C561" s="14">
        <v>179.259995</v>
      </c>
      <c r="D561" s="14">
        <v>176.75</v>
      </c>
      <c r="E561" s="14">
        <v>178.86999499999999</v>
      </c>
      <c r="F561" s="14">
        <v>178.86999499999999</v>
      </c>
      <c r="G561" s="14">
        <v>27964100</v>
      </c>
      <c r="H561" s="14">
        <f t="shared" si="8"/>
        <v>-7.85851275414573E-3</v>
      </c>
    </row>
    <row r="562" spans="1:8" x14ac:dyDescent="0.25">
      <c r="A562" s="46">
        <v>45376</v>
      </c>
      <c r="B562" s="14">
        <v>178.009995</v>
      </c>
      <c r="C562" s="14">
        <v>180.990005</v>
      </c>
      <c r="D562" s="14">
        <v>177.240005</v>
      </c>
      <c r="E562" s="14">
        <v>179.71000699999999</v>
      </c>
      <c r="F562" s="14">
        <v>179.71000699999999</v>
      </c>
      <c r="G562" s="14">
        <v>29815500</v>
      </c>
      <c r="H562" s="14">
        <f t="shared" si="8"/>
        <v>9.241018387552794E-4</v>
      </c>
    </row>
    <row r="563" spans="1:8" x14ac:dyDescent="0.25">
      <c r="A563" s="46">
        <v>45377</v>
      </c>
      <c r="B563" s="14">
        <v>180.14999399999999</v>
      </c>
      <c r="C563" s="14">
        <v>180.449997</v>
      </c>
      <c r="D563" s="14">
        <v>177.949997</v>
      </c>
      <c r="E563" s="14">
        <v>178.300003</v>
      </c>
      <c r="F563" s="14">
        <v>178.300003</v>
      </c>
      <c r="G563" s="14">
        <v>29659000</v>
      </c>
      <c r="H563" s="14">
        <f t="shared" si="8"/>
        <v>4.0058225004000469E-3</v>
      </c>
    </row>
    <row r="564" spans="1:8" x14ac:dyDescent="0.25">
      <c r="A564" s="46">
        <v>45378</v>
      </c>
      <c r="B564" s="14">
        <v>179.88000500000001</v>
      </c>
      <c r="C564" s="14">
        <v>180</v>
      </c>
      <c r="D564" s="14">
        <v>177.30999800000001</v>
      </c>
      <c r="E564" s="14">
        <v>179.83000200000001</v>
      </c>
      <c r="F564" s="14">
        <v>179.83000200000001</v>
      </c>
      <c r="G564" s="14">
        <v>33272600</v>
      </c>
      <c r="H564" s="14">
        <f t="shared" si="8"/>
        <v>-3.5965103163221324E-3</v>
      </c>
    </row>
    <row r="565" spans="1:8" x14ac:dyDescent="0.25">
      <c r="A565" s="46">
        <v>45379</v>
      </c>
      <c r="B565" s="14">
        <v>180.16999799999999</v>
      </c>
      <c r="C565" s="14">
        <v>181.699997</v>
      </c>
      <c r="D565" s="14">
        <v>179.259995</v>
      </c>
      <c r="E565" s="14">
        <v>180.38000500000001</v>
      </c>
      <c r="F565" s="14">
        <v>180.38000500000001</v>
      </c>
      <c r="G565" s="14">
        <v>38051600</v>
      </c>
      <c r="H565" s="14">
        <f t="shared" si="8"/>
        <v>1.0997670870201093E-2</v>
      </c>
    </row>
    <row r="566" spans="1:8" x14ac:dyDescent="0.25">
      <c r="A566" s="46">
        <v>45383</v>
      </c>
      <c r="B566" s="14">
        <v>180.78999300000001</v>
      </c>
      <c r="C566" s="14">
        <v>183</v>
      </c>
      <c r="D566" s="14">
        <v>179.949997</v>
      </c>
      <c r="E566" s="14">
        <v>180.970001</v>
      </c>
      <c r="F566" s="14">
        <v>180.970001</v>
      </c>
      <c r="G566" s="14">
        <v>29174500</v>
      </c>
      <c r="H566" s="14">
        <f t="shared" si="8"/>
        <v>9.622922281125601E-4</v>
      </c>
    </row>
    <row r="567" spans="1:8" x14ac:dyDescent="0.25">
      <c r="A567" s="46">
        <v>45384</v>
      </c>
      <c r="B567" s="14">
        <v>179.070007</v>
      </c>
      <c r="C567" s="14">
        <v>180.78999300000001</v>
      </c>
      <c r="D567" s="14">
        <v>178.38000500000001</v>
      </c>
      <c r="E567" s="14">
        <v>180.69000199999999</v>
      </c>
      <c r="F567" s="14">
        <v>180.69000199999999</v>
      </c>
      <c r="G567" s="14">
        <v>32611500</v>
      </c>
      <c r="H567" s="14">
        <f t="shared" si="8"/>
        <v>-8.7246014235831115E-3</v>
      </c>
    </row>
    <row r="568" spans="1:8" x14ac:dyDescent="0.25">
      <c r="A568" s="46">
        <v>45385</v>
      </c>
      <c r="B568" s="14">
        <v>179.89999399999999</v>
      </c>
      <c r="C568" s="14">
        <v>182.86999499999999</v>
      </c>
      <c r="D568" s="14">
        <v>179.800003</v>
      </c>
      <c r="E568" s="14">
        <v>182.41000399999999</v>
      </c>
      <c r="F568" s="14">
        <v>182.41000399999999</v>
      </c>
      <c r="G568" s="14">
        <v>31046600</v>
      </c>
      <c r="H568" s="14">
        <f t="shared" si="8"/>
        <v>7.9605222569647527E-3</v>
      </c>
    </row>
    <row r="569" spans="1:8" x14ac:dyDescent="0.25">
      <c r="A569" s="46">
        <v>45386</v>
      </c>
      <c r="B569" s="14">
        <v>184</v>
      </c>
      <c r="C569" s="14">
        <v>185.10000600000001</v>
      </c>
      <c r="D569" s="14">
        <v>180</v>
      </c>
      <c r="E569" s="14">
        <v>180</v>
      </c>
      <c r="F569" s="14">
        <v>180</v>
      </c>
      <c r="G569" s="14">
        <v>41624300</v>
      </c>
      <c r="H569" s="14">
        <f t="shared" si="8"/>
        <v>1.1123303485149894E-3</v>
      </c>
    </row>
    <row r="570" spans="1:8" x14ac:dyDescent="0.25">
      <c r="A570" s="46">
        <v>45387</v>
      </c>
      <c r="B570" s="14">
        <v>182.38000500000001</v>
      </c>
      <c r="C570" s="14">
        <v>186.270004</v>
      </c>
      <c r="D570" s="14">
        <v>181.970001</v>
      </c>
      <c r="E570" s="14">
        <v>185.070007</v>
      </c>
      <c r="F570" s="14">
        <v>185.070007</v>
      </c>
      <c r="G570" s="14">
        <v>42335200</v>
      </c>
      <c r="H570" s="14">
        <f t="shared" si="8"/>
        <v>1.0944449999999994E-2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3E9A-58B2-4493-A120-EA120E1B5B88}">
  <sheetPr codeName="Arkusz9"/>
  <dimension ref="A1:AL128"/>
  <sheetViews>
    <sheetView zoomScale="85" zoomScaleNormal="85" workbookViewId="0">
      <selection activeCell="H34" sqref="H34"/>
    </sheetView>
  </sheetViews>
  <sheetFormatPr defaultRowHeight="15" x14ac:dyDescent="0.25"/>
  <cols>
    <col min="1" max="1" width="12.140625" bestFit="1" customWidth="1"/>
    <col min="2" max="2" width="14.7109375" bestFit="1" customWidth="1"/>
    <col min="3" max="3" width="10.7109375" bestFit="1" customWidth="1"/>
    <col min="4" max="4" width="21.7109375" bestFit="1" customWidth="1"/>
    <col min="5" max="5" width="21.7109375" customWidth="1"/>
    <col min="6" max="6" width="8.7109375" customWidth="1"/>
    <col min="7" max="7" width="33.140625" bestFit="1" customWidth="1"/>
    <col min="14" max="14" width="12.140625" bestFit="1" customWidth="1"/>
    <col min="15" max="15" width="14.7109375" bestFit="1" customWidth="1"/>
    <col min="16" max="16" width="10.7109375" bestFit="1" customWidth="1"/>
    <col min="17" max="17" width="21.7109375" bestFit="1" customWidth="1"/>
    <col min="18" max="18" width="21.7109375" customWidth="1"/>
    <col min="19" max="19" width="8.7109375" customWidth="1"/>
    <col min="20" max="20" width="33.140625" bestFit="1" customWidth="1"/>
    <col min="27" max="27" width="12.140625" bestFit="1" customWidth="1"/>
    <col min="28" max="28" width="14.7109375" bestFit="1" customWidth="1"/>
    <col min="29" max="29" width="10.7109375" bestFit="1" customWidth="1"/>
    <col min="30" max="30" width="21.7109375" bestFit="1" customWidth="1"/>
    <col min="31" max="31" width="21.7109375" customWidth="1"/>
    <col min="32" max="32" width="8.7109375" customWidth="1"/>
    <col min="33" max="33" width="33.140625" bestFit="1" customWidth="1"/>
  </cols>
  <sheetData>
    <row r="1" spans="1:38" x14ac:dyDescent="0.25">
      <c r="C1" s="2" t="s">
        <v>40</v>
      </c>
      <c r="D1" s="2" t="s">
        <v>41</v>
      </c>
      <c r="H1" s="2" t="s">
        <v>42</v>
      </c>
      <c r="I1" s="2" t="s">
        <v>43</v>
      </c>
      <c r="J1" s="2" t="s">
        <v>15</v>
      </c>
      <c r="K1" s="2" t="s">
        <v>44</v>
      </c>
      <c r="L1" s="2" t="s">
        <v>45</v>
      </c>
      <c r="P1" s="2" t="s">
        <v>40</v>
      </c>
      <c r="Q1" s="2" t="s">
        <v>41</v>
      </c>
      <c r="U1" s="2" t="s">
        <v>42</v>
      </c>
      <c r="V1" s="2" t="s">
        <v>43</v>
      </c>
      <c r="W1" s="2" t="s">
        <v>15</v>
      </c>
      <c r="X1" s="2" t="s">
        <v>44</v>
      </c>
      <c r="Y1" s="2" t="s">
        <v>45</v>
      </c>
      <c r="AC1" s="2" t="s">
        <v>40</v>
      </c>
      <c r="AD1" s="2" t="s">
        <v>41</v>
      </c>
      <c r="AH1" s="2" t="s">
        <v>42</v>
      </c>
      <c r="AI1" s="2" t="s">
        <v>43</v>
      </c>
      <c r="AJ1" s="2" t="s">
        <v>15</v>
      </c>
      <c r="AK1" s="2" t="s">
        <v>44</v>
      </c>
      <c r="AL1" s="2" t="s">
        <v>45</v>
      </c>
    </row>
    <row r="2" spans="1:38" x14ac:dyDescent="0.25">
      <c r="B2" s="46">
        <v>45385</v>
      </c>
      <c r="C2" s="77">
        <f>_xlfn.XLOOKUP(B2,META[Date],META[Close])</f>
        <v>506.73998999999998</v>
      </c>
      <c r="D2" s="14">
        <f>_xlfn.XLOOKUP(E2,'IR interpolation'!$G:$G,'IR interpolation'!$I:$I)</f>
        <v>2.0862820374417092E-2</v>
      </c>
      <c r="E2" s="46">
        <v>46122</v>
      </c>
      <c r="G2" s="2" t="s">
        <v>46</v>
      </c>
      <c r="H2" s="54">
        <f t="array" ref="H2:L2">initialParamsVola(B3,B4,A9:A128,B9:B128)</f>
        <v>-14531.984183093649</v>
      </c>
      <c r="I2" s="54">
        <v>132189.13827107169</v>
      </c>
      <c r="J2" s="54">
        <v>0.53394361481969554</v>
      </c>
      <c r="K2" s="54">
        <v>-0.96971804349398083</v>
      </c>
      <c r="L2" s="54">
        <v>-3.657781855145724</v>
      </c>
      <c r="O2" s="46">
        <v>45351</v>
      </c>
      <c r="P2" s="77">
        <f>_xlfn.XLOOKUP(O2,META[Date],META[Close])</f>
        <v>490.13000499999998</v>
      </c>
      <c r="Q2" s="14">
        <f>_xlfn.XLOOKUP(R2,'IR interpolation'!$G:$G,'IR interpolation'!$F:$F)</f>
        <v>2.0567980459693956E-2</v>
      </c>
      <c r="R2" s="46">
        <v>46122</v>
      </c>
      <c r="T2" s="2" t="s">
        <v>46</v>
      </c>
      <c r="U2" s="54">
        <f t="array" ref="U2:Y2">initialParamsVola(O3,O4,N9:N118,O9:O118)</f>
        <v>-4239.6843863681424</v>
      </c>
      <c r="V2" s="54">
        <v>85862.325719634144</v>
      </c>
      <c r="W2" s="54">
        <v>0.39408410181049464</v>
      </c>
      <c r="X2" s="54">
        <v>-0.98209467634109104</v>
      </c>
      <c r="Y2" s="54">
        <v>-3.5839193602462736</v>
      </c>
      <c r="AB2" s="46">
        <v>45291</v>
      </c>
      <c r="AC2" s="77">
        <f>_xlfn.XLOOKUP(AB2,META[Date],META[Close],,1)</f>
        <v>346.290009</v>
      </c>
      <c r="AD2" s="14">
        <f>_xlfn.XLOOKUP(AE2,'IR interpolation'!$G:$G,'IR interpolation'!$C:$C)</f>
        <v>1.8733290812456109E-2</v>
      </c>
      <c r="AE2" s="46">
        <v>46122</v>
      </c>
      <c r="AG2" s="2" t="s">
        <v>46</v>
      </c>
      <c r="AH2" s="54">
        <f t="array" ref="AH2:AL2">initialParamsVola(AB3,AB4,AA9:AA95,AB9:AB95)</f>
        <v>-1688.6904769396642</v>
      </c>
      <c r="AI2" s="54">
        <v>9561.4394883264176</v>
      </c>
      <c r="AJ2" s="54">
        <v>0.79408080896997357</v>
      </c>
      <c r="AK2" s="54">
        <v>-0.84499111013374983</v>
      </c>
      <c r="AL2" s="54">
        <v>-2.4515915610752663</v>
      </c>
    </row>
    <row r="3" spans="1:38" x14ac:dyDescent="0.25">
      <c r="A3" s="2" t="s">
        <v>47</v>
      </c>
      <c r="B3" s="14">
        <f>C3*EXP(D2*B4)</f>
        <v>530.11608923988933</v>
      </c>
      <c r="C3" s="77">
        <v>506.73998999999998</v>
      </c>
      <c r="G3" s="2" t="s">
        <v>48</v>
      </c>
      <c r="H3" s="54">
        <f>H2</f>
        <v>-14531.984183093649</v>
      </c>
      <c r="I3" s="54">
        <f>I2</f>
        <v>132189.13827107169</v>
      </c>
      <c r="J3" s="54">
        <f>J2</f>
        <v>0.53394361481969554</v>
      </c>
      <c r="K3" s="54">
        <f>K2</f>
        <v>-0.96971804349398083</v>
      </c>
      <c r="L3" s="54">
        <f>L2</f>
        <v>-3.657781855145724</v>
      </c>
      <c r="N3" s="2" t="s">
        <v>47</v>
      </c>
      <c r="O3" s="14">
        <f>P3*EXP(Q2*O4)</f>
        <v>509.04595458872063</v>
      </c>
      <c r="P3" s="77">
        <v>490.13000499999998</v>
      </c>
      <c r="T3" s="2" t="s">
        <v>48</v>
      </c>
      <c r="U3" s="54">
        <f>U2</f>
        <v>-4239.6843863681424</v>
      </c>
      <c r="V3" s="54">
        <f>V2</f>
        <v>85862.325719634144</v>
      </c>
      <c r="W3" s="54">
        <f>W2</f>
        <v>0.39408410181049464</v>
      </c>
      <c r="X3" s="54">
        <f>X2</f>
        <v>-0.98209467634109104</v>
      </c>
      <c r="Y3" s="54">
        <f>Y2</f>
        <v>-3.5839193602462736</v>
      </c>
      <c r="AA3" s="2" t="s">
        <v>47</v>
      </c>
      <c r="AB3" s="14">
        <f>AC3*EXP(AD2*AB4)</f>
        <v>508.89408073354684</v>
      </c>
      <c r="AC3" s="77">
        <v>490.13000499999998</v>
      </c>
      <c r="AG3" s="2" t="s">
        <v>48</v>
      </c>
      <c r="AH3" s="54">
        <f>AH2</f>
        <v>-1688.6904769396642</v>
      </c>
      <c r="AI3" s="54">
        <f>AI2</f>
        <v>9561.4394883264176</v>
      </c>
      <c r="AJ3" s="54">
        <f>AJ2</f>
        <v>0.79408080896997357</v>
      </c>
      <c r="AK3" s="54">
        <f>AK2</f>
        <v>-0.84499111013374983</v>
      </c>
      <c r="AL3" s="54">
        <f>AL2</f>
        <v>-2.4515915610752663</v>
      </c>
    </row>
    <row r="4" spans="1:38" x14ac:dyDescent="0.25">
      <c r="A4" s="2" t="s">
        <v>49</v>
      </c>
      <c r="B4" s="14">
        <f>YEARFRAC(B5,B2,3)</f>
        <v>2.1616438356164385</v>
      </c>
      <c r="N4" s="2" t="s">
        <v>49</v>
      </c>
      <c r="O4" s="14">
        <f>YEARFRAC(O5,O2,3)</f>
        <v>1.8410958904109589</v>
      </c>
      <c r="AA4" s="2" t="s">
        <v>49</v>
      </c>
      <c r="AB4" s="14">
        <f>YEARFRAC(AB5,AB2,3)</f>
        <v>2.0054794520547947</v>
      </c>
    </row>
    <row r="5" spans="1:38" x14ac:dyDescent="0.25">
      <c r="B5" s="46">
        <v>46174</v>
      </c>
      <c r="G5" s="2" t="s">
        <v>50</v>
      </c>
      <c r="H5" s="54">
        <f t="array" ref="H5:L5">fitGatheralVola(B3,B4,A9:A128,B9:B128,H3:L3)</f>
        <v>-8765.4187354651822</v>
      </c>
      <c r="I5" s="54">
        <v>123798.10784452093</v>
      </c>
      <c r="J5" s="54">
        <v>0.63195371544542778</v>
      </c>
      <c r="K5" s="54">
        <v>-0.98814099090174135</v>
      </c>
      <c r="L5" s="54">
        <v>-3.6509379912434916</v>
      </c>
      <c r="O5" s="46">
        <v>46023</v>
      </c>
      <c r="T5" s="2" t="s">
        <v>50</v>
      </c>
      <c r="U5" s="54">
        <f t="array" ref="U5:Y5">fitGatheralVola(O3,O4,N9:N118,O9:O118,U3:Y3)</f>
        <v>1136.2492999854865</v>
      </c>
      <c r="V5" s="54">
        <v>84315.870614928732</v>
      </c>
      <c r="W5" s="54">
        <v>0.40340311347548052</v>
      </c>
      <c r="X5" s="54">
        <v>-1.0000948424035228</v>
      </c>
      <c r="Y5" s="54">
        <v>-3.5826421058094735</v>
      </c>
      <c r="AB5" s="46">
        <v>46023</v>
      </c>
      <c r="AG5" s="2" t="s">
        <v>50</v>
      </c>
      <c r="AH5" s="54">
        <f t="array" ref="AH5:AL5">fitGatheralVola(AB3,AB4,AA9:AA95,AB9:AB95,AH3:AL3)</f>
        <v>697.69354280612481</v>
      </c>
      <c r="AI5" s="54">
        <v>7206.7550035878239</v>
      </c>
      <c r="AJ5" s="54">
        <v>1.0336061061032831</v>
      </c>
      <c r="AK5" s="54">
        <v>-0.9490167736923022</v>
      </c>
      <c r="AL5" s="54">
        <v>-2.2331050409277986</v>
      </c>
    </row>
    <row r="7" spans="1:38" x14ac:dyDescent="0.25">
      <c r="F7" s="2">
        <f>SQRT(SUMPRODUCT(F9:F128,F9:F128))</f>
        <v>72.99032068922449</v>
      </c>
      <c r="S7" s="2">
        <f>SQRT(SUMPRODUCT(S9:S128,S9:S128))</f>
        <v>67.501813958039875</v>
      </c>
      <c r="AF7" s="2">
        <f>SQRT(SUMPRODUCT(AF9:AF128,AF9:AF128))</f>
        <v>36.336210397421127</v>
      </c>
    </row>
    <row r="8" spans="1:38" x14ac:dyDescent="0.25">
      <c r="A8" s="2" t="s">
        <v>51</v>
      </c>
      <c r="B8" s="2" t="s">
        <v>52</v>
      </c>
      <c r="C8" s="2"/>
      <c r="D8" s="2" t="s">
        <v>53</v>
      </c>
      <c r="E8" s="2"/>
      <c r="F8" s="2" t="s">
        <v>54</v>
      </c>
      <c r="N8" s="2" t="s">
        <v>51</v>
      </c>
      <c r="O8" s="2" t="s">
        <v>52</v>
      </c>
      <c r="P8" s="2"/>
      <c r="Q8" s="2" t="s">
        <v>53</v>
      </c>
      <c r="R8" s="2"/>
      <c r="S8" s="2" t="s">
        <v>54</v>
      </c>
      <c r="AA8" s="2" t="s">
        <v>51</v>
      </c>
      <c r="AB8" s="2" t="s">
        <v>52</v>
      </c>
      <c r="AC8" s="2"/>
      <c r="AD8" s="2" t="s">
        <v>53</v>
      </c>
      <c r="AE8" s="2"/>
      <c r="AF8" s="2" t="s">
        <v>54</v>
      </c>
    </row>
    <row r="9" spans="1:38" x14ac:dyDescent="0.25">
      <c r="A9" s="14">
        <v>5</v>
      </c>
      <c r="B9" s="14">
        <v>338.28629999999998</v>
      </c>
      <c r="C9" s="14"/>
      <c r="D9" s="14" cm="1">
        <f t="array" ref="D9">G(A9,$B$3,$B$4,H$5:L$5)</f>
        <v>348.74176954116558</v>
      </c>
      <c r="E9" s="14"/>
      <c r="F9" s="14">
        <f t="shared" ref="F9:F40" si="0">D9-B9</f>
        <v>10.455469541165598</v>
      </c>
      <c r="N9" s="14">
        <v>5</v>
      </c>
      <c r="O9" s="14">
        <v>306.1977</v>
      </c>
      <c r="P9" s="14"/>
      <c r="Q9" s="14" cm="1">
        <f t="array" ref="Q9">G(N9,$O$3,$O$4,$U$5:$Y$5)</f>
        <v>315.24055293507439</v>
      </c>
      <c r="R9" s="14"/>
      <c r="S9" s="14">
        <f t="shared" ref="S9:S40" si="1">Q9-O9</f>
        <v>9.0428529350743929</v>
      </c>
      <c r="AA9" s="14">
        <v>5</v>
      </c>
      <c r="AB9" s="14">
        <v>135.11680000000001</v>
      </c>
      <c r="AC9" s="14"/>
      <c r="AD9" s="14" cm="1">
        <f t="array" ref="AD9">G(AA9,$AB$3,$AB$4,AH$5:AL$5)</f>
        <v>133.61822669797201</v>
      </c>
      <c r="AE9" s="14"/>
      <c r="AF9" s="14">
        <f t="shared" ref="AF9:AF40" si="2">AD9-AB9</f>
        <v>-1.4985733020280065</v>
      </c>
    </row>
    <row r="10" spans="1:38" x14ac:dyDescent="0.25">
      <c r="A10" s="14">
        <v>10</v>
      </c>
      <c r="B10" s="14">
        <v>175.91569999999999</v>
      </c>
      <c r="C10" s="14"/>
      <c r="D10" s="14" cm="1">
        <f t="array" ref="D10">G(A10,$B$3,$B$4,H$5:L$5)</f>
        <v>233.63792132376719</v>
      </c>
      <c r="E10" s="14"/>
      <c r="F10" s="14">
        <f t="shared" si="0"/>
        <v>57.722221323767201</v>
      </c>
      <c r="N10" s="14">
        <v>10</v>
      </c>
      <c r="O10" s="14">
        <v>172.2901</v>
      </c>
      <c r="P10" s="14"/>
      <c r="Q10" s="14" cm="1">
        <f t="array" ref="Q10">G(N10,$O$3,$O$4,$U$5:$Y$5)</f>
        <v>202.24370157490091</v>
      </c>
      <c r="R10" s="14"/>
      <c r="S10" s="14">
        <f t="shared" si="1"/>
        <v>29.953601574900915</v>
      </c>
      <c r="AA10" s="14">
        <v>10</v>
      </c>
      <c r="AB10" s="14">
        <v>110.2698</v>
      </c>
      <c r="AC10" s="14"/>
      <c r="AD10" s="14" cm="1">
        <f t="array" ref="AD10">G(AA10,$AB$3,$AB$4,AH$5:AL$5)</f>
        <v>115.20688051347982</v>
      </c>
      <c r="AE10" s="14"/>
      <c r="AF10" s="14">
        <f t="shared" si="2"/>
        <v>4.9370805134798132</v>
      </c>
    </row>
    <row r="11" spans="1:38" x14ac:dyDescent="0.25">
      <c r="A11" s="14">
        <v>15</v>
      </c>
      <c r="B11" s="14">
        <v>140.2629</v>
      </c>
      <c r="C11" s="14"/>
      <c r="D11" s="14" cm="1">
        <f t="array" ref="D11">G(A11,$B$3,$B$4,H$5:L$5)</f>
        <v>166.16032619686962</v>
      </c>
      <c r="E11" s="14"/>
      <c r="F11" s="14">
        <f t="shared" si="0"/>
        <v>25.897426196869617</v>
      </c>
      <c r="N11" s="14">
        <v>15</v>
      </c>
      <c r="O11" s="14">
        <v>130.40530000000001</v>
      </c>
      <c r="P11" s="14"/>
      <c r="Q11" s="14" cm="1">
        <f t="array" ref="Q11">G(N11,$O$3,$O$4,$U$5:$Y$5)</f>
        <v>128.91512129226263</v>
      </c>
      <c r="R11" s="14"/>
      <c r="S11" s="14">
        <f t="shared" si="1"/>
        <v>-1.4901787077373854</v>
      </c>
      <c r="AA11" s="14">
        <v>15</v>
      </c>
      <c r="AB11" s="14">
        <v>96.254999999999995</v>
      </c>
      <c r="AC11" s="14"/>
      <c r="AD11" s="14" cm="1">
        <f t="array" ref="AD11">G(AA11,$AB$3,$AB$4,AH$5:AL$5)</f>
        <v>103.41225723926956</v>
      </c>
      <c r="AE11" s="14"/>
      <c r="AF11" s="14">
        <f t="shared" si="2"/>
        <v>7.157257239269569</v>
      </c>
    </row>
    <row r="12" spans="1:38" x14ac:dyDescent="0.25">
      <c r="A12" s="14">
        <v>20</v>
      </c>
      <c r="B12" s="14">
        <v>117.3549</v>
      </c>
      <c r="C12" s="14"/>
      <c r="D12" s="14" cm="1">
        <f t="array" ref="D12">G(A12,$B$3,$B$4,H$5:L$5)</f>
        <v>129.79589974102106</v>
      </c>
      <c r="E12" s="14"/>
      <c r="F12" s="14">
        <f t="shared" si="0"/>
        <v>12.440999741021059</v>
      </c>
      <c r="N12" s="14">
        <v>20</v>
      </c>
      <c r="O12" s="14">
        <v>106.2933</v>
      </c>
      <c r="P12" s="14"/>
      <c r="Q12" s="14" cm="1">
        <f t="array" ref="Q12">G(N12,$O$3,$O$4,$U$5:$Y$5)</f>
        <v>95.455347090918949</v>
      </c>
      <c r="R12" s="14"/>
      <c r="S12" s="14">
        <f t="shared" si="1"/>
        <v>-10.837952909081054</v>
      </c>
      <c r="AA12" s="14">
        <v>20</v>
      </c>
      <c r="AB12" s="14">
        <v>85.335499999999996</v>
      </c>
      <c r="AC12" s="14"/>
      <c r="AD12" s="14" cm="1">
        <f t="array" ref="AD12">G(AA12,$AB$3,$AB$4,AH$5:AL$5)</f>
        <v>94.585677217373316</v>
      </c>
      <c r="AE12" s="14"/>
      <c r="AF12" s="14">
        <f t="shared" si="2"/>
        <v>9.2501772173733201</v>
      </c>
    </row>
    <row r="13" spans="1:38" x14ac:dyDescent="0.25">
      <c r="A13" s="14">
        <v>25</v>
      </c>
      <c r="B13" s="14">
        <v>98.906499999999994</v>
      </c>
      <c r="C13" s="14"/>
      <c r="D13" s="14" cm="1">
        <f t="array" ref="D13">G(A13,$B$3,$B$4,H$5:L$5)</f>
        <v>109.33026618585869</v>
      </c>
      <c r="E13" s="14"/>
      <c r="F13" s="14">
        <f t="shared" si="0"/>
        <v>10.423766185858696</v>
      </c>
      <c r="N13" s="14">
        <v>25</v>
      </c>
      <c r="O13" s="14">
        <v>100.55119999999999</v>
      </c>
      <c r="P13" s="14"/>
      <c r="Q13" s="14" cm="1">
        <f t="array" ref="Q13">G(N13,$O$3,$O$4,$U$5:$Y$5)</f>
        <v>80.618555858948767</v>
      </c>
      <c r="R13" s="14"/>
      <c r="S13" s="14">
        <f t="shared" si="1"/>
        <v>-19.932644141051227</v>
      </c>
      <c r="AA13" s="14">
        <v>25</v>
      </c>
      <c r="AB13" s="14">
        <v>82.093400000000003</v>
      </c>
      <c r="AC13" s="14"/>
      <c r="AD13" s="14" cm="1">
        <f t="array" ref="AD13">G(AA13,$AB$3,$AB$4,AH$5:AL$5)</f>
        <v>87.536393572397699</v>
      </c>
      <c r="AE13" s="14"/>
      <c r="AF13" s="14">
        <f t="shared" si="2"/>
        <v>5.4429935723976968</v>
      </c>
    </row>
    <row r="14" spans="1:38" x14ac:dyDescent="0.25">
      <c r="A14" s="14">
        <v>30</v>
      </c>
      <c r="B14" s="14">
        <v>88.1126</v>
      </c>
      <c r="C14" s="14"/>
      <c r="D14" s="14" cm="1">
        <f t="array" ref="D14">G(A14,$B$3,$B$4,H$5:L$5)</f>
        <v>96.477021410067294</v>
      </c>
      <c r="E14" s="14"/>
      <c r="F14" s="14">
        <f t="shared" si="0"/>
        <v>8.364421410067294</v>
      </c>
      <c r="N14" s="14">
        <v>30</v>
      </c>
      <c r="O14" s="14">
        <v>79.281400000000005</v>
      </c>
      <c r="P14" s="14"/>
      <c r="Q14" s="14" cm="1">
        <f t="array" ref="Q14">G(N14,$O$3,$O$4,$U$5:$Y$5)</f>
        <v>72.526113107869449</v>
      </c>
      <c r="R14" s="14"/>
      <c r="S14" s="14">
        <f t="shared" si="1"/>
        <v>-6.755286892130556</v>
      </c>
      <c r="AA14" s="14">
        <v>30</v>
      </c>
      <c r="AB14" s="14">
        <v>76.3703</v>
      </c>
      <c r="AC14" s="14"/>
      <c r="AD14" s="14" cm="1">
        <f t="array" ref="AD14">G(AA14,$AB$3,$AB$4,AH$5:AL$5)</f>
        <v>81.719544646776612</v>
      </c>
      <c r="AE14" s="14"/>
      <c r="AF14" s="14">
        <f t="shared" si="2"/>
        <v>5.3492446467766115</v>
      </c>
    </row>
    <row r="15" spans="1:38" x14ac:dyDescent="0.25">
      <c r="A15" s="14">
        <v>35</v>
      </c>
      <c r="B15" s="14">
        <v>86.5642</v>
      </c>
      <c r="C15" s="14"/>
      <c r="D15" s="14" cm="1">
        <f t="array" ref="D15">G(A15,$B$3,$B$4,H$5:L$5)</f>
        <v>87.637991858720028</v>
      </c>
      <c r="E15" s="14"/>
      <c r="F15" s="14">
        <f t="shared" si="0"/>
        <v>1.0737918587200284</v>
      </c>
      <c r="N15" s="14">
        <v>40</v>
      </c>
      <c r="O15" s="14">
        <v>78.610200000000006</v>
      </c>
      <c r="P15" s="14"/>
      <c r="Q15" s="14" cm="1">
        <f t="array" ref="Q15">G(N15,$O$3,$O$4,$U$5:$Y$5)</f>
        <v>63.822524089538994</v>
      </c>
      <c r="R15" s="14"/>
      <c r="S15" s="14">
        <f t="shared" si="1"/>
        <v>-14.787675910461012</v>
      </c>
      <c r="AA15" s="14">
        <v>40</v>
      </c>
      <c r="AB15" s="14">
        <v>69.590900000000005</v>
      </c>
      <c r="AC15" s="14"/>
      <c r="AD15" s="14" cm="1">
        <f t="array" ref="AD15">G(AA15,$AB$3,$AB$4,AH$5:AL$5)</f>
        <v>72.691014595940601</v>
      </c>
      <c r="AE15" s="14"/>
      <c r="AF15" s="14">
        <f t="shared" si="2"/>
        <v>3.100114595940596</v>
      </c>
    </row>
    <row r="16" spans="1:38" x14ac:dyDescent="0.25">
      <c r="A16" s="14">
        <v>40</v>
      </c>
      <c r="B16" s="14">
        <v>82.392200000000003</v>
      </c>
      <c r="C16" s="14"/>
      <c r="D16" s="14" cm="1">
        <f t="array" ref="D16">G(A16,$B$3,$B$4,H$5:L$5)</f>
        <v>81.150367381831515</v>
      </c>
      <c r="E16" s="14"/>
      <c r="F16" s="14">
        <f t="shared" si="0"/>
        <v>-1.2418326181684876</v>
      </c>
      <c r="N16" s="14">
        <v>50</v>
      </c>
      <c r="O16" s="14">
        <v>74.939800000000005</v>
      </c>
      <c r="P16" s="14"/>
      <c r="Q16" s="14" cm="1">
        <f t="array" ref="Q16">G(N16,$O$3,$O$4,$U$5:$Y$5)</f>
        <v>59.095834936418065</v>
      </c>
      <c r="R16" s="14"/>
      <c r="S16" s="14">
        <f t="shared" si="1"/>
        <v>-15.84396506358194</v>
      </c>
      <c r="AA16" s="14">
        <v>50</v>
      </c>
      <c r="AB16" s="14">
        <v>65.854200000000006</v>
      </c>
      <c r="AC16" s="14"/>
      <c r="AD16" s="14" cm="1">
        <f t="array" ref="AD16">G(AA16,$AB$3,$AB$4,AH$5:AL$5)</f>
        <v>66.124413345669069</v>
      </c>
      <c r="AE16" s="14"/>
      <c r="AF16" s="14">
        <f t="shared" si="2"/>
        <v>0.27021334566906319</v>
      </c>
    </row>
    <row r="17" spans="1:32" x14ac:dyDescent="0.25">
      <c r="A17" s="14">
        <v>45</v>
      </c>
      <c r="B17" s="14">
        <v>79.442700000000002</v>
      </c>
      <c r="C17" s="14"/>
      <c r="D17" s="14" cm="1">
        <f t="array" ref="D17">G(A17,$B$3,$B$4,H$5:L$5)</f>
        <v>76.159761953086374</v>
      </c>
      <c r="E17" s="14"/>
      <c r="F17" s="14">
        <f t="shared" si="0"/>
        <v>-3.2829380469136282</v>
      </c>
      <c r="N17" s="14">
        <v>60</v>
      </c>
      <c r="O17" s="14">
        <v>72.177400000000006</v>
      </c>
      <c r="P17" s="14"/>
      <c r="Q17" s="14" cm="1">
        <f t="array" ref="Q17">G(N17,$O$3,$O$4,$U$5:$Y$5)</f>
        <v>56.05545357427885</v>
      </c>
      <c r="R17" s="14"/>
      <c r="S17" s="14">
        <f t="shared" si="1"/>
        <v>-16.121946425721156</v>
      </c>
      <c r="AA17" s="14">
        <v>60</v>
      </c>
      <c r="AB17" s="14">
        <v>62.994100000000003</v>
      </c>
      <c r="AC17" s="14"/>
      <c r="AD17" s="14" cm="1">
        <f t="array" ref="AD17">G(AA17,$AB$3,$AB$4,AH$5:AL$5)</f>
        <v>61.263523684442717</v>
      </c>
      <c r="AE17" s="14"/>
      <c r="AF17" s="14">
        <f t="shared" si="2"/>
        <v>-1.7305763155572862</v>
      </c>
    </row>
    <row r="18" spans="1:32" x14ac:dyDescent="0.25">
      <c r="A18" s="14">
        <v>50</v>
      </c>
      <c r="B18" s="14">
        <v>76.707899999999995</v>
      </c>
      <c r="C18" s="14"/>
      <c r="D18" s="14" cm="1">
        <f t="array" ref="D18">G(A18,$B$3,$B$4,H$5:L$5)</f>
        <v>72.184650096832684</v>
      </c>
      <c r="E18" s="14"/>
      <c r="F18" s="14">
        <f t="shared" si="0"/>
        <v>-4.5232499031673115</v>
      </c>
      <c r="N18" s="14">
        <v>70</v>
      </c>
      <c r="O18" s="14">
        <v>68.915400000000005</v>
      </c>
      <c r="P18" s="14"/>
      <c r="Q18" s="14" cm="1">
        <f t="array" ref="Q18">G(N18,$O$3,$O$4,$U$5:$Y$5)</f>
        <v>53.900286924594006</v>
      </c>
      <c r="R18" s="14"/>
      <c r="S18" s="14">
        <f t="shared" si="1"/>
        <v>-15.015113075405999</v>
      </c>
      <c r="AA18" s="14">
        <v>70</v>
      </c>
      <c r="AB18" s="14">
        <v>60.539200000000001</v>
      </c>
      <c r="AC18" s="14"/>
      <c r="AD18" s="14" cm="1">
        <f t="array" ref="AD18">G(AA18,$AB$3,$AB$4,AH$5:AL$5)</f>
        <v>57.605156144697681</v>
      </c>
      <c r="AE18" s="14"/>
      <c r="AF18" s="14">
        <f t="shared" si="2"/>
        <v>-2.9340438553023205</v>
      </c>
    </row>
    <row r="19" spans="1:32" x14ac:dyDescent="0.25">
      <c r="A19" s="14">
        <v>60</v>
      </c>
      <c r="B19" s="14">
        <v>71.672300000000007</v>
      </c>
      <c r="C19" s="14"/>
      <c r="D19" s="14" cm="1">
        <f t="array" ref="D19">G(A19,$B$3,$B$4,H$5:L$5)</f>
        <v>66.216437827194483</v>
      </c>
      <c r="E19" s="14"/>
      <c r="F19" s="14">
        <f t="shared" si="0"/>
        <v>-5.4558621728055243</v>
      </c>
      <c r="N19" s="14">
        <v>80</v>
      </c>
      <c r="O19" s="14">
        <v>66.006500000000003</v>
      </c>
      <c r="P19" s="14"/>
      <c r="Q19" s="14" cm="1">
        <f t="array" ref="Q19">G(N19,$O$3,$O$4,$U$5:$Y$5)</f>
        <v>52.273596002138305</v>
      </c>
      <c r="R19" s="14"/>
      <c r="S19" s="14">
        <f t="shared" si="1"/>
        <v>-13.732903997861698</v>
      </c>
      <c r="AA19" s="14">
        <v>80</v>
      </c>
      <c r="AB19" s="14">
        <v>57.87</v>
      </c>
      <c r="AC19" s="14"/>
      <c r="AD19" s="14" cm="1">
        <f t="array" ref="AD19">G(AA19,$AB$3,$AB$4,AH$5:AL$5)</f>
        <v>54.800256670998294</v>
      </c>
      <c r="AE19" s="14"/>
      <c r="AF19" s="14">
        <f t="shared" si="2"/>
        <v>-3.0697433290017031</v>
      </c>
    </row>
    <row r="20" spans="1:32" x14ac:dyDescent="0.25">
      <c r="A20" s="14">
        <v>70</v>
      </c>
      <c r="B20" s="14">
        <v>67.868499999999997</v>
      </c>
      <c r="C20" s="14"/>
      <c r="D20" s="14" cm="1">
        <f t="array" ref="D20">G(A20,$B$3,$B$4,H$5:L$5)</f>
        <v>61.920675111870828</v>
      </c>
      <c r="E20" s="14"/>
      <c r="F20" s="14">
        <f t="shared" si="0"/>
        <v>-5.9478248881291691</v>
      </c>
      <c r="N20" s="14">
        <v>90</v>
      </c>
      <c r="O20" s="14">
        <v>62.890700000000002</v>
      </c>
      <c r="P20" s="14"/>
      <c r="Q20" s="14" cm="1">
        <f t="array" ref="Q20">G(N20,$O$3,$O$4,$U$5:$Y$5)</f>
        <v>50.990759985268802</v>
      </c>
      <c r="R20" s="14"/>
      <c r="S20" s="14">
        <f t="shared" si="1"/>
        <v>-11.8999400147312</v>
      </c>
      <c r="AA20" s="14">
        <v>90</v>
      </c>
      <c r="AB20" s="14">
        <v>56.128599999999999</v>
      </c>
      <c r="AC20" s="14"/>
      <c r="AD20" s="14" cm="1">
        <f t="array" ref="AD20">G(AA20,$AB$3,$AB$4,AH$5:AL$5)</f>
        <v>52.607485254712643</v>
      </c>
      <c r="AE20" s="14"/>
      <c r="AF20" s="14">
        <f t="shared" si="2"/>
        <v>-3.5211147452873561</v>
      </c>
    </row>
    <row r="21" spans="1:32" x14ac:dyDescent="0.25">
      <c r="A21" s="14">
        <v>80</v>
      </c>
      <c r="B21" s="14">
        <v>65.904200000000003</v>
      </c>
      <c r="C21" s="14"/>
      <c r="D21" s="14" cm="1">
        <f t="array" ref="D21">G(A21,$B$3,$B$4,H$5:L$5)</f>
        <v>58.663922068517437</v>
      </c>
      <c r="E21" s="14"/>
      <c r="F21" s="14">
        <f t="shared" si="0"/>
        <v>-7.2402779314825665</v>
      </c>
      <c r="N21" s="14">
        <v>100</v>
      </c>
      <c r="O21" s="14">
        <v>59.971699999999998</v>
      </c>
      <c r="P21" s="14"/>
      <c r="Q21" s="14" cm="1">
        <f t="array" ref="Q21">G(N21,$O$3,$O$4,$U$5:$Y$5)</f>
        <v>49.945882002459271</v>
      </c>
      <c r="R21" s="14"/>
      <c r="S21" s="14">
        <f t="shared" si="1"/>
        <v>-10.025817997540727</v>
      </c>
      <c r="AA21" s="14">
        <v>100</v>
      </c>
      <c r="AB21" s="14">
        <v>53.927999999999997</v>
      </c>
      <c r="AC21" s="14"/>
      <c r="AD21" s="14" cm="1">
        <f t="array" ref="AD21">G(AA21,$AB$3,$AB$4,AH$5:AL$5)</f>
        <v>50.860533663677842</v>
      </c>
      <c r="AE21" s="14"/>
      <c r="AF21" s="14">
        <f t="shared" si="2"/>
        <v>-3.0674663363221555</v>
      </c>
    </row>
    <row r="22" spans="1:32" x14ac:dyDescent="0.25">
      <c r="A22" s="14">
        <v>90</v>
      </c>
      <c r="B22" s="14">
        <v>62.647799999999997</v>
      </c>
      <c r="C22" s="14"/>
      <c r="D22" s="14" cm="1">
        <f t="array" ref="D22">G(A22,$B$3,$B$4,H$5:L$5)</f>
        <v>56.102130591151827</v>
      </c>
      <c r="E22" s="14"/>
      <c r="F22" s="14">
        <f t="shared" si="0"/>
        <v>-6.5456694088481697</v>
      </c>
      <c r="N22" s="14">
        <v>110</v>
      </c>
      <c r="O22" s="14">
        <v>57.364199999999997</v>
      </c>
      <c r="P22" s="14"/>
      <c r="Q22" s="14" cm="1">
        <f t="array" ref="Q22">G(N22,$O$3,$O$4,$U$5:$Y$5)</f>
        <v>49.073489744813273</v>
      </c>
      <c r="R22" s="14"/>
      <c r="S22" s="14">
        <f t="shared" si="1"/>
        <v>-8.290710255186724</v>
      </c>
      <c r="AA22" s="14">
        <v>110</v>
      </c>
      <c r="AB22" s="14">
        <v>52.005600000000001</v>
      </c>
      <c r="AC22" s="14"/>
      <c r="AD22" s="14" cm="1">
        <f t="array" ref="AD22">G(AA22,$AB$3,$AB$4,AH$5:AL$5)</f>
        <v>49.444174262855356</v>
      </c>
      <c r="AE22" s="14"/>
      <c r="AF22" s="14">
        <f t="shared" si="2"/>
        <v>-2.5614257371446456</v>
      </c>
    </row>
    <row r="23" spans="1:32" x14ac:dyDescent="0.25">
      <c r="A23" s="14">
        <v>100</v>
      </c>
      <c r="B23" s="14">
        <v>59.782400000000003</v>
      </c>
      <c r="C23" s="14"/>
      <c r="D23" s="14" cm="1">
        <f t="array" ref="D23">G(A23,$B$3,$B$4,H$5:L$5)</f>
        <v>54.030835290183092</v>
      </c>
      <c r="E23" s="14"/>
      <c r="F23" s="14">
        <f t="shared" si="0"/>
        <v>-5.7515647098169111</v>
      </c>
      <c r="N23" s="14">
        <v>120</v>
      </c>
      <c r="O23" s="14">
        <v>55.014800000000001</v>
      </c>
      <c r="P23" s="14"/>
      <c r="Q23" s="14" cm="1">
        <f t="array" ref="Q23">G(N23,$O$3,$O$4,$U$5:$Y$5)</f>
        <v>48.330722003626349</v>
      </c>
      <c r="R23" s="14"/>
      <c r="S23" s="14">
        <f t="shared" si="1"/>
        <v>-6.6840779963736523</v>
      </c>
      <c r="AA23" s="14">
        <v>120</v>
      </c>
      <c r="AB23" s="14">
        <v>50.285499999999999</v>
      </c>
      <c r="AC23" s="14"/>
      <c r="AD23" s="14" cm="1">
        <f t="array" ref="AD23">G(AA23,$AB$3,$AB$4,AH$5:AL$5)</f>
        <v>48.277578109468891</v>
      </c>
      <c r="AE23" s="14"/>
      <c r="AF23" s="14">
        <f t="shared" si="2"/>
        <v>-2.007921890531108</v>
      </c>
    </row>
    <row r="24" spans="1:32" x14ac:dyDescent="0.25">
      <c r="A24" s="14">
        <v>110</v>
      </c>
      <c r="B24" s="14">
        <v>58.941899999999997</v>
      </c>
      <c r="C24" s="14"/>
      <c r="D24" s="14" cm="1">
        <f t="array" ref="D24">G(A24,$B$3,$B$4,H$5:L$5)</f>
        <v>52.32013640273378</v>
      </c>
      <c r="E24" s="14"/>
      <c r="F24" s="14">
        <f t="shared" si="0"/>
        <v>-6.6217635972662165</v>
      </c>
      <c r="N24" s="14">
        <v>130</v>
      </c>
      <c r="O24" s="14">
        <v>52.8825</v>
      </c>
      <c r="P24" s="14"/>
      <c r="Q24" s="14" cm="1">
        <f t="array" ref="Q24">G(N24,$O$3,$O$4,$U$5:$Y$5)</f>
        <v>47.688226471915328</v>
      </c>
      <c r="R24" s="14"/>
      <c r="S24" s="14">
        <f t="shared" si="1"/>
        <v>-5.1942735280846719</v>
      </c>
      <c r="AA24" s="14">
        <v>130</v>
      </c>
      <c r="AB24" s="14">
        <v>49.707999999999998</v>
      </c>
      <c r="AC24" s="14"/>
      <c r="AD24" s="14" cm="1">
        <f t="array" ref="AD24">G(AA24,$AB$3,$AB$4,AH$5:AL$5)</f>
        <v>47.303124634313605</v>
      </c>
      <c r="AE24" s="14"/>
      <c r="AF24" s="14">
        <f t="shared" si="2"/>
        <v>-2.4048753656863937</v>
      </c>
    </row>
    <row r="25" spans="1:32" x14ac:dyDescent="0.25">
      <c r="A25" s="14">
        <v>120</v>
      </c>
      <c r="B25" s="14">
        <v>58.183500000000002</v>
      </c>
      <c r="C25" s="14"/>
      <c r="D25" s="14" cm="1">
        <f t="array" ref="D25">G(A25,$B$3,$B$4,H$5:L$5)</f>
        <v>50.883150998920186</v>
      </c>
      <c r="E25" s="14"/>
      <c r="F25" s="14">
        <f t="shared" si="0"/>
        <v>-7.300349001079816</v>
      </c>
      <c r="N25" s="14">
        <v>140</v>
      </c>
      <c r="O25" s="14">
        <v>53.902700000000003</v>
      </c>
      <c r="P25" s="14"/>
      <c r="Q25" s="14" cm="1">
        <f t="array" ref="Q25">G(N25,$O$3,$O$4,$U$5:$Y$5)</f>
        <v>47.125155968739485</v>
      </c>
      <c r="R25" s="14"/>
      <c r="S25" s="14">
        <f t="shared" si="1"/>
        <v>-6.7775440312605184</v>
      </c>
      <c r="AA25" s="14">
        <v>140</v>
      </c>
      <c r="AB25" s="14">
        <v>47.938899999999997</v>
      </c>
      <c r="AC25" s="14"/>
      <c r="AD25" s="14" cm="1">
        <f t="array" ref="AD25">G(AA25,$AB$3,$AB$4,AH$5:AL$5)</f>
        <v>46.479010488223174</v>
      </c>
      <c r="AE25" s="14"/>
      <c r="AF25" s="14">
        <f t="shared" si="2"/>
        <v>-1.4598895117768222</v>
      </c>
    </row>
    <row r="26" spans="1:32" x14ac:dyDescent="0.25">
      <c r="A26" s="14">
        <v>130</v>
      </c>
      <c r="B26" s="14">
        <v>53.589500000000001</v>
      </c>
      <c r="C26" s="14"/>
      <c r="D26" s="14" cm="1">
        <f t="array" ref="D26">G(A26,$B$3,$B$4,H$5:L$5)</f>
        <v>49.659346128900154</v>
      </c>
      <c r="E26" s="14"/>
      <c r="F26" s="14">
        <f t="shared" si="0"/>
        <v>-3.9301538710998472</v>
      </c>
      <c r="N26" s="14">
        <v>145</v>
      </c>
      <c r="O26" s="14">
        <v>52.967300000000002</v>
      </c>
      <c r="P26" s="14"/>
      <c r="Q26" s="14" cm="1">
        <f t="array" ref="Q26">G(N26,$O$3,$O$4,$U$5:$Y$5)</f>
        <v>46.868472452130767</v>
      </c>
      <c r="R26" s="14"/>
      <c r="S26" s="14">
        <f t="shared" si="1"/>
        <v>-6.0988275478692344</v>
      </c>
      <c r="AA26" s="14">
        <v>145</v>
      </c>
      <c r="AB26" s="14">
        <v>47.284300000000002</v>
      </c>
      <c r="AC26" s="14"/>
      <c r="AD26" s="14" cm="1">
        <f t="array" ref="AD26">G(AA26,$AB$3,$AB$4,AH$5:AL$5)</f>
        <v>46.113354834241036</v>
      </c>
      <c r="AE26" s="14"/>
      <c r="AF26" s="14">
        <f t="shared" si="2"/>
        <v>-1.1709451657589653</v>
      </c>
    </row>
    <row r="27" spans="1:32" x14ac:dyDescent="0.25">
      <c r="A27" s="14">
        <v>140</v>
      </c>
      <c r="B27" s="14">
        <v>52.883299999999998</v>
      </c>
      <c r="C27" s="14"/>
      <c r="D27" s="14" cm="1">
        <f t="array" ref="D27">G(A27,$B$3,$B$4,H$5:L$5)</f>
        <v>48.605124429197531</v>
      </c>
      <c r="E27" s="14"/>
      <c r="F27" s="14">
        <f t="shared" si="0"/>
        <v>-4.2781755708024676</v>
      </c>
      <c r="N27" s="14">
        <v>150</v>
      </c>
      <c r="O27" s="14">
        <v>52.857199999999999</v>
      </c>
      <c r="P27" s="14"/>
      <c r="Q27" s="14" cm="1">
        <f t="array" ref="Q27">G(N27,$O$3,$O$4,$U$5:$Y$5)</f>
        <v>46.626251755612245</v>
      </c>
      <c r="R27" s="14"/>
      <c r="S27" s="14">
        <f t="shared" si="1"/>
        <v>-6.2309482443877542</v>
      </c>
      <c r="AA27" s="14">
        <v>150</v>
      </c>
      <c r="AB27" s="14">
        <v>47.052100000000003</v>
      </c>
      <c r="AC27" s="14"/>
      <c r="AD27" s="14" cm="1">
        <f t="array" ref="AD27">G(AA27,$AB$3,$AB$4,AH$5:AL$5)</f>
        <v>45.774369215441496</v>
      </c>
      <c r="AE27" s="14"/>
      <c r="AF27" s="14">
        <f t="shared" si="2"/>
        <v>-1.2777307845585071</v>
      </c>
    </row>
    <row r="28" spans="1:32" x14ac:dyDescent="0.25">
      <c r="A28" s="14">
        <v>145</v>
      </c>
      <c r="B28" s="14">
        <v>51.570500000000003</v>
      </c>
      <c r="C28" s="14"/>
      <c r="D28" s="14" cm="1">
        <f t="array" ref="D28">G(A28,$B$3,$B$4,H$5:L$5)</f>
        <v>48.131184614417009</v>
      </c>
      <c r="E28" s="14"/>
      <c r="F28" s="14">
        <f t="shared" si="0"/>
        <v>-3.4393153855829937</v>
      </c>
      <c r="N28" s="14">
        <v>155</v>
      </c>
      <c r="O28" s="14">
        <v>50.660499999999999</v>
      </c>
      <c r="P28" s="14"/>
      <c r="Q28" s="14" cm="1">
        <f t="array" ref="Q28">G(N28,$O$3,$O$4,$U$5:$Y$5)</f>
        <v>46.397168131609554</v>
      </c>
      <c r="R28" s="14"/>
      <c r="S28" s="14">
        <f t="shared" si="1"/>
        <v>-4.2633318683904449</v>
      </c>
      <c r="AA28" s="14">
        <v>155</v>
      </c>
      <c r="AB28" s="14">
        <v>46.5548</v>
      </c>
      <c r="AC28" s="14"/>
      <c r="AD28" s="14" cm="1">
        <f t="array" ref="AD28">G(AA28,$AB$3,$AB$4,AH$5:AL$5)</f>
        <v>45.459372413344873</v>
      </c>
      <c r="AE28" s="14"/>
      <c r="AF28" s="14">
        <f t="shared" si="2"/>
        <v>-1.0954275866551271</v>
      </c>
    </row>
    <row r="29" spans="1:32" x14ac:dyDescent="0.25">
      <c r="A29" s="14">
        <v>150</v>
      </c>
      <c r="B29" s="14">
        <v>51.784300000000002</v>
      </c>
      <c r="C29" s="14"/>
      <c r="D29" s="14" cm="1">
        <f t="array" ref="D29">G(A29,$B$3,$B$4,H$5:L$5)</f>
        <v>47.688210751789484</v>
      </c>
      <c r="E29" s="14"/>
      <c r="F29" s="14">
        <f t="shared" si="0"/>
        <v>-4.096089248210518</v>
      </c>
      <c r="N29" s="14">
        <v>160</v>
      </c>
      <c r="O29" s="14">
        <v>50.144599999999997</v>
      </c>
      <c r="P29" s="14"/>
      <c r="Q29" s="14" cm="1">
        <f t="array" ref="Q29">G(N29,$O$3,$O$4,$U$5:$Y$5)</f>
        <v>46.180059747537342</v>
      </c>
      <c r="R29" s="14"/>
      <c r="S29" s="14">
        <f t="shared" si="1"/>
        <v>-3.9645402524626547</v>
      </c>
      <c r="AA29" s="14">
        <v>160</v>
      </c>
      <c r="AB29" s="14">
        <v>45.970300000000002</v>
      </c>
      <c r="AC29" s="14"/>
      <c r="AD29" s="14" cm="1">
        <f t="array" ref="AD29">G(AA29,$AB$3,$AB$4,AH$5:AL$5)</f>
        <v>45.166021365611883</v>
      </c>
      <c r="AE29" s="14"/>
      <c r="AF29" s="14">
        <f t="shared" si="2"/>
        <v>-0.80427863438811897</v>
      </c>
    </row>
    <row r="30" spans="1:32" x14ac:dyDescent="0.25">
      <c r="A30" s="14">
        <v>155</v>
      </c>
      <c r="B30" s="14">
        <v>50.545400000000001</v>
      </c>
      <c r="C30" s="14"/>
      <c r="D30" s="14" cm="1">
        <f t="array" ref="D30">G(A30,$B$3,$B$4,H$5:L$5)</f>
        <v>47.273365293696088</v>
      </c>
      <c r="E30" s="14"/>
      <c r="F30" s="14">
        <f t="shared" si="0"/>
        <v>-3.2720347063039128</v>
      </c>
      <c r="N30" s="14">
        <v>165</v>
      </c>
      <c r="O30" s="14">
        <v>50.323500000000003</v>
      </c>
      <c r="P30" s="14"/>
      <c r="Q30" s="14" cm="1">
        <f t="array" ref="Q30">G(N30,$O$3,$O$4,$U$5:$Y$5)</f>
        <v>45.973903590820115</v>
      </c>
      <c r="R30" s="14"/>
      <c r="S30" s="14">
        <f t="shared" si="1"/>
        <v>-4.3495964091798882</v>
      </c>
      <c r="AA30" s="14">
        <v>165</v>
      </c>
      <c r="AB30" s="14">
        <v>45.621600000000001</v>
      </c>
      <c r="AC30" s="14"/>
      <c r="AD30" s="14" cm="1">
        <f t="array" ref="AD30">G(AA30,$AB$3,$AB$4,AH$5:AL$5)</f>
        <v>44.892260879566329</v>
      </c>
      <c r="AE30" s="14"/>
      <c r="AF30" s="14">
        <f t="shared" si="2"/>
        <v>-0.72933912043367144</v>
      </c>
    </row>
    <row r="31" spans="1:32" x14ac:dyDescent="0.25">
      <c r="A31" s="14">
        <v>160</v>
      </c>
      <c r="B31" s="14">
        <v>50.773400000000002</v>
      </c>
      <c r="C31" s="14"/>
      <c r="D31" s="14" cm="1">
        <f t="array" ref="D31">G(A31,$B$3,$B$4,H$5:L$5)</f>
        <v>46.884152370778871</v>
      </c>
      <c r="E31" s="14"/>
      <c r="F31" s="14">
        <f t="shared" si="0"/>
        <v>-3.8892476292211313</v>
      </c>
      <c r="N31" s="14">
        <v>170</v>
      </c>
      <c r="O31" s="14">
        <v>49.171599999999998</v>
      </c>
      <c r="P31" s="14"/>
      <c r="Q31" s="14" cm="1">
        <f t="array" ref="Q31">G(N31,$O$3,$O$4,$U$5:$Y$5)</f>
        <v>45.777794902346685</v>
      </c>
      <c r="R31" s="14"/>
      <c r="S31" s="14">
        <f t="shared" si="1"/>
        <v>-3.3938050976533134</v>
      </c>
      <c r="AA31" s="14">
        <v>170</v>
      </c>
      <c r="AB31" s="14">
        <v>45.427799999999998</v>
      </c>
      <c r="AC31" s="14"/>
      <c r="AD31" s="14" cm="1">
        <f t="array" ref="AD31">G(AA31,$AB$3,$AB$4,AH$5:AL$5)</f>
        <v>44.63628180752508</v>
      </c>
      <c r="AE31" s="14"/>
      <c r="AF31" s="14">
        <f t="shared" si="2"/>
        <v>-0.79151819247491773</v>
      </c>
    </row>
    <row r="32" spans="1:32" x14ac:dyDescent="0.25">
      <c r="A32" s="14">
        <v>165</v>
      </c>
      <c r="B32" s="14">
        <v>49.600900000000003</v>
      </c>
      <c r="C32" s="14"/>
      <c r="D32" s="14" cm="1">
        <f t="array" ref="D32">G(A32,$B$3,$B$4,H$5:L$5)</f>
        <v>46.518367076364399</v>
      </c>
      <c r="E32" s="14"/>
      <c r="F32" s="14">
        <f t="shared" si="0"/>
        <v>-3.082532923635604</v>
      </c>
      <c r="N32" s="14">
        <v>175</v>
      </c>
      <c r="O32" s="14">
        <v>48.7849</v>
      </c>
      <c r="P32" s="14"/>
      <c r="Q32" s="14" cm="1">
        <f t="array" ref="Q32">G(N32,$O$3,$O$4,$U$5:$Y$5)</f>
        <v>45.590930205606242</v>
      </c>
      <c r="R32" s="14"/>
      <c r="S32" s="14">
        <f t="shared" si="1"/>
        <v>-3.1939697943937588</v>
      </c>
      <c r="AA32" s="14">
        <v>175</v>
      </c>
      <c r="AB32" s="14">
        <v>44.848799999999997</v>
      </c>
      <c r="AC32" s="14"/>
      <c r="AD32" s="14" cm="1">
        <f t="array" ref="AD32">G(AA32,$AB$3,$AB$4,AH$5:AL$5)</f>
        <v>44.396486120445296</v>
      </c>
      <c r="AE32" s="14"/>
      <c r="AF32" s="14">
        <f t="shared" si="2"/>
        <v>-0.45231387955470126</v>
      </c>
    </row>
    <row r="33" spans="1:32" x14ac:dyDescent="0.25">
      <c r="A33" s="14">
        <v>170</v>
      </c>
      <c r="B33" s="14">
        <v>49.840400000000002</v>
      </c>
      <c r="C33" s="14"/>
      <c r="D33" s="14" cm="1">
        <f t="array" ref="D33">G(A33,$B$3,$B$4,H$5:L$5)</f>
        <v>46.174053628558767</v>
      </c>
      <c r="E33" s="14"/>
      <c r="F33" s="14">
        <f t="shared" si="0"/>
        <v>-3.6663463714412359</v>
      </c>
      <c r="N33" s="14">
        <v>180</v>
      </c>
      <c r="O33" s="14">
        <v>48.412599999999998</v>
      </c>
      <c r="P33" s="14"/>
      <c r="Q33" s="14" cm="1">
        <f t="array" ref="Q33">G(N33,$O$3,$O$4,$U$5:$Y$5)</f>
        <v>45.412593213171185</v>
      </c>
      <c r="R33" s="14"/>
      <c r="S33" s="14">
        <f t="shared" si="1"/>
        <v>-3.0000067868288127</v>
      </c>
      <c r="AA33" s="14">
        <v>180</v>
      </c>
      <c r="AB33" s="14">
        <v>44.327199999999998</v>
      </c>
      <c r="AC33" s="14"/>
      <c r="AD33" s="14" cm="1">
        <f t="array" ref="AD33">G(AA33,$AB$3,$AB$4,AH$5:AL$5)</f>
        <v>44.171457625935169</v>
      </c>
      <c r="AE33" s="14"/>
      <c r="AF33" s="14">
        <f t="shared" si="2"/>
        <v>-0.15574237406482894</v>
      </c>
    </row>
    <row r="34" spans="1:32" x14ac:dyDescent="0.25">
      <c r="A34" s="14">
        <v>175</v>
      </c>
      <c r="B34" s="14">
        <v>49.400300000000001</v>
      </c>
      <c r="C34" s="14"/>
      <c r="D34" s="14" cm="1">
        <f t="array" ref="D34">G(A34,$B$3,$B$4,H$5:L$5)</f>
        <v>45.849470633181234</v>
      </c>
      <c r="E34" s="14"/>
      <c r="F34" s="14">
        <f t="shared" si="0"/>
        <v>-3.5508293668187676</v>
      </c>
      <c r="N34" s="14">
        <v>185</v>
      </c>
      <c r="O34" s="14">
        <v>48.123899999999999</v>
      </c>
      <c r="P34" s="14"/>
      <c r="Q34" s="14" cm="1">
        <f t="array" ref="Q34">G(N34,$O$3,$O$4,$U$5:$Y$5)</f>
        <v>45.242143052516042</v>
      </c>
      <c r="R34" s="14"/>
      <c r="S34" s="14">
        <f t="shared" si="1"/>
        <v>-2.8817569474839573</v>
      </c>
      <c r="AA34" s="14">
        <v>185</v>
      </c>
      <c r="AB34" s="14">
        <v>43.932000000000002</v>
      </c>
      <c r="AC34" s="14"/>
      <c r="AD34" s="14" cm="1">
        <f t="array" ref="AD34">G(AA34,$AB$3,$AB$4,AH$5:AL$5)</f>
        <v>43.959937322032211</v>
      </c>
      <c r="AE34" s="14"/>
      <c r="AF34" s="14">
        <f t="shared" si="2"/>
        <v>2.7937322032208556E-2</v>
      </c>
    </row>
    <row r="35" spans="1:32" x14ac:dyDescent="0.25">
      <c r="A35" s="14">
        <v>180</v>
      </c>
      <c r="B35" s="14">
        <v>48.976500000000001</v>
      </c>
      <c r="C35" s="14"/>
      <c r="D35" s="14" cm="1">
        <f t="array" ref="D35">G(A35,$B$3,$B$4,H$5:L$5)</f>
        <v>45.543062068306106</v>
      </c>
      <c r="E35" s="14"/>
      <c r="F35" s="14">
        <f t="shared" si="0"/>
        <v>-3.433437931693895</v>
      </c>
      <c r="N35" s="14">
        <v>190</v>
      </c>
      <c r="O35" s="14">
        <v>47.914499999999997</v>
      </c>
      <c r="P35" s="14"/>
      <c r="Q35" s="14" cm="1">
        <f t="array" ref="Q35">G(N35,$O$3,$O$4,$U$5:$Y$5)</f>
        <v>45.079004374162515</v>
      </c>
      <c r="R35" s="14"/>
      <c r="S35" s="14">
        <f t="shared" si="1"/>
        <v>-2.8354956258374813</v>
      </c>
      <c r="AA35" s="14">
        <v>190</v>
      </c>
      <c r="AB35" s="14">
        <v>43.550899999999999</v>
      </c>
      <c r="AC35" s="14"/>
      <c r="AD35" s="14" cm="1">
        <f t="array" ref="AD35">G(AA35,$AB$3,$AB$4,AH$5:AL$5)</f>
        <v>43.760802572915821</v>
      </c>
      <c r="AE35" s="14"/>
      <c r="AF35" s="14">
        <f t="shared" si="2"/>
        <v>0.20990257291582282</v>
      </c>
    </row>
    <row r="36" spans="1:32" x14ac:dyDescent="0.25">
      <c r="A36" s="14">
        <v>185</v>
      </c>
      <c r="B36" s="14">
        <v>49.084899999999998</v>
      </c>
      <c r="C36" s="14"/>
      <c r="D36" s="14" cm="1">
        <f t="array" ref="D36">G(A36,$B$3,$B$4,H$5:L$5)</f>
        <v>45.253432910971007</v>
      </c>
      <c r="E36" s="14"/>
      <c r="F36" s="14">
        <f t="shared" si="0"/>
        <v>-3.8314670890289904</v>
      </c>
      <c r="N36" s="14">
        <v>195</v>
      </c>
      <c r="O36" s="14">
        <v>47.511600000000001</v>
      </c>
      <c r="P36" s="14"/>
      <c r="Q36" s="14" cm="1">
        <f t="array" ref="Q36">G(N36,$O$3,$O$4,$U$5:$Y$5)</f>
        <v>44.922658997299742</v>
      </c>
      <c r="R36" s="14"/>
      <c r="S36" s="14">
        <f t="shared" si="1"/>
        <v>-2.5889410027002597</v>
      </c>
      <c r="AA36" s="14">
        <v>195</v>
      </c>
      <c r="AB36" s="14">
        <v>43.1145</v>
      </c>
      <c r="AC36" s="14"/>
      <c r="AD36" s="14" cm="1">
        <f t="array" ref="AD36">G(AA36,$AB$3,$AB$4,AH$5:AL$5)</f>
        <v>43.573049447642944</v>
      </c>
      <c r="AE36" s="14"/>
      <c r="AF36" s="14">
        <f t="shared" si="2"/>
        <v>0.45854944764294459</v>
      </c>
    </row>
    <row r="37" spans="1:32" x14ac:dyDescent="0.25">
      <c r="A37" s="14">
        <v>190</v>
      </c>
      <c r="B37" s="14">
        <v>48.392499999999998</v>
      </c>
      <c r="C37" s="14"/>
      <c r="D37" s="14" cm="1">
        <f t="array" ref="D37">G(A37,$B$3,$B$4,H$5:L$5)</f>
        <v>44.979328554690483</v>
      </c>
      <c r="E37" s="14"/>
      <c r="F37" s="14">
        <f t="shared" si="0"/>
        <v>-3.4131714453095157</v>
      </c>
      <c r="N37" s="14">
        <v>200</v>
      </c>
      <c r="O37" s="14">
        <v>46.994</v>
      </c>
      <c r="P37" s="14"/>
      <c r="Q37" s="14" cm="1">
        <f t="array" ref="Q37">G(N37,$O$3,$O$4,$U$5:$Y$5)</f>
        <v>44.772638818790753</v>
      </c>
      <c r="R37" s="14"/>
      <c r="S37" s="14">
        <f t="shared" si="1"/>
        <v>-2.2213611812092466</v>
      </c>
      <c r="AA37" s="14">
        <v>200</v>
      </c>
      <c r="AB37" s="14">
        <v>42.964100000000002</v>
      </c>
      <c r="AC37" s="14"/>
      <c r="AD37" s="14" cm="1">
        <f t="array" ref="AD37">G(AA37,$AB$3,$AB$4,AH$5:AL$5)</f>
        <v>43.395777686540953</v>
      </c>
      <c r="AE37" s="14"/>
      <c r="AF37" s="14">
        <f t="shared" si="2"/>
        <v>0.43167768654095084</v>
      </c>
    </row>
    <row r="38" spans="1:32" x14ac:dyDescent="0.25">
      <c r="A38" s="14">
        <v>195</v>
      </c>
      <c r="B38" s="14">
        <v>47.722099999999998</v>
      </c>
      <c r="C38" s="14"/>
      <c r="D38" s="14" cm="1">
        <f t="array" ref="D38">G(A38,$B$3,$B$4,H$5:L$5)</f>
        <v>44.719617341424907</v>
      </c>
      <c r="E38" s="14"/>
      <c r="F38" s="14">
        <f t="shared" si="0"/>
        <v>-3.0024826585750901</v>
      </c>
      <c r="N38" s="14">
        <v>210</v>
      </c>
      <c r="O38" s="14">
        <v>46.050199999999997</v>
      </c>
      <c r="P38" s="14"/>
      <c r="Q38" s="14" cm="1">
        <f t="array" ref="Q38">G(N38,$O$3,$O$4,$U$5:$Y$5)</f>
        <v>44.489916618629117</v>
      </c>
      <c r="R38" s="14"/>
      <c r="S38" s="14">
        <f t="shared" si="1"/>
        <v>-1.5602833813708799</v>
      </c>
      <c r="AA38" s="14">
        <v>210</v>
      </c>
      <c r="AB38" s="14">
        <v>42.712200000000003</v>
      </c>
      <c r="AC38" s="14"/>
      <c r="AD38" s="14" cm="1">
        <f t="array" ref="AD38">G(AA38,$AB$3,$AB$4,AH$5:AL$5)</f>
        <v>43.06952035329094</v>
      </c>
      <c r="AE38" s="14"/>
      <c r="AF38" s="14">
        <f t="shared" si="2"/>
        <v>0.35732035329093748</v>
      </c>
    </row>
    <row r="39" spans="1:32" x14ac:dyDescent="0.25">
      <c r="A39" s="14">
        <v>200</v>
      </c>
      <c r="B39" s="14">
        <v>47.485300000000002</v>
      </c>
      <c r="C39" s="14"/>
      <c r="D39" s="14" cm="1">
        <f t="array" ref="D39">G(A39,$B$3,$B$4,H$5:L$5)</f>
        <v>44.473275667021966</v>
      </c>
      <c r="E39" s="14"/>
      <c r="F39" s="14">
        <f t="shared" si="0"/>
        <v>-3.0120243329780365</v>
      </c>
      <c r="N39" s="14">
        <v>220</v>
      </c>
      <c r="O39" s="14">
        <v>45.331800000000001</v>
      </c>
      <c r="P39" s="14"/>
      <c r="Q39" s="14" cm="1">
        <f t="array" ref="Q39">G(N39,$O$3,$O$4,$U$5:$Y$5)</f>
        <v>44.227885287975838</v>
      </c>
      <c r="R39" s="14"/>
      <c r="S39" s="14">
        <f t="shared" si="1"/>
        <v>-1.1039147120241637</v>
      </c>
      <c r="AA39" s="14">
        <v>220</v>
      </c>
      <c r="AB39" s="14">
        <v>41.889099999999999</v>
      </c>
      <c r="AC39" s="14"/>
      <c r="AD39" s="14" cm="1">
        <f t="array" ref="AD39">G(AA39,$AB$3,$AB$4,AH$5:AL$5)</f>
        <v>42.77645745515116</v>
      </c>
      <c r="AE39" s="14"/>
      <c r="AF39" s="14">
        <f t="shared" si="2"/>
        <v>0.88735745515116093</v>
      </c>
    </row>
    <row r="40" spans="1:32" x14ac:dyDescent="0.25">
      <c r="A40" s="14">
        <v>210</v>
      </c>
      <c r="B40" s="14">
        <v>47.034799999999997</v>
      </c>
      <c r="C40" s="14"/>
      <c r="D40" s="14" cm="1">
        <f t="array" ref="D40">G(A40,$B$3,$B$4,H$5:L$5)</f>
        <v>44.017072033274694</v>
      </c>
      <c r="E40" s="14"/>
      <c r="F40" s="14">
        <f t="shared" si="0"/>
        <v>-3.0177279667253032</v>
      </c>
      <c r="N40" s="14">
        <v>230</v>
      </c>
      <c r="O40" s="14">
        <v>44.7791</v>
      </c>
      <c r="P40" s="14"/>
      <c r="Q40" s="14" cm="1">
        <f t="array" ref="Q40">G(N40,$O$3,$O$4,$U$5:$Y$5)</f>
        <v>43.984085242079473</v>
      </c>
      <c r="R40" s="14"/>
      <c r="S40" s="14">
        <f t="shared" si="1"/>
        <v>-0.79501475792052645</v>
      </c>
      <c r="AA40" s="14">
        <v>230</v>
      </c>
      <c r="AB40" s="14">
        <v>41.261600000000001</v>
      </c>
      <c r="AC40" s="14"/>
      <c r="AD40" s="14" cm="1">
        <f t="array" ref="AD40">G(AA40,$AB$3,$AB$4,AH$5:AL$5)</f>
        <v>42.512019602840176</v>
      </c>
      <c r="AE40" s="14"/>
      <c r="AF40" s="14">
        <f t="shared" si="2"/>
        <v>1.2504196028401751</v>
      </c>
    </row>
    <row r="41" spans="1:32" x14ac:dyDescent="0.25">
      <c r="A41" s="14">
        <v>220</v>
      </c>
      <c r="B41" s="14">
        <v>46.613</v>
      </c>
      <c r="C41" s="14"/>
      <c r="D41" s="14" cm="1">
        <f t="array" ref="D41">G(A41,$B$3,$B$4,H$5:L$5)</f>
        <v>43.604247531701958</v>
      </c>
      <c r="E41" s="14"/>
      <c r="F41" s="14">
        <f t="shared" ref="F41:F72" si="3">D41-B41</f>
        <v>-3.0087524682980415</v>
      </c>
      <c r="N41" s="14">
        <v>240</v>
      </c>
      <c r="O41" s="14">
        <v>44.378</v>
      </c>
      <c r="P41" s="14"/>
      <c r="Q41" s="14" cm="1">
        <f t="array" ref="Q41">G(N41,$O$3,$O$4,$U$5:$Y$5)</f>
        <v>43.756448867659536</v>
      </c>
      <c r="R41" s="14"/>
      <c r="S41" s="14">
        <f t="shared" ref="S41:S72" si="4">Q41-O41</f>
        <v>-0.62155113234046411</v>
      </c>
      <c r="AA41" s="14">
        <v>240</v>
      </c>
      <c r="AB41" s="14">
        <v>40.836399999999998</v>
      </c>
      <c r="AC41" s="14"/>
      <c r="AD41" s="14" cm="1">
        <f t="array" ref="AD41">G(AA41,$AB$3,$AB$4,AH$5:AL$5)</f>
        <v>42.272427306326051</v>
      </c>
      <c r="AE41" s="14"/>
      <c r="AF41" s="14">
        <f t="shared" ref="AF41:AF72" si="5">AD41-AB41</f>
        <v>1.4360273063260536</v>
      </c>
    </row>
    <row r="42" spans="1:32" x14ac:dyDescent="0.25">
      <c r="A42" s="14">
        <v>230</v>
      </c>
      <c r="B42" s="14">
        <v>46.217199999999998</v>
      </c>
      <c r="C42" s="14"/>
      <c r="D42" s="14" cm="1">
        <f t="array" ref="D42">G(A42,$B$3,$B$4,H$5:L$5)</f>
        <v>43.229406891834692</v>
      </c>
      <c r="E42" s="14"/>
      <c r="F42" s="14">
        <f t="shared" si="3"/>
        <v>-2.987793108165306</v>
      </c>
      <c r="N42" s="14">
        <v>250</v>
      </c>
      <c r="O42" s="14">
        <v>43.805399999999999</v>
      </c>
      <c r="P42" s="14"/>
      <c r="Q42" s="14" cm="1">
        <f t="array" ref="Q42">G(N42,$O$3,$O$4,$U$5:$Y$5)</f>
        <v>43.543223725461793</v>
      </c>
      <c r="R42" s="14"/>
      <c r="S42" s="14">
        <f t="shared" si="4"/>
        <v>-0.26217627453820569</v>
      </c>
      <c r="AA42" s="14">
        <v>250</v>
      </c>
      <c r="AB42" s="14">
        <v>40.573</v>
      </c>
      <c r="AC42" s="14"/>
      <c r="AD42" s="14" cm="1">
        <f t="array" ref="AD42">G(AA42,$AB$3,$AB$4,AH$5:AL$5)</f>
        <v>42.054529037261069</v>
      </c>
      <c r="AE42" s="14"/>
      <c r="AF42" s="14">
        <f t="shared" si="5"/>
        <v>1.481529037261069</v>
      </c>
    </row>
    <row r="43" spans="1:32" x14ac:dyDescent="0.25">
      <c r="A43" s="14">
        <v>240</v>
      </c>
      <c r="B43" s="14">
        <v>45.770899999999997</v>
      </c>
      <c r="C43" s="14"/>
      <c r="D43" s="14" cm="1">
        <f t="array" ref="D43">G(A43,$B$3,$B$4,H$5:L$5)</f>
        <v>42.88801333147417</v>
      </c>
      <c r="E43" s="14"/>
      <c r="F43" s="14">
        <f t="shared" si="3"/>
        <v>-2.8828866685258276</v>
      </c>
      <c r="N43" s="14">
        <v>260</v>
      </c>
      <c r="O43" s="14">
        <v>43.073900000000002</v>
      </c>
      <c r="P43" s="14"/>
      <c r="Q43" s="14" cm="1">
        <f t="array" ref="Q43">G(N43,$O$3,$O$4,$U$5:$Y$5)</f>
        <v>43.342913357977601</v>
      </c>
      <c r="R43" s="14"/>
      <c r="S43" s="14">
        <f t="shared" si="4"/>
        <v>0.26901335797759884</v>
      </c>
      <c r="AA43" s="14">
        <v>260</v>
      </c>
      <c r="AB43" s="14">
        <v>39.898600000000002</v>
      </c>
      <c r="AC43" s="14"/>
      <c r="AD43" s="14" cm="1">
        <f t="array" ref="AD43">G(AA43,$AB$3,$AB$4,AH$5:AL$5)</f>
        <v>41.855677205801058</v>
      </c>
      <c r="AE43" s="14"/>
      <c r="AF43" s="14">
        <f t="shared" si="5"/>
        <v>1.9570772058010562</v>
      </c>
    </row>
    <row r="44" spans="1:32" x14ac:dyDescent="0.25">
      <c r="A44" s="14">
        <v>250</v>
      </c>
      <c r="B44" s="14">
        <v>45.107900000000001</v>
      </c>
      <c r="C44" s="14"/>
      <c r="D44" s="14" cm="1">
        <f t="array" ref="D44">G(A44,$B$3,$B$4,H$5:L$5)</f>
        <v>42.576222890222049</v>
      </c>
      <c r="E44" s="14"/>
      <c r="F44" s="14">
        <f t="shared" si="3"/>
        <v>-2.5316771097779522</v>
      </c>
      <c r="N44" s="14">
        <v>270</v>
      </c>
      <c r="O44" s="14">
        <v>42.753500000000003</v>
      </c>
      <c r="P44" s="14"/>
      <c r="Q44" s="14" cm="1">
        <f t="array" ref="Q44">G(N44,$O$3,$O$4,$U$5:$Y$5)</f>
        <v>43.154231128745337</v>
      </c>
      <c r="R44" s="14"/>
      <c r="S44" s="14">
        <f t="shared" si="4"/>
        <v>0.40073112874533479</v>
      </c>
      <c r="AA44" s="14">
        <v>270</v>
      </c>
      <c r="AB44" s="14">
        <v>39.535600000000002</v>
      </c>
      <c r="AC44" s="14"/>
      <c r="AD44" s="14" cm="1">
        <f t="array" ref="AD44">G(AA44,$AB$3,$AB$4,AH$5:AL$5)</f>
        <v>41.673632175060064</v>
      </c>
      <c r="AE44" s="14"/>
      <c r="AF44" s="14">
        <f t="shared" si="5"/>
        <v>2.1380321750600615</v>
      </c>
    </row>
    <row r="45" spans="1:32" x14ac:dyDescent="0.25">
      <c r="A45" s="14">
        <v>260</v>
      </c>
      <c r="B45" s="14">
        <v>44.461100000000002</v>
      </c>
      <c r="C45" s="14"/>
      <c r="D45" s="14" cm="1">
        <f t="array" ref="D45">G(A45,$B$3,$B$4,H$5:L$5)</f>
        <v>42.290756024611184</v>
      </c>
      <c r="E45" s="14"/>
      <c r="F45" s="14">
        <f t="shared" si="3"/>
        <v>-2.1703439753888176</v>
      </c>
      <c r="N45" s="14">
        <v>280</v>
      </c>
      <c r="O45" s="14">
        <v>42.0077</v>
      </c>
      <c r="P45" s="14"/>
      <c r="Q45" s="14" cm="1">
        <f t="array" ref="Q45">G(N45,$O$3,$O$4,$U$5:$Y$5)</f>
        <v>42.976063836494809</v>
      </c>
      <c r="R45" s="14"/>
      <c r="S45" s="14">
        <f t="shared" si="4"/>
        <v>0.9683638364948095</v>
      </c>
      <c r="AA45" s="14">
        <v>280</v>
      </c>
      <c r="AB45" s="14">
        <v>39.067799999999998</v>
      </c>
      <c r="AC45" s="14"/>
      <c r="AD45" s="14" cm="1">
        <f t="array" ref="AD45">G(AA45,$AB$3,$AB$4,AH$5:AL$5)</f>
        <v>41.506487245427408</v>
      </c>
      <c r="AE45" s="14"/>
      <c r="AF45" s="14">
        <f t="shared" si="5"/>
        <v>2.4386872454274098</v>
      </c>
    </row>
    <row r="46" spans="1:32" x14ac:dyDescent="0.25">
      <c r="A46" s="14">
        <v>270</v>
      </c>
      <c r="B46" s="14">
        <v>44.110700000000001</v>
      </c>
      <c r="C46" s="14"/>
      <c r="D46" s="14" cm="1">
        <f t="array" ref="D46">G(A46,$B$3,$B$4,H$5:L$5)</f>
        <v>42.028796972576373</v>
      </c>
      <c r="E46" s="14"/>
      <c r="F46" s="14">
        <f t="shared" si="3"/>
        <v>-2.0819030274236283</v>
      </c>
      <c r="N46" s="14">
        <v>290</v>
      </c>
      <c r="O46" s="14">
        <v>41.729799999999997</v>
      </c>
      <c r="P46" s="14"/>
      <c r="Q46" s="14" cm="1">
        <f t="array" ref="Q46">G(N46,$O$3,$O$4,$U$5:$Y$5)</f>
        <v>42.807442750826105</v>
      </c>
      <c r="R46" s="14"/>
      <c r="S46" s="14">
        <f t="shared" si="4"/>
        <v>1.0776427508261079</v>
      </c>
      <c r="AA46" s="14">
        <v>290</v>
      </c>
      <c r="AB46" s="14">
        <v>38.763800000000003</v>
      </c>
      <c r="AC46" s="14"/>
      <c r="AD46" s="14" cm="1">
        <f t="array" ref="AD46">G(AA46,$AB$3,$AB$4,AH$5:AL$5)</f>
        <v>41.35260949019694</v>
      </c>
      <c r="AE46" s="14"/>
      <c r="AF46" s="14">
        <f t="shared" si="5"/>
        <v>2.5888094901969367</v>
      </c>
    </row>
    <row r="47" spans="1:32" x14ac:dyDescent="0.25">
      <c r="A47" s="14">
        <v>280</v>
      </c>
      <c r="B47" s="14">
        <v>43.778700000000001</v>
      </c>
      <c r="C47" s="14"/>
      <c r="D47" s="14" cm="1">
        <f t="array" ref="D47">G(A47,$B$3,$B$4,H$5:L$5)</f>
        <v>41.787914076584229</v>
      </c>
      <c r="E47" s="14"/>
      <c r="F47" s="14">
        <f t="shared" si="3"/>
        <v>-1.9907859234157712</v>
      </c>
      <c r="N47" s="14">
        <v>300</v>
      </c>
      <c r="O47" s="14">
        <v>41.556100000000001</v>
      </c>
      <c r="P47" s="14"/>
      <c r="Q47" s="14" cm="1">
        <f t="array" ref="Q47">G(N47,$O$3,$O$4,$U$5:$Y$5)</f>
        <v>42.647520345890015</v>
      </c>
      <c r="R47" s="14"/>
      <c r="S47" s="14">
        <f t="shared" si="4"/>
        <v>1.0914203458900147</v>
      </c>
      <c r="AA47" s="14">
        <v>300</v>
      </c>
      <c r="AB47" s="14">
        <v>38.627400000000002</v>
      </c>
      <c r="AC47" s="14"/>
      <c r="AD47" s="14" cm="1">
        <f t="array" ref="AD47">G(AA47,$AB$3,$AB$4,AH$5:AL$5)</f>
        <v>41.21059269345713</v>
      </c>
      <c r="AE47" s="14"/>
      <c r="AF47" s="14">
        <f t="shared" si="5"/>
        <v>2.5831926934571285</v>
      </c>
    </row>
    <row r="48" spans="1:32" x14ac:dyDescent="0.25">
      <c r="A48" s="14">
        <v>290</v>
      </c>
      <c r="B48" s="14">
        <v>43.482300000000002</v>
      </c>
      <c r="C48" s="14"/>
      <c r="D48" s="14" cm="1">
        <f t="array" ref="D48">G(A48,$B$3,$B$4,H$5:L$5)</f>
        <v>41.565996109556899</v>
      </c>
      <c r="E48" s="14"/>
      <c r="F48" s="14">
        <f t="shared" si="3"/>
        <v>-1.9163038904431033</v>
      </c>
      <c r="N48" s="14">
        <v>310</v>
      </c>
      <c r="O48" s="14">
        <v>41.004600000000003</v>
      </c>
      <c r="P48" s="14"/>
      <c r="Q48" s="14" cm="1">
        <f t="array" ref="Q48">G(N48,$O$3,$O$4,$U$5:$Y$5)</f>
        <v>42.495551454058202</v>
      </c>
      <c r="R48" s="14"/>
      <c r="S48" s="14">
        <f t="shared" si="4"/>
        <v>1.4909514540581981</v>
      </c>
      <c r="AA48" s="14">
        <v>310</v>
      </c>
      <c r="AB48" s="14">
        <v>38.118000000000002</v>
      </c>
      <c r="AC48" s="14"/>
      <c r="AD48" s="14" cm="1">
        <f t="array" ref="AD48">G(AA48,$AB$3,$AB$4,AH$5:AL$5)</f>
        <v>41.079219614815237</v>
      </c>
      <c r="AE48" s="14"/>
      <c r="AF48" s="14">
        <f t="shared" si="5"/>
        <v>2.961219614815235</v>
      </c>
    </row>
    <row r="49" spans="1:32" x14ac:dyDescent="0.25">
      <c r="A49" s="14">
        <v>300</v>
      </c>
      <c r="B49" s="14">
        <v>43.470300000000002</v>
      </c>
      <c r="C49" s="14"/>
      <c r="D49" s="14" cm="1">
        <f t="array" ref="D49">G(A49,$B$3,$B$4,H$5:L$5)</f>
        <v>41.361200950499381</v>
      </c>
      <c r="E49" s="14"/>
      <c r="F49" s="14">
        <f t="shared" si="3"/>
        <v>-2.109099049500621</v>
      </c>
      <c r="N49" s="14">
        <v>320</v>
      </c>
      <c r="O49" s="14">
        <v>40.4024</v>
      </c>
      <c r="P49" s="14"/>
      <c r="Q49" s="14" cm="1">
        <f t="array" ref="Q49">G(N49,$O$3,$O$4,$U$5:$Y$5)</f>
        <v>42.350877881015791</v>
      </c>
      <c r="R49" s="14"/>
      <c r="S49" s="14">
        <f t="shared" si="4"/>
        <v>1.9484778810157906</v>
      </c>
      <c r="AA49" s="14">
        <v>320</v>
      </c>
      <c r="AB49" s="14">
        <v>37.664900000000003</v>
      </c>
      <c r="AC49" s="14"/>
      <c r="AD49" s="14" cm="1">
        <f t="array" ref="AD49">G(AA49,$AB$3,$AB$4,AH$5:AL$5)</f>
        <v>40.957431505521612</v>
      </c>
      <c r="AE49" s="14"/>
      <c r="AF49" s="14">
        <f t="shared" si="5"/>
        <v>3.2925315055216089</v>
      </c>
    </row>
    <row r="50" spans="1:32" x14ac:dyDescent="0.25">
      <c r="A50" s="14">
        <v>310</v>
      </c>
      <c r="B50" s="14">
        <v>43.046700000000001</v>
      </c>
      <c r="C50" s="14"/>
      <c r="D50" s="14" cm="1">
        <f t="array" ref="D50">G(A50,$B$3,$B$4,H$5:L$5)</f>
        <v>41.171913884860764</v>
      </c>
      <c r="E50" s="14"/>
      <c r="F50" s="14">
        <f t="shared" si="3"/>
        <v>-1.8747861151392371</v>
      </c>
      <c r="N50" s="14">
        <v>330</v>
      </c>
      <c r="O50" s="14">
        <v>39.991399999999999</v>
      </c>
      <c r="P50" s="14"/>
      <c r="Q50" s="14" cm="1">
        <f t="array" ref="Q50">G(N50,$O$3,$O$4,$U$5:$Y$5)</f>
        <v>42.212915755654407</v>
      </c>
      <c r="R50" s="14"/>
      <c r="S50" s="14">
        <f t="shared" si="4"/>
        <v>2.2215157556544085</v>
      </c>
      <c r="AA50" s="14">
        <v>330</v>
      </c>
      <c r="AB50" s="14">
        <v>37.3782</v>
      </c>
      <c r="AC50" s="14"/>
      <c r="AD50" s="14" cm="1">
        <f t="array" ref="AD50">G(AA50,$AB$3,$AB$4,AH$5:AL$5)</f>
        <v>40.844303309204172</v>
      </c>
      <c r="AE50" s="14"/>
      <c r="AF50" s="14">
        <f t="shared" si="5"/>
        <v>3.466103309204172</v>
      </c>
    </row>
    <row r="51" spans="1:32" x14ac:dyDescent="0.25">
      <c r="A51" s="14">
        <v>320</v>
      </c>
      <c r="B51" s="14">
        <v>42.628599999999999</v>
      </c>
      <c r="C51" s="14"/>
      <c r="D51" s="14" cm="1">
        <f t="array" ref="D51">G(A51,$B$3,$B$4,H$5:L$5)</f>
        <v>40.996713474494399</v>
      </c>
      <c r="E51" s="14"/>
      <c r="F51" s="14">
        <f t="shared" si="3"/>
        <v>-1.6318865255055996</v>
      </c>
      <c r="N51" s="14">
        <v>340</v>
      </c>
      <c r="O51" s="14">
        <v>39.7239</v>
      </c>
      <c r="P51" s="14"/>
      <c r="Q51" s="14" cm="1">
        <f t="array" ref="Q51">G(N51,$O$3,$O$4,$U$5:$Y$5)</f>
        <v>42.081145058520811</v>
      </c>
      <c r="R51" s="14"/>
      <c r="S51" s="14">
        <f t="shared" si="4"/>
        <v>2.3572450585208102</v>
      </c>
      <c r="AA51" s="14">
        <v>340</v>
      </c>
      <c r="AB51" s="14">
        <v>37.189700000000002</v>
      </c>
      <c r="AC51" s="14"/>
      <c r="AD51" s="14" cm="1">
        <f t="array" ref="AD51">G(AA51,$AB$3,$AB$4,AH$5:AL$5)</f>
        <v>40.739023353768616</v>
      </c>
      <c r="AE51" s="14"/>
      <c r="AF51" s="14">
        <f t="shared" si="5"/>
        <v>3.5493233537686137</v>
      </c>
    </row>
    <row r="52" spans="1:32" x14ac:dyDescent="0.25">
      <c r="A52" s="14">
        <v>330</v>
      </c>
      <c r="B52" s="14">
        <v>42.2151</v>
      </c>
      <c r="C52" s="14"/>
      <c r="D52" s="14" cm="1">
        <f t="array" ref="D52">G(A52,$B$3,$B$4,H$5:L$5)</f>
        <v>40.834343431421999</v>
      </c>
      <c r="E52" s="14"/>
      <c r="F52" s="14">
        <f t="shared" si="3"/>
        <v>-1.3807565685780006</v>
      </c>
      <c r="N52" s="14">
        <v>350</v>
      </c>
      <c r="O52" s="14">
        <v>39.570700000000002</v>
      </c>
      <c r="P52" s="14"/>
      <c r="Q52" s="14" cm="1">
        <f t="array" ref="Q52">G(N52,$O$3,$O$4,$U$5:$Y$5)</f>
        <v>41.955100899068206</v>
      </c>
      <c r="R52" s="14"/>
      <c r="S52" s="14">
        <f t="shared" si="4"/>
        <v>2.3844008990682042</v>
      </c>
      <c r="AA52" s="14">
        <v>350</v>
      </c>
      <c r="AB52" s="14">
        <v>37.106499999999997</v>
      </c>
      <c r="AC52" s="14"/>
      <c r="AD52" s="14" cm="1">
        <f t="array" ref="AD52">G(AA52,$AB$3,$AB$4,AH$5:AL$5)</f>
        <v>40.640876617683965</v>
      </c>
      <c r="AE52" s="14"/>
      <c r="AF52" s="14">
        <f t="shared" si="5"/>
        <v>3.5343766176839679</v>
      </c>
    </row>
    <row r="53" spans="1:32" x14ac:dyDescent="0.25">
      <c r="A53" s="14">
        <v>340</v>
      </c>
      <c r="B53" s="14">
        <v>41.833599999999997</v>
      </c>
      <c r="C53" s="14"/>
      <c r="D53" s="14" cm="1">
        <f t="array" ref="D53">G(A53,$B$3,$B$4,H$5:L$5)</f>
        <v>40.683689291070799</v>
      </c>
      <c r="E53" s="14"/>
      <c r="F53" s="14">
        <f t="shared" si="3"/>
        <v>-1.1499107089291982</v>
      </c>
      <c r="N53" s="14">
        <v>360</v>
      </c>
      <c r="O53" s="14">
        <v>39.418100000000003</v>
      </c>
      <c r="P53" s="14"/>
      <c r="Q53" s="14" cm="1">
        <f t="array" ref="Q53">G(N53,$O$3,$O$4,$U$5:$Y$5)</f>
        <v>41.83436620684202</v>
      </c>
      <c r="R53" s="14"/>
      <c r="S53" s="14">
        <f t="shared" si="4"/>
        <v>2.4162662068420175</v>
      </c>
      <c r="AA53" s="14">
        <v>360</v>
      </c>
      <c r="AB53" s="14">
        <v>36.923299999999998</v>
      </c>
      <c r="AC53" s="14"/>
      <c r="AD53" s="14" cm="1">
        <f t="array" ref="AD53">G(AA53,$AB$3,$AB$4,AH$5:AL$5)</f>
        <v>40.549230860753184</v>
      </c>
      <c r="AE53" s="14"/>
      <c r="AF53" s="14">
        <f t="shared" si="5"/>
        <v>3.6259308607531864</v>
      </c>
    </row>
    <row r="54" spans="1:32" x14ac:dyDescent="0.25">
      <c r="A54" s="14">
        <v>350</v>
      </c>
      <c r="B54" s="14">
        <v>41.787199999999999</v>
      </c>
      <c r="C54" s="14"/>
      <c r="D54" s="14" cm="1">
        <f t="array" ref="D54">G(A54,$B$3,$B$4,H$5:L$5)</f>
        <v>40.5437589504809</v>
      </c>
      <c r="E54" s="14"/>
      <c r="F54" s="14">
        <f t="shared" si="3"/>
        <v>-1.2434410495190988</v>
      </c>
      <c r="N54" s="14">
        <v>370</v>
      </c>
      <c r="O54" s="14">
        <v>38.977499999999999</v>
      </c>
      <c r="P54" s="14"/>
      <c r="Q54" s="14" cm="1">
        <f t="array" ref="Q54">G(N54,$O$3,$O$4,$U$5:$Y$5)</f>
        <v>41.718565573561399</v>
      </c>
      <c r="R54" s="14"/>
      <c r="S54" s="14">
        <f t="shared" si="4"/>
        <v>2.7410655735614</v>
      </c>
      <c r="AA54" s="14">
        <v>370</v>
      </c>
      <c r="AB54" s="14">
        <v>36.482599999999998</v>
      </c>
      <c r="AC54" s="14"/>
      <c r="AD54" s="14" cm="1">
        <f t="array" ref="AD54">G(AA54,$AB$3,$AB$4,AH$5:AL$5)</f>
        <v>40.463525065496732</v>
      </c>
      <c r="AE54" s="14"/>
      <c r="AF54" s="14">
        <f t="shared" si="5"/>
        <v>3.9809250654967343</v>
      </c>
    </row>
    <row r="55" spans="1:32" x14ac:dyDescent="0.25">
      <c r="A55" s="14">
        <v>360</v>
      </c>
      <c r="B55" s="14">
        <v>41.742899999999999</v>
      </c>
      <c r="C55" s="14"/>
      <c r="D55" s="14" cm="1">
        <f t="array" ref="D55">G(A55,$B$3,$B$4,H$5:L$5)</f>
        <v>40.413666340350439</v>
      </c>
      <c r="E55" s="14"/>
      <c r="F55" s="14">
        <f t="shared" si="3"/>
        <v>-1.3292336596495602</v>
      </c>
      <c r="N55" s="14">
        <v>380</v>
      </c>
      <c r="O55" s="14">
        <v>38.5944</v>
      </c>
      <c r="P55" s="14"/>
      <c r="Q55" s="14" cm="1">
        <f t="array" ref="Q55">G(N55,$O$3,$O$4,$U$5:$Y$5)</f>
        <v>41.607360037922696</v>
      </c>
      <c r="R55" s="14"/>
      <c r="S55" s="14">
        <f t="shared" si="4"/>
        <v>3.0129600379226957</v>
      </c>
      <c r="AA55" s="14">
        <v>380</v>
      </c>
      <c r="AB55" s="14">
        <v>36.215499999999999</v>
      </c>
      <c r="AC55" s="14"/>
      <c r="AD55" s="14" cm="1">
        <f t="array" ref="AD55">G(AA55,$AB$3,$AB$4,AH$5:AL$5)</f>
        <v>40.383259753913585</v>
      </c>
      <c r="AE55" s="14"/>
      <c r="AF55" s="14">
        <f t="shared" si="5"/>
        <v>4.167759753913586</v>
      </c>
    </row>
    <row r="56" spans="1:32" x14ac:dyDescent="0.25">
      <c r="A56" s="14">
        <v>370</v>
      </c>
      <c r="B56" s="14">
        <v>41.551499999999997</v>
      </c>
      <c r="C56" s="14"/>
      <c r="D56" s="14" cm="1">
        <f t="array" ref="D56">G(A56,$B$3,$B$4,H$5:L$5)</f>
        <v>40.292617654482363</v>
      </c>
      <c r="E56" s="14"/>
      <c r="F56" s="14">
        <f t="shared" si="3"/>
        <v>-1.2588823455176339</v>
      </c>
      <c r="N56" s="14">
        <v>390</v>
      </c>
      <c r="O56" s="14">
        <v>38.268599999999999</v>
      </c>
      <c r="P56" s="14"/>
      <c r="Q56" s="14" cm="1">
        <f t="array" ref="Q56">G(N56,$O$3,$O$4,$U$5:$Y$5)</f>
        <v>41.500442647200984</v>
      </c>
      <c r="R56" s="14"/>
      <c r="S56" s="14">
        <f t="shared" si="4"/>
        <v>3.2318426472009847</v>
      </c>
      <c r="AA56" s="14">
        <v>390</v>
      </c>
      <c r="AB56" s="14">
        <v>36.060400000000001</v>
      </c>
      <c r="AC56" s="14"/>
      <c r="AD56" s="14" cm="1">
        <f t="array" ref="AD56">G(AA56,$AB$3,$AB$4,AH$5:AL$5)</f>
        <v>40.307988835284483</v>
      </c>
      <c r="AE56" s="14"/>
      <c r="AF56" s="14">
        <f t="shared" si="5"/>
        <v>4.2475888352844819</v>
      </c>
    </row>
    <row r="57" spans="1:32" x14ac:dyDescent="0.25">
      <c r="A57" s="14">
        <v>380</v>
      </c>
      <c r="B57" s="14">
        <v>41.1004</v>
      </c>
      <c r="C57" s="14"/>
      <c r="D57" s="14" cm="1">
        <f t="array" ref="D57">G(A57,$B$3,$B$4,H$5:L$5)</f>
        <v>40.179899678849488</v>
      </c>
      <c r="E57" s="14"/>
      <c r="F57" s="14">
        <f t="shared" si="3"/>
        <v>-0.92050032115051295</v>
      </c>
      <c r="N57" s="14">
        <v>395</v>
      </c>
      <c r="O57" s="14">
        <v>38.164200000000001</v>
      </c>
      <c r="P57" s="14"/>
      <c r="Q57" s="14" cm="1">
        <f t="array" ref="Q57">G(N57,$O$3,$O$4,$U$5:$Y$5)</f>
        <v>41.448503890540927</v>
      </c>
      <c r="R57" s="14"/>
      <c r="S57" s="14">
        <f t="shared" si="4"/>
        <v>3.2843038905409259</v>
      </c>
      <c r="AA57" s="14">
        <v>395</v>
      </c>
      <c r="AB57" s="14">
        <v>36.022799999999997</v>
      </c>
      <c r="AC57" s="14"/>
      <c r="AD57" s="14" cm="1">
        <f t="array" ref="AD57">G(AA57,$AB$3,$AB$4,AH$5:AL$5)</f>
        <v>40.272099749066498</v>
      </c>
      <c r="AE57" s="14"/>
      <c r="AF57" s="14">
        <f t="shared" si="5"/>
        <v>4.2492997490665019</v>
      </c>
    </row>
    <row r="58" spans="1:32" x14ac:dyDescent="0.25">
      <c r="A58" s="14">
        <v>390</v>
      </c>
      <c r="B58" s="14">
        <v>40.379300000000001</v>
      </c>
      <c r="C58" s="14"/>
      <c r="D58" s="14" cm="1">
        <f t="array" ref="D58">G(A58,$B$3,$B$4,H$5:L$5)</f>
        <v>40.074869854259845</v>
      </c>
      <c r="E58" s="14"/>
      <c r="F58" s="14">
        <f t="shared" si="3"/>
        <v>-0.30443014574015592</v>
      </c>
      <c r="N58" s="14">
        <v>400</v>
      </c>
      <c r="O58" s="14">
        <v>38.076099999999997</v>
      </c>
      <c r="P58" s="14"/>
      <c r="Q58" s="14" cm="1">
        <f t="array" ref="Q58">G(N58,$O$3,$O$4,$U$5:$Y$5)</f>
        <v>41.397534662523121</v>
      </c>
      <c r="R58" s="14"/>
      <c r="S58" s="14">
        <f t="shared" si="4"/>
        <v>3.3214346625231244</v>
      </c>
      <c r="AA58" s="14">
        <v>400</v>
      </c>
      <c r="AB58" s="14">
        <v>35.985799999999998</v>
      </c>
      <c r="AC58" s="14"/>
      <c r="AD58" s="14" cm="1">
        <f t="array" ref="AD58">G(AA58,$AB$3,$AB$4,AH$5:AL$5)</f>
        <v>40.237312710844456</v>
      </c>
      <c r="AE58" s="14"/>
      <c r="AF58" s="14">
        <f t="shared" si="5"/>
        <v>4.2515127108444588</v>
      </c>
    </row>
    <row r="59" spans="1:32" x14ac:dyDescent="0.25">
      <c r="A59" s="14">
        <v>395</v>
      </c>
      <c r="B59" s="14">
        <v>40.431800000000003</v>
      </c>
      <c r="C59" s="14"/>
      <c r="D59" s="14" cm="1">
        <f t="array" ref="D59">G(A59,$B$3,$B$4,H$5:L$5)</f>
        <v>40.025054401641889</v>
      </c>
      <c r="E59" s="14"/>
      <c r="F59" s="14">
        <f t="shared" si="3"/>
        <v>-0.40674559835811408</v>
      </c>
      <c r="N59" s="14">
        <v>405</v>
      </c>
      <c r="O59" s="14">
        <v>38.014099999999999</v>
      </c>
      <c r="P59" s="14"/>
      <c r="Q59" s="14" cm="1">
        <f t="array" ref="Q59">G(N59,$O$3,$O$4,$U$5:$Y$5)</f>
        <v>41.347503994833836</v>
      </c>
      <c r="R59" s="14"/>
      <c r="S59" s="14">
        <f t="shared" si="4"/>
        <v>3.3334039948338372</v>
      </c>
      <c r="AA59" s="14">
        <v>405</v>
      </c>
      <c r="AB59" s="14">
        <v>35.998399999999997</v>
      </c>
      <c r="AC59" s="14"/>
      <c r="AD59" s="14" cm="1">
        <f t="array" ref="AD59">G(AA59,$AB$3,$AB$4,AH$5:AL$5)</f>
        <v>40.203584074521494</v>
      </c>
      <c r="AE59" s="14"/>
      <c r="AF59" s="14">
        <f t="shared" si="5"/>
        <v>4.2051840745214975</v>
      </c>
    </row>
    <row r="60" spans="1:32" x14ac:dyDescent="0.25">
      <c r="A60" s="14">
        <v>400</v>
      </c>
      <c r="B60" s="14">
        <v>40.544400000000003</v>
      </c>
      <c r="C60" s="14"/>
      <c r="D60" s="14" cm="1">
        <f t="array" ref="D60">G(A60,$B$3,$B$4,H$5:L$5)</f>
        <v>39.976947778088523</v>
      </c>
      <c r="E60" s="14"/>
      <c r="F60" s="14">
        <f t="shared" si="3"/>
        <v>-0.56745222191148059</v>
      </c>
      <c r="N60" s="14">
        <v>410</v>
      </c>
      <c r="O60" s="14">
        <v>38.007100000000001</v>
      </c>
      <c r="P60" s="14"/>
      <c r="Q60" s="14" cm="1">
        <f t="array" ref="Q60">G(N60,$O$3,$O$4,$U$5:$Y$5)</f>
        <v>41.298382300329394</v>
      </c>
      <c r="R60" s="14"/>
      <c r="S60" s="14">
        <f t="shared" si="4"/>
        <v>3.2912823003293923</v>
      </c>
      <c r="AA60" s="14">
        <v>410</v>
      </c>
      <c r="AB60" s="14">
        <v>36.014800000000001</v>
      </c>
      <c r="AC60" s="14"/>
      <c r="AD60" s="14" cm="1">
        <f t="array" ref="AD60">G(AA60,$AB$3,$AB$4,AH$5:AL$5)</f>
        <v>40.170872415682666</v>
      </c>
      <c r="AE60" s="14"/>
      <c r="AF60" s="14">
        <f t="shared" si="5"/>
        <v>4.1560724156826652</v>
      </c>
    </row>
    <row r="61" spans="1:32" x14ac:dyDescent="0.25">
      <c r="A61" s="14">
        <v>405</v>
      </c>
      <c r="B61" s="14">
        <v>40.436399999999999</v>
      </c>
      <c r="C61" s="14"/>
      <c r="D61" s="14" cm="1">
        <f t="array" ref="D61">G(A61,$B$3,$B$4,H$5:L$5)</f>
        <v>39.930485948488517</v>
      </c>
      <c r="E61" s="14"/>
      <c r="F61" s="14">
        <f t="shared" si="3"/>
        <v>-0.50591405151148194</v>
      </c>
      <c r="N61" s="14">
        <v>415</v>
      </c>
      <c r="O61" s="14">
        <v>37.947000000000003</v>
      </c>
      <c r="P61" s="14"/>
      <c r="Q61" s="14" cm="1">
        <f t="array" ref="Q61">G(N61,$O$3,$O$4,$U$5:$Y$5)</f>
        <v>41.250141294565196</v>
      </c>
      <c r="R61" s="14"/>
      <c r="S61" s="14">
        <f t="shared" si="4"/>
        <v>3.3031412945651937</v>
      </c>
      <c r="AA61" s="14">
        <v>415</v>
      </c>
      <c r="AB61" s="14">
        <v>35.818199999999997</v>
      </c>
      <c r="AC61" s="14"/>
      <c r="AD61" s="14" cm="1">
        <f t="array" ref="AD61">G(AA61,$AB$3,$AB$4,AH$5:AL$5)</f>
        <v>40.13913839317992</v>
      </c>
      <c r="AE61" s="14"/>
      <c r="AF61" s="14">
        <f t="shared" si="5"/>
        <v>4.3209383931799223</v>
      </c>
    </row>
    <row r="62" spans="1:32" x14ac:dyDescent="0.25">
      <c r="A62" s="14">
        <v>410</v>
      </c>
      <c r="B62" s="14">
        <v>40.330500000000001</v>
      </c>
      <c r="C62" s="14"/>
      <c r="D62" s="14" cm="1">
        <f t="array" ref="D62">G(A62,$B$3,$B$4,H$5:L$5)</f>
        <v>39.885607906627925</v>
      </c>
      <c r="E62" s="14"/>
      <c r="F62" s="14">
        <f t="shared" si="3"/>
        <v>-0.44489209337207569</v>
      </c>
      <c r="N62" s="14">
        <v>420</v>
      </c>
      <c r="O62" s="14">
        <v>37.938099999999999</v>
      </c>
      <c r="P62" s="14"/>
      <c r="Q62" s="14" cm="1">
        <f t="array" ref="Q62">G(N62,$O$3,$O$4,$U$5:$Y$5)</f>
        <v>41.202753922716859</v>
      </c>
      <c r="R62" s="14"/>
      <c r="S62" s="14">
        <f t="shared" si="4"/>
        <v>3.2646539227168603</v>
      </c>
      <c r="AA62" s="14">
        <v>420</v>
      </c>
      <c r="AB62" s="14">
        <v>35.651299999999999</v>
      </c>
      <c r="AC62" s="14"/>
      <c r="AD62" s="14" cm="1">
        <f t="array" ref="AD62">G(AA62,$AB$3,$AB$4,AH$5:AL$5)</f>
        <v>40.108344620890918</v>
      </c>
      <c r="AE62" s="14"/>
      <c r="AF62" s="14">
        <f t="shared" si="5"/>
        <v>4.4570446208909189</v>
      </c>
    </row>
    <row r="63" spans="1:32" x14ac:dyDescent="0.25">
      <c r="A63" s="14">
        <v>415</v>
      </c>
      <c r="B63" s="14">
        <v>40.429000000000002</v>
      </c>
      <c r="C63" s="14"/>
      <c r="D63" s="14" cm="1">
        <f t="array" ref="D63">G(A63,$B$3,$B$4,H$5:L$5)</f>
        <v>39.842255499533437</v>
      </c>
      <c r="E63" s="14"/>
      <c r="F63" s="14">
        <f t="shared" si="3"/>
        <v>-0.58674450046656546</v>
      </c>
      <c r="N63" s="14">
        <v>425</v>
      </c>
      <c r="O63" s="14">
        <v>37.720399999999998</v>
      </c>
      <c r="P63" s="14"/>
      <c r="Q63" s="14" cm="1">
        <f t="array" ref="Q63">G(N63,$O$3,$O$4,$U$5:$Y$5)</f>
        <v>41.156194291451307</v>
      </c>
      <c r="R63" s="14"/>
      <c r="S63" s="14">
        <f t="shared" si="4"/>
        <v>3.4357942914513089</v>
      </c>
      <c r="AA63" s="14">
        <v>425</v>
      </c>
      <c r="AB63" s="14">
        <v>35.525599999999997</v>
      </c>
      <c r="AC63" s="14"/>
      <c r="AD63" s="14" cm="1">
        <f t="array" ref="AD63">G(AA63,$AB$3,$AB$4,AH$5:AL$5)</f>
        <v>40.078455548792462</v>
      </c>
      <c r="AE63" s="14"/>
      <c r="AF63" s="14">
        <f t="shared" si="5"/>
        <v>4.5528555487924649</v>
      </c>
    </row>
    <row r="64" spans="1:32" x14ac:dyDescent="0.25">
      <c r="A64" s="14">
        <v>420</v>
      </c>
      <c r="B64" s="14">
        <v>40.242699999999999</v>
      </c>
      <c r="C64" s="14"/>
      <c r="D64" s="14" cm="1">
        <f t="array" ref="D64">G(A64,$B$3,$B$4,H$5:L$5)</f>
        <v>39.800373263919724</v>
      </c>
      <c r="E64" s="14"/>
      <c r="F64" s="14">
        <f t="shared" si="3"/>
        <v>-0.4423267360802754</v>
      </c>
      <c r="N64" s="14">
        <v>430</v>
      </c>
      <c r="O64" s="14">
        <v>37.542200000000001</v>
      </c>
      <c r="P64" s="14"/>
      <c r="Q64" s="14" cm="1">
        <f t="array" ref="Q64">G(N64,$O$3,$O$4,$U$5:$Y$5)</f>
        <v>41.110437605364737</v>
      </c>
      <c r="R64" s="14"/>
      <c r="S64" s="14">
        <f t="shared" si="4"/>
        <v>3.568237605364736</v>
      </c>
      <c r="AA64" s="14">
        <v>430</v>
      </c>
      <c r="AB64" s="14">
        <v>35.402500000000003</v>
      </c>
      <c r="AC64" s="14"/>
      <c r="AD64" s="14" cm="1">
        <f t="array" ref="AD64">G(AA64,$AB$3,$AB$4,AH$5:AL$5)</f>
        <v>40.049437352571253</v>
      </c>
      <c r="AE64" s="14"/>
      <c r="AF64" s="14">
        <f t="shared" si="5"/>
        <v>4.6469373525712498</v>
      </c>
    </row>
    <row r="65" spans="1:32" x14ac:dyDescent="0.25">
      <c r="A65" s="14">
        <v>425</v>
      </c>
      <c r="B65" s="14">
        <v>40.283000000000001</v>
      </c>
      <c r="C65" s="14"/>
      <c r="D65" s="14" cm="1">
        <f t="array" ref="D65">G(A65,$B$3,$B$4,H$5:L$5)</f>
        <v>39.759908273764481</v>
      </c>
      <c r="E65" s="14"/>
      <c r="F65" s="14">
        <f t="shared" si="3"/>
        <v>-0.52309172623552058</v>
      </c>
      <c r="N65" s="14">
        <v>435</v>
      </c>
      <c r="O65" s="14">
        <v>37.3902</v>
      </c>
      <c r="P65" s="14"/>
      <c r="Q65" s="14" cm="1">
        <f t="array" ref="Q65">G(N65,$O$3,$O$4,$U$5:$Y$5)</f>
        <v>41.065460107623878</v>
      </c>
      <c r="R65" s="14"/>
      <c r="S65" s="14">
        <f t="shared" si="4"/>
        <v>3.6752601076238776</v>
      </c>
      <c r="AA65" s="14">
        <v>435</v>
      </c>
      <c r="AB65" s="14">
        <v>35.294199999999996</v>
      </c>
      <c r="AC65" s="14"/>
      <c r="AD65" s="14" cm="1">
        <f t="array" ref="AD65">G(AA65,$AB$3,$AB$4,AH$5:AL$5)</f>
        <v>40.021257831068155</v>
      </c>
      <c r="AE65" s="14"/>
      <c r="AF65" s="14">
        <f t="shared" si="5"/>
        <v>4.7270578310681586</v>
      </c>
    </row>
    <row r="66" spans="1:32" x14ac:dyDescent="0.25">
      <c r="A66" s="14">
        <v>430</v>
      </c>
      <c r="B66" s="14">
        <v>40.344499999999996</v>
      </c>
      <c r="C66" s="14"/>
      <c r="D66" s="14" cm="1">
        <f t="array" ref="D66">G(A66,$B$3,$B$4,H$5:L$5)</f>
        <v>39.720809998146599</v>
      </c>
      <c r="E66" s="14"/>
      <c r="F66" s="14">
        <f t="shared" si="3"/>
        <v>-0.62369000185339729</v>
      </c>
      <c r="N66" s="14">
        <v>440</v>
      </c>
      <c r="O66" s="14">
        <v>37.241</v>
      </c>
      <c r="P66" s="14"/>
      <c r="Q66" s="14" cm="1">
        <f t="array" ref="Q66">G(N66,$O$3,$O$4,$U$5:$Y$5)</f>
        <v>41.021239024489645</v>
      </c>
      <c r="R66" s="14"/>
      <c r="S66" s="14">
        <f t="shared" si="4"/>
        <v>3.7802390244896458</v>
      </c>
      <c r="AA66" s="14">
        <v>440</v>
      </c>
      <c r="AB66" s="14">
        <v>35.237099999999998</v>
      </c>
      <c r="AC66" s="14"/>
      <c r="AD66" s="14" cm="1">
        <f t="array" ref="AD66">G(AA66,$AB$3,$AB$4,AH$5:AL$5)</f>
        <v>39.993886310916615</v>
      </c>
      <c r="AE66" s="14"/>
      <c r="AF66" s="14">
        <f t="shared" si="5"/>
        <v>4.7567863109166169</v>
      </c>
    </row>
    <row r="67" spans="1:32" x14ac:dyDescent="0.25">
      <c r="A67" s="14">
        <v>435</v>
      </c>
      <c r="B67" s="14">
        <v>40.172199999999997</v>
      </c>
      <c r="C67" s="14"/>
      <c r="D67" s="14" cm="1">
        <f t="array" ref="D67">G(A67,$B$3,$B$4,H$5:L$5)</f>
        <v>39.683030168537144</v>
      </c>
      <c r="E67" s="14"/>
      <c r="F67" s="14">
        <f t="shared" si="3"/>
        <v>-0.48916983146285276</v>
      </c>
      <c r="N67" s="14">
        <v>445</v>
      </c>
      <c r="O67" s="14">
        <v>37.117800000000003</v>
      </c>
      <c r="P67" s="14"/>
      <c r="Q67" s="14" cm="1">
        <f t="array" ref="Q67">G(N67,$O$3,$O$4,$U$5:$Y$5)</f>
        <v>40.977752513424328</v>
      </c>
      <c r="R67" s="14"/>
      <c r="S67" s="14">
        <f t="shared" si="4"/>
        <v>3.8599525134243251</v>
      </c>
      <c r="AA67" s="14">
        <v>445</v>
      </c>
      <c r="AB67" s="14">
        <v>35.193300000000001</v>
      </c>
      <c r="AC67" s="14"/>
      <c r="AD67" s="14" cm="1">
        <f t="array" ref="AD67">G(AA67,$AB$3,$AB$4,AH$5:AL$5)</f>
        <v>39.967293557795671</v>
      </c>
      <c r="AE67" s="14"/>
      <c r="AF67" s="14">
        <f t="shared" si="5"/>
        <v>4.77399355779567</v>
      </c>
    </row>
    <row r="68" spans="1:32" x14ac:dyDescent="0.25">
      <c r="A68" s="14">
        <v>440</v>
      </c>
      <c r="B68" s="14">
        <v>40.082700000000003</v>
      </c>
      <c r="C68" s="14"/>
      <c r="D68" s="14" cm="1">
        <f t="array" ref="D68">G(A68,$B$3,$B$4,H$5:L$5)</f>
        <v>39.646522654822022</v>
      </c>
      <c r="E68" s="14"/>
      <c r="F68" s="14">
        <f t="shared" si="3"/>
        <v>-0.43617734517798112</v>
      </c>
      <c r="N68" s="14">
        <v>450</v>
      </c>
      <c r="O68" s="14">
        <v>36.9846</v>
      </c>
      <c r="P68" s="14"/>
      <c r="Q68" s="14" cm="1">
        <f t="array" ref="Q68">G(N68,$O$3,$O$4,$U$5:$Y$5)</f>
        <v>40.934979614513303</v>
      </c>
      <c r="R68" s="14"/>
      <c r="S68" s="14">
        <f t="shared" si="4"/>
        <v>3.9503796145133023</v>
      </c>
      <c r="AA68" s="14">
        <v>450</v>
      </c>
      <c r="AB68" s="14">
        <v>35.174300000000002</v>
      </c>
      <c r="AC68" s="14"/>
      <c r="AD68" s="14" cm="1">
        <f t="array" ref="AD68">G(AA68,$AB$3,$AB$4,AH$5:AL$5)</f>
        <v>39.941451693769714</v>
      </c>
      <c r="AE68" s="14"/>
      <c r="AF68" s="14">
        <f t="shared" si="5"/>
        <v>4.767151693769712</v>
      </c>
    </row>
    <row r="69" spans="1:32" x14ac:dyDescent="0.25">
      <c r="A69" s="14">
        <v>445</v>
      </c>
      <c r="B69" s="14">
        <v>40.006399999999999</v>
      </c>
      <c r="C69" s="14"/>
      <c r="D69" s="14" cm="1">
        <f t="array" ref="D69">G(A69,$B$3,$B$4,H$5:L$5)</f>
        <v>39.611243349387969</v>
      </c>
      <c r="E69" s="14"/>
      <c r="F69" s="14">
        <f t="shared" si="3"/>
        <v>-0.39515665061203009</v>
      </c>
      <c r="N69" s="14">
        <v>460</v>
      </c>
      <c r="O69" s="14">
        <v>36.813899999999997</v>
      </c>
      <c r="P69" s="14"/>
      <c r="Q69" s="14" cm="1">
        <f t="array" ref="Q69">G(N69,$O$3,$O$4,$U$5:$Y$5)</f>
        <v>40.851494956372505</v>
      </c>
      <c r="R69" s="14"/>
      <c r="S69" s="14">
        <f t="shared" si="4"/>
        <v>4.0375949563725086</v>
      </c>
      <c r="AA69" s="14">
        <v>460</v>
      </c>
      <c r="AB69" s="14">
        <v>35.196599999999997</v>
      </c>
      <c r="AC69" s="14"/>
      <c r="AD69" s="14" cm="1">
        <f t="array" ref="AD69">G(AA69,$AB$3,$AB$4,AH$5:AL$5)</f>
        <v>39.891915446037011</v>
      </c>
      <c r="AE69" s="14"/>
      <c r="AF69" s="14">
        <f t="shared" si="5"/>
        <v>4.6953154460370143</v>
      </c>
    </row>
    <row r="70" spans="1:32" x14ac:dyDescent="0.25">
      <c r="A70" s="14">
        <v>450</v>
      </c>
      <c r="B70" s="14">
        <v>39.702399999999997</v>
      </c>
      <c r="C70" s="14"/>
      <c r="D70" s="14" cm="1">
        <f t="array" ref="D70">G(A70,$B$3,$B$4,H$5:L$5)</f>
        <v>39.577150058666206</v>
      </c>
      <c r="E70" s="14"/>
      <c r="F70" s="14">
        <f t="shared" si="3"/>
        <v>-0.12524994133379153</v>
      </c>
      <c r="N70" s="14">
        <v>470</v>
      </c>
      <c r="O70" s="14">
        <v>36.723399999999998</v>
      </c>
      <c r="P70" s="14"/>
      <c r="Q70" s="14" cm="1">
        <f t="array" ref="Q70">G(N70,$O$3,$O$4,$U$5:$Y$5)</f>
        <v>40.770633363096209</v>
      </c>
      <c r="R70" s="14"/>
      <c r="S70" s="14">
        <f t="shared" si="4"/>
        <v>4.0472333630962112</v>
      </c>
      <c r="AA70" s="14">
        <v>470</v>
      </c>
      <c r="AB70" s="14">
        <v>35.264400000000002</v>
      </c>
      <c r="AC70" s="14"/>
      <c r="AD70" s="14" cm="1">
        <f t="array" ref="AD70">G(AA70,$AB$3,$AB$4,AH$5:AL$5)</f>
        <v>39.845078869999334</v>
      </c>
      <c r="AE70" s="14"/>
      <c r="AF70" s="14">
        <f t="shared" si="5"/>
        <v>4.5806788699993319</v>
      </c>
    </row>
    <row r="71" spans="1:32" x14ac:dyDescent="0.25">
      <c r="A71" s="14">
        <v>460</v>
      </c>
      <c r="B71" s="14">
        <v>39.456800000000001</v>
      </c>
      <c r="C71" s="14"/>
      <c r="D71" s="14" cm="1">
        <f t="array" ref="D71">G(A71,$B$3,$B$4,H$5:L$5)</f>
        <v>39.512361714371103</v>
      </c>
      <c r="E71" s="14"/>
      <c r="F71" s="14">
        <f t="shared" si="3"/>
        <v>5.55617143711018E-2</v>
      </c>
      <c r="N71" s="14">
        <v>480</v>
      </c>
      <c r="O71" s="14">
        <v>36.720500000000001</v>
      </c>
      <c r="P71" s="14"/>
      <c r="Q71" s="14" cm="1">
        <f t="array" ref="Q71">G(N71,$O$3,$O$4,$U$5:$Y$5)</f>
        <v>40.692254634718779</v>
      </c>
      <c r="R71" s="14"/>
      <c r="S71" s="14">
        <f t="shared" si="4"/>
        <v>3.9717546347187778</v>
      </c>
      <c r="AA71" s="14">
        <v>480</v>
      </c>
      <c r="AB71" s="14">
        <v>35.033200000000001</v>
      </c>
      <c r="AC71" s="14"/>
      <c r="AD71" s="14" cm="1">
        <f t="array" ref="AD71">G(AA71,$AB$3,$AB$4,AH$5:AL$5)</f>
        <v>39.800760542615251</v>
      </c>
      <c r="AE71" s="14"/>
      <c r="AF71" s="14">
        <f t="shared" si="5"/>
        <v>4.7675605426152501</v>
      </c>
    </row>
    <row r="72" spans="1:32" x14ac:dyDescent="0.25">
      <c r="A72" s="14">
        <v>470</v>
      </c>
      <c r="B72" s="14">
        <v>39.377899999999997</v>
      </c>
      <c r="C72" s="14"/>
      <c r="D72" s="14" cm="1">
        <f t="array" ref="D72">G(A72,$B$3,$B$4,H$5:L$5)</f>
        <v>39.451854651332617</v>
      </c>
      <c r="E72" s="14"/>
      <c r="F72" s="14">
        <f t="shared" si="3"/>
        <v>7.3954651332620358E-2</v>
      </c>
      <c r="N72" s="14">
        <v>490</v>
      </c>
      <c r="O72" s="14">
        <v>36.604500000000002</v>
      </c>
      <c r="P72" s="14"/>
      <c r="Q72" s="14" cm="1">
        <f t="array" ref="Q72">G(N72,$O$3,$O$4,$U$5:$Y$5)</f>
        <v>40.616228959074277</v>
      </c>
      <c r="R72" s="14"/>
      <c r="S72" s="14">
        <f t="shared" si="4"/>
        <v>4.0117289590742757</v>
      </c>
      <c r="AA72" s="14">
        <v>490</v>
      </c>
      <c r="AB72" s="14">
        <v>34.816899999999997</v>
      </c>
      <c r="AC72" s="14"/>
      <c r="AD72" s="14" cm="1">
        <f t="array" ref="AD72">G(AA72,$AB$3,$AB$4,AH$5:AL$5)</f>
        <v>39.75879449490148</v>
      </c>
      <c r="AE72" s="14"/>
      <c r="AF72" s="14">
        <f t="shared" si="5"/>
        <v>4.9418944949014829</v>
      </c>
    </row>
    <row r="73" spans="1:32" x14ac:dyDescent="0.25">
      <c r="A73" s="14">
        <v>480</v>
      </c>
      <c r="B73" s="14">
        <v>39.214599999999997</v>
      </c>
      <c r="C73" s="14"/>
      <c r="D73" s="14" cm="1">
        <f t="array" ref="D73">G(A73,$B$3,$B$4,H$5:L$5)</f>
        <v>39.395350649596587</v>
      </c>
      <c r="E73" s="14"/>
      <c r="F73" s="14">
        <f t="shared" ref="F73:F104" si="6">D73-B73</f>
        <v>0.1807506495965896</v>
      </c>
      <c r="N73" s="14">
        <v>500</v>
      </c>
      <c r="O73" s="14">
        <v>36.311300000000003</v>
      </c>
      <c r="P73" s="14"/>
      <c r="Q73" s="14" cm="1">
        <f t="array" ref="Q73">G(N73,$O$3,$O$4,$U$5:$Y$5)</f>
        <v>40.54243593867654</v>
      </c>
      <c r="R73" s="14"/>
      <c r="S73" s="14">
        <f t="shared" ref="S73:S104" si="7">Q73-O73</f>
        <v>4.2311359386765375</v>
      </c>
      <c r="AA73" s="14">
        <v>500</v>
      </c>
      <c r="AB73" s="14">
        <v>34.685699999999997</v>
      </c>
      <c r="AC73" s="14"/>
      <c r="AD73" s="14" cm="1">
        <f t="array" ref="AD73">G(AA73,$AB$3,$AB$4,AH$5:AL$5)</f>
        <v>39.719028615813642</v>
      </c>
      <c r="AE73" s="14"/>
      <c r="AF73" s="14">
        <f t="shared" ref="AF73:AF95" si="8">AD73-AB73</f>
        <v>5.0333286158136445</v>
      </c>
    </row>
    <row r="74" spans="1:32" x14ac:dyDescent="0.25">
      <c r="A74" s="14">
        <v>490</v>
      </c>
      <c r="B74" s="14">
        <v>39.076000000000001</v>
      </c>
      <c r="C74" s="14"/>
      <c r="D74" s="14" cm="1">
        <f t="array" ref="D74">G(A74,$B$3,$B$4,H$5:L$5)</f>
        <v>39.342593794215048</v>
      </c>
      <c r="E74" s="14"/>
      <c r="F74" s="14">
        <f t="shared" si="6"/>
        <v>0.26659379421504781</v>
      </c>
      <c r="N74" s="14">
        <v>510</v>
      </c>
      <c r="O74" s="14">
        <v>36.077500000000001</v>
      </c>
      <c r="P74" s="14"/>
      <c r="Q74" s="14" cm="1">
        <f t="array" ref="Q74">G(N74,$O$3,$O$4,$U$5:$Y$5)</f>
        <v>40.470763726936447</v>
      </c>
      <c r="R74" s="14"/>
      <c r="S74" s="14">
        <f t="shared" si="7"/>
        <v>4.3932637269364463</v>
      </c>
      <c r="AA74" s="14">
        <v>510</v>
      </c>
      <c r="AB74" s="14">
        <v>34.584200000000003</v>
      </c>
      <c r="AC74" s="14"/>
      <c r="AD74" s="14" cm="1">
        <f t="array" ref="AD74">G(AA74,$AB$3,$AB$4,AH$5:AL$5)</f>
        <v>39.68132324907095</v>
      </c>
      <c r="AE74" s="14"/>
      <c r="AF74" s="14">
        <f t="shared" si="8"/>
        <v>5.0971232490709468</v>
      </c>
    </row>
    <row r="75" spans="1:32" x14ac:dyDescent="0.25">
      <c r="A75" s="14">
        <v>500</v>
      </c>
      <c r="B75" s="14">
        <v>38.979799999999997</v>
      </c>
      <c r="C75" s="14"/>
      <c r="D75" s="14" cm="1">
        <f t="array" ref="D75">G(A75,$B$3,$B$4,H$5:L$5)</f>
        <v>39.293348313455695</v>
      </c>
      <c r="E75" s="14"/>
      <c r="F75" s="14">
        <f t="shared" si="6"/>
        <v>0.31354831345569778</v>
      </c>
      <c r="N75" s="14">
        <v>520</v>
      </c>
      <c r="O75" s="14">
        <v>35.881500000000003</v>
      </c>
      <c r="P75" s="14"/>
      <c r="Q75" s="14" cm="1">
        <f t="array" ref="Q75">G(N75,$O$3,$O$4,$U$5:$Y$5)</f>
        <v>40.401108259474114</v>
      </c>
      <c r="R75" s="14"/>
      <c r="S75" s="14">
        <f t="shared" si="7"/>
        <v>4.5196082594741114</v>
      </c>
      <c r="AA75" s="14">
        <v>520</v>
      </c>
      <c r="AB75" s="14">
        <v>34.672699999999999</v>
      </c>
      <c r="AC75" s="14"/>
      <c r="AD75" s="14" cm="1">
        <f t="array" ref="AD75">G(AA75,$AB$3,$AB$4,AH$5:AL$5)</f>
        <v>39.645549956327166</v>
      </c>
      <c r="AE75" s="14"/>
      <c r="AF75" s="14">
        <f t="shared" si="8"/>
        <v>4.9728499563271669</v>
      </c>
    </row>
    <row r="76" spans="1:32" x14ac:dyDescent="0.25">
      <c r="A76" s="14">
        <v>510</v>
      </c>
      <c r="B76" s="14">
        <v>38.8309</v>
      </c>
      <c r="C76" s="14"/>
      <c r="D76" s="14" cm="1">
        <f t="array" ref="D76">G(A76,$B$3,$B$4,H$5:L$5)</f>
        <v>39.247396663085894</v>
      </c>
      <c r="E76" s="14"/>
      <c r="F76" s="14">
        <f t="shared" si="6"/>
        <v>0.41649666308589417</v>
      </c>
      <c r="N76" s="14">
        <v>530</v>
      </c>
      <c r="O76" s="14">
        <v>35.759</v>
      </c>
      <c r="P76" s="14"/>
      <c r="Q76" s="14" cm="1">
        <f t="array" ref="Q76">G(N76,$O$3,$O$4,$U$5:$Y$5)</f>
        <v>40.333372568391312</v>
      </c>
      <c r="R76" s="14"/>
      <c r="S76" s="14">
        <f t="shared" si="7"/>
        <v>4.5743725683913112</v>
      </c>
      <c r="AA76" s="14">
        <v>530</v>
      </c>
      <c r="AB76" s="14">
        <v>34.697000000000003</v>
      </c>
      <c r="AC76" s="14"/>
      <c r="AD76" s="14" cm="1">
        <f t="array" ref="AD76">G(AA76,$AB$3,$AB$4,AH$5:AL$5)</f>
        <v>39.611590424190382</v>
      </c>
      <c r="AE76" s="14"/>
      <c r="AF76" s="14">
        <f t="shared" si="8"/>
        <v>4.9145904241903793</v>
      </c>
    </row>
    <row r="77" spans="1:32" x14ac:dyDescent="0.25">
      <c r="A77" s="14">
        <v>520</v>
      </c>
      <c r="B77" s="14">
        <v>38.739800000000002</v>
      </c>
      <c r="C77" s="14"/>
      <c r="D77" s="14" cm="1">
        <f t="array" ref="D77">G(A77,$B$3,$B$4,H$5:L$5)</f>
        <v>39.20453782461739</v>
      </c>
      <c r="E77" s="14"/>
      <c r="F77" s="14">
        <f t="shared" si="6"/>
        <v>0.46473782461738722</v>
      </c>
      <c r="N77" s="14">
        <v>540</v>
      </c>
      <c r="O77" s="14">
        <v>35.686399999999999</v>
      </c>
      <c r="P77" s="14"/>
      <c r="Q77" s="14" cm="1">
        <f t="array" ref="Q77">G(N77,$O$3,$O$4,$U$5:$Y$5)</f>
        <v>40.267466169115195</v>
      </c>
      <c r="R77" s="14"/>
      <c r="S77" s="14">
        <f t="shared" si="7"/>
        <v>4.5810661691151964</v>
      </c>
      <c r="AA77" s="14">
        <v>540</v>
      </c>
      <c r="AB77" s="14">
        <v>34.841200000000001</v>
      </c>
      <c r="AC77" s="14"/>
      <c r="AD77" s="14" cm="1">
        <f t="array" ref="AD77">G(AA77,$AB$3,$AB$4,AH$5:AL$5)</f>
        <v>39.579335495998052</v>
      </c>
      <c r="AE77" s="14"/>
      <c r="AF77" s="14">
        <f t="shared" si="8"/>
        <v>4.7381354959980513</v>
      </c>
    </row>
    <row r="78" spans="1:32" x14ac:dyDescent="0.25">
      <c r="A78" s="14">
        <v>530</v>
      </c>
      <c r="B78" s="14">
        <v>38.507800000000003</v>
      </c>
      <c r="C78" s="14"/>
      <c r="D78" s="14" cm="1">
        <f t="array" ref="D78">G(A78,$B$3,$B$4,H$5:L$5)</f>
        <v>39.164585790111204</v>
      </c>
      <c r="E78" s="14"/>
      <c r="F78" s="14">
        <f t="shared" si="6"/>
        <v>0.65678579011120064</v>
      </c>
      <c r="N78" s="14">
        <v>550</v>
      </c>
      <c r="O78" s="14">
        <v>35.700899999999997</v>
      </c>
      <c r="P78" s="14"/>
      <c r="Q78" s="14" cm="1">
        <f t="array" ref="Q78">G(N78,$O$3,$O$4,$U$5:$Y$5)</f>
        <v>40.203304510904324</v>
      </c>
      <c r="R78" s="14"/>
      <c r="S78" s="14">
        <f t="shared" si="7"/>
        <v>4.5024045109043271</v>
      </c>
      <c r="AA78" s="14">
        <v>550</v>
      </c>
      <c r="AB78" s="14">
        <v>34.619700000000002</v>
      </c>
      <c r="AC78" s="14"/>
      <c r="AD78" s="14" cm="1">
        <f t="array" ref="AD78">G(AA78,$AB$3,$AB$4,AH$5:AL$5)</f>
        <v>39.548684312091218</v>
      </c>
      <c r="AE78" s="14"/>
      <c r="AF78" s="14">
        <f t="shared" si="8"/>
        <v>4.9289843120912167</v>
      </c>
    </row>
    <row r="79" spans="1:32" x14ac:dyDescent="0.25">
      <c r="A79" s="14">
        <v>540</v>
      </c>
      <c r="B79" s="14">
        <v>38.2119</v>
      </c>
      <c r="C79" s="14"/>
      <c r="D79" s="14" cm="1">
        <f t="array" ref="D79">G(A79,$B$3,$B$4,H$5:L$5)</f>
        <v>39.127368210087525</v>
      </c>
      <c r="E79" s="14"/>
      <c r="F79" s="14">
        <f t="shared" si="6"/>
        <v>0.91546821008752488</v>
      </c>
      <c r="N79" s="14">
        <v>560</v>
      </c>
      <c r="O79" s="14">
        <v>35.694600000000001</v>
      </c>
      <c r="P79" s="14"/>
      <c r="Q79" s="14" cm="1">
        <f t="array" ref="Q79">G(N79,$O$3,$O$4,$U$5:$Y$5)</f>
        <v>40.140808483337352</v>
      </c>
      <c r="R79" s="14"/>
      <c r="S79" s="14">
        <f t="shared" si="7"/>
        <v>4.446208483337351</v>
      </c>
      <c r="AA79" s="14">
        <v>560</v>
      </c>
      <c r="AB79" s="14">
        <v>34.485100000000003</v>
      </c>
      <c r="AC79" s="14"/>
      <c r="AD79" s="14" cm="1">
        <f t="array" ref="AD79">G(AA79,$AB$3,$AB$4,AH$5:AL$5)</f>
        <v>39.519543544702074</v>
      </c>
      <c r="AE79" s="14"/>
      <c r="AF79" s="14">
        <f t="shared" si="8"/>
        <v>5.0344435447020714</v>
      </c>
    </row>
    <row r="80" spans="1:32" x14ac:dyDescent="0.25">
      <c r="A80" s="14">
        <v>550</v>
      </c>
      <c r="B80" s="14">
        <v>38.117199999999997</v>
      </c>
      <c r="C80" s="14"/>
      <c r="D80" s="14" cm="1">
        <f t="array" ref="D80">G(A80,$B$3,$B$4,H$5:L$5)</f>
        <v>39.092725184407797</v>
      </c>
      <c r="E80" s="14"/>
      <c r="F80" s="14">
        <f t="shared" si="6"/>
        <v>0.97552518440780034</v>
      </c>
      <c r="N80" s="14">
        <v>570</v>
      </c>
      <c r="O80" s="14">
        <v>35.390900000000002</v>
      </c>
      <c r="P80" s="14"/>
      <c r="Q80" s="14" cm="1">
        <f t="array" ref="Q80">G(N80,$O$3,$O$4,$U$5:$Y$5)</f>
        <v>40.079903972167642</v>
      </c>
      <c r="R80" s="14"/>
      <c r="S80" s="14">
        <f t="shared" si="7"/>
        <v>4.6890039721676402</v>
      </c>
      <c r="AA80" s="14">
        <v>570</v>
      </c>
      <c r="AB80" s="14">
        <v>34.4131</v>
      </c>
      <c r="AC80" s="14"/>
      <c r="AD80" s="14" cm="1">
        <f t="array" ref="AD80">G(AA80,$AB$3,$AB$4,AH$5:AL$5)</f>
        <v>39.491826715560727</v>
      </c>
      <c r="AE80" s="14"/>
      <c r="AF80" s="14">
        <f t="shared" si="8"/>
        <v>5.0787267155607267</v>
      </c>
    </row>
    <row r="81" spans="1:32" x14ac:dyDescent="0.25">
      <c r="A81" s="14">
        <v>560</v>
      </c>
      <c r="B81" s="14">
        <v>37.965800000000002</v>
      </c>
      <c r="C81" s="14"/>
      <c r="D81" s="14" cm="1">
        <f t="array" ref="D81">G(A81,$B$3,$B$4,H$5:L$5)</f>
        <v>39.060508178789156</v>
      </c>
      <c r="E81" s="14"/>
      <c r="F81" s="14">
        <f t="shared" si="6"/>
        <v>1.0947081787891548</v>
      </c>
      <c r="N81" s="14">
        <v>580</v>
      </c>
      <c r="O81" s="14">
        <v>35.4803</v>
      </c>
      <c r="P81" s="14"/>
      <c r="Q81" s="14" cm="1">
        <f t="array" ref="Q81">G(N81,$O$3,$O$4,$U$5:$Y$5)</f>
        <v>40.020521458799429</v>
      </c>
      <c r="R81" s="14"/>
      <c r="S81" s="14">
        <f t="shared" si="7"/>
        <v>4.5402214587994294</v>
      </c>
      <c r="AA81" s="14">
        <v>580</v>
      </c>
      <c r="AB81" s="14">
        <v>34.400799999999997</v>
      </c>
      <c r="AC81" s="14"/>
      <c r="AD81" s="14" cm="1">
        <f t="array" ref="AD81">G(AA81,$AB$3,$AB$4,AH$5:AL$5)</f>
        <v>39.465453586001622</v>
      </c>
      <c r="AE81" s="14"/>
      <c r="AF81" s="14">
        <f t="shared" si="8"/>
        <v>5.0646535860016257</v>
      </c>
    </row>
    <row r="82" spans="1:32" x14ac:dyDescent="0.25">
      <c r="A82" s="14">
        <v>570</v>
      </c>
      <c r="B82" s="14">
        <v>38.029299999999999</v>
      </c>
      <c r="C82" s="14"/>
      <c r="D82" s="14" cm="1">
        <f t="array" ref="D82">G(A82,$B$3,$B$4,H$5:L$5)</f>
        <v>39.03057905198078</v>
      </c>
      <c r="E82" s="14"/>
      <c r="F82" s="14">
        <f t="shared" si="6"/>
        <v>1.0012790519807808</v>
      </c>
      <c r="N82" s="14">
        <v>590</v>
      </c>
      <c r="O82" s="14">
        <v>35.057000000000002</v>
      </c>
      <c r="P82" s="14"/>
      <c r="Q82" s="14" cm="1">
        <f t="array" ref="Q82">G(N82,$O$3,$O$4,$U$5:$Y$5)</f>
        <v>39.96259565841148</v>
      </c>
      <c r="R82" s="14"/>
      <c r="S82" s="14">
        <f t="shared" si="7"/>
        <v>4.9055956584114782</v>
      </c>
      <c r="AA82" s="14">
        <v>590</v>
      </c>
      <c r="AB82" s="14">
        <v>34.388800000000003</v>
      </c>
      <c r="AC82" s="14"/>
      <c r="AD82" s="14" cm="1">
        <f t="array" ref="AD82">G(AA82,$AB$3,$AB$4,AH$5:AL$5)</f>
        <v>39.440349610765288</v>
      </c>
      <c r="AE82" s="14"/>
      <c r="AF82" s="14">
        <f t="shared" si="8"/>
        <v>5.0515496107652851</v>
      </c>
    </row>
    <row r="83" spans="1:32" x14ac:dyDescent="0.25">
      <c r="A83" s="14">
        <v>580</v>
      </c>
      <c r="B83" s="14">
        <v>37.885399999999997</v>
      </c>
      <c r="C83" s="14"/>
      <c r="D83" s="14" cm="1">
        <f t="array" ref="D83">G(A83,$B$3,$B$4,H$5:L$5)</f>
        <v>39.002809180640362</v>
      </c>
      <c r="E83" s="14"/>
      <c r="F83" s="14">
        <f t="shared" si="6"/>
        <v>1.1174091806403652</v>
      </c>
      <c r="N83" s="14">
        <v>600</v>
      </c>
      <c r="O83" s="14">
        <v>34.954000000000001</v>
      </c>
      <c r="P83" s="14"/>
      <c r="Q83" s="14" cm="1">
        <f t="array" ref="Q83">G(N83,$O$3,$O$4,$U$5:$Y$5)</f>
        <v>39.9060651923892</v>
      </c>
      <c r="R83" s="14"/>
      <c r="S83" s="14">
        <f t="shared" si="7"/>
        <v>4.952065192389199</v>
      </c>
      <c r="AA83" s="14">
        <v>600</v>
      </c>
      <c r="AB83" s="14">
        <v>34.530799999999999</v>
      </c>
      <c r="AC83" s="14"/>
      <c r="AD83" s="14" cm="1">
        <f t="array" ref="AD83">G(AA83,$AB$3,$AB$4,AH$5:AL$5)</f>
        <v>39.416445447889672</v>
      </c>
      <c r="AE83" s="14"/>
      <c r="AF83" s="14">
        <f t="shared" si="8"/>
        <v>4.8856454478896723</v>
      </c>
    </row>
    <row r="84" spans="1:32" x14ac:dyDescent="0.25">
      <c r="A84" s="14">
        <v>590</v>
      </c>
      <c r="B84" s="14">
        <v>37.774500000000003</v>
      </c>
      <c r="C84" s="14"/>
      <c r="D84" s="14" cm="1">
        <f t="array" ref="D84">G(A84,$B$3,$B$4,H$5:L$5)</f>
        <v>38.977078670656226</v>
      </c>
      <c r="E84" s="14"/>
      <c r="F84" s="14">
        <f t="shared" si="6"/>
        <v>1.2025786706562229</v>
      </c>
      <c r="N84" s="14">
        <v>610</v>
      </c>
      <c r="O84" s="14">
        <v>34.890099999999997</v>
      </c>
      <c r="P84" s="14"/>
      <c r="Q84" s="14" cm="1">
        <f t="array" ref="Q84">G(N84,$O$3,$O$4,$U$5:$Y$5)</f>
        <v>39.850872291282698</v>
      </c>
      <c r="R84" s="14"/>
      <c r="S84" s="14">
        <f t="shared" si="7"/>
        <v>4.9607722912827015</v>
      </c>
      <c r="AA84" s="14">
        <v>610</v>
      </c>
      <c r="AB84" s="14">
        <v>34.572400000000002</v>
      </c>
      <c r="AC84" s="14"/>
      <c r="AD84" s="14" cm="1">
        <f t="array" ref="AD84">G(AA84,$AB$3,$AB$4,AH$5:AL$5)</f>
        <v>39.393676518104193</v>
      </c>
      <c r="AE84" s="14"/>
      <c r="AF84" s="14">
        <f t="shared" si="8"/>
        <v>4.8212765181041917</v>
      </c>
    </row>
    <row r="85" spans="1:32" x14ac:dyDescent="0.25">
      <c r="A85" s="14">
        <v>600</v>
      </c>
      <c r="B85" s="14">
        <v>37.897199999999998</v>
      </c>
      <c r="C85" s="14"/>
      <c r="D85" s="14" cm="1">
        <f t="array" ref="D85">G(A85,$B$3,$B$4,H$5:L$5)</f>
        <v>38.953275645120208</v>
      </c>
      <c r="E85" s="14"/>
      <c r="F85" s="14">
        <f t="shared" si="6"/>
        <v>1.0560756451202096</v>
      </c>
      <c r="N85" s="14">
        <v>620</v>
      </c>
      <c r="O85" s="14">
        <v>34.909199999999998</v>
      </c>
      <c r="P85" s="14"/>
      <c r="Q85" s="14" cm="1">
        <f t="array" ref="Q85">G(N85,$O$3,$O$4,$U$5:$Y$5)</f>
        <v>39.796962524982014</v>
      </c>
      <c r="R85" s="14"/>
      <c r="S85" s="14">
        <f t="shared" si="7"/>
        <v>4.8877625249820156</v>
      </c>
      <c r="AA85" s="14">
        <v>620</v>
      </c>
      <c r="AB85" s="14">
        <v>34.735399999999998</v>
      </c>
      <c r="AC85" s="14"/>
      <c r="AD85" s="14" cm="1">
        <f t="array" ref="AD85">G(AA85,$AB$3,$AB$4,AH$5:AL$5)</f>
        <v>39.371982608006633</v>
      </c>
      <c r="AE85" s="14"/>
      <c r="AF85" s="14">
        <f t="shared" si="8"/>
        <v>4.6365826080066341</v>
      </c>
    </row>
    <row r="86" spans="1:32" x14ac:dyDescent="0.25">
      <c r="A86" s="14">
        <v>610</v>
      </c>
      <c r="B86" s="14">
        <v>37.631900000000002</v>
      </c>
      <c r="C86" s="14"/>
      <c r="D86" s="14" cm="1">
        <f t="array" ref="D86">G(A86,$B$3,$B$4,H$5:L$5)</f>
        <v>38.931295600412156</v>
      </c>
      <c r="E86" s="14"/>
      <c r="F86" s="14">
        <f t="shared" si="6"/>
        <v>1.2993956004121543</v>
      </c>
      <c r="N86" s="14">
        <v>630</v>
      </c>
      <c r="O86" s="14">
        <v>34.953899999999997</v>
      </c>
      <c r="P86" s="14"/>
      <c r="Q86" s="14" cm="1">
        <f t="array" ref="Q86">G(N86,$O$3,$O$4,$U$5:$Y$5)</f>
        <v>39.744284557206164</v>
      </c>
      <c r="R86" s="14"/>
      <c r="S86" s="14">
        <f t="shared" si="7"/>
        <v>4.790384557206167</v>
      </c>
      <c r="AA86" s="14">
        <v>630</v>
      </c>
      <c r="AB86" s="14">
        <v>34.636899999999997</v>
      </c>
      <c r="AC86" s="14"/>
      <c r="AD86" s="14" cm="1">
        <f t="array" ref="AD86">G(AA86,$AB$3,$AB$4,AH$5:AL$5)</f>
        <v>39.35130751204516</v>
      </c>
      <c r="AE86" s="14"/>
      <c r="AF86" s="14">
        <f t="shared" si="8"/>
        <v>4.7144075120451632</v>
      </c>
    </row>
    <row r="87" spans="1:32" x14ac:dyDescent="0.25">
      <c r="A87" s="14">
        <v>620</v>
      </c>
      <c r="B87" s="14">
        <v>37.260199999999998</v>
      </c>
      <c r="C87" s="14"/>
      <c r="D87" s="14" cm="1">
        <f t="array" ref="D87">G(A87,$B$3,$B$4,H$5:L$5)</f>
        <v>38.911040822917236</v>
      </c>
      <c r="E87" s="14"/>
      <c r="F87" s="14">
        <f t="shared" si="6"/>
        <v>1.6508408229172389</v>
      </c>
      <c r="N87" s="14">
        <v>640</v>
      </c>
      <c r="O87" s="14">
        <v>34.976900000000001</v>
      </c>
      <c r="P87" s="14"/>
      <c r="Q87" s="14" cm="1">
        <f t="array" ref="Q87">G(N87,$O$3,$O$4,$U$5:$Y$5)</f>
        <v>39.692789921755057</v>
      </c>
      <c r="R87" s="14"/>
      <c r="S87" s="14">
        <f t="shared" si="7"/>
        <v>4.7158899217550569</v>
      </c>
      <c r="AA87" s="14">
        <v>640</v>
      </c>
      <c r="AB87" s="14">
        <v>34.540599999999998</v>
      </c>
      <c r="AC87" s="14"/>
      <c r="AD87" s="14" cm="1">
        <f t="array" ref="AD87">G(AA87,$AB$3,$AB$4,AH$5:AL$5)</f>
        <v>39.331598708962836</v>
      </c>
      <c r="AE87" s="14"/>
      <c r="AF87" s="14">
        <f t="shared" si="8"/>
        <v>4.7909987089628387</v>
      </c>
    </row>
    <row r="88" spans="1:32" x14ac:dyDescent="0.25">
      <c r="A88" s="14">
        <v>630</v>
      </c>
      <c r="B88" s="14">
        <v>37.1785</v>
      </c>
      <c r="C88" s="14"/>
      <c r="D88" s="14" cm="1">
        <f t="array" ref="D88">G(A88,$B$3,$B$4,H$5:L$5)</f>
        <v>38.892419859833474</v>
      </c>
      <c r="E88" s="14"/>
      <c r="F88" s="14">
        <f t="shared" si="6"/>
        <v>1.7139198598334744</v>
      </c>
      <c r="N88" s="14">
        <v>650</v>
      </c>
      <c r="O88" s="14">
        <v>34.783799999999999</v>
      </c>
      <c r="P88" s="14"/>
      <c r="Q88" s="14" cm="1">
        <f t="array" ref="Q88">G(N88,$O$3,$O$4,$U$5:$Y$5)</f>
        <v>39.642432818278081</v>
      </c>
      <c r="R88" s="14"/>
      <c r="S88" s="14">
        <f t="shared" si="7"/>
        <v>4.8586328182780818</v>
      </c>
      <c r="AA88" s="14">
        <v>650</v>
      </c>
      <c r="AB88" s="14">
        <v>34.4831</v>
      </c>
      <c r="AC88" s="14"/>
      <c r="AD88" s="14" cm="1">
        <f t="array" ref="AD88">G(AA88,$AB$3,$AB$4,AH$5:AL$5)</f>
        <v>39.312807068907119</v>
      </c>
      <c r="AE88" s="14"/>
      <c r="AF88" s="14">
        <f t="shared" si="8"/>
        <v>4.8297070689071191</v>
      </c>
    </row>
    <row r="89" spans="1:32" x14ac:dyDescent="0.25">
      <c r="A89" s="14">
        <v>640</v>
      </c>
      <c r="B89" s="14">
        <v>37.144399999999997</v>
      </c>
      <c r="C89" s="14"/>
      <c r="D89" s="14" cm="1">
        <f t="array" ref="D89">G(A89,$B$3,$B$4,H$5:L$5)</f>
        <v>38.875347038313677</v>
      </c>
      <c r="E89" s="14"/>
      <c r="F89" s="14">
        <f t="shared" si="6"/>
        <v>1.7309470383136798</v>
      </c>
      <c r="N89" s="14">
        <v>660</v>
      </c>
      <c r="O89" s="14">
        <v>34.616599999999998</v>
      </c>
      <c r="P89" s="14"/>
      <c r="Q89" s="14" cm="1">
        <f t="array" ref="Q89">G(N89,$O$3,$O$4,$U$5:$Y$5)</f>
        <v>39.593169925577435</v>
      </c>
      <c r="R89" s="14"/>
      <c r="S89" s="14">
        <f t="shared" si="7"/>
        <v>4.9765699255774365</v>
      </c>
      <c r="AA89" s="14">
        <v>660</v>
      </c>
      <c r="AB89" s="14">
        <v>34.462600000000002</v>
      </c>
      <c r="AC89" s="14"/>
      <c r="AD89" s="14" cm="1">
        <f t="array" ref="AD89">G(AA89,$AB$3,$AB$4,AH$5:AL$5)</f>
        <v>39.294886587877222</v>
      </c>
      <c r="AE89" s="14"/>
      <c r="AF89" s="14">
        <f t="shared" si="8"/>
        <v>4.8322865878772205</v>
      </c>
    </row>
    <row r="90" spans="1:32" x14ac:dyDescent="0.25">
      <c r="A90" s="14">
        <v>650</v>
      </c>
      <c r="B90" s="14">
        <v>37.042099999999998</v>
      </c>
      <c r="C90" s="14"/>
      <c r="D90" s="14" cm="1">
        <f t="array" ref="D90">G(A90,$B$3,$B$4,H$5:L$5)</f>
        <v>38.859742027882227</v>
      </c>
      <c r="E90" s="14"/>
      <c r="F90" s="14">
        <f t="shared" si="6"/>
        <v>1.8176420278822292</v>
      </c>
      <c r="N90" s="14">
        <v>670</v>
      </c>
      <c r="O90" s="14">
        <v>34.512300000000003</v>
      </c>
      <c r="P90" s="14"/>
      <c r="Q90" s="14" cm="1">
        <f t="array" ref="Q90">G(N90,$O$3,$O$4,$U$5:$Y$5)</f>
        <v>39.544960230688091</v>
      </c>
      <c r="R90" s="14"/>
      <c r="S90" s="14">
        <f t="shared" si="7"/>
        <v>5.0326602306880872</v>
      </c>
      <c r="AA90" s="14">
        <v>670</v>
      </c>
      <c r="AB90" s="14">
        <v>34.495199999999997</v>
      </c>
      <c r="AC90" s="14"/>
      <c r="AD90" s="14" cm="1">
        <f t="array" ref="AD90">G(AA90,$AB$3,$AB$4,AH$5:AL$5)</f>
        <v>39.27779414658756</v>
      </c>
      <c r="AE90" s="14"/>
      <c r="AF90" s="14">
        <f t="shared" si="8"/>
        <v>4.782594146587563</v>
      </c>
    </row>
    <row r="91" spans="1:32" x14ac:dyDescent="0.25">
      <c r="A91" s="14">
        <v>660</v>
      </c>
      <c r="B91" s="14">
        <v>36.7789</v>
      </c>
      <c r="C91" s="14"/>
      <c r="D91" s="14" cm="1">
        <f t="array" ref="D91">G(A91,$B$3,$B$4,H$5:L$5)</f>
        <v>38.845529441656232</v>
      </c>
      <c r="E91" s="14"/>
      <c r="F91" s="14">
        <f t="shared" si="6"/>
        <v>2.0666294416562323</v>
      </c>
      <c r="N91" s="14">
        <v>680</v>
      </c>
      <c r="O91" s="14">
        <v>34.450099999999999</v>
      </c>
      <c r="P91" s="14"/>
      <c r="Q91" s="14" cm="1">
        <f t="array" ref="Q91">G(N91,$O$3,$O$4,$U$5:$Y$5)</f>
        <v>39.497764872186842</v>
      </c>
      <c r="R91" s="14"/>
      <c r="S91" s="14">
        <f t="shared" si="7"/>
        <v>5.0476648721868429</v>
      </c>
      <c r="AA91" s="14">
        <v>680</v>
      </c>
      <c r="AB91" s="14">
        <v>34.544400000000003</v>
      </c>
      <c r="AC91" s="14"/>
      <c r="AD91" s="14" cm="1">
        <f t="array" ref="AD91">G(AA91,$AB$3,$AB$4,AH$5:AL$5)</f>
        <v>39.261489291175778</v>
      </c>
      <c r="AE91" s="14"/>
      <c r="AF91" s="14">
        <f t="shared" si="8"/>
        <v>4.7170892911757747</v>
      </c>
    </row>
    <row r="92" spans="1:32" x14ac:dyDescent="0.25">
      <c r="A92" s="14">
        <v>670</v>
      </c>
      <c r="B92" s="14">
        <v>36.7376</v>
      </c>
      <c r="C92" s="14"/>
      <c r="D92" s="14" cm="1">
        <f t="array" ref="D92">G(A92,$B$3,$B$4,H$5:L$5)</f>
        <v>38.832638472432336</v>
      </c>
      <c r="E92" s="14"/>
      <c r="F92" s="14">
        <f t="shared" si="6"/>
        <v>2.0950384724323357</v>
      </c>
      <c r="N92" s="14">
        <v>690</v>
      </c>
      <c r="O92" s="14">
        <v>34.418300000000002</v>
      </c>
      <c r="P92" s="14"/>
      <c r="Q92" s="14" cm="1">
        <f t="array" ref="Q92">G(N92,$O$3,$O$4,$U$5:$Y$5)</f>
        <v>39.451546996341683</v>
      </c>
      <c r="R92" s="14"/>
      <c r="S92" s="14">
        <f t="shared" si="7"/>
        <v>5.0332469963416813</v>
      </c>
      <c r="AA92" s="14">
        <v>690</v>
      </c>
      <c r="AB92" s="14">
        <v>34.6267</v>
      </c>
      <c r="AC92" s="14"/>
      <c r="AD92" s="14" cm="1">
        <f t="array" ref="AD92">G(AA92,$AB$3,$AB$4,AH$5:AL$5)</f>
        <v>39.245934033489057</v>
      </c>
      <c r="AE92" s="14"/>
      <c r="AF92" s="14">
        <f t="shared" si="8"/>
        <v>4.6192340334890574</v>
      </c>
    </row>
    <row r="93" spans="1:32" x14ac:dyDescent="0.25">
      <c r="A93" s="14">
        <v>680</v>
      </c>
      <c r="B93" s="14">
        <v>36.938499999999998</v>
      </c>
      <c r="C93" s="14"/>
      <c r="D93" s="14" cm="1">
        <f t="array" ref="D93">G(A93,$B$3,$B$4,H$5:L$5)</f>
        <v>38.821002560134438</v>
      </c>
      <c r="E93" s="14"/>
      <c r="F93" s="14">
        <f t="shared" si="6"/>
        <v>1.8825025601344407</v>
      </c>
      <c r="N93" s="14">
        <v>700</v>
      </c>
      <c r="O93" s="14">
        <v>34.453499999999998</v>
      </c>
      <c r="P93" s="14"/>
      <c r="Q93" s="14" cm="1">
        <f t="array" ref="Q93">G(N93,$O$3,$O$4,$U$5:$Y$5)</f>
        <v>39.406271624881434</v>
      </c>
      <c r="R93" s="14"/>
      <c r="S93" s="14">
        <f t="shared" si="7"/>
        <v>4.9527716248814357</v>
      </c>
      <c r="AA93" s="14">
        <v>700</v>
      </c>
      <c r="AB93" s="14">
        <v>34.740900000000003</v>
      </c>
      <c r="AC93" s="14"/>
      <c r="AD93" s="14" cm="1">
        <f t="array" ref="AD93">G(AA93,$AB$3,$AB$4,AH$5:AL$5)</f>
        <v>39.231092668945685</v>
      </c>
      <c r="AE93" s="14"/>
      <c r="AF93" s="14">
        <f t="shared" si="8"/>
        <v>4.4901926689456815</v>
      </c>
    </row>
    <row r="94" spans="1:32" x14ac:dyDescent="0.25">
      <c r="A94" s="14">
        <v>690</v>
      </c>
      <c r="B94" s="14">
        <v>36.7254</v>
      </c>
      <c r="C94" s="14"/>
      <c r="D94" s="14" cm="1">
        <f t="array" ref="D94">G(A94,$B$3,$B$4,H$5:L$5)</f>
        <v>38.810559087534244</v>
      </c>
      <c r="E94" s="14"/>
      <c r="F94" s="14">
        <f t="shared" si="6"/>
        <v>2.0851590875342438</v>
      </c>
      <c r="N94" s="14">
        <v>710</v>
      </c>
      <c r="O94" s="14">
        <v>34.4878</v>
      </c>
      <c r="P94" s="14"/>
      <c r="Q94" s="14" cm="1">
        <f t="array" ref="Q94">G(N94,$O$3,$O$4,$U$5:$Y$5)</f>
        <v>39.361905533285451</v>
      </c>
      <c r="R94" s="14"/>
      <c r="S94" s="14">
        <f t="shared" si="7"/>
        <v>4.8741055332854515</v>
      </c>
      <c r="AA94" s="14">
        <v>710</v>
      </c>
      <c r="AB94" s="14">
        <v>34.869399999999999</v>
      </c>
      <c r="AC94" s="14"/>
      <c r="AD94" s="14" cm="1">
        <f t="array" ref="AD94">G(AA94,$AB$3,$AB$4,AH$5:AL$5)</f>
        <v>39.216931610200085</v>
      </c>
      <c r="AE94" s="14"/>
      <c r="AF94" s="14">
        <f t="shared" si="8"/>
        <v>4.347531610200086</v>
      </c>
    </row>
    <row r="95" spans="1:32" x14ac:dyDescent="0.25">
      <c r="A95" s="14">
        <v>700</v>
      </c>
      <c r="B95" s="14">
        <v>36.7271</v>
      </c>
      <c r="C95" s="14"/>
      <c r="D95" s="14" cm="1">
        <f t="array" ref="D95">G(A95,$B$3,$B$4,H$5:L$5)</f>
        <v>38.801249101479272</v>
      </c>
      <c r="E95" s="14"/>
      <c r="F95" s="14">
        <f t="shared" si="6"/>
        <v>2.0741491014792715</v>
      </c>
      <c r="N95" s="14">
        <v>720</v>
      </c>
      <c r="O95" s="14">
        <v>34.567399999999999</v>
      </c>
      <c r="P95" s="14"/>
      <c r="Q95" s="14" cm="1">
        <f t="array" ref="Q95">G(N95,$O$3,$O$4,$U$5:$Y$5)</f>
        <v>39.318417138620305</v>
      </c>
      <c r="R95" s="14"/>
      <c r="S95" s="14">
        <f t="shared" si="7"/>
        <v>4.7510171386203055</v>
      </c>
      <c r="AA95" s="14">
        <v>720</v>
      </c>
      <c r="AB95" s="14">
        <v>35.017299999999999</v>
      </c>
      <c r="AC95" s="14"/>
      <c r="AD95" s="14" cm="1">
        <f t="array" ref="AD95">G(AA95,$AB$3,$AB$4,AH$5:AL$5)</f>
        <v>39.20341923503949</v>
      </c>
      <c r="AE95" s="14"/>
      <c r="AF95" s="14">
        <f t="shared" si="8"/>
        <v>4.1861192350394916</v>
      </c>
    </row>
    <row r="96" spans="1:32" x14ac:dyDescent="0.25">
      <c r="A96" s="14">
        <v>710</v>
      </c>
      <c r="B96" s="14">
        <v>36.634700000000002</v>
      </c>
      <c r="C96" s="14"/>
      <c r="D96" s="14" cm="1">
        <f t="array" ref="D96">G(A96,$B$3,$B$4,H$5:L$5)</f>
        <v>38.793017057184144</v>
      </c>
      <c r="E96" s="14"/>
      <c r="F96" s="14">
        <f t="shared" si="6"/>
        <v>2.1583170571841421</v>
      </c>
      <c r="N96" s="14">
        <v>730</v>
      </c>
      <c r="O96" s="14">
        <v>34.606699999999996</v>
      </c>
      <c r="P96" s="14"/>
      <c r="Q96" s="14" cm="1">
        <f t="array" ref="Q96">G(N96,$O$3,$O$4,$U$5:$Y$5)</f>
        <v>39.275776396047014</v>
      </c>
      <c r="R96" s="14"/>
      <c r="S96" s="14">
        <f t="shared" si="7"/>
        <v>4.6690763960470179</v>
      </c>
    </row>
    <row r="97" spans="1:19" x14ac:dyDescent="0.25">
      <c r="A97" s="14">
        <v>720</v>
      </c>
      <c r="B97" s="14">
        <v>36.442300000000003</v>
      </c>
      <c r="C97" s="14"/>
      <c r="D97" s="14" cm="1">
        <f t="array" ref="D97">G(A97,$B$3,$B$4,H$5:L$5)</f>
        <v>38.785810583394031</v>
      </c>
      <c r="E97" s="14"/>
      <c r="F97" s="14">
        <f t="shared" si="6"/>
        <v>2.3435105833940284</v>
      </c>
      <c r="N97" s="14">
        <v>740</v>
      </c>
      <c r="O97" s="14">
        <v>34.478499999999997</v>
      </c>
      <c r="P97" s="14"/>
      <c r="Q97" s="14" cm="1">
        <f t="array" ref="Q97">G(N97,$O$3,$O$4,$U$5:$Y$5)</f>
        <v>39.233954703218863</v>
      </c>
      <c r="R97" s="14"/>
      <c r="S97" s="14">
        <f t="shared" si="7"/>
        <v>4.7554547032188665</v>
      </c>
    </row>
    <row r="98" spans="1:19" x14ac:dyDescent="0.25">
      <c r="A98" s="14">
        <v>730</v>
      </c>
      <c r="B98" s="14">
        <v>36.254800000000003</v>
      </c>
      <c r="C98" s="14"/>
      <c r="D98" s="14" cm="1">
        <f t="array" ref="D98">G(A98,$B$3,$B$4,H$5:L$5)</f>
        <v>38.779580266470113</v>
      </c>
      <c r="E98" s="14"/>
      <c r="F98" s="14">
        <f t="shared" si="6"/>
        <v>2.5247802664701098</v>
      </c>
      <c r="N98" s="14">
        <v>750</v>
      </c>
      <c r="O98" s="14">
        <v>34.365299999999998</v>
      </c>
      <c r="P98" s="14"/>
      <c r="Q98" s="14" cm="1">
        <f t="array" ref="Q98">G(N98,$O$3,$O$4,$U$5:$Y$5)</f>
        <v>39.192924811864138</v>
      </c>
      <c r="R98" s="14"/>
      <c r="S98" s="14">
        <f t="shared" si="7"/>
        <v>4.8276248118641405</v>
      </c>
    </row>
    <row r="99" spans="1:19" x14ac:dyDescent="0.25">
      <c r="A99" s="14">
        <v>740</v>
      </c>
      <c r="B99" s="14">
        <v>36.314300000000003</v>
      </c>
      <c r="C99" s="14"/>
      <c r="D99" s="14" cm="1">
        <f t="array" ref="D99">G(A99,$B$3,$B$4,H$5:L$5)</f>
        <v>38.774279451644738</v>
      </c>
      <c r="E99" s="14"/>
      <c r="F99" s="14">
        <f t="shared" si="6"/>
        <v>2.4599794516447346</v>
      </c>
      <c r="N99" s="14">
        <v>760</v>
      </c>
      <c r="O99" s="14">
        <v>34.276400000000002</v>
      </c>
      <c r="P99" s="14"/>
      <c r="Q99" s="14" cm="1">
        <f t="array" ref="Q99">G(N99,$O$3,$O$4,$U$5:$Y$5)</f>
        <v>39.152660745926738</v>
      </c>
      <c r="R99" s="14"/>
      <c r="S99" s="14">
        <f t="shared" si="7"/>
        <v>4.8762607459267358</v>
      </c>
    </row>
    <row r="100" spans="1:19" x14ac:dyDescent="0.25">
      <c r="A100" s="14">
        <v>750</v>
      </c>
      <c r="B100" s="14">
        <v>36.061900000000001</v>
      </c>
      <c r="C100" s="14"/>
      <c r="D100" s="14" cm="1">
        <f t="array" ref="D100">G(A100,$B$3,$B$4,H$5:L$5)</f>
        <v>38.769864059890331</v>
      </c>
      <c r="E100" s="14"/>
      <c r="F100" s="14">
        <f t="shared" si="6"/>
        <v>2.7079640598903296</v>
      </c>
      <c r="N100" s="14">
        <v>770</v>
      </c>
      <c r="O100" s="14">
        <v>34.267099999999999</v>
      </c>
      <c r="P100" s="14"/>
      <c r="Q100" s="14" cm="1">
        <f t="array" ref="Q100">G(N100,$O$3,$O$4,$U$5:$Y$5)</f>
        <v>39.113137725692788</v>
      </c>
      <c r="R100" s="14"/>
      <c r="S100" s="14">
        <f t="shared" si="7"/>
        <v>4.8460377256927885</v>
      </c>
    </row>
    <row r="101" spans="1:19" x14ac:dyDescent="0.25">
      <c r="A101" s="14">
        <v>760</v>
      </c>
      <c r="B101" s="14">
        <v>36.047400000000003</v>
      </c>
      <c r="C101" s="14"/>
      <c r="D101" s="14" cm="1">
        <f t="array" ref="D101">G(A101,$B$3,$B$4,H$5:L$5)</f>
        <v>38.766292418987653</v>
      </c>
      <c r="E101" s="14"/>
      <c r="F101" s="14">
        <f t="shared" si="6"/>
        <v>2.7188924189876502</v>
      </c>
      <c r="N101" s="14">
        <v>780</v>
      </c>
      <c r="O101" s="14">
        <v>34.236400000000003</v>
      </c>
      <c r="P101" s="14"/>
      <c r="Q101" s="14" cm="1">
        <f t="array" ref="Q101">G(N101,$O$3,$O$4,$U$5:$Y$5)</f>
        <v>39.074332097397779</v>
      </c>
      <c r="R101" s="14"/>
      <c r="S101" s="14">
        <f t="shared" si="7"/>
        <v>4.8379320973977755</v>
      </c>
    </row>
    <row r="102" spans="1:19" x14ac:dyDescent="0.25">
      <c r="A102" s="14">
        <v>770</v>
      </c>
      <c r="B102" s="14">
        <v>36.0381</v>
      </c>
      <c r="C102" s="14"/>
      <c r="D102" s="14" cm="1">
        <f t="array" ref="D102">G(A102,$B$3,$B$4,H$5:L$5)</f>
        <v>38.763525107535166</v>
      </c>
      <c r="E102" s="14"/>
      <c r="F102" s="14">
        <f t="shared" si="6"/>
        <v>2.7254251075351661</v>
      </c>
      <c r="N102" s="14">
        <v>790</v>
      </c>
      <c r="O102" s="14">
        <v>34.249299999999998</v>
      </c>
      <c r="P102" s="14"/>
      <c r="Q102" s="14" cm="1">
        <f t="array" ref="Q102">G(N102,$O$3,$O$4,$U$5:$Y$5)</f>
        <v>39.036221267841647</v>
      </c>
      <c r="R102" s="14"/>
      <c r="S102" s="14">
        <f t="shared" si="7"/>
        <v>4.7869212678416488</v>
      </c>
    </row>
    <row r="103" spans="1:19" x14ac:dyDescent="0.25">
      <c r="A103" s="14">
        <v>780</v>
      </c>
      <c r="B103" s="14">
        <v>36.1023</v>
      </c>
      <c r="C103" s="14"/>
      <c r="D103" s="14" cm="1">
        <f t="array" ref="D103">G(A103,$B$3,$B$4,H$5:L$5)</f>
        <v>38.761524810765863</v>
      </c>
      <c r="E103" s="14"/>
      <c r="F103" s="14">
        <f t="shared" si="6"/>
        <v>2.6592248107658634</v>
      </c>
      <c r="N103" s="14">
        <v>800</v>
      </c>
      <c r="O103" s="14">
        <v>34.293900000000001</v>
      </c>
      <c r="P103" s="14"/>
      <c r="Q103" s="14" cm="1">
        <f t="array" ref="Q103">G(N103,$O$3,$O$4,$U$5:$Y$5)</f>
        <v>38.998783643605094</v>
      </c>
      <c r="R103" s="14"/>
      <c r="S103" s="14">
        <f t="shared" si="7"/>
        <v>4.7048836436050934</v>
      </c>
    </row>
    <row r="104" spans="1:19" x14ac:dyDescent="0.25">
      <c r="A104" s="14">
        <v>790</v>
      </c>
      <c r="B104" s="14">
        <v>36.342700000000001</v>
      </c>
      <c r="C104" s="14"/>
      <c r="D104" s="14" cm="1">
        <f t="array" ref="D104">G(A104,$B$3,$B$4,H$5:L$5)</f>
        <v>38.760256187146652</v>
      </c>
      <c r="E104" s="14"/>
      <c r="F104" s="14">
        <f t="shared" si="6"/>
        <v>2.4175561871466513</v>
      </c>
      <c r="N104" s="14">
        <v>810</v>
      </c>
      <c r="O104" s="14">
        <v>34.337499999999999</v>
      </c>
      <c r="P104" s="14"/>
      <c r="Q104" s="14" cm="1">
        <f t="array" ref="Q104">G(N104,$O$3,$O$4,$U$5:$Y$5)</f>
        <v>38.961998574486728</v>
      </c>
      <c r="R104" s="14"/>
      <c r="S104" s="14">
        <f t="shared" si="7"/>
        <v>4.6244985744867293</v>
      </c>
    </row>
    <row r="105" spans="1:19" x14ac:dyDescent="0.25">
      <c r="A105" s="14">
        <v>800</v>
      </c>
      <c r="B105" s="14">
        <v>36.083100000000002</v>
      </c>
      <c r="C105" s="14"/>
      <c r="D105" s="14" cm="1">
        <f t="array" ref="D105">G(A105,$B$3,$B$4,H$5:L$5)</f>
        <v>38.759685744833227</v>
      </c>
      <c r="E105" s="14"/>
      <c r="F105" s="14">
        <f t="shared" ref="F105:F128" si="9">D105-B105</f>
        <v>2.6765857448332255</v>
      </c>
      <c r="N105" s="14">
        <v>820</v>
      </c>
      <c r="O105" s="14">
        <v>34.473999999999997</v>
      </c>
      <c r="P105" s="14"/>
      <c r="Q105" s="14" cm="1">
        <f t="array" ref="Q105">G(N105,$O$3,$O$4,$U$5:$Y$5)</f>
        <v>38.92584630081101</v>
      </c>
      <c r="R105" s="14"/>
      <c r="S105" s="14">
        <f t="shared" ref="S105:S118" si="10">Q105-O105</f>
        <v>4.4518463008110132</v>
      </c>
    </row>
    <row r="106" spans="1:19" x14ac:dyDescent="0.25">
      <c r="A106" s="14">
        <v>810</v>
      </c>
      <c r="B106" s="14">
        <v>36.105400000000003</v>
      </c>
      <c r="C106" s="14"/>
      <c r="D106" s="14" cm="1">
        <f t="array" ref="D106">G(A106,$B$3,$B$4,H$5:L$5)</f>
        <v>38.759781727149949</v>
      </c>
      <c r="E106" s="14"/>
      <c r="F106" s="14">
        <f t="shared" si="9"/>
        <v>2.6543817271499464</v>
      </c>
      <c r="N106" s="14">
        <v>830</v>
      </c>
      <c r="O106" s="14">
        <v>34.566299999999998</v>
      </c>
      <c r="P106" s="14"/>
      <c r="Q106" s="14" cm="1">
        <f t="array" ref="Q106">G(N106,$O$3,$O$4,$U$5:$Y$5)</f>
        <v>38.890307904306361</v>
      </c>
      <c r="R106" s="14"/>
      <c r="S106" s="14">
        <f t="shared" si="10"/>
        <v>4.3240079043063631</v>
      </c>
    </row>
    <row r="107" spans="1:19" x14ac:dyDescent="0.25">
      <c r="A107" s="14">
        <v>820</v>
      </c>
      <c r="B107" s="14">
        <v>36.387999999999998</v>
      </c>
      <c r="C107" s="14"/>
      <c r="D107" s="14" cm="1">
        <f t="array" ref="D107">G(A107,$B$3,$B$4,H$5:L$5)</f>
        <v>38.760514006342518</v>
      </c>
      <c r="E107" s="14"/>
      <c r="F107" s="14">
        <f t="shared" si="9"/>
        <v>2.3725140063425201</v>
      </c>
      <c r="N107" s="14">
        <v>840</v>
      </c>
      <c r="O107" s="14">
        <v>34.508200000000002</v>
      </c>
      <c r="P107" s="14"/>
      <c r="Q107" s="14" cm="1">
        <f t="array" ref="Q107">G(N107,$O$3,$O$4,$U$5:$Y$5)</f>
        <v>38.855365262267036</v>
      </c>
      <c r="R107" s="14"/>
      <c r="S107" s="14">
        <f t="shared" si="10"/>
        <v>4.3471652622670334</v>
      </c>
    </row>
    <row r="108" spans="1:19" x14ac:dyDescent="0.25">
      <c r="A108" s="14">
        <v>830</v>
      </c>
      <c r="B108" s="14">
        <v>36.0321</v>
      </c>
      <c r="C108" s="14"/>
      <c r="D108" s="14" cm="1">
        <f t="array" ref="D108">G(A108,$B$3,$B$4,H$5:L$5)</f>
        <v>38.761853984910552</v>
      </c>
      <c r="E108" s="14"/>
      <c r="F108" s="14">
        <f t="shared" si="9"/>
        <v>2.7297539849105519</v>
      </c>
      <c r="N108" s="14">
        <v>850</v>
      </c>
      <c r="O108" s="14">
        <v>34.0518</v>
      </c>
      <c r="P108" s="14"/>
      <c r="Q108" s="14" cm="1">
        <f t="array" ref="Q108">G(N108,$O$3,$O$4,$U$5:$Y$5)</f>
        <v>38.821001004738477</v>
      </c>
      <c r="R108" s="14"/>
      <c r="S108" s="14">
        <f t="shared" si="10"/>
        <v>4.769201004738477</v>
      </c>
    </row>
    <row r="109" spans="1:19" x14ac:dyDescent="0.25">
      <c r="A109" s="14">
        <v>840</v>
      </c>
      <c r="B109" s="14">
        <v>36.014499999999998</v>
      </c>
      <c r="C109" s="14"/>
      <c r="D109" s="14" cm="1">
        <f t="array" ref="D109">G(A109,$B$3,$B$4,H$5:L$5)</f>
        <v>38.763774503909104</v>
      </c>
      <c r="E109" s="14"/>
      <c r="F109" s="14">
        <f t="shared" si="9"/>
        <v>2.7492745039091062</v>
      </c>
      <c r="N109" s="14">
        <v>860</v>
      </c>
      <c r="O109" s="14">
        <v>34.375100000000003</v>
      </c>
      <c r="P109" s="14"/>
      <c r="Q109" s="14" cm="1">
        <f t="array" ref="Q109">G(N109,$O$3,$O$4,$U$5:$Y$5)</f>
        <v>38.787198474498894</v>
      </c>
      <c r="R109" s="14"/>
      <c r="S109" s="14">
        <f t="shared" si="10"/>
        <v>4.4120984744988903</v>
      </c>
    </row>
    <row r="110" spans="1:19" x14ac:dyDescent="0.25">
      <c r="A110" s="14">
        <v>850</v>
      </c>
      <c r="B110" s="14">
        <v>35.910699999999999</v>
      </c>
      <c r="C110" s="14"/>
      <c r="D110" s="14" cm="1">
        <f t="array" ref="D110">G(A110,$B$3,$B$4,H$5:L$5)</f>
        <v>38.766249757652822</v>
      </c>
      <c r="E110" s="14"/>
      <c r="F110" s="14">
        <f t="shared" si="9"/>
        <v>2.8555497576528239</v>
      </c>
      <c r="N110" s="14">
        <v>870</v>
      </c>
      <c r="O110" s="14">
        <v>34.338000000000001</v>
      </c>
      <c r="P110" s="14"/>
      <c r="Q110" s="14" cm="1">
        <f t="array" ref="Q110">G(N110,$O$3,$O$4,$U$5:$Y$5)</f>
        <v>38.753941689619474</v>
      </c>
      <c r="R110" s="14"/>
      <c r="S110" s="14">
        <f t="shared" si="10"/>
        <v>4.4159416896194728</v>
      </c>
    </row>
    <row r="111" spans="1:19" x14ac:dyDescent="0.25">
      <c r="A111" s="14">
        <v>860</v>
      </c>
      <c r="B111" s="14">
        <v>36.046900000000001</v>
      </c>
      <c r="C111" s="14"/>
      <c r="D111" s="14" cm="1">
        <f t="array" ref="D111">G(A111,$B$3,$B$4,H$5:L$5)</f>
        <v>38.769255214307968</v>
      </c>
      <c r="E111" s="14"/>
      <c r="F111" s="14">
        <f t="shared" si="9"/>
        <v>2.7223552143079672</v>
      </c>
      <c r="N111" s="14">
        <v>880</v>
      </c>
      <c r="O111" s="14">
        <v>34.328699999999998</v>
      </c>
      <c r="P111" s="14"/>
      <c r="Q111" s="14" cm="1">
        <f t="array" ref="Q111">G(N111,$O$3,$O$4,$U$5:$Y$5)</f>
        <v>38.721215308407878</v>
      </c>
      <c r="R111" s="14"/>
      <c r="S111" s="14">
        <f t="shared" si="10"/>
        <v>4.3925153084078801</v>
      </c>
    </row>
    <row r="112" spans="1:19" x14ac:dyDescent="0.25">
      <c r="A112" s="14">
        <v>870</v>
      </c>
      <c r="B112" s="14">
        <v>35.738</v>
      </c>
      <c r="C112" s="14"/>
      <c r="D112" s="14" cm="1">
        <f t="array" ref="D112">G(A112,$B$3,$B$4,H$5:L$5)</f>
        <v>38.772767541915414</v>
      </c>
      <c r="E112" s="14"/>
      <c r="F112" s="14">
        <f t="shared" si="9"/>
        <v>3.0347675419154143</v>
      </c>
      <c r="N112" s="14">
        <v>890</v>
      </c>
      <c r="O112" s="14">
        <v>34.346200000000003</v>
      </c>
      <c r="P112" s="14"/>
      <c r="Q112" s="14" cm="1">
        <f t="array" ref="Q112">G(N112,$O$3,$O$4,$U$5:$Y$5)</f>
        <v>38.689004596562732</v>
      </c>
      <c r="R112" s="14"/>
      <c r="S112" s="14">
        <f t="shared" si="10"/>
        <v>4.3428045965627291</v>
      </c>
    </row>
    <row r="113" spans="1:19" x14ac:dyDescent="0.25">
      <c r="A113" s="14">
        <v>880</v>
      </c>
      <c r="B113" s="14">
        <v>35.994100000000003</v>
      </c>
      <c r="C113" s="14"/>
      <c r="D113" s="14" cm="1">
        <f t="array" ref="D113">G(A113,$B$3,$B$4,H$5:L$5)</f>
        <v>38.776764539406855</v>
      </c>
      <c r="E113" s="14"/>
      <c r="F113" s="14">
        <f t="shared" si="9"/>
        <v>2.7826645394068521</v>
      </c>
      <c r="N113" s="14">
        <v>900</v>
      </c>
      <c r="O113" s="14">
        <v>34.389800000000001</v>
      </c>
      <c r="P113" s="14"/>
      <c r="Q113" s="14" cm="1">
        <f t="array" ref="Q113">G(N113,$O$3,$O$4,$U$5:$Y$5)</f>
        <v>38.657295396369932</v>
      </c>
      <c r="R113" s="14"/>
      <c r="S113" s="14">
        <f t="shared" si="10"/>
        <v>4.2674953963699309</v>
      </c>
    </row>
    <row r="114" spans="1:19" x14ac:dyDescent="0.25">
      <c r="A114" s="14">
        <v>890</v>
      </c>
      <c r="B114" s="14">
        <v>35.802500000000002</v>
      </c>
      <c r="C114" s="14"/>
      <c r="D114" s="14" cm="1">
        <f t="array" ref="D114">G(A114,$B$3,$B$4,H$5:L$5)</f>
        <v>38.781225072244716</v>
      </c>
      <c r="E114" s="14"/>
      <c r="F114" s="14">
        <f t="shared" si="9"/>
        <v>2.9787250722447141</v>
      </c>
      <c r="N114" s="14">
        <v>910</v>
      </c>
      <c r="O114" s="14">
        <v>34.432499999999997</v>
      </c>
      <c r="P114" s="14"/>
      <c r="Q114" s="14" cm="1">
        <f t="array" ref="Q114">G(N114,$O$3,$O$4,$U$5:$Y$5)</f>
        <v>38.626074097791943</v>
      </c>
      <c r="R114" s="14"/>
      <c r="S114" s="14">
        <f t="shared" si="10"/>
        <v>4.1935740977919451</v>
      </c>
    </row>
    <row r="115" spans="1:19" x14ac:dyDescent="0.25">
      <c r="A115" s="14">
        <v>900</v>
      </c>
      <c r="B115" s="14">
        <v>36.007300000000001</v>
      </c>
      <c r="C115" s="14"/>
      <c r="D115" s="14" cm="1">
        <f t="array" ref="D115">G(A115,$B$3,$B$4,H$5:L$5)</f>
        <v>38.786129012312166</v>
      </c>
      <c r="E115" s="14"/>
      <c r="F115" s="14">
        <f t="shared" si="9"/>
        <v>2.7788290123121655</v>
      </c>
      <c r="N115" s="14">
        <v>920</v>
      </c>
      <c r="O115" s="14">
        <v>34.487499999999997</v>
      </c>
      <c r="P115" s="14"/>
      <c r="Q115" s="14" cm="1">
        <f t="array" ref="Q115">G(N115,$O$3,$O$4,$U$5:$Y$5)</f>
        <v>38.595327611321636</v>
      </c>
      <c r="R115" s="14"/>
      <c r="S115" s="14">
        <f t="shared" si="10"/>
        <v>4.107827611321639</v>
      </c>
    </row>
    <row r="116" spans="1:19" x14ac:dyDescent="0.25">
      <c r="A116" s="14">
        <v>910</v>
      </c>
      <c r="B116" s="14">
        <v>36.045499999999997</v>
      </c>
      <c r="C116" s="14"/>
      <c r="D116" s="14" cm="1">
        <f t="array" ref="D116">G(A116,$B$3,$B$4,H$5:L$5)</f>
        <v>38.791457181753437</v>
      </c>
      <c r="E116" s="14"/>
      <c r="F116" s="14">
        <f t="shared" si="9"/>
        <v>2.7459571817534396</v>
      </c>
      <c r="N116" s="14">
        <v>930</v>
      </c>
      <c r="O116" s="14">
        <v>34.58</v>
      </c>
      <c r="P116" s="14"/>
      <c r="Q116" s="14" cm="1">
        <f t="array" ref="Q116">G(N116,$O$3,$O$4,$U$5:$Y$5)</f>
        <v>38.56504334246624</v>
      </c>
      <c r="R116" s="14"/>
      <c r="S116" s="14">
        <f t="shared" si="10"/>
        <v>3.9850433424662413</v>
      </c>
    </row>
    <row r="117" spans="1:19" x14ac:dyDescent="0.25">
      <c r="A117" s="14">
        <v>920</v>
      </c>
      <c r="B117" s="14">
        <v>36.082900000000002</v>
      </c>
      <c r="C117" s="14"/>
      <c r="D117" s="14" cm="1">
        <f t="array" ref="D117">G(A117,$B$3,$B$4,H$5:L$5)</f>
        <v>38.797191300448283</v>
      </c>
      <c r="E117" s="14"/>
      <c r="F117" s="14">
        <f t="shared" si="9"/>
        <v>2.7142913004482807</v>
      </c>
      <c r="N117" s="14">
        <v>940</v>
      </c>
      <c r="O117" s="14">
        <v>34.671100000000003</v>
      </c>
      <c r="P117" s="14"/>
      <c r="Q117" s="14" cm="1">
        <f t="array" ref="Q117">G(N117,$O$3,$O$4,$U$5:$Y$5)</f>
        <v>38.535209167748413</v>
      </c>
      <c r="R117" s="14"/>
      <c r="S117" s="14">
        <f t="shared" si="10"/>
        <v>3.8641091677484098</v>
      </c>
    </row>
    <row r="118" spans="1:19" x14ac:dyDescent="0.25">
      <c r="A118" s="14">
        <v>930</v>
      </c>
      <c r="B118" s="14">
        <v>36.238900000000001</v>
      </c>
      <c r="C118" s="14"/>
      <c r="D118" s="14" cm="1">
        <f t="array" ref="D118">G(A118,$B$3,$B$4,H$5:L$5)</f>
        <v>38.803313936862239</v>
      </c>
      <c r="E118" s="14"/>
      <c r="F118" s="14">
        <f t="shared" si="9"/>
        <v>2.5644139368622376</v>
      </c>
      <c r="N118" s="14">
        <v>950</v>
      </c>
      <c r="O118" s="14">
        <v>34.798299999999998</v>
      </c>
      <c r="P118" s="14"/>
      <c r="Q118" s="14" cm="1">
        <f t="array" ref="Q118">G(N118,$O$3,$O$4,$U$5:$Y$5)</f>
        <v>38.505813412123523</v>
      </c>
      <c r="R118" s="14"/>
      <c r="S118" s="14">
        <f t="shared" si="10"/>
        <v>3.7075134121235251</v>
      </c>
    </row>
    <row r="119" spans="1:19" x14ac:dyDescent="0.25">
      <c r="A119" s="14">
        <v>940</v>
      </c>
      <c r="B119" s="14">
        <v>36.323399999999999</v>
      </c>
      <c r="C119" s="14"/>
      <c r="D119" s="14" cm="1">
        <f t="array" ref="D119">G(A119,$B$3,$B$4,H$5:L$5)</f>
        <v>38.809808462026162</v>
      </c>
      <c r="E119" s="14"/>
      <c r="F119" s="14">
        <f t="shared" si="9"/>
        <v>2.4864084620261622</v>
      </c>
    </row>
    <row r="120" spans="1:19" x14ac:dyDescent="0.25">
      <c r="A120" s="14">
        <v>950</v>
      </c>
      <c r="B120" s="14">
        <v>36.300400000000003</v>
      </c>
      <c r="C120" s="14"/>
      <c r="D120" s="14" cm="1">
        <f t="array" ref="D120">G(A120,$B$3,$B$4,H$5:L$5)</f>
        <v>38.816659006407328</v>
      </c>
      <c r="E120" s="14"/>
      <c r="F120" s="14">
        <f t="shared" si="9"/>
        <v>2.5162590064073243</v>
      </c>
    </row>
    <row r="121" spans="1:19" x14ac:dyDescent="0.25">
      <c r="A121" s="14">
        <v>960</v>
      </c>
      <c r="B121" s="14">
        <v>36.2851</v>
      </c>
      <c r="C121" s="14"/>
      <c r="D121" s="14" cm="1">
        <f t="array" ref="D121">G(A121,$B$3,$B$4,H$5:L$5)</f>
        <v>38.823850419476919</v>
      </c>
      <c r="E121" s="14"/>
      <c r="F121" s="14">
        <f t="shared" si="9"/>
        <v>2.5387504194769193</v>
      </c>
    </row>
    <row r="122" spans="1:19" x14ac:dyDescent="0.25">
      <c r="A122" s="14">
        <v>970</v>
      </c>
      <c r="B122" s="14">
        <v>35.978499999999997</v>
      </c>
      <c r="C122" s="14"/>
      <c r="D122" s="14" cm="1">
        <f t="array" ref="D122">G(A122,$B$3,$B$4,H$5:L$5)</f>
        <v>38.831368231767243</v>
      </c>
      <c r="E122" s="14"/>
      <c r="F122" s="14">
        <f t="shared" si="9"/>
        <v>2.8528682317672462</v>
      </c>
    </row>
    <row r="123" spans="1:19" x14ac:dyDescent="0.25">
      <c r="A123" s="14">
        <v>980</v>
      </c>
      <c r="B123" s="14">
        <v>35.935699999999997</v>
      </c>
      <c r="C123" s="14"/>
      <c r="D123" s="14" cm="1">
        <f t="array" ref="D123">G(A123,$B$3,$B$4,H$5:L$5)</f>
        <v>38.839198619261026</v>
      </c>
      <c r="E123" s="14"/>
      <c r="F123" s="14">
        <f t="shared" si="9"/>
        <v>2.903498619261029</v>
      </c>
    </row>
    <row r="124" spans="1:19" x14ac:dyDescent="0.25">
      <c r="A124" s="14">
        <v>990</v>
      </c>
      <c r="B124" s="14">
        <v>35.500500000000002</v>
      </c>
      <c r="C124" s="14"/>
      <c r="D124" s="14" cm="1">
        <f t="array" ref="D124">G(A124,$B$3,$B$4,H$5:L$5)</f>
        <v>38.847328369929471</v>
      </c>
      <c r="E124" s="14"/>
      <c r="F124" s="14">
        <f t="shared" si="9"/>
        <v>3.3468283699294687</v>
      </c>
    </row>
    <row r="125" spans="1:19" x14ac:dyDescent="0.25">
      <c r="A125" s="14">
        <v>1000</v>
      </c>
      <c r="B125" s="14">
        <v>35.554299999999998</v>
      </c>
      <c r="C125" s="14"/>
      <c r="D125" s="14" cm="1">
        <f t="array" ref="D125">G(A125,$B$3,$B$4,H$5:L$5)</f>
        <v>38.855744852289085</v>
      </c>
      <c r="E125" s="14"/>
      <c r="F125" s="14">
        <f t="shared" si="9"/>
        <v>3.3014448522890874</v>
      </c>
    </row>
    <row r="126" spans="1:19" x14ac:dyDescent="0.25">
      <c r="A126" s="14">
        <v>1010</v>
      </c>
      <c r="B126" s="14">
        <v>35.380800000000001</v>
      </c>
      <c r="C126" s="14"/>
      <c r="D126" s="14" cm="1">
        <f t="array" ref="D126">G(A126,$B$3,$B$4,H$5:L$5)</f>
        <v>38.864435985821601</v>
      </c>
      <c r="E126" s="14"/>
      <c r="F126" s="14">
        <f t="shared" si="9"/>
        <v>3.4836359858215999</v>
      </c>
    </row>
    <row r="127" spans="1:19" x14ac:dyDescent="0.25">
      <c r="A127" s="14">
        <v>1020</v>
      </c>
      <c r="B127" s="14">
        <v>35.535699999999999</v>
      </c>
      <c r="C127" s="14"/>
      <c r="D127" s="14" cm="1">
        <f t="array" ref="D127">G(A127,$B$3,$B$4,H$5:L$5)</f>
        <v>38.873390213145797</v>
      </c>
      <c r="E127" s="14"/>
      <c r="F127" s="14">
        <f t="shared" si="9"/>
        <v>3.3376902131457982</v>
      </c>
    </row>
    <row r="128" spans="1:19" x14ac:dyDescent="0.25">
      <c r="A128" s="14">
        <v>1030</v>
      </c>
      <c r="B128" s="14">
        <v>35.789000000000001</v>
      </c>
      <c r="C128" s="14"/>
      <c r="D128" s="14" cm="1">
        <f t="array" ref="D128">G(A128,$B$3,$B$4,H$5:L$5)</f>
        <v>38.882596473814289</v>
      </c>
      <c r="E128" s="14"/>
      <c r="F128" s="14">
        <f t="shared" si="9"/>
        <v>3.0935964738142872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D07D9-A91A-4370-A5C7-4950134B07D3}">
  <sheetPr codeName="Arkusz18"/>
  <dimension ref="A1:AL121"/>
  <sheetViews>
    <sheetView zoomScale="85" zoomScaleNormal="85" workbookViewId="0">
      <selection activeCell="D41" sqref="D41"/>
    </sheetView>
  </sheetViews>
  <sheetFormatPr defaultRowHeight="15" x14ac:dyDescent="0.25"/>
  <cols>
    <col min="1" max="1" width="12.140625" bestFit="1" customWidth="1"/>
    <col min="2" max="2" width="14.7109375" bestFit="1" customWidth="1"/>
    <col min="3" max="3" width="10.7109375" bestFit="1" customWidth="1"/>
    <col min="4" max="4" width="21.7109375" bestFit="1" customWidth="1"/>
    <col min="5" max="5" width="21.7109375" customWidth="1"/>
    <col min="6" max="6" width="8.7109375" customWidth="1"/>
    <col min="7" max="7" width="33.140625" bestFit="1" customWidth="1"/>
    <col min="14" max="14" width="12.140625" bestFit="1" customWidth="1"/>
    <col min="15" max="15" width="14.7109375" bestFit="1" customWidth="1"/>
    <col min="16" max="16" width="10.7109375" bestFit="1" customWidth="1"/>
    <col min="17" max="17" width="21.7109375" bestFit="1" customWidth="1"/>
    <col min="18" max="18" width="21.7109375" customWidth="1"/>
    <col min="19" max="19" width="8.7109375" customWidth="1"/>
    <col min="20" max="20" width="33.140625" bestFit="1" customWidth="1"/>
    <col min="27" max="27" width="12.140625" bestFit="1" customWidth="1"/>
    <col min="28" max="28" width="14.7109375" bestFit="1" customWidth="1"/>
    <col min="29" max="29" width="10.7109375" bestFit="1" customWidth="1"/>
    <col min="30" max="30" width="21.7109375" bestFit="1" customWidth="1"/>
    <col min="31" max="31" width="21.7109375" customWidth="1"/>
    <col min="32" max="32" width="8.7109375" customWidth="1"/>
    <col min="33" max="33" width="33.140625" bestFit="1" customWidth="1"/>
  </cols>
  <sheetData>
    <row r="1" spans="1:38" x14ac:dyDescent="0.25">
      <c r="C1" s="2" t="s">
        <v>40</v>
      </c>
      <c r="D1" s="2" t="s">
        <v>41</v>
      </c>
      <c r="H1" s="2" t="s">
        <v>42</v>
      </c>
      <c r="I1" s="2" t="s">
        <v>43</v>
      </c>
      <c r="J1" s="2" t="s">
        <v>15</v>
      </c>
      <c r="K1" s="2" t="s">
        <v>44</v>
      </c>
      <c r="L1" s="2" t="s">
        <v>45</v>
      </c>
      <c r="P1" s="2" t="s">
        <v>40</v>
      </c>
      <c r="Q1" s="2" t="s">
        <v>41</v>
      </c>
      <c r="U1" s="2" t="s">
        <v>42</v>
      </c>
      <c r="V1" s="2" t="s">
        <v>43</v>
      </c>
      <c r="W1" s="2" t="s">
        <v>15</v>
      </c>
      <c r="X1" s="2" t="s">
        <v>44</v>
      </c>
      <c r="Y1" s="2" t="s">
        <v>45</v>
      </c>
      <c r="AC1" s="2" t="s">
        <v>40</v>
      </c>
      <c r="AD1" s="2" t="s">
        <v>41</v>
      </c>
      <c r="AH1" s="2" t="s">
        <v>42</v>
      </c>
      <c r="AI1" s="2" t="s">
        <v>43</v>
      </c>
      <c r="AJ1" s="2" t="s">
        <v>15</v>
      </c>
      <c r="AK1" s="2" t="s">
        <v>44</v>
      </c>
      <c r="AL1" s="2" t="s">
        <v>45</v>
      </c>
    </row>
    <row r="2" spans="1:38" x14ac:dyDescent="0.25">
      <c r="B2" s="46">
        <v>45385</v>
      </c>
      <c r="C2" s="77">
        <f>_xlfn.XLOOKUP(B2,NFLX[Date],NFLX[Close])</f>
        <v>630.080017</v>
      </c>
      <c r="D2" s="14">
        <f>_xlfn.XLOOKUP(E2,'IR interpolation'!$G:$G,'IR interpolation'!$I:$I)</f>
        <v>2.0862820374417092E-2</v>
      </c>
      <c r="E2" s="46">
        <v>46122</v>
      </c>
      <c r="G2" s="2" t="s">
        <v>46</v>
      </c>
      <c r="H2" s="54">
        <f t="array" ref="H2:L2">initialParamsVola(B3,B4,A9:A121,B9:B121)</f>
        <v>-558.99261555197154</v>
      </c>
      <c r="I2" s="54">
        <v>13556.613581136735</v>
      </c>
      <c r="J2" s="54">
        <v>0.44412256714888859</v>
      </c>
      <c r="K2" s="54">
        <v>-0.83992733798744323</v>
      </c>
      <c r="L2" s="54">
        <v>-2.0607496985039084</v>
      </c>
      <c r="O2" s="46">
        <v>45351</v>
      </c>
      <c r="P2" s="77">
        <f>_xlfn.XLOOKUP(O2,NFLX[Date],NFLX[Close])</f>
        <v>602.919983</v>
      </c>
      <c r="Q2" s="14">
        <f>_xlfn.XLOOKUP(R2,'IR interpolation'!$G:$G,'IR interpolation'!$F:$F)</f>
        <v>2.0567980459693956E-2</v>
      </c>
      <c r="R2" s="46">
        <v>46122</v>
      </c>
      <c r="T2" s="2" t="s">
        <v>46</v>
      </c>
      <c r="U2" s="54">
        <f t="array" ref="U2:Y2">initialParamsVola(O3,O4,N9:N121,O9:O121)</f>
        <v>-21679.921377409919</v>
      </c>
      <c r="V2" s="54">
        <v>38684.256484187077</v>
      </c>
      <c r="W2" s="54">
        <v>1.0494677097919229</v>
      </c>
      <c r="X2" s="54">
        <v>-0.81070380564282951</v>
      </c>
      <c r="Y2" s="54">
        <v>-2.6823873314879854</v>
      </c>
      <c r="AB2" s="46">
        <v>45291</v>
      </c>
      <c r="AC2" s="77">
        <f>_xlfn.XLOOKUP(AB2,NFLX[Date],NFLX[Close],,1)</f>
        <v>468.5</v>
      </c>
      <c r="AD2" s="14">
        <f>_xlfn.XLOOKUP(AE2,'IR interpolation'!$G:$G,'IR interpolation'!$C:$C)</f>
        <v>1.8733290812456109E-2</v>
      </c>
      <c r="AE2" s="46">
        <v>46122</v>
      </c>
      <c r="AG2" s="2" t="s">
        <v>46</v>
      </c>
      <c r="AH2" s="54">
        <f t="array" ref="AH2:AL2">initialParamsVola(AB3,AB4,AA9:AA99,AB9:AB99)</f>
        <v>-2812.2159271059681</v>
      </c>
      <c r="AI2" s="54">
        <v>12248.962794455534</v>
      </c>
      <c r="AJ2" s="54">
        <v>0.44308041996234204</v>
      </c>
      <c r="AK2" s="54">
        <v>-0.27794232227153964</v>
      </c>
      <c r="AL2" s="54">
        <v>-1.1943018866894421</v>
      </c>
    </row>
    <row r="3" spans="1:38" x14ac:dyDescent="0.25">
      <c r="A3" s="2" t="s">
        <v>47</v>
      </c>
      <c r="B3" s="14">
        <f>C3*EXP(D2*B4)</f>
        <v>659.14583634941266</v>
      </c>
      <c r="C3" s="77">
        <v>630.080017</v>
      </c>
      <c r="G3" s="2" t="s">
        <v>48</v>
      </c>
      <c r="H3" s="54">
        <f>H2</f>
        <v>-558.99261555197154</v>
      </c>
      <c r="I3" s="54">
        <f>I2</f>
        <v>13556.613581136735</v>
      </c>
      <c r="J3" s="54">
        <f>J2</f>
        <v>0.44412256714888859</v>
      </c>
      <c r="K3" s="54">
        <f>K2</f>
        <v>-0.83992733798744323</v>
      </c>
      <c r="L3" s="54">
        <f>L2</f>
        <v>-2.0607496985039084</v>
      </c>
      <c r="N3" s="2" t="s">
        <v>47</v>
      </c>
      <c r="O3" s="14">
        <f>P3*EXP(Q2*O4)</f>
        <v>626.18891958440747</v>
      </c>
      <c r="P3" s="77">
        <v>602.919983</v>
      </c>
      <c r="T3" s="2" t="s">
        <v>48</v>
      </c>
      <c r="U3" s="54">
        <f>U2</f>
        <v>-21679.921377409919</v>
      </c>
      <c r="V3" s="54">
        <f>V2</f>
        <v>38684.256484187077</v>
      </c>
      <c r="W3" s="54">
        <f>W2</f>
        <v>1.0494677097919229</v>
      </c>
      <c r="X3" s="54">
        <f>X2</f>
        <v>-0.81070380564282951</v>
      </c>
      <c r="Y3" s="54">
        <f>Y2</f>
        <v>-2.6823873314879854</v>
      </c>
      <c r="AA3" s="2" t="s">
        <v>47</v>
      </c>
      <c r="AB3" s="14">
        <f>AC3*EXP(AD2*AB4)</f>
        <v>486.43599533080351</v>
      </c>
      <c r="AC3" s="77">
        <v>468.5</v>
      </c>
      <c r="AG3" s="2" t="s">
        <v>48</v>
      </c>
      <c r="AH3" s="54">
        <f>AH2</f>
        <v>-2812.2159271059681</v>
      </c>
      <c r="AI3" s="54">
        <f>AI2</f>
        <v>12248.962794455534</v>
      </c>
      <c r="AJ3" s="54">
        <f>AJ2</f>
        <v>0.44308041996234204</v>
      </c>
      <c r="AK3" s="54">
        <f>AK2</f>
        <v>-0.27794232227153964</v>
      </c>
      <c r="AL3" s="54">
        <f>AL2</f>
        <v>-1.1943018866894421</v>
      </c>
    </row>
    <row r="4" spans="1:38" x14ac:dyDescent="0.25">
      <c r="A4" s="2" t="s">
        <v>49</v>
      </c>
      <c r="B4" s="14">
        <f>YEARFRAC(B5,B2,3)</f>
        <v>2.1616438356164385</v>
      </c>
      <c r="N4" s="2" t="s">
        <v>49</v>
      </c>
      <c r="O4" s="14">
        <f>YEARFRAC(O5,O2,3)</f>
        <v>1.8410958904109589</v>
      </c>
      <c r="AA4" s="2" t="s">
        <v>49</v>
      </c>
      <c r="AB4" s="14">
        <f>YEARFRAC(AB5,AB2,3)</f>
        <v>2.0054794520547947</v>
      </c>
    </row>
    <row r="5" spans="1:38" x14ac:dyDescent="0.25">
      <c r="B5" s="46">
        <v>46174</v>
      </c>
      <c r="G5" s="2" t="s">
        <v>50</v>
      </c>
      <c r="H5" s="54">
        <f t="array" ref="H5:L5">fitGatheralVola(B3,B4,A9:A121,B9:B121,H3:L3)</f>
        <v>4284.0149086367337</v>
      </c>
      <c r="I5" s="54">
        <v>10172.266594165425</v>
      </c>
      <c r="J5" s="54">
        <v>0.61992838364044101</v>
      </c>
      <c r="K5" s="54">
        <v>-1.0921499713667617</v>
      </c>
      <c r="L5" s="54">
        <v>-1.9867047296411013</v>
      </c>
      <c r="O5" s="46">
        <v>46023</v>
      </c>
      <c r="T5" s="2" t="s">
        <v>50</v>
      </c>
      <c r="U5" s="54">
        <f t="array" ref="U5:Y5">fitGatheralVola(O3,O4,N9:N121,O9:O121,U3:Y3)</f>
        <v>-27133.391896679772</v>
      </c>
      <c r="V5" s="54">
        <v>32513.180082882951</v>
      </c>
      <c r="W5" s="54">
        <v>1.3378247226932249</v>
      </c>
      <c r="X5" s="54">
        <v>-0.85051939772965146</v>
      </c>
      <c r="Y5" s="54">
        <v>-2.712603196714968</v>
      </c>
      <c r="AB5" s="46">
        <v>46023</v>
      </c>
      <c r="AG5" s="2" t="s">
        <v>50</v>
      </c>
      <c r="AH5" s="54">
        <f t="array" ref="AH5:AL5">fitGatheralVola(AB3,AB4,AA9:AA99,AB9:AB99,AH3:AL3)</f>
        <v>2882.1283870269108</v>
      </c>
      <c r="AI5" s="54">
        <v>4844.7388430547544</v>
      </c>
      <c r="AJ5" s="54">
        <v>0.71632421376408617</v>
      </c>
      <c r="AK5" s="54">
        <v>-1.1333097192295405</v>
      </c>
      <c r="AL5" s="54">
        <v>-1.2951296564692705</v>
      </c>
    </row>
    <row r="7" spans="1:38" x14ac:dyDescent="0.25">
      <c r="F7" s="2">
        <f>SQRT(SUMPRODUCT(F9:F128,F9:F128))</f>
        <v>25.083527303488086</v>
      </c>
      <c r="S7" s="2">
        <f>SQRT(SUMPRODUCT(S9:S128,S9:S128))</f>
        <v>126.68963979965508</v>
      </c>
      <c r="AF7" s="2">
        <f>SQRT(SUMPRODUCT(AF9:AF128,AF9:AF128))</f>
        <v>25.712280805189657</v>
      </c>
    </row>
    <row r="8" spans="1:38" x14ac:dyDescent="0.25">
      <c r="A8" s="2" t="s">
        <v>51</v>
      </c>
      <c r="B8" s="2" t="s">
        <v>52</v>
      </c>
      <c r="C8" s="2"/>
      <c r="D8" s="2" t="s">
        <v>53</v>
      </c>
      <c r="E8" s="2"/>
      <c r="F8" s="2" t="s">
        <v>54</v>
      </c>
      <c r="N8" s="2" t="s">
        <v>51</v>
      </c>
      <c r="O8" s="2" t="s">
        <v>52</v>
      </c>
      <c r="P8" s="2"/>
      <c r="Q8" s="2" t="s">
        <v>53</v>
      </c>
      <c r="R8" s="2"/>
      <c r="S8" s="2" t="s">
        <v>54</v>
      </c>
      <c r="AA8" s="2" t="s">
        <v>51</v>
      </c>
      <c r="AB8" s="2" t="s">
        <v>52</v>
      </c>
      <c r="AC8" s="2"/>
      <c r="AD8" s="2" t="s">
        <v>53</v>
      </c>
      <c r="AE8" s="2"/>
      <c r="AF8" s="2" t="s">
        <v>54</v>
      </c>
    </row>
    <row r="9" spans="1:38" x14ac:dyDescent="0.25">
      <c r="A9" s="14">
        <v>10</v>
      </c>
      <c r="B9" s="14">
        <v>155.85849999999999</v>
      </c>
      <c r="C9" s="14"/>
      <c r="D9" s="14" cm="1">
        <f t="array" ref="D9">G(A9,$B$3,$B$4,H$5:L$5)</f>
        <v>155.11459498285865</v>
      </c>
      <c r="E9" s="14"/>
      <c r="F9" s="14">
        <f t="shared" ref="F9:F40" si="0">D9-B9</f>
        <v>-0.74390501714134416</v>
      </c>
      <c r="N9" s="14">
        <v>10</v>
      </c>
      <c r="O9" s="14">
        <v>208.7312</v>
      </c>
      <c r="P9" s="14"/>
      <c r="Q9" s="14" cm="1">
        <f t="array" ref="Q9">G(N9,$O$3,$O$4,$U$5:$Y$5)</f>
        <v>202.89931623007593</v>
      </c>
      <c r="R9" s="14"/>
      <c r="S9" s="14">
        <f t="shared" ref="S9:S40" si="1">Q9-O9</f>
        <v>-5.831883769924076</v>
      </c>
      <c r="AA9" s="14">
        <v>10</v>
      </c>
      <c r="AB9" s="14">
        <v>139.98509999999999</v>
      </c>
      <c r="AC9" s="14"/>
      <c r="AD9" s="14" cm="1">
        <f t="array" ref="AD9">G(AA9,$AB$3,$AB$4,AH$5:AL$5)</f>
        <v>122.54228326204102</v>
      </c>
      <c r="AE9" s="14"/>
      <c r="AF9" s="14">
        <f t="shared" ref="AF9:AF40" si="2">AD9-AB9</f>
        <v>-17.442816737958964</v>
      </c>
    </row>
    <row r="10" spans="1:38" x14ac:dyDescent="0.25">
      <c r="A10" s="14">
        <v>20</v>
      </c>
      <c r="B10" s="14">
        <v>127.64660000000001</v>
      </c>
      <c r="C10" s="14"/>
      <c r="D10" s="14" cm="1">
        <f t="array" ref="D10">G(A10,$B$3,$B$4,H$5:L$5)</f>
        <v>131.94511859036658</v>
      </c>
      <c r="E10" s="14"/>
      <c r="F10" s="14">
        <f t="shared" si="0"/>
        <v>4.2985185903665695</v>
      </c>
      <c r="N10" s="14">
        <v>20</v>
      </c>
      <c r="O10" s="14">
        <v>131.13910000000001</v>
      </c>
      <c r="P10" s="14"/>
      <c r="Q10" s="14" cm="1">
        <f t="array" ref="Q10">G(N10,$O$3,$O$4,$U$5:$Y$5)</f>
        <v>152.22273627239139</v>
      </c>
      <c r="R10" s="14"/>
      <c r="S10" s="14">
        <f t="shared" si="1"/>
        <v>21.083636272391374</v>
      </c>
      <c r="AA10" s="14">
        <v>20</v>
      </c>
      <c r="AB10" s="14">
        <v>119.1032</v>
      </c>
      <c r="AC10" s="14"/>
      <c r="AD10" s="14" cm="1">
        <f t="array" ref="AD10">G(AA10,$AB$3,$AB$4,AH$5:AL$5)</f>
        <v>107.35667428632817</v>
      </c>
      <c r="AE10" s="14"/>
      <c r="AF10" s="14">
        <f t="shared" si="2"/>
        <v>-11.746525713671829</v>
      </c>
    </row>
    <row r="11" spans="1:38" x14ac:dyDescent="0.25">
      <c r="A11" s="14">
        <v>30</v>
      </c>
      <c r="B11" s="14">
        <v>113.3952</v>
      </c>
      <c r="C11" s="14"/>
      <c r="D11" s="14" cm="1">
        <f t="array" ref="D11">G(A11,$B$3,$B$4,H$5:L$5)</f>
        <v>116.64116589775642</v>
      </c>
      <c r="E11" s="14"/>
      <c r="F11" s="14">
        <f t="shared" si="0"/>
        <v>3.2459658977564203</v>
      </c>
      <c r="N11" s="14">
        <v>30</v>
      </c>
      <c r="O11" s="14">
        <v>86.4499</v>
      </c>
      <c r="P11" s="14"/>
      <c r="Q11" s="14" cm="1">
        <f t="array" ref="Q11">G(N11,$O$3,$O$4,$U$5:$Y$5)</f>
        <v>120.30336373345061</v>
      </c>
      <c r="R11" s="14"/>
      <c r="S11" s="14">
        <f t="shared" si="1"/>
        <v>33.85346373345061</v>
      </c>
      <c r="AA11" s="14">
        <v>30</v>
      </c>
      <c r="AB11" s="14">
        <v>90.793000000000006</v>
      </c>
      <c r="AC11" s="14"/>
      <c r="AD11" s="14" cm="1">
        <f t="array" ref="AD11">G(AA11,$AB$3,$AB$4,AH$5:AL$5)</f>
        <v>97.540219658104036</v>
      </c>
      <c r="AE11" s="14"/>
      <c r="AF11" s="14">
        <f t="shared" si="2"/>
        <v>6.7472196581040293</v>
      </c>
    </row>
    <row r="12" spans="1:38" x14ac:dyDescent="0.25">
      <c r="A12" s="14">
        <v>40</v>
      </c>
      <c r="B12" s="14">
        <v>104.0431</v>
      </c>
      <c r="C12" s="14"/>
      <c r="D12" s="14" cm="1">
        <f t="array" ref="D12">G(A12,$B$3,$B$4,H$5:L$5)</f>
        <v>104.84431172748177</v>
      </c>
      <c r="E12" s="14"/>
      <c r="F12" s="14">
        <f t="shared" si="0"/>
        <v>0.80121172748177116</v>
      </c>
      <c r="N12" s="14">
        <v>40</v>
      </c>
      <c r="O12" s="14">
        <v>82.319199999999995</v>
      </c>
      <c r="P12" s="14"/>
      <c r="Q12" s="14" cm="1">
        <f t="array" ref="Q12">G(N12,$O$3,$O$4,$U$5:$Y$5)</f>
        <v>97.318305784474504</v>
      </c>
      <c r="R12" s="14"/>
      <c r="S12" s="14">
        <f t="shared" si="1"/>
        <v>14.999105784474509</v>
      </c>
      <c r="AA12" s="14">
        <v>40</v>
      </c>
      <c r="AB12" s="14">
        <v>86.236500000000007</v>
      </c>
      <c r="AC12" s="14"/>
      <c r="AD12" s="14" cm="1">
        <f t="array" ref="AD12">G(AA12,$AB$3,$AB$4,AH$5:AL$5)</f>
        <v>90.074922501000202</v>
      </c>
      <c r="AE12" s="14"/>
      <c r="AF12" s="14">
        <f t="shared" si="2"/>
        <v>3.8384225010001956</v>
      </c>
    </row>
    <row r="13" spans="1:38" x14ac:dyDescent="0.25">
      <c r="A13" s="14">
        <v>50</v>
      </c>
      <c r="B13" s="14">
        <v>84.687200000000004</v>
      </c>
      <c r="C13" s="14"/>
      <c r="D13" s="14" cm="1">
        <f t="array" ref="D13">G(A13,$B$3,$B$4,H$5:L$5)</f>
        <v>95.183871887416998</v>
      </c>
      <c r="E13" s="14"/>
      <c r="F13" s="14">
        <f t="shared" si="0"/>
        <v>10.496671887416994</v>
      </c>
      <c r="N13" s="14">
        <v>50</v>
      </c>
      <c r="O13" s="14">
        <v>79.219899999999996</v>
      </c>
      <c r="P13" s="14"/>
      <c r="Q13" s="14" cm="1">
        <f t="array" ref="Q13">G(N13,$O$3,$O$4,$U$5:$Y$5)</f>
        <v>79.58895033182489</v>
      </c>
      <c r="R13" s="14"/>
      <c r="S13" s="14">
        <f t="shared" si="1"/>
        <v>0.36905033182489433</v>
      </c>
      <c r="AA13" s="14">
        <v>50</v>
      </c>
      <c r="AB13" s="14">
        <v>80.472300000000004</v>
      </c>
      <c r="AC13" s="14"/>
      <c r="AD13" s="14" cm="1">
        <f t="array" ref="AD13">G(AA13,$AB$3,$AB$4,AH$5:AL$5)</f>
        <v>83.978511986663705</v>
      </c>
      <c r="AE13" s="14"/>
      <c r="AF13" s="14">
        <f t="shared" si="2"/>
        <v>3.5062119866637005</v>
      </c>
    </row>
    <row r="14" spans="1:38" x14ac:dyDescent="0.25">
      <c r="A14" s="14">
        <v>60</v>
      </c>
      <c r="B14" s="14">
        <v>80.566299999999998</v>
      </c>
      <c r="C14" s="14"/>
      <c r="D14" s="14" cm="1">
        <f t="array" ref="D14">G(A14,$B$3,$B$4,H$5:L$5)</f>
        <v>87.096221630876272</v>
      </c>
      <c r="E14" s="14"/>
      <c r="F14" s="14">
        <f t="shared" si="0"/>
        <v>6.5299216308762738</v>
      </c>
      <c r="N14" s="14">
        <v>60</v>
      </c>
      <c r="O14" s="14">
        <v>71.061599999999999</v>
      </c>
      <c r="P14" s="14"/>
      <c r="Q14" s="14" cm="1">
        <f t="array" ref="Q14">G(N14,$O$3,$O$4,$U$5:$Y$5)</f>
        <v>65.156857748693042</v>
      </c>
      <c r="R14" s="14"/>
      <c r="S14" s="14">
        <f t="shared" si="1"/>
        <v>-5.9047422513069563</v>
      </c>
      <c r="AA14" s="14">
        <v>60</v>
      </c>
      <c r="AB14" s="14">
        <v>73.883300000000006</v>
      </c>
      <c r="AC14" s="14"/>
      <c r="AD14" s="14" cm="1">
        <f t="array" ref="AD14">G(AA14,$AB$3,$AB$4,AH$5:AL$5)</f>
        <v>78.808200920422436</v>
      </c>
      <c r="AE14" s="14"/>
      <c r="AF14" s="14">
        <f t="shared" si="2"/>
        <v>4.9249009204224308</v>
      </c>
    </row>
    <row r="15" spans="1:38" x14ac:dyDescent="0.25">
      <c r="A15" s="14">
        <v>70</v>
      </c>
      <c r="B15" s="14">
        <v>81.161500000000004</v>
      </c>
      <c r="C15" s="14"/>
      <c r="D15" s="14" cm="1">
        <f t="array" ref="D15">G(A15,$B$3,$B$4,H$5:L$5)</f>
        <v>80.324161431466365</v>
      </c>
      <c r="E15" s="14"/>
      <c r="F15" s="14">
        <f t="shared" si="0"/>
        <v>-0.83733856853363875</v>
      </c>
      <c r="N15" s="14">
        <v>70</v>
      </c>
      <c r="O15" s="14">
        <v>40.579500000000003</v>
      </c>
      <c r="P15" s="14"/>
      <c r="Q15" s="14" cm="1">
        <f t="array" ref="Q15">G(N15,$O$3,$O$4,$U$5:$Y$5)</f>
        <v>52.792573208929078</v>
      </c>
      <c r="R15" s="14"/>
      <c r="S15" s="14">
        <f t="shared" si="1"/>
        <v>12.213073208929075</v>
      </c>
      <c r="AA15" s="14">
        <v>70</v>
      </c>
      <c r="AB15" s="14">
        <v>69.609499999999997</v>
      </c>
      <c r="AC15" s="14"/>
      <c r="AD15" s="14" cm="1">
        <f t="array" ref="AD15">G(AA15,$AB$3,$AB$4,AH$5:AL$5)</f>
        <v>74.330237061033131</v>
      </c>
      <c r="AE15" s="14"/>
      <c r="AF15" s="14">
        <f t="shared" si="2"/>
        <v>4.7207370610331338</v>
      </c>
    </row>
    <row r="16" spans="1:38" x14ac:dyDescent="0.25">
      <c r="A16" s="14">
        <v>80</v>
      </c>
      <c r="B16" s="14">
        <v>77.962900000000005</v>
      </c>
      <c r="C16" s="14"/>
      <c r="D16" s="14" cm="1">
        <f t="array" ref="D16">G(A16,$B$3,$B$4,H$5:L$5)</f>
        <v>74.721813661527818</v>
      </c>
      <c r="E16" s="14"/>
      <c r="F16" s="14">
        <f t="shared" si="0"/>
        <v>-3.2410863384721864</v>
      </c>
      <c r="N16" s="14">
        <v>80</v>
      </c>
      <c r="O16" s="14">
        <v>56.292900000000003</v>
      </c>
      <c r="P16" s="14"/>
      <c r="Q16" s="14" cm="1">
        <f t="array" ref="Q16">G(N16,$O$3,$O$4,$U$5:$Y$5)</f>
        <v>41.589926664047972</v>
      </c>
      <c r="R16" s="14"/>
      <c r="S16" s="14">
        <f t="shared" si="1"/>
        <v>-14.702973335952031</v>
      </c>
      <c r="AA16" s="14">
        <v>80</v>
      </c>
      <c r="AB16" s="14">
        <v>65.963300000000004</v>
      </c>
      <c r="AC16" s="14"/>
      <c r="AD16" s="14" cm="1">
        <f t="array" ref="AD16">G(AA16,$AB$3,$AB$4,AH$5:AL$5)</f>
        <v>70.409033183772351</v>
      </c>
      <c r="AE16" s="14"/>
      <c r="AF16" s="14">
        <f t="shared" si="2"/>
        <v>4.4457331837723473</v>
      </c>
    </row>
    <row r="17" spans="1:32" x14ac:dyDescent="0.25">
      <c r="A17" s="14">
        <v>90</v>
      </c>
      <c r="B17" s="14">
        <v>74.502300000000005</v>
      </c>
      <c r="C17" s="14"/>
      <c r="D17" s="14" cm="1">
        <f t="array" ref="D17">G(A17,$B$3,$B$4,H$5:L$5)</f>
        <v>70.156511993126216</v>
      </c>
      <c r="E17" s="14"/>
      <c r="F17" s="14">
        <f t="shared" si="0"/>
        <v>-4.3457880068737893</v>
      </c>
      <c r="N17" s="14">
        <v>90</v>
      </c>
      <c r="O17" s="14">
        <v>64.596599999999995</v>
      </c>
      <c r="P17" s="14"/>
      <c r="Q17" s="14" cm="1">
        <f t="array" ref="Q17">G(N17,$O$3,$O$4,$U$5:$Y$5)</f>
        <v>30.647570181536931</v>
      </c>
      <c r="R17" s="14"/>
      <c r="S17" s="14">
        <f t="shared" si="1"/>
        <v>-33.94902981846306</v>
      </c>
      <c r="AA17" s="14">
        <v>90</v>
      </c>
      <c r="AB17" s="14">
        <v>62.9557</v>
      </c>
      <c r="AC17" s="14"/>
      <c r="AD17" s="14" cm="1">
        <f t="array" ref="AD17">G(AA17,$AB$3,$AB$4,AH$5:AL$5)</f>
        <v>66.959806174937455</v>
      </c>
      <c r="AE17" s="14"/>
      <c r="AF17" s="14">
        <f t="shared" si="2"/>
        <v>4.0041061749374549</v>
      </c>
    </row>
    <row r="18" spans="1:32" x14ac:dyDescent="0.25">
      <c r="A18" s="14">
        <v>100</v>
      </c>
      <c r="B18" s="14">
        <v>71.405000000000001</v>
      </c>
      <c r="C18" s="14"/>
      <c r="D18" s="14" cm="1">
        <f t="array" ref="D18">G(A18,$B$3,$B$4,H$5:L$5)</f>
        <v>66.473892433837094</v>
      </c>
      <c r="E18" s="14"/>
      <c r="F18" s="14">
        <f t="shared" si="0"/>
        <v>-4.9311075661629076</v>
      </c>
      <c r="N18" s="14">
        <v>100</v>
      </c>
      <c r="O18" s="14">
        <v>62.503700000000002</v>
      </c>
      <c r="P18" s="14"/>
      <c r="Q18" s="14" cm="1">
        <f t="array" ref="Q18">G(N18,$O$3,$O$4,$U$5:$Y$5)</f>
        <v>18.258748689276068</v>
      </c>
      <c r="R18" s="14"/>
      <c r="S18" s="14">
        <f t="shared" si="1"/>
        <v>-44.244951310723934</v>
      </c>
      <c r="AA18" s="14">
        <v>100</v>
      </c>
      <c r="AB18" s="14">
        <v>60.003</v>
      </c>
      <c r="AC18" s="14"/>
      <c r="AD18" s="14" cm="1">
        <f t="array" ref="AD18">G(AA18,$AB$3,$AB$4,AH$5:AL$5)</f>
        <v>63.924581866013938</v>
      </c>
      <c r="AE18" s="14"/>
      <c r="AF18" s="14">
        <f t="shared" si="2"/>
        <v>3.9215818660139377</v>
      </c>
    </row>
    <row r="19" spans="1:32" x14ac:dyDescent="0.25">
      <c r="A19" s="14">
        <v>110</v>
      </c>
      <c r="B19" s="14">
        <v>68.634600000000006</v>
      </c>
      <c r="C19" s="14"/>
      <c r="D19" s="14" cm="1">
        <f t="array" ref="D19">G(A19,$B$3,$B$4,H$5:L$5)</f>
        <v>63.507487271050763</v>
      </c>
      <c r="E19" s="14"/>
      <c r="F19" s="14">
        <f t="shared" si="0"/>
        <v>-5.1271127289492426</v>
      </c>
      <c r="N19" s="14">
        <v>110</v>
      </c>
      <c r="O19" s="14">
        <v>60.642499999999998</v>
      </c>
      <c r="P19" s="14"/>
      <c r="Q19" s="14" cm="1">
        <f t="array" ref="Q19">G(N19,$O$3,$O$4,$U$5:$Y$5)</f>
        <v>11.86035663386588</v>
      </c>
      <c r="R19" s="14"/>
      <c r="S19" s="14">
        <f t="shared" si="1"/>
        <v>-48.782143366134122</v>
      </c>
      <c r="AA19" s="14">
        <v>110</v>
      </c>
      <c r="AB19" s="14">
        <v>57.659500000000001</v>
      </c>
      <c r="AC19" s="14"/>
      <c r="AD19" s="14" cm="1">
        <f t="array" ref="AD19">G(AA19,$AB$3,$AB$4,AH$5:AL$5)</f>
        <v>61.258711233985153</v>
      </c>
      <c r="AE19" s="14"/>
      <c r="AF19" s="14">
        <f t="shared" si="2"/>
        <v>3.5992112339851516</v>
      </c>
    </row>
    <row r="20" spans="1:32" x14ac:dyDescent="0.25">
      <c r="A20" s="14">
        <v>120</v>
      </c>
      <c r="B20" s="14">
        <v>66.153400000000005</v>
      </c>
      <c r="C20" s="14"/>
      <c r="D20" s="14" cm="1">
        <f t="array" ref="D20">G(A20,$B$3,$B$4,H$5:L$5)</f>
        <v>61.101778063412702</v>
      </c>
      <c r="E20" s="14"/>
      <c r="F20" s="14">
        <f t="shared" si="0"/>
        <v>-5.0516219365873027</v>
      </c>
      <c r="N20" s="14">
        <v>120</v>
      </c>
      <c r="O20" s="14">
        <v>58.973100000000002</v>
      </c>
      <c r="P20" s="14"/>
      <c r="Q20" s="14" cm="1">
        <f t="array" ref="Q20">G(N20,$O$3,$O$4,$U$5:$Y$5)</f>
        <v>22.757215714722527</v>
      </c>
      <c r="R20" s="14"/>
      <c r="S20" s="14">
        <f t="shared" si="1"/>
        <v>-36.215884285277475</v>
      </c>
      <c r="AA20" s="14">
        <v>120</v>
      </c>
      <c r="AB20" s="14">
        <v>59.446800000000003</v>
      </c>
      <c r="AC20" s="14"/>
      <c r="AD20" s="14" cm="1">
        <f t="array" ref="AD20">G(AA20,$AB$3,$AB$4,AH$5:AL$5)</f>
        <v>58.923293794946808</v>
      </c>
      <c r="AE20" s="14"/>
      <c r="AF20" s="14">
        <f t="shared" si="2"/>
        <v>-0.52350620505319512</v>
      </c>
    </row>
    <row r="21" spans="1:32" x14ac:dyDescent="0.25">
      <c r="A21" s="14">
        <v>130</v>
      </c>
      <c r="B21" s="14">
        <v>63.8795</v>
      </c>
      <c r="C21" s="14"/>
      <c r="D21" s="14" cm="1">
        <f t="array" ref="D21">G(A21,$B$3,$B$4,H$5:L$5)</f>
        <v>59.126895995763775</v>
      </c>
      <c r="E21" s="14"/>
      <c r="F21" s="14">
        <f t="shared" si="0"/>
        <v>-4.7526040042362254</v>
      </c>
      <c r="N21" s="14">
        <v>130</v>
      </c>
      <c r="O21" s="14">
        <v>59.536900000000003</v>
      </c>
      <c r="P21" s="14"/>
      <c r="Q21" s="14" cm="1">
        <f t="array" ref="Q21">G(N21,$O$3,$O$4,$U$5:$Y$5)</f>
        <v>28.675714076397551</v>
      </c>
      <c r="R21" s="14"/>
      <c r="S21" s="14">
        <f t="shared" si="1"/>
        <v>-30.861185923602452</v>
      </c>
      <c r="AA21" s="14">
        <v>130</v>
      </c>
      <c r="AB21" s="14">
        <v>56.237699999999997</v>
      </c>
      <c r="AC21" s="14"/>
      <c r="AD21" s="14" cm="1">
        <f t="array" ref="AD21">G(AA21,$AB$3,$AB$4,AH$5:AL$5)</f>
        <v>56.881541701697799</v>
      </c>
      <c r="AE21" s="14"/>
      <c r="AF21" s="14">
        <f t="shared" si="2"/>
        <v>0.64384170169780219</v>
      </c>
    </row>
    <row r="22" spans="1:32" x14ac:dyDescent="0.25">
      <c r="A22" s="14">
        <v>140</v>
      </c>
      <c r="B22" s="14">
        <v>61.798099999999998</v>
      </c>
      <c r="C22" s="14"/>
      <c r="D22" s="14" cm="1">
        <f t="array" ref="D22">G(A22,$B$3,$B$4,H$5:L$5)</f>
        <v>57.481646123286872</v>
      </c>
      <c r="E22" s="14"/>
      <c r="F22" s="14">
        <f t="shared" si="0"/>
        <v>-4.3164538767131262</v>
      </c>
      <c r="N22" s="14">
        <v>140</v>
      </c>
      <c r="O22" s="14">
        <v>57.4831</v>
      </c>
      <c r="P22" s="14"/>
      <c r="Q22" s="14" cm="1">
        <f t="array" ref="Q22">G(N22,$O$3,$O$4,$U$5:$Y$5)</f>
        <v>32.723269695296665</v>
      </c>
      <c r="R22" s="14"/>
      <c r="S22" s="14">
        <f t="shared" si="1"/>
        <v>-24.759830304703335</v>
      </c>
      <c r="AA22" s="14">
        <v>140</v>
      </c>
      <c r="AB22" s="14">
        <v>54.293199999999999</v>
      </c>
      <c r="AC22" s="14"/>
      <c r="AD22" s="14" cm="1">
        <f t="array" ref="AD22">G(AA22,$AB$3,$AB$4,AH$5:AL$5)</f>
        <v>55.097776348317829</v>
      </c>
      <c r="AE22" s="14"/>
      <c r="AF22" s="14">
        <f t="shared" si="2"/>
        <v>0.80457634831783054</v>
      </c>
    </row>
    <row r="23" spans="1:32" x14ac:dyDescent="0.25">
      <c r="A23" s="14">
        <v>150</v>
      </c>
      <c r="B23" s="14">
        <v>59.8825</v>
      </c>
      <c r="C23" s="14"/>
      <c r="D23" s="14" cm="1">
        <f t="array" ref="D23">G(A23,$B$3,$B$4,H$5:L$5)</f>
        <v>56.089947031157415</v>
      </c>
      <c r="E23" s="14"/>
      <c r="F23" s="14">
        <f t="shared" si="0"/>
        <v>-3.7925529688425854</v>
      </c>
      <c r="N23" s="14">
        <v>150</v>
      </c>
      <c r="O23" s="14">
        <v>55.592100000000002</v>
      </c>
      <c r="P23" s="14"/>
      <c r="Q23" s="14" cm="1">
        <f t="array" ref="Q23">G(N23,$O$3,$O$4,$U$5:$Y$5)</f>
        <v>35.716452540780011</v>
      </c>
      <c r="R23" s="14"/>
      <c r="S23" s="14">
        <f t="shared" si="1"/>
        <v>-19.875647459219991</v>
      </c>
      <c r="AA23" s="14">
        <v>150</v>
      </c>
      <c r="AB23" s="14">
        <v>53.540300000000002</v>
      </c>
      <c r="AC23" s="14"/>
      <c r="AD23" s="14" cm="1">
        <f t="array" ref="AD23">G(AA23,$AB$3,$AB$4,AH$5:AL$5)</f>
        <v>53.537870108310528</v>
      </c>
      <c r="AE23" s="14"/>
      <c r="AF23" s="14">
        <f t="shared" si="2"/>
        <v>-2.4298916894736067E-3</v>
      </c>
    </row>
    <row r="24" spans="1:32" x14ac:dyDescent="0.25">
      <c r="A24" s="14">
        <v>160</v>
      </c>
      <c r="B24" s="14">
        <v>58.111400000000003</v>
      </c>
      <c r="C24" s="14"/>
      <c r="D24" s="14" cm="1">
        <f t="array" ref="D24">G(A24,$B$3,$B$4,H$5:L$5)</f>
        <v>54.895379281796174</v>
      </c>
      <c r="E24" s="14"/>
      <c r="F24" s="14">
        <f t="shared" si="0"/>
        <v>-3.2160207182038292</v>
      </c>
      <c r="N24" s="14">
        <v>160</v>
      </c>
      <c r="O24" s="14">
        <v>53.881900000000002</v>
      </c>
      <c r="P24" s="14"/>
      <c r="Q24" s="14" cm="1">
        <f t="array" ref="Q24">G(N24,$O$3,$O$4,$U$5:$Y$5)</f>
        <v>38.024676687173461</v>
      </c>
      <c r="R24" s="14"/>
      <c r="S24" s="14">
        <f t="shared" si="1"/>
        <v>-15.857223312826541</v>
      </c>
      <c r="AA24" s="14">
        <v>160</v>
      </c>
      <c r="AB24" s="14">
        <v>53.344099999999997</v>
      </c>
      <c r="AC24" s="14"/>
      <c r="AD24" s="14" cm="1">
        <f t="array" ref="AD24">G(AA24,$AB$3,$AB$4,AH$5:AL$5)</f>
        <v>52.170150722460825</v>
      </c>
      <c r="AE24" s="14"/>
      <c r="AF24" s="14">
        <f t="shared" si="2"/>
        <v>-1.1739492775391724</v>
      </c>
    </row>
    <row r="25" spans="1:32" x14ac:dyDescent="0.25">
      <c r="A25" s="14">
        <v>170</v>
      </c>
      <c r="B25" s="14">
        <v>56.467199999999998</v>
      </c>
      <c r="C25" s="14"/>
      <c r="D25" s="14" cm="1">
        <f t="array" ref="D25">G(A25,$B$3,$B$4,H$5:L$5)</f>
        <v>53.856125085433625</v>
      </c>
      <c r="E25" s="14"/>
      <c r="F25" s="14">
        <f t="shared" si="0"/>
        <v>-2.6110749145663732</v>
      </c>
      <c r="N25" s="14">
        <v>170</v>
      </c>
      <c r="O25" s="14">
        <v>52.258800000000001</v>
      </c>
      <c r="P25" s="14"/>
      <c r="Q25" s="14" cm="1">
        <f t="array" ref="Q25">G(N25,$O$3,$O$4,$U$5:$Y$5)</f>
        <v>39.852586428537585</v>
      </c>
      <c r="R25" s="14"/>
      <c r="S25" s="14">
        <f t="shared" si="1"/>
        <v>-12.406213571462416</v>
      </c>
      <c r="AA25" s="14">
        <v>170</v>
      </c>
      <c r="AB25" s="14">
        <v>51.594900000000003</v>
      </c>
      <c r="AC25" s="14"/>
      <c r="AD25" s="14" cm="1">
        <f t="array" ref="AD25">G(AA25,$AB$3,$AB$4,AH$5:AL$5)</f>
        <v>50.96615767791905</v>
      </c>
      <c r="AE25" s="14"/>
      <c r="AF25" s="14">
        <f t="shared" si="2"/>
        <v>-0.62874232208095293</v>
      </c>
    </row>
    <row r="26" spans="1:32" x14ac:dyDescent="0.25">
      <c r="A26" s="14">
        <v>180</v>
      </c>
      <c r="B26" s="14">
        <v>56.361899999999999</v>
      </c>
      <c r="C26" s="14"/>
      <c r="D26" s="14" cm="1">
        <f t="array" ref="D26">G(A26,$B$3,$B$4,H$5:L$5)</f>
        <v>52.940973429803968</v>
      </c>
      <c r="E26" s="14"/>
      <c r="F26" s="14">
        <f t="shared" si="0"/>
        <v>-3.4209265701960305</v>
      </c>
      <c r="N26" s="14">
        <v>180</v>
      </c>
      <c r="O26" s="14">
        <v>50.746400000000001</v>
      </c>
      <c r="P26" s="14"/>
      <c r="Q26" s="14" cm="1">
        <f t="array" ref="Q26">G(N26,$O$3,$O$4,$U$5:$Y$5)</f>
        <v>41.326850574122126</v>
      </c>
      <c r="R26" s="14"/>
      <c r="S26" s="14">
        <f t="shared" si="1"/>
        <v>-9.4195494258778751</v>
      </c>
      <c r="AA26" s="14">
        <v>180</v>
      </c>
      <c r="AB26" s="14">
        <v>51.054600000000001</v>
      </c>
      <c r="AC26" s="14"/>
      <c r="AD26" s="14" cm="1">
        <f t="array" ref="AD26">G(AA26,$AB$3,$AB$4,AH$5:AL$5)</f>
        <v>49.901016100524856</v>
      </c>
      <c r="AE26" s="14"/>
      <c r="AF26" s="14">
        <f t="shared" si="2"/>
        <v>-1.1535838994751444</v>
      </c>
    </row>
    <row r="27" spans="1:32" x14ac:dyDescent="0.25">
      <c r="A27" s="14">
        <v>185</v>
      </c>
      <c r="B27" s="14">
        <v>55.174100000000003</v>
      </c>
      <c r="C27" s="14"/>
      <c r="D27" s="14" cm="1">
        <f t="array" ref="D27">G(A27,$B$3,$B$4,H$5:L$5)</f>
        <v>52.522340296140463</v>
      </c>
      <c r="E27" s="14"/>
      <c r="F27" s="14">
        <f t="shared" si="0"/>
        <v>-2.6517597038595397</v>
      </c>
      <c r="N27" s="14">
        <v>185</v>
      </c>
      <c r="O27" s="14">
        <v>51.584200000000003</v>
      </c>
      <c r="P27" s="14"/>
      <c r="Q27" s="14" cm="1">
        <f t="array" ref="Q27">G(N27,$O$3,$O$4,$U$5:$Y$5)</f>
        <v>41.958791883811109</v>
      </c>
      <c r="R27" s="14"/>
      <c r="S27" s="14">
        <f t="shared" si="1"/>
        <v>-9.6254081161888934</v>
      </c>
      <c r="AA27" s="14">
        <v>185</v>
      </c>
      <c r="AB27" s="14">
        <v>51.025399999999998</v>
      </c>
      <c r="AC27" s="14"/>
      <c r="AD27" s="14" cm="1">
        <f t="array" ref="AD27">G(AA27,$AB$3,$AB$4,AH$5:AL$5)</f>
        <v>49.413728475495645</v>
      </c>
      <c r="AE27" s="14"/>
      <c r="AF27" s="14">
        <f t="shared" si="2"/>
        <v>-1.6116715245043522</v>
      </c>
    </row>
    <row r="28" spans="1:32" x14ac:dyDescent="0.25">
      <c r="A28" s="14">
        <v>190</v>
      </c>
      <c r="B28" s="14">
        <v>54.2104</v>
      </c>
      <c r="C28" s="14"/>
      <c r="D28" s="14" cm="1">
        <f t="array" ref="D28">G(A28,$B$3,$B$4,H$5:L$5)</f>
        <v>52.126376479212226</v>
      </c>
      <c r="E28" s="14"/>
      <c r="F28" s="14">
        <f t="shared" si="0"/>
        <v>-2.084023520787774</v>
      </c>
      <c r="N28" s="14">
        <v>190</v>
      </c>
      <c r="O28" s="14">
        <v>51.960700000000003</v>
      </c>
      <c r="P28" s="14"/>
      <c r="Q28" s="14" cm="1">
        <f t="array" ref="Q28">G(N28,$O$3,$O$4,$U$5:$Y$5)</f>
        <v>42.53163302242428</v>
      </c>
      <c r="R28" s="14"/>
      <c r="S28" s="14">
        <f t="shared" si="1"/>
        <v>-9.4290669775757223</v>
      </c>
      <c r="AA28" s="14">
        <v>190</v>
      </c>
      <c r="AB28" s="14">
        <v>49.4617</v>
      </c>
      <c r="AC28" s="14"/>
      <c r="AD28" s="14" cm="1">
        <f t="array" ref="AD28">G(AA28,$AB$3,$AB$4,AH$5:AL$5)</f>
        <v>48.953440849572772</v>
      </c>
      <c r="AE28" s="14"/>
      <c r="AF28" s="14">
        <f t="shared" si="2"/>
        <v>-0.50825915042722869</v>
      </c>
    </row>
    <row r="29" spans="1:32" x14ac:dyDescent="0.25">
      <c r="A29" s="14">
        <v>195</v>
      </c>
      <c r="B29" s="14">
        <v>53.571800000000003</v>
      </c>
      <c r="C29" s="14"/>
      <c r="D29" s="14" cm="1">
        <f t="array" ref="D29">G(A29,$B$3,$B$4,H$5:L$5)</f>
        <v>51.75099092030284</v>
      </c>
      <c r="E29" s="14"/>
      <c r="F29" s="14">
        <f t="shared" si="0"/>
        <v>-1.8208090796971632</v>
      </c>
      <c r="N29" s="14">
        <v>195</v>
      </c>
      <c r="O29" s="14">
        <v>49.839399999999998</v>
      </c>
      <c r="P29" s="14"/>
      <c r="Q29" s="14" cm="1">
        <f t="array" ref="Q29">G(N29,$O$3,$O$4,$U$5:$Y$5)</f>
        <v>43.052041509952019</v>
      </c>
      <c r="R29" s="14"/>
      <c r="S29" s="14">
        <f t="shared" si="1"/>
        <v>-6.7873584900479784</v>
      </c>
      <c r="AA29" s="14">
        <v>195</v>
      </c>
      <c r="AB29" s="14">
        <v>49.250399999999999</v>
      </c>
      <c r="AC29" s="14"/>
      <c r="AD29" s="14" cm="1">
        <f t="array" ref="AD29">G(AA29,$AB$3,$AB$4,AH$5:AL$5)</f>
        <v>48.518011946265034</v>
      </c>
      <c r="AE29" s="14"/>
      <c r="AF29" s="14">
        <f t="shared" si="2"/>
        <v>-0.73238805373496518</v>
      </c>
    </row>
    <row r="30" spans="1:32" x14ac:dyDescent="0.25">
      <c r="A30" s="14">
        <v>200</v>
      </c>
      <c r="B30" s="14">
        <v>53.825299999999999</v>
      </c>
      <c r="C30" s="14"/>
      <c r="D30" s="14" cm="1">
        <f t="array" ref="D30">G(A30,$B$3,$B$4,H$5:L$5)</f>
        <v>51.394343231051948</v>
      </c>
      <c r="E30" s="14"/>
      <c r="F30" s="14">
        <f t="shared" si="0"/>
        <v>-2.4309567689480502</v>
      </c>
      <c r="N30" s="14">
        <v>200</v>
      </c>
      <c r="O30" s="14">
        <v>50.236800000000002</v>
      </c>
      <c r="P30" s="14"/>
      <c r="Q30" s="14" cm="1">
        <f t="array" ref="Q30">G(N30,$O$3,$O$4,$U$5:$Y$5)</f>
        <v>43.525700843858758</v>
      </c>
      <c r="R30" s="14"/>
      <c r="S30" s="14">
        <f t="shared" si="1"/>
        <v>-6.7110991561412447</v>
      </c>
      <c r="AA30" s="14">
        <v>200</v>
      </c>
      <c r="AB30" s="14">
        <v>48.797600000000003</v>
      </c>
      <c r="AC30" s="14"/>
      <c r="AD30" s="14" cm="1">
        <f t="array" ref="AD30">G(AA30,$AB$3,$AB$4,AH$5:AL$5)</f>
        <v>48.105485450507388</v>
      </c>
      <c r="AE30" s="14"/>
      <c r="AF30" s="14">
        <f t="shared" si="2"/>
        <v>-0.69211454949261508</v>
      </c>
    </row>
    <row r="31" spans="1:32" x14ac:dyDescent="0.25">
      <c r="A31" s="14">
        <v>210</v>
      </c>
      <c r="B31" s="14">
        <v>52.049100000000003</v>
      </c>
      <c r="C31" s="14"/>
      <c r="D31" s="14" cm="1">
        <f t="array" ref="D31">G(A31,$B$3,$B$4,H$5:L$5)</f>
        <v>50.730946661922459</v>
      </c>
      <c r="E31" s="14"/>
      <c r="F31" s="14">
        <f t="shared" si="0"/>
        <v>-1.3181533380775434</v>
      </c>
      <c r="N31" s="14">
        <v>210</v>
      </c>
      <c r="O31" s="14">
        <v>48.610300000000002</v>
      </c>
      <c r="P31" s="14"/>
      <c r="Q31" s="14" cm="1">
        <f t="array" ref="Q31">G(N31,$O$3,$O$4,$U$5:$Y$5)</f>
        <v>44.351632732801157</v>
      </c>
      <c r="R31" s="14"/>
      <c r="S31" s="14">
        <f t="shared" si="1"/>
        <v>-4.2586672671988453</v>
      </c>
      <c r="AA31" s="14">
        <v>210</v>
      </c>
      <c r="AB31" s="14">
        <v>48.095100000000002</v>
      </c>
      <c r="AC31" s="14"/>
      <c r="AD31" s="14" cm="1">
        <f t="array" ref="AD31">G(AA31,$AB$3,$AB$4,AH$5:AL$5)</f>
        <v>47.342158460390451</v>
      </c>
      <c r="AE31" s="14"/>
      <c r="AF31" s="14">
        <f t="shared" si="2"/>
        <v>-0.75294153960955157</v>
      </c>
    </row>
    <row r="32" spans="1:32" x14ac:dyDescent="0.25">
      <c r="A32" s="14">
        <v>220</v>
      </c>
      <c r="B32" s="14">
        <v>51.954799999999999</v>
      </c>
      <c r="C32" s="14"/>
      <c r="D32" s="14" cm="1">
        <f t="array" ref="D32">G(A32,$B$3,$B$4,H$5:L$5)</f>
        <v>50.125264766231595</v>
      </c>
      <c r="E32" s="14"/>
      <c r="F32" s="14">
        <f t="shared" si="0"/>
        <v>-1.8295352337684037</v>
      </c>
      <c r="N32" s="14">
        <v>220</v>
      </c>
      <c r="O32" s="14">
        <v>49.398499999999999</v>
      </c>
      <c r="P32" s="14"/>
      <c r="Q32" s="14" cm="1">
        <f t="array" ref="Q32">G(N32,$O$3,$O$4,$U$5:$Y$5)</f>
        <v>45.041179113863024</v>
      </c>
      <c r="R32" s="14"/>
      <c r="S32" s="14">
        <f t="shared" si="1"/>
        <v>-4.357320886136975</v>
      </c>
      <c r="AA32" s="14">
        <v>220</v>
      </c>
      <c r="AB32" s="14">
        <v>47.864400000000003</v>
      </c>
      <c r="AC32" s="14"/>
      <c r="AD32" s="14" cm="1">
        <f t="array" ref="AD32">G(AA32,$AB$3,$AB$4,AH$5:AL$5)</f>
        <v>46.650999081476762</v>
      </c>
      <c r="AE32" s="14"/>
      <c r="AF32" s="14">
        <f t="shared" si="2"/>
        <v>-1.2134009185232415</v>
      </c>
    </row>
    <row r="33" spans="1:32" x14ac:dyDescent="0.25">
      <c r="A33" s="14">
        <v>230</v>
      </c>
      <c r="B33" s="14">
        <v>49.801400000000001</v>
      </c>
      <c r="C33" s="14"/>
      <c r="D33" s="14" cm="1">
        <f t="array" ref="D33">G(A33,$B$3,$B$4,H$5:L$5)</f>
        <v>49.568624479687564</v>
      </c>
      <c r="E33" s="14"/>
      <c r="F33" s="14">
        <f t="shared" si="0"/>
        <v>-0.23277552031243687</v>
      </c>
      <c r="N33" s="14">
        <v>230</v>
      </c>
      <c r="O33" s="14">
        <v>47.892200000000003</v>
      </c>
      <c r="P33" s="14"/>
      <c r="Q33" s="14" cm="1">
        <f t="array" ref="Q33">G(N33,$O$3,$O$4,$U$5:$Y$5)</f>
        <v>45.618571064018759</v>
      </c>
      <c r="R33" s="14"/>
      <c r="S33" s="14">
        <f t="shared" si="1"/>
        <v>-2.2736289359812432</v>
      </c>
      <c r="AA33" s="14">
        <v>230</v>
      </c>
      <c r="AB33" s="14">
        <v>46.665700000000001</v>
      </c>
      <c r="AC33" s="14"/>
      <c r="AD33" s="14" cm="1">
        <f t="array" ref="AD33">G(AA33,$AB$3,$AB$4,AH$5:AL$5)</f>
        <v>46.021667778822007</v>
      </c>
      <c r="AE33" s="14"/>
      <c r="AF33" s="14">
        <f t="shared" si="2"/>
        <v>-0.6440322211779943</v>
      </c>
    </row>
    <row r="34" spans="1:32" x14ac:dyDescent="0.25">
      <c r="A34" s="14">
        <v>240</v>
      </c>
      <c r="B34" s="14">
        <v>50.110599999999998</v>
      </c>
      <c r="C34" s="14"/>
      <c r="D34" s="14" cm="1">
        <f t="array" ref="D34">G(A34,$B$3,$B$4,H$5:L$5)</f>
        <v>49.054056711286364</v>
      </c>
      <c r="E34" s="14"/>
      <c r="F34" s="14">
        <f t="shared" si="0"/>
        <v>-1.0565432887136339</v>
      </c>
      <c r="N34" s="14">
        <v>240</v>
      </c>
      <c r="O34" s="14">
        <v>48.258299999999998</v>
      </c>
      <c r="P34" s="14"/>
      <c r="Q34" s="14" cm="1">
        <f t="array" ref="Q34">G(N34,$O$3,$O$4,$U$5:$Y$5)</f>
        <v>46.102658780751135</v>
      </c>
      <c r="R34" s="14"/>
      <c r="S34" s="14">
        <f t="shared" si="1"/>
        <v>-2.1556412192488636</v>
      </c>
      <c r="AA34" s="14">
        <v>240</v>
      </c>
      <c r="AB34" s="14">
        <v>45.656399999999998</v>
      </c>
      <c r="AC34" s="14"/>
      <c r="AD34" s="14" cm="1">
        <f t="array" ref="AD34">G(AA34,$AB$3,$AB$4,AH$5:AL$5)</f>
        <v>45.445579577781885</v>
      </c>
      <c r="AE34" s="14"/>
      <c r="AF34" s="14">
        <f t="shared" si="2"/>
        <v>-0.21082042221811292</v>
      </c>
    </row>
    <row r="35" spans="1:32" x14ac:dyDescent="0.25">
      <c r="A35" s="14">
        <v>250</v>
      </c>
      <c r="B35" s="14">
        <v>48.7072</v>
      </c>
      <c r="C35" s="14"/>
      <c r="D35" s="14" cm="1">
        <f t="array" ref="D35">G(A35,$B$3,$B$4,H$5:L$5)</f>
        <v>48.575899210775326</v>
      </c>
      <c r="E35" s="14"/>
      <c r="F35" s="14">
        <f t="shared" si="0"/>
        <v>-0.13130078922467447</v>
      </c>
      <c r="N35" s="14">
        <v>250</v>
      </c>
      <c r="O35" s="14">
        <v>48.031100000000002</v>
      </c>
      <c r="P35" s="14"/>
      <c r="Q35" s="14" cm="1">
        <f t="array" ref="Q35">G(N35,$O$3,$O$4,$U$5:$Y$5)</f>
        <v>46.508345434355178</v>
      </c>
      <c r="R35" s="14"/>
      <c r="S35" s="14">
        <f t="shared" si="1"/>
        <v>-1.5227545656448243</v>
      </c>
      <c r="AA35" s="14">
        <v>250</v>
      </c>
      <c r="AB35" s="14">
        <v>45.091900000000003</v>
      </c>
      <c r="AC35" s="14"/>
      <c r="AD35" s="14" cm="1">
        <f t="array" ref="AD35">G(AA35,$AB$3,$AB$4,AH$5:AL$5)</f>
        <v>44.915589718757616</v>
      </c>
      <c r="AE35" s="14"/>
      <c r="AF35" s="14">
        <f t="shared" si="2"/>
        <v>-0.17631028124238668</v>
      </c>
    </row>
    <row r="36" spans="1:32" x14ac:dyDescent="0.25">
      <c r="A36" s="14">
        <v>260</v>
      </c>
      <c r="B36" s="14">
        <v>48.612299999999998</v>
      </c>
      <c r="C36" s="14"/>
      <c r="D36" s="14" cm="1">
        <f t="array" ref="D36">G(A36,$B$3,$B$4,H$5:L$5)</f>
        <v>48.129503805748833</v>
      </c>
      <c r="E36" s="14"/>
      <c r="F36" s="14">
        <f t="shared" si="0"/>
        <v>-0.48279619425116493</v>
      </c>
      <c r="N36" s="14">
        <v>260</v>
      </c>
      <c r="O36" s="14">
        <v>46.463999999999999</v>
      </c>
      <c r="P36" s="14"/>
      <c r="Q36" s="14" cm="1">
        <f t="array" ref="Q36">G(N36,$O$3,$O$4,$U$5:$Y$5)</f>
        <v>46.847578126696298</v>
      </c>
      <c r="R36" s="14"/>
      <c r="S36" s="14">
        <f t="shared" si="1"/>
        <v>0.38357812669629965</v>
      </c>
      <c r="AA36" s="14">
        <v>260</v>
      </c>
      <c r="AB36" s="14">
        <v>44.735300000000002</v>
      </c>
      <c r="AC36" s="14"/>
      <c r="AD36" s="14" cm="1">
        <f t="array" ref="AD36">G(AA36,$AB$3,$AB$4,AH$5:AL$5)</f>
        <v>44.425731355849919</v>
      </c>
      <c r="AE36" s="14"/>
      <c r="AF36" s="14">
        <f t="shared" si="2"/>
        <v>-0.30956864415008312</v>
      </c>
    </row>
    <row r="37" spans="1:32" x14ac:dyDescent="0.25">
      <c r="A37" s="14">
        <v>270</v>
      </c>
      <c r="B37" s="14">
        <v>47.7699</v>
      </c>
      <c r="C37" s="14"/>
      <c r="D37" s="14" cm="1">
        <f t="array" ref="D37">G(A37,$B$3,$B$4,H$5:L$5)</f>
        <v>47.711018055443837</v>
      </c>
      <c r="E37" s="14"/>
      <c r="F37" s="14">
        <f t="shared" si="0"/>
        <v>-5.888194455616258E-2</v>
      </c>
      <c r="N37" s="14">
        <v>270</v>
      </c>
      <c r="O37" s="14">
        <v>46.311700000000002</v>
      </c>
      <c r="P37" s="14"/>
      <c r="Q37" s="14" cm="1">
        <f t="array" ref="Q37">G(N37,$O$3,$O$4,$U$5:$Y$5)</f>
        <v>47.130050378281972</v>
      </c>
      <c r="R37" s="14"/>
      <c r="S37" s="14">
        <f t="shared" si="1"/>
        <v>0.81835037828196988</v>
      </c>
      <c r="AA37" s="14">
        <v>270</v>
      </c>
      <c r="AB37" s="14">
        <v>43.9011</v>
      </c>
      <c r="AC37" s="14"/>
      <c r="AD37" s="14" cm="1">
        <f t="array" ref="AD37">G(AA37,$AB$3,$AB$4,AH$5:AL$5)</f>
        <v>43.971000251043662</v>
      </c>
      <c r="AE37" s="14"/>
      <c r="AF37" s="14">
        <f t="shared" si="2"/>
        <v>6.990025104366282E-2</v>
      </c>
    </row>
    <row r="38" spans="1:32" x14ac:dyDescent="0.25">
      <c r="A38" s="14">
        <v>280</v>
      </c>
      <c r="B38" s="14">
        <v>46.966900000000003</v>
      </c>
      <c r="C38" s="14"/>
      <c r="D38" s="14" cm="1">
        <f t="array" ref="D38">G(A38,$B$3,$B$4,H$5:L$5)</f>
        <v>47.317220538025637</v>
      </c>
      <c r="E38" s="14"/>
      <c r="F38" s="14">
        <f t="shared" si="0"/>
        <v>0.35032053802563468</v>
      </c>
      <c r="N38" s="14">
        <v>280</v>
      </c>
      <c r="O38" s="14">
        <v>46.167200000000001</v>
      </c>
      <c r="P38" s="14"/>
      <c r="Q38" s="14" cm="1">
        <f t="array" ref="Q38">G(N38,$O$3,$O$4,$U$5:$Y$5)</f>
        <v>47.363711024108213</v>
      </c>
      <c r="R38" s="14"/>
      <c r="S38" s="14">
        <f t="shared" si="1"/>
        <v>1.1965110241082115</v>
      </c>
      <c r="AA38" s="14">
        <v>280</v>
      </c>
      <c r="AB38" s="14">
        <v>44.125</v>
      </c>
      <c r="AC38" s="14"/>
      <c r="AD38" s="14" cm="1">
        <f t="array" ref="AD38">G(AA38,$AB$3,$AB$4,AH$5:AL$5)</f>
        <v>43.547179734493859</v>
      </c>
      <c r="AE38" s="14"/>
      <c r="AF38" s="14">
        <f t="shared" si="2"/>
        <v>-0.57782026550614063</v>
      </c>
    </row>
    <row r="39" spans="1:32" x14ac:dyDescent="0.25">
      <c r="A39" s="14">
        <v>290</v>
      </c>
      <c r="B39" s="14">
        <v>46.200699999999998</v>
      </c>
      <c r="C39" s="14"/>
      <c r="D39" s="14" cm="1">
        <f t="array" ref="D39">G(A39,$B$3,$B$4,H$5:L$5)</f>
        <v>46.945395221564496</v>
      </c>
      <c r="E39" s="14"/>
      <c r="F39" s="14">
        <f t="shared" si="0"/>
        <v>0.74469522156449841</v>
      </c>
      <c r="N39" s="14">
        <v>290</v>
      </c>
      <c r="O39" s="14">
        <v>44.685699999999997</v>
      </c>
      <c r="P39" s="14"/>
      <c r="Q39" s="14" cm="1">
        <f t="array" ref="Q39">G(N39,$O$3,$O$4,$U$5:$Y$5)</f>
        <v>47.555139838398681</v>
      </c>
      <c r="R39" s="14"/>
      <c r="S39" s="14">
        <f t="shared" si="1"/>
        <v>2.8694398383986837</v>
      </c>
      <c r="AA39" s="14">
        <v>290</v>
      </c>
      <c r="AB39" s="14">
        <v>44.1387</v>
      </c>
      <c r="AC39" s="14"/>
      <c r="AD39" s="14" cm="1">
        <f t="array" ref="AD39">G(AA39,$AB$3,$AB$4,AH$5:AL$5)</f>
        <v>43.150699115187429</v>
      </c>
      <c r="AE39" s="14"/>
      <c r="AF39" s="14">
        <f t="shared" si="2"/>
        <v>-0.9880008848125712</v>
      </c>
    </row>
    <row r="40" spans="1:32" x14ac:dyDescent="0.25">
      <c r="A40" s="14">
        <v>300</v>
      </c>
      <c r="B40" s="14">
        <v>46.111199999999997</v>
      </c>
      <c r="C40" s="14"/>
      <c r="D40" s="14" cm="1">
        <f t="array" ref="D40">G(A40,$B$3,$B$4,H$5:L$5)</f>
        <v>46.593234630675894</v>
      </c>
      <c r="E40" s="14"/>
      <c r="F40" s="14">
        <f t="shared" si="0"/>
        <v>0.4820346306758978</v>
      </c>
      <c r="N40" s="14">
        <v>300</v>
      </c>
      <c r="O40" s="14">
        <v>45.443600000000004</v>
      </c>
      <c r="P40" s="14"/>
      <c r="Q40" s="14" cm="1">
        <f t="array" ref="Q40">G(N40,$O$3,$O$4,$U$5:$Y$5)</f>
        <v>47.709829370638737</v>
      </c>
      <c r="R40" s="14"/>
      <c r="S40" s="14">
        <f t="shared" si="1"/>
        <v>2.2662293706387331</v>
      </c>
      <c r="AA40" s="14">
        <v>300</v>
      </c>
      <c r="AB40" s="14">
        <v>43.233600000000003</v>
      </c>
      <c r="AC40" s="14"/>
      <c r="AD40" s="14" cm="1">
        <f t="array" ref="AD40">G(AA40,$AB$3,$AB$4,AH$5:AL$5)</f>
        <v>42.778519367955859</v>
      </c>
      <c r="AE40" s="14"/>
      <c r="AF40" s="14">
        <f t="shared" si="2"/>
        <v>-0.45508063204414384</v>
      </c>
    </row>
    <row r="41" spans="1:32" x14ac:dyDescent="0.25">
      <c r="A41" s="14">
        <v>310</v>
      </c>
      <c r="B41" s="14">
        <v>45.388199999999998</v>
      </c>
      <c r="C41" s="14"/>
      <c r="D41" s="14" cm="1">
        <f t="array" ref="D41">G(A41,$B$3,$B$4,H$5:L$5)</f>
        <v>46.258764457962656</v>
      </c>
      <c r="E41" s="14"/>
      <c r="F41" s="14">
        <f t="shared" ref="F41:F72" si="3">D41-B41</f>
        <v>0.87056445796265791</v>
      </c>
      <c r="N41" s="14">
        <v>310</v>
      </c>
      <c r="O41" s="14">
        <v>44.935899999999997</v>
      </c>
      <c r="P41" s="14"/>
      <c r="Q41" s="14" cm="1">
        <f t="array" ref="Q41">G(N41,$O$3,$O$4,$U$5:$Y$5)</f>
        <v>47.832399495620578</v>
      </c>
      <c r="R41" s="14"/>
      <c r="S41" s="14">
        <f t="shared" ref="S41:S72" si="4">Q41-O41</f>
        <v>2.8964994956205814</v>
      </c>
      <c r="AA41" s="14">
        <v>310</v>
      </c>
      <c r="AB41" s="14">
        <v>43.396000000000001</v>
      </c>
      <c r="AC41" s="14"/>
      <c r="AD41" s="14" cm="1">
        <f t="array" ref="AD41">G(AA41,$AB$3,$AB$4,AH$5:AL$5)</f>
        <v>42.428040819260332</v>
      </c>
      <c r="AE41" s="14"/>
      <c r="AF41" s="14">
        <f t="shared" ref="AF41:AF72" si="5">AD41-AB41</f>
        <v>-0.96795918073966902</v>
      </c>
    </row>
    <row r="42" spans="1:32" x14ac:dyDescent="0.25">
      <c r="A42" s="14">
        <v>320</v>
      </c>
      <c r="B42" s="14">
        <v>45.5411</v>
      </c>
      <c r="C42" s="14"/>
      <c r="D42" s="14" cm="1">
        <f t="array" ref="D42">G(A42,$B$3,$B$4,H$5:L$5)</f>
        <v>45.940284312424609</v>
      </c>
      <c r="E42" s="14"/>
      <c r="F42" s="14">
        <f t="shared" si="3"/>
        <v>0.39918431242460883</v>
      </c>
      <c r="N42" s="14">
        <v>320</v>
      </c>
      <c r="O42" s="14">
        <v>44.451300000000003</v>
      </c>
      <c r="P42" s="14"/>
      <c r="Q42" s="14" cm="1">
        <f t="array" ref="Q42">G(N42,$O$3,$O$4,$U$5:$Y$5)</f>
        <v>47.926762863873179</v>
      </c>
      <c r="R42" s="14"/>
      <c r="S42" s="14">
        <f t="shared" si="4"/>
        <v>3.4754628638731759</v>
      </c>
      <c r="AA42" s="14">
        <v>320</v>
      </c>
      <c r="AB42" s="14">
        <v>43.066800000000001</v>
      </c>
      <c r="AC42" s="14"/>
      <c r="AD42" s="14" cm="1">
        <f t="array" ref="AD42">G(AA42,$AB$3,$AB$4,AH$5:AL$5)</f>
        <v>42.097028468351958</v>
      </c>
      <c r="AE42" s="14"/>
      <c r="AF42" s="14">
        <f t="shared" si="5"/>
        <v>-0.96977153164804264</v>
      </c>
    </row>
    <row r="43" spans="1:32" x14ac:dyDescent="0.25">
      <c r="A43" s="14">
        <v>330</v>
      </c>
      <c r="B43" s="14">
        <v>44.567100000000003</v>
      </c>
      <c r="C43" s="14"/>
      <c r="D43" s="14" cm="1">
        <f t="array" ref="D43">G(A43,$B$3,$B$4,H$5:L$5)</f>
        <v>45.636320732130429</v>
      </c>
      <c r="E43" s="14"/>
      <c r="F43" s="14">
        <f t="shared" si="3"/>
        <v>1.0692207321304252</v>
      </c>
      <c r="N43" s="14">
        <v>330</v>
      </c>
      <c r="O43" s="14">
        <v>43.837200000000003</v>
      </c>
      <c r="P43" s="14"/>
      <c r="Q43" s="14" cm="1">
        <f t="array" ref="Q43">G(N43,$O$3,$O$4,$U$5:$Y$5)</f>
        <v>47.996253977178135</v>
      </c>
      <c r="R43" s="14"/>
      <c r="S43" s="14">
        <f t="shared" si="4"/>
        <v>4.1590539771781323</v>
      </c>
      <c r="AA43" s="14">
        <v>330</v>
      </c>
      <c r="AB43" s="14">
        <v>41.905099999999997</v>
      </c>
      <c r="AC43" s="14"/>
      <c r="AD43" s="14" cm="1">
        <f t="array" ref="AD43">G(AA43,$AB$3,$AB$4,AH$5:AL$5)</f>
        <v>41.783551407379811</v>
      </c>
      <c r="AE43" s="14"/>
      <c r="AF43" s="14">
        <f t="shared" si="5"/>
        <v>-0.12154859262018647</v>
      </c>
    </row>
    <row r="44" spans="1:32" x14ac:dyDescent="0.25">
      <c r="A44" s="14">
        <v>340</v>
      </c>
      <c r="B44" s="14">
        <v>44.479100000000003</v>
      </c>
      <c r="C44" s="14"/>
      <c r="D44" s="14" cm="1">
        <f t="array" ref="D44">G(A44,$B$3,$B$4,H$5:L$5)</f>
        <v>45.345589606746735</v>
      </c>
      <c r="E44" s="14"/>
      <c r="F44" s="14">
        <f t="shared" si="3"/>
        <v>0.86648960674673248</v>
      </c>
      <c r="N44" s="14">
        <v>340</v>
      </c>
      <c r="O44" s="14">
        <v>43.332799999999999</v>
      </c>
      <c r="P44" s="14"/>
      <c r="Q44" s="14" cm="1">
        <f t="array" ref="Q44">G(N44,$O$3,$O$4,$U$5:$Y$5)</f>
        <v>48.043730947863452</v>
      </c>
      <c r="R44" s="14"/>
      <c r="S44" s="14">
        <f t="shared" si="4"/>
        <v>4.7109309478634529</v>
      </c>
      <c r="AA44" s="14">
        <v>340</v>
      </c>
      <c r="AB44" s="14">
        <v>42.749000000000002</v>
      </c>
      <c r="AC44" s="14"/>
      <c r="AD44" s="14" cm="1">
        <f t="array" ref="AD44">G(AA44,$AB$3,$AB$4,AH$5:AL$5)</f>
        <v>41.485933508081935</v>
      </c>
      <c r="AE44" s="14"/>
      <c r="AF44" s="14">
        <f t="shared" si="5"/>
        <v>-1.2630664919180674</v>
      </c>
    </row>
    <row r="45" spans="1:32" x14ac:dyDescent="0.25">
      <c r="A45" s="14">
        <v>350</v>
      </c>
      <c r="B45" s="14">
        <v>44.389400000000002</v>
      </c>
      <c r="C45" s="14"/>
      <c r="D45" s="14" cm="1">
        <f t="array" ref="D45">G(A45,$B$3,$B$4,H$5:L$5)</f>
        <v>45.066965885344985</v>
      </c>
      <c r="E45" s="14"/>
      <c r="F45" s="14">
        <f t="shared" si="3"/>
        <v>0.67756588534498263</v>
      </c>
      <c r="N45" s="14">
        <v>350</v>
      </c>
      <c r="O45" s="14">
        <v>42.8904</v>
      </c>
      <c r="P45" s="14"/>
      <c r="Q45" s="14" cm="1">
        <f t="array" ref="Q45">G(N45,$O$3,$O$4,$U$5:$Y$5)</f>
        <v>48.071656491605779</v>
      </c>
      <c r="R45" s="14"/>
      <c r="S45" s="14">
        <f t="shared" si="4"/>
        <v>5.1812564916057795</v>
      </c>
      <c r="AA45" s="14">
        <v>350</v>
      </c>
      <c r="AB45" s="14">
        <v>42.228099999999998</v>
      </c>
      <c r="AC45" s="14"/>
      <c r="AD45" s="14" cm="1">
        <f t="array" ref="AD45">G(AA45,$AB$3,$AB$4,AH$5:AL$5)</f>
        <v>41.202713121812415</v>
      </c>
      <c r="AE45" s="14"/>
      <c r="AF45" s="14">
        <f t="shared" si="5"/>
        <v>-1.0253868781875823</v>
      </c>
    </row>
    <row r="46" spans="1:32" x14ac:dyDescent="0.25">
      <c r="A46" s="14">
        <v>360</v>
      </c>
      <c r="B46" s="14">
        <v>43.793999999999997</v>
      </c>
      <c r="C46" s="14"/>
      <c r="D46" s="14" cm="1">
        <f t="array" ref="D46">G(A46,$B$3,$B$4,H$5:L$5)</f>
        <v>44.799458973164178</v>
      </c>
      <c r="E46" s="14"/>
      <c r="F46" s="14">
        <f t="shared" si="3"/>
        <v>1.0054589731641812</v>
      </c>
      <c r="N46" s="14">
        <v>360</v>
      </c>
      <c r="O46" s="14">
        <v>42.741700000000002</v>
      </c>
      <c r="P46" s="14"/>
      <c r="Q46" s="14" cm="1">
        <f t="array" ref="Q46">G(N46,$O$3,$O$4,$U$5:$Y$5)</f>
        <v>48.082162956202531</v>
      </c>
      <c r="R46" s="14"/>
      <c r="S46" s="14">
        <f t="shared" si="4"/>
        <v>5.3404629562025292</v>
      </c>
      <c r="AA46" s="14">
        <v>360</v>
      </c>
      <c r="AB46" s="14">
        <v>40.609499999999997</v>
      </c>
      <c r="AC46" s="14"/>
      <c r="AD46" s="14" cm="1">
        <f t="array" ref="AD46">G(AA46,$AB$3,$AB$4,AH$5:AL$5)</f>
        <v>40.932610006308217</v>
      </c>
      <c r="AE46" s="14"/>
      <c r="AF46" s="14">
        <f t="shared" si="5"/>
        <v>0.32311000630821951</v>
      </c>
    </row>
    <row r="47" spans="1:32" x14ac:dyDescent="0.25">
      <c r="A47" s="14">
        <v>370</v>
      </c>
      <c r="B47" s="14">
        <v>43.453200000000002</v>
      </c>
      <c r="C47" s="14"/>
      <c r="D47" s="14" cm="1">
        <f t="array" ref="D47">G(A47,$B$3,$B$4,H$5:L$5)</f>
        <v>44.542192607059143</v>
      </c>
      <c r="E47" s="14"/>
      <c r="F47" s="14">
        <f t="shared" si="3"/>
        <v>1.08899260705914</v>
      </c>
      <c r="N47" s="14">
        <v>370</v>
      </c>
      <c r="O47" s="14">
        <v>42.932899999999997</v>
      </c>
      <c r="P47" s="14"/>
      <c r="Q47" s="14" cm="1">
        <f t="array" ref="Q47">G(N47,$O$3,$O$4,$U$5:$Y$5)</f>
        <v>48.077104952691151</v>
      </c>
      <c r="R47" s="14"/>
      <c r="S47" s="14">
        <f t="shared" si="4"/>
        <v>5.1442049526911546</v>
      </c>
      <c r="AA47" s="14">
        <v>370</v>
      </c>
      <c r="AB47" s="14">
        <v>40.969000000000001</v>
      </c>
      <c r="AC47" s="14"/>
      <c r="AD47" s="14" cm="1">
        <f t="array" ref="AD47">G(AA47,$AB$3,$AB$4,AH$5:AL$5)</f>
        <v>40.67449806400522</v>
      </c>
      <c r="AE47" s="14"/>
      <c r="AF47" s="14">
        <f t="shared" si="5"/>
        <v>-0.29450193599478069</v>
      </c>
    </row>
    <row r="48" spans="1:32" x14ac:dyDescent="0.25">
      <c r="A48" s="14">
        <v>380</v>
      </c>
      <c r="B48" s="14">
        <v>43.315600000000003</v>
      </c>
      <c r="C48" s="14"/>
      <c r="D48" s="14" cm="1">
        <f t="array" ref="D48">G(A48,$B$3,$B$4,H$5:L$5)</f>
        <v>44.294388284119002</v>
      </c>
      <c r="E48" s="14"/>
      <c r="F48" s="14">
        <f t="shared" si="3"/>
        <v>0.97878828411899832</v>
      </c>
      <c r="N48" s="14">
        <v>380</v>
      </c>
      <c r="O48" s="14">
        <v>42.468000000000004</v>
      </c>
      <c r="P48" s="14"/>
      <c r="Q48" s="14" cm="1">
        <f t="array" ref="Q48">G(N48,$O$3,$O$4,$U$5:$Y$5)</f>
        <v>48.058102268171787</v>
      </c>
      <c r="R48" s="14"/>
      <c r="S48" s="14">
        <f t="shared" si="4"/>
        <v>5.5901022681717834</v>
      </c>
      <c r="AA48" s="14">
        <v>380</v>
      </c>
      <c r="AB48" s="14">
        <v>41.040399999999998</v>
      </c>
      <c r="AC48" s="14"/>
      <c r="AD48" s="14" cm="1">
        <f t="array" ref="AD48">G(AA48,$AB$3,$AB$4,AH$5:AL$5)</f>
        <v>40.427382770201476</v>
      </c>
      <c r="AE48" s="14"/>
      <c r="AF48" s="14">
        <f t="shared" si="5"/>
        <v>-0.61301722979852258</v>
      </c>
    </row>
    <row r="49" spans="1:32" x14ac:dyDescent="0.25">
      <c r="A49" s="14">
        <v>390</v>
      </c>
      <c r="B49" s="14">
        <v>42.998100000000001</v>
      </c>
      <c r="C49" s="14"/>
      <c r="D49" s="14" cm="1">
        <f t="array" ref="D49">G(A49,$B$3,$B$4,H$5:L$5)</f>
        <v>44.055351529867288</v>
      </c>
      <c r="E49" s="14"/>
      <c r="F49" s="14">
        <f t="shared" si="3"/>
        <v>1.0572515298672869</v>
      </c>
      <c r="N49" s="14">
        <v>390</v>
      </c>
      <c r="O49" s="14">
        <v>41.881399999999999</v>
      </c>
      <c r="P49" s="14"/>
      <c r="Q49" s="14" cm="1">
        <f t="array" ref="Q49">G(N49,$O$3,$O$4,$U$5:$Y$5)</f>
        <v>48.026575094825141</v>
      </c>
      <c r="R49" s="14"/>
      <c r="S49" s="14">
        <f t="shared" si="4"/>
        <v>6.1451750948251416</v>
      </c>
      <c r="AA49" s="14">
        <v>390</v>
      </c>
      <c r="AB49" s="14">
        <v>40.738700000000001</v>
      </c>
      <c r="AC49" s="14"/>
      <c r="AD49" s="14" cm="1">
        <f t="array" ref="AD49">G(AA49,$AB$3,$AB$4,AH$5:AL$5)</f>
        <v>40.190382400418095</v>
      </c>
      <c r="AE49" s="14"/>
      <c r="AF49" s="14">
        <f t="shared" si="5"/>
        <v>-0.54831759958190673</v>
      </c>
    </row>
    <row r="50" spans="1:32" x14ac:dyDescent="0.25">
      <c r="A50" s="14">
        <v>400</v>
      </c>
      <c r="B50" s="14">
        <v>41.907400000000003</v>
      </c>
      <c r="C50" s="14"/>
      <c r="D50" s="14" cm="1">
        <f t="array" ref="D50">G(A50,$B$3,$B$4,H$5:L$5)</f>
        <v>43.824460451535998</v>
      </c>
      <c r="E50" s="14"/>
      <c r="F50" s="14">
        <f t="shared" si="3"/>
        <v>1.9170604515359955</v>
      </c>
      <c r="N50" s="14">
        <v>400</v>
      </c>
      <c r="O50" s="14">
        <v>41.423499999999997</v>
      </c>
      <c r="P50" s="14"/>
      <c r="Q50" s="14" cm="1">
        <f t="array" ref="Q50">G(N50,$O$3,$O$4,$U$5:$Y$5)</f>
        <v>47.983773135171973</v>
      </c>
      <c r="R50" s="14"/>
      <c r="S50" s="14">
        <f t="shared" si="4"/>
        <v>6.5602731351719754</v>
      </c>
      <c r="AA50" s="14">
        <v>400</v>
      </c>
      <c r="AB50" s="14">
        <v>39.871699999999997</v>
      </c>
      <c r="AC50" s="14"/>
      <c r="AD50" s="14" cm="1">
        <f t="array" ref="AD50">G(AA50,$AB$3,$AB$4,AH$5:AL$5)</f>
        <v>39.962712347953172</v>
      </c>
      <c r="AE50" s="14"/>
      <c r="AF50" s="14">
        <f t="shared" si="5"/>
        <v>9.101234795317481E-2</v>
      </c>
    </row>
    <row r="51" spans="1:32" x14ac:dyDescent="0.25">
      <c r="A51" s="14">
        <v>410</v>
      </c>
      <c r="B51" s="14">
        <v>42.3322</v>
      </c>
      <c r="C51" s="14"/>
      <c r="D51" s="14" cm="1">
        <f t="array" ref="D51">G(A51,$B$3,$B$4,H$5:L$5)</f>
        <v>43.601156142304113</v>
      </c>
      <c r="E51" s="14"/>
      <c r="F51" s="14">
        <f t="shared" si="3"/>
        <v>1.2689561423041127</v>
      </c>
      <c r="N51" s="14">
        <v>410</v>
      </c>
      <c r="O51" s="14">
        <v>40.451500000000003</v>
      </c>
      <c r="P51" s="14"/>
      <c r="Q51" s="14" cm="1">
        <f t="array" ref="Q51">G(N51,$O$3,$O$4,$U$5:$Y$5)</f>
        <v>47.930799790704413</v>
      </c>
      <c r="R51" s="14"/>
      <c r="S51" s="14">
        <f t="shared" si="4"/>
        <v>7.4792997907044096</v>
      </c>
      <c r="AA51" s="14">
        <v>410</v>
      </c>
      <c r="AB51" s="14">
        <v>40.427599999999998</v>
      </c>
      <c r="AC51" s="14"/>
      <c r="AD51" s="14" cm="1">
        <f t="array" ref="AD51">G(AA51,$AB$3,$AB$4,AH$5:AL$5)</f>
        <v>39.743671965462326</v>
      </c>
      <c r="AE51" s="14"/>
      <c r="AF51" s="14">
        <f t="shared" si="5"/>
        <v>-0.68392803453767215</v>
      </c>
    </row>
    <row r="52" spans="1:32" x14ac:dyDescent="0.25">
      <c r="A52" s="14">
        <v>420</v>
      </c>
      <c r="B52" s="14">
        <v>41.0364</v>
      </c>
      <c r="C52" s="14"/>
      <c r="D52" s="14" cm="1">
        <f t="array" ref="D52">G(A52,$B$3,$B$4,H$5:L$5)</f>
        <v>43.384934594233052</v>
      </c>
      <c r="E52" s="14"/>
      <c r="F52" s="14">
        <f t="shared" si="3"/>
        <v>2.3485345942330511</v>
      </c>
      <c r="N52" s="14">
        <v>420</v>
      </c>
      <c r="O52" s="14">
        <v>40.225700000000003</v>
      </c>
      <c r="P52" s="14"/>
      <c r="Q52" s="14" cm="1">
        <f t="array" ref="Q52">G(N52,$O$3,$O$4,$U$5:$Y$5)</f>
        <v>47.868632375824497</v>
      </c>
      <c r="R52" s="14"/>
      <c r="S52" s="14">
        <f t="shared" si="4"/>
        <v>7.6429323758244934</v>
      </c>
      <c r="AA52" s="14">
        <v>420</v>
      </c>
      <c r="AB52" s="14">
        <v>39.7042</v>
      </c>
      <c r="AC52" s="14"/>
      <c r="AD52" s="14" cm="1">
        <f t="array" ref="AD52">G(AA52,$AB$3,$AB$4,AH$5:AL$5)</f>
        <v>39.532633476876391</v>
      </c>
      <c r="AE52" s="14"/>
      <c r="AF52" s="14">
        <f t="shared" si="5"/>
        <v>-0.17156652312360876</v>
      </c>
    </row>
    <row r="53" spans="1:32" x14ac:dyDescent="0.25">
      <c r="A53" s="14">
        <v>430</v>
      </c>
      <c r="B53" s="14">
        <v>40.979799999999997</v>
      </c>
      <c r="C53" s="14"/>
      <c r="D53" s="14" cm="1">
        <f t="array" ref="D53">G(A53,$B$3,$B$4,H$5:L$5)</f>
        <v>43.175339848215636</v>
      </c>
      <c r="E53" s="14"/>
      <c r="F53" s="14">
        <f t="shared" si="3"/>
        <v>2.1955398482156383</v>
      </c>
      <c r="N53" s="14">
        <v>430</v>
      </c>
      <c r="O53" s="14">
        <v>40.036000000000001</v>
      </c>
      <c r="P53" s="14"/>
      <c r="Q53" s="14" cm="1">
        <f t="array" ref="Q53">G(N53,$O$3,$O$4,$U$5:$Y$5)</f>
        <v>47.798139097865629</v>
      </c>
      <c r="R53" s="14"/>
      <c r="S53" s="14">
        <f t="shared" si="4"/>
        <v>7.7621390978656279</v>
      </c>
      <c r="AA53" s="14">
        <v>430</v>
      </c>
      <c r="AB53" s="14">
        <v>39.427900000000001</v>
      </c>
      <c r="AC53" s="14"/>
      <c r="AD53" s="14" cm="1">
        <f t="array" ref="AD53">G(AA53,$AB$3,$AB$4,AH$5:AL$5)</f>
        <v>39.329032594733675</v>
      </c>
      <c r="AE53" s="14"/>
      <c r="AF53" s="14">
        <f t="shared" si="5"/>
        <v>-9.8867405266325648E-2</v>
      </c>
    </row>
    <row r="54" spans="1:32" x14ac:dyDescent="0.25">
      <c r="A54" s="14">
        <v>440</v>
      </c>
      <c r="B54" s="14">
        <v>41.204599999999999</v>
      </c>
      <c r="C54" s="14"/>
      <c r="D54" s="14" cm="1">
        <f t="array" ref="D54">G(A54,$B$3,$B$4,H$5:L$5)</f>
        <v>42.971958163895017</v>
      </c>
      <c r="E54" s="14"/>
      <c r="F54" s="14">
        <f t="shared" si="3"/>
        <v>1.7673581638950182</v>
      </c>
      <c r="N54" s="14">
        <v>440</v>
      </c>
      <c r="O54" s="14">
        <v>39.918900000000001</v>
      </c>
      <c r="P54" s="14"/>
      <c r="Q54" s="14" cm="1">
        <f t="array" ref="Q54">G(N54,$O$3,$O$4,$U$5:$Y$5)</f>
        <v>47.720093390040404</v>
      </c>
      <c r="R54" s="14"/>
      <c r="S54" s="14">
        <f t="shared" si="4"/>
        <v>7.8011933900404031</v>
      </c>
      <c r="AA54" s="14">
        <v>440</v>
      </c>
      <c r="AB54" s="14">
        <v>39.107300000000002</v>
      </c>
      <c r="AC54" s="14"/>
      <c r="AD54" s="14" cm="1">
        <f t="array" ref="AD54">G(AA54,$AB$3,$AB$4,AH$5:AL$5)</f>
        <v>39.132360548253089</v>
      </c>
      <c r="AE54" s="14"/>
      <c r="AF54" s="14">
        <f t="shared" si="5"/>
        <v>2.5060548253087234E-2</v>
      </c>
    </row>
    <row r="55" spans="1:32" x14ac:dyDescent="0.25">
      <c r="A55" s="14">
        <v>450</v>
      </c>
      <c r="B55" s="14">
        <v>40.927599999999998</v>
      </c>
      <c r="C55" s="14"/>
      <c r="D55" s="14" cm="1">
        <f t="array" ref="D55">G(A55,$B$3,$B$4,H$5:L$5)</f>
        <v>42.774413035096522</v>
      </c>
      <c r="E55" s="14"/>
      <c r="F55" s="14">
        <f t="shared" si="3"/>
        <v>1.8468130350965239</v>
      </c>
      <c r="N55" s="14">
        <v>450</v>
      </c>
      <c r="O55" s="14">
        <v>39.876399999999997</v>
      </c>
      <c r="P55" s="14"/>
      <c r="Q55" s="14" cm="1">
        <f t="array" ref="Q55">G(N55,$O$3,$O$4,$U$5:$Y$5)</f>
        <v>47.635186065404802</v>
      </c>
      <c r="R55" s="14"/>
      <c r="S55" s="14">
        <f t="shared" si="4"/>
        <v>7.7587860654048058</v>
      </c>
      <c r="AA55" s="14">
        <v>450</v>
      </c>
      <c r="AB55" s="14">
        <v>38.7346</v>
      </c>
      <c r="AC55" s="14"/>
      <c r="AD55" s="14" cm="1">
        <f t="array" ref="AD55">G(AA55,$AB$3,$AB$4,AH$5:AL$5)</f>
        <v>38.942157283247845</v>
      </c>
      <c r="AE55" s="14"/>
      <c r="AF55" s="14">
        <f t="shared" si="5"/>
        <v>0.20755728324784428</v>
      </c>
    </row>
    <row r="56" spans="1:32" x14ac:dyDescent="0.25">
      <c r="A56" s="14">
        <v>460</v>
      </c>
      <c r="B56" s="14">
        <v>40.538699999999999</v>
      </c>
      <c r="C56" s="14"/>
      <c r="D56" s="14" cm="1">
        <f t="array" ref="D56">G(A56,$B$3,$B$4,H$5:L$5)</f>
        <v>42.582360909726241</v>
      </c>
      <c r="E56" s="14"/>
      <c r="F56" s="14">
        <f t="shared" si="3"/>
        <v>2.0436609097262419</v>
      </c>
      <c r="N56" s="14">
        <v>460</v>
      </c>
      <c r="O56" s="14">
        <v>39.1629</v>
      </c>
      <c r="P56" s="14"/>
      <c r="Q56" s="14" cm="1">
        <f t="array" ref="Q56">G(N56,$O$3,$O$4,$U$5:$Y$5)</f>
        <v>47.544035667603843</v>
      </c>
      <c r="R56" s="14"/>
      <c r="S56" s="14">
        <f t="shared" si="4"/>
        <v>8.3811356676038429</v>
      </c>
      <c r="AA56" s="14">
        <v>460</v>
      </c>
      <c r="AB56" s="14">
        <v>37.948799999999999</v>
      </c>
      <c r="AC56" s="14"/>
      <c r="AD56" s="14" cm="1">
        <f t="array" ref="AD56">G(AA56,$AB$3,$AB$4,AH$5:AL$5)</f>
        <v>38.758005639412922</v>
      </c>
      <c r="AE56" s="14"/>
      <c r="AF56" s="14">
        <f t="shared" si="5"/>
        <v>0.80920563941292301</v>
      </c>
    </row>
    <row r="57" spans="1:32" x14ac:dyDescent="0.25">
      <c r="A57" s="14">
        <v>470</v>
      </c>
      <c r="B57" s="14">
        <v>40.756799999999998</v>
      </c>
      <c r="C57" s="14"/>
      <c r="D57" s="14" cm="1">
        <f t="array" ref="D57">G(A57,$B$3,$B$4,H$5:L$5)</f>
        <v>42.395487499466519</v>
      </c>
      <c r="E57" s="14"/>
      <c r="F57" s="14">
        <f t="shared" si="3"/>
        <v>1.6386874994665206</v>
      </c>
      <c r="N57" s="14">
        <v>470</v>
      </c>
      <c r="O57" s="14">
        <v>38.784300000000002</v>
      </c>
      <c r="P57" s="14"/>
      <c r="Q57" s="14" cm="1">
        <f t="array" ref="Q57">G(N57,$O$3,$O$4,$U$5:$Y$5)</f>
        <v>47.447197321878271</v>
      </c>
      <c r="R57" s="14"/>
      <c r="S57" s="14">
        <f t="shared" si="4"/>
        <v>8.662897321878269</v>
      </c>
      <c r="AA57" s="14">
        <v>470</v>
      </c>
      <c r="AB57" s="14">
        <v>38.129199999999997</v>
      </c>
      <c r="AC57" s="14"/>
      <c r="AD57" s="14" cm="1">
        <f t="array" ref="AD57">G(AA57,$AB$3,$AB$4,AH$5:AL$5)</f>
        <v>38.579526346049192</v>
      </c>
      <c r="AE57" s="14"/>
      <c r="AF57" s="14">
        <f t="shared" si="5"/>
        <v>0.45032634604919508</v>
      </c>
    </row>
    <row r="58" spans="1:32" x14ac:dyDescent="0.25">
      <c r="A58" s="14">
        <v>480</v>
      </c>
      <c r="B58" s="14">
        <v>40.426200000000001</v>
      </c>
      <c r="C58" s="14"/>
      <c r="D58" s="14" cm="1">
        <f t="array" ref="D58">G(A58,$B$3,$B$4,H$5:L$5)</f>
        <v>42.213504585546559</v>
      </c>
      <c r="E58" s="14"/>
      <c r="F58" s="14">
        <f t="shared" si="3"/>
        <v>1.7873045855465577</v>
      </c>
      <c r="N58" s="14">
        <v>480</v>
      </c>
      <c r="O58" s="14">
        <v>38.777099999999997</v>
      </c>
      <c r="P58" s="14"/>
      <c r="Q58" s="14" cm="1">
        <f t="array" ref="Q58">G(N58,$O$3,$O$4,$U$5:$Y$5)</f>
        <v>47.345170332826733</v>
      </c>
      <c r="R58" s="14"/>
      <c r="S58" s="14">
        <f t="shared" si="4"/>
        <v>8.5680703328267356</v>
      </c>
      <c r="AA58" s="14">
        <v>480</v>
      </c>
      <c r="AB58" s="14">
        <v>38.032499999999999</v>
      </c>
      <c r="AC58" s="14"/>
      <c r="AD58" s="14" cm="1">
        <f t="array" ref="AD58">G(AA58,$AB$3,$AB$4,AH$5:AL$5)</f>
        <v>38.406373705804768</v>
      </c>
      <c r="AE58" s="14"/>
      <c r="AF58" s="14">
        <f t="shared" si="5"/>
        <v>0.37387370580476897</v>
      </c>
    </row>
    <row r="59" spans="1:32" x14ac:dyDescent="0.25">
      <c r="A59" s="14">
        <v>490</v>
      </c>
      <c r="B59" s="14">
        <v>39.569299999999998</v>
      </c>
      <c r="C59" s="14"/>
      <c r="D59" s="14" cm="1">
        <f t="array" ref="D59">G(A59,$B$3,$B$4,H$5:L$5)</f>
        <v>42.036147243598364</v>
      </c>
      <c r="E59" s="14"/>
      <c r="F59" s="14">
        <f t="shared" si="3"/>
        <v>2.4668472435983659</v>
      </c>
      <c r="N59" s="14">
        <v>490</v>
      </c>
      <c r="O59" s="14">
        <v>38.591900000000003</v>
      </c>
      <c r="P59" s="14"/>
      <c r="Q59" s="14" cm="1">
        <f t="array" ref="Q59">G(N59,$O$3,$O$4,$U$5:$Y$5)</f>
        <v>47.238404730209915</v>
      </c>
      <c r="R59" s="14"/>
      <c r="S59" s="14">
        <f t="shared" si="4"/>
        <v>8.6465047302099123</v>
      </c>
      <c r="AA59" s="14">
        <v>490</v>
      </c>
      <c r="AB59" s="14">
        <v>37.536799999999999</v>
      </c>
      <c r="AC59" s="14"/>
      <c r="AD59" s="14" cm="1">
        <f t="array" ref="AD59">G(AA59,$AB$3,$AB$4,AH$5:AL$5)</f>
        <v>38.23823185899051</v>
      </c>
      <c r="AE59" s="14"/>
      <c r="AF59" s="14">
        <f t="shared" si="5"/>
        <v>0.70143185899051019</v>
      </c>
    </row>
    <row r="60" spans="1:32" x14ac:dyDescent="0.25">
      <c r="A60" s="14">
        <v>500</v>
      </c>
      <c r="B60" s="14">
        <v>39.224499999999999</v>
      </c>
      <c r="C60" s="14"/>
      <c r="D60" s="14" cm="1">
        <f t="array" ref="D60">G(A60,$B$3,$B$4,H$5:L$5)</f>
        <v>41.863171424046698</v>
      </c>
      <c r="E60" s="14"/>
      <c r="F60" s="14">
        <f t="shared" si="3"/>
        <v>2.6386714240466986</v>
      </c>
      <c r="N60" s="14">
        <v>500</v>
      </c>
      <c r="O60" s="14">
        <v>38.209299999999999</v>
      </c>
      <c r="P60" s="14"/>
      <c r="Q60" s="14" cm="1">
        <f t="array" ref="Q60">G(N60,$O$3,$O$4,$U$5:$Y$5)</f>
        <v>47.127306928004344</v>
      </c>
      <c r="R60" s="14"/>
      <c r="S60" s="14">
        <f t="shared" si="4"/>
        <v>8.9180069280043455</v>
      </c>
      <c r="AA60" s="14">
        <v>500</v>
      </c>
      <c r="AB60" s="14">
        <v>37.473300000000002</v>
      </c>
      <c r="AC60" s="14"/>
      <c r="AD60" s="14" cm="1">
        <f t="array" ref="AD60">G(AA60,$AB$3,$AB$4,AH$5:AL$5)</f>
        <v>38.074811539611495</v>
      </c>
      <c r="AE60" s="14"/>
      <c r="AF60" s="14">
        <f t="shared" si="5"/>
        <v>0.60151153961149362</v>
      </c>
    </row>
    <row r="61" spans="1:32" x14ac:dyDescent="0.25">
      <c r="A61" s="14">
        <v>510</v>
      </c>
      <c r="B61" s="14">
        <v>39.463999999999999</v>
      </c>
      <c r="C61" s="14"/>
      <c r="D61" s="14" cm="1">
        <f t="array" ref="D61">G(A61,$B$3,$B$4,H$5:L$5)</f>
        <v>41.694351835330565</v>
      </c>
      <c r="E61" s="14"/>
      <c r="F61" s="14">
        <f t="shared" si="3"/>
        <v>2.2303518353305662</v>
      </c>
      <c r="N61" s="14">
        <v>510</v>
      </c>
      <c r="O61" s="14">
        <v>38.536999999999999</v>
      </c>
      <c r="P61" s="14"/>
      <c r="Q61" s="14" cm="1">
        <f t="array" ref="Q61">G(N61,$O$3,$O$4,$U$5:$Y$5)</f>
        <v>47.012244632955927</v>
      </c>
      <c r="R61" s="14"/>
      <c r="S61" s="14">
        <f t="shared" si="4"/>
        <v>8.4752446329559277</v>
      </c>
      <c r="AA61" s="14">
        <v>510</v>
      </c>
      <c r="AB61" s="14">
        <v>37.383200000000002</v>
      </c>
      <c r="AC61" s="14"/>
      <c r="AD61" s="14" cm="1">
        <f t="array" ref="AD61">G(AA61,$AB$3,$AB$4,AH$5:AL$5)</f>
        <v>37.915847249345518</v>
      </c>
      <c r="AE61" s="14"/>
      <c r="AF61" s="14">
        <f t="shared" si="5"/>
        <v>0.53264724934551566</v>
      </c>
    </row>
    <row r="62" spans="1:32" x14ac:dyDescent="0.25">
      <c r="A62" s="14">
        <v>520</v>
      </c>
      <c r="B62" s="14">
        <v>39.2363</v>
      </c>
      <c r="C62" s="14"/>
      <c r="D62" s="14" cm="1">
        <f t="array" ref="D62">G(A62,$B$3,$B$4,H$5:L$5)</f>
        <v>41.529480086057227</v>
      </c>
      <c r="E62" s="14"/>
      <c r="F62" s="14">
        <f t="shared" si="3"/>
        <v>2.2931800860572267</v>
      </c>
      <c r="N62" s="14">
        <v>520</v>
      </c>
      <c r="O62" s="14">
        <v>38.4754</v>
      </c>
      <c r="P62" s="14"/>
      <c r="Q62" s="14" cm="1">
        <f t="array" ref="Q62">G(N62,$O$3,$O$4,$U$5:$Y$5)</f>
        <v>46.893551115513716</v>
      </c>
      <c r="R62" s="14"/>
      <c r="S62" s="14">
        <f t="shared" si="4"/>
        <v>8.4181511155137159</v>
      </c>
      <c r="AA62" s="14">
        <v>520</v>
      </c>
      <c r="AB62" s="14">
        <v>37.822800000000001</v>
      </c>
      <c r="AC62" s="14"/>
      <c r="AD62" s="14" cm="1">
        <f t="array" ref="AD62">G(AA62,$AB$3,$AB$4,AH$5:AL$5)</f>
        <v>37.761094787998367</v>
      </c>
      <c r="AE62" s="14"/>
      <c r="AF62" s="14">
        <f t="shared" si="5"/>
        <v>-6.1705212001633925E-2</v>
      </c>
    </row>
    <row r="63" spans="1:32" x14ac:dyDescent="0.25">
      <c r="A63" s="14">
        <v>530</v>
      </c>
      <c r="B63" s="14">
        <v>39.262500000000003</v>
      </c>
      <c r="C63" s="14"/>
      <c r="D63" s="14" cm="1">
        <f t="array" ref="D63">G(A63,$B$3,$B$4,H$5:L$5)</f>
        <v>41.368363049366586</v>
      </c>
      <c r="E63" s="14"/>
      <c r="F63" s="14">
        <f t="shared" si="3"/>
        <v>2.1058630493665831</v>
      </c>
      <c r="N63" s="14">
        <v>530</v>
      </c>
      <c r="O63" s="14">
        <v>38.0259</v>
      </c>
      <c r="P63" s="14"/>
      <c r="Q63" s="14" cm="1">
        <f t="array" ref="Q63">G(N63,$O$3,$O$4,$U$5:$Y$5)</f>
        <v>46.771528937071437</v>
      </c>
      <c r="R63" s="14"/>
      <c r="S63" s="14">
        <f t="shared" si="4"/>
        <v>8.7456289370714373</v>
      </c>
      <c r="AA63" s="14">
        <v>530</v>
      </c>
      <c r="AB63" s="14">
        <v>37.720799999999997</v>
      </c>
      <c r="AC63" s="14"/>
      <c r="AD63" s="14" cm="1">
        <f t="array" ref="AD63">G(AA63,$AB$3,$AB$4,AH$5:AL$5)</f>
        <v>37.610329089028063</v>
      </c>
      <c r="AE63" s="14"/>
      <c r="AF63" s="14">
        <f t="shared" si="5"/>
        <v>-0.11047091097193373</v>
      </c>
    </row>
    <row r="64" spans="1:32" x14ac:dyDescent="0.25">
      <c r="A64" s="14">
        <v>540</v>
      </c>
      <c r="B64" s="14">
        <v>39.362299999999998</v>
      </c>
      <c r="C64" s="14"/>
      <c r="D64" s="14" cm="1">
        <f t="array" ref="D64">G(A64,$B$3,$B$4,H$5:L$5)</f>
        <v>41.210821418663464</v>
      </c>
      <c r="E64" s="14"/>
      <c r="F64" s="14">
        <f t="shared" si="3"/>
        <v>1.8485214186634664</v>
      </c>
      <c r="N64" s="14">
        <v>540</v>
      </c>
      <c r="O64" s="14">
        <v>37.718499999999999</v>
      </c>
      <c r="P64" s="14"/>
      <c r="Q64" s="14" cm="1">
        <f t="array" ref="Q64">G(N64,$O$3,$O$4,$U$5:$Y$5)</f>
        <v>46.646453211998825</v>
      </c>
      <c r="R64" s="14"/>
      <c r="S64" s="14">
        <f t="shared" si="4"/>
        <v>8.9279532119988261</v>
      </c>
      <c r="AA64" s="14">
        <v>540</v>
      </c>
      <c r="AB64" s="14">
        <v>36.673699999999997</v>
      </c>
      <c r="AC64" s="14"/>
      <c r="AD64" s="14" cm="1">
        <f t="array" ref="AD64">G(AA64,$AB$3,$AB$4,AH$5:AL$5)</f>
        <v>37.463342316992197</v>
      </c>
      <c r="AE64" s="14"/>
      <c r="AF64" s="14">
        <f t="shared" si="5"/>
        <v>0.78964231699220022</v>
      </c>
    </row>
    <row r="65" spans="1:32" x14ac:dyDescent="0.25">
      <c r="A65" s="14">
        <v>550</v>
      </c>
      <c r="B65" s="14">
        <v>39.0548</v>
      </c>
      <c r="C65" s="14"/>
      <c r="D65" s="14" cm="1">
        <f t="array" ref="D65">G(A65,$B$3,$B$4,H$5:L$5)</f>
        <v>41.056688428710686</v>
      </c>
      <c r="E65" s="14"/>
      <c r="F65" s="14">
        <f t="shared" si="3"/>
        <v>2.0018884287106857</v>
      </c>
      <c r="N65" s="14">
        <v>550</v>
      </c>
      <c r="O65" s="14">
        <v>37.490600000000001</v>
      </c>
      <c r="P65" s="14"/>
      <c r="Q65" s="14" cm="1">
        <f t="array" ref="Q65">G(N65,$O$3,$O$4,$U$5:$Y$5)</f>
        <v>46.518574470291973</v>
      </c>
      <c r="R65" s="14"/>
      <c r="S65" s="14">
        <f t="shared" si="4"/>
        <v>9.0279744702919729</v>
      </c>
      <c r="AA65" s="14">
        <v>550</v>
      </c>
      <c r="AB65" s="14">
        <v>37.022799999999997</v>
      </c>
      <c r="AC65" s="14"/>
      <c r="AD65" s="14" cm="1">
        <f t="array" ref="AD65">G(AA65,$AB$3,$AB$4,AH$5:AL$5)</f>
        <v>37.319942190582871</v>
      </c>
      <c r="AE65" s="14"/>
      <c r="AF65" s="14">
        <f t="shared" si="5"/>
        <v>0.29714219058287483</v>
      </c>
    </row>
    <row r="66" spans="1:32" x14ac:dyDescent="0.25">
      <c r="A66" s="14">
        <v>560</v>
      </c>
      <c r="B66" s="14">
        <v>38.959000000000003</v>
      </c>
      <c r="C66" s="14"/>
      <c r="D66" s="14" cm="1">
        <f t="array" ref="D66">G(A66,$B$3,$B$4,H$5:L$5)</f>
        <v>40.905808720073203</v>
      </c>
      <c r="E66" s="14"/>
      <c r="F66" s="14">
        <f t="shared" si="3"/>
        <v>1.9468087200732</v>
      </c>
      <c r="N66" s="14">
        <v>560</v>
      </c>
      <c r="O66" s="14">
        <v>37.290700000000001</v>
      </c>
      <c r="P66" s="14"/>
      <c r="Q66" s="14" cm="1">
        <f t="array" ref="Q66">G(N66,$O$3,$O$4,$U$5:$Y$5)</f>
        <v>46.388121176275895</v>
      </c>
      <c r="R66" s="14"/>
      <c r="S66" s="14">
        <f t="shared" si="4"/>
        <v>9.0974211762758941</v>
      </c>
      <c r="AA66" s="14">
        <v>560</v>
      </c>
      <c r="AB66" s="14">
        <v>36.8752</v>
      </c>
      <c r="AC66" s="14"/>
      <c r="AD66" s="14" cm="1">
        <f t="array" ref="AD66">G(AA66,$AB$3,$AB$4,AH$5:AL$5)</f>
        <v>37.179950500545715</v>
      </c>
      <c r="AE66" s="14"/>
      <c r="AF66" s="14">
        <f t="shared" si="5"/>
        <v>0.3047505005457154</v>
      </c>
    </row>
    <row r="67" spans="1:32" x14ac:dyDescent="0.25">
      <c r="A67" s="14">
        <v>570</v>
      </c>
      <c r="B67" s="14">
        <v>38.725999999999999</v>
      </c>
      <c r="C67" s="14"/>
      <c r="D67" s="14" cm="1">
        <f t="array" ref="D67">G(A67,$B$3,$B$4,H$5:L$5)</f>
        <v>40.758037328217526</v>
      </c>
      <c r="E67" s="14"/>
      <c r="F67" s="14">
        <f t="shared" si="3"/>
        <v>2.0320373282175268</v>
      </c>
      <c r="N67" s="14">
        <v>570</v>
      </c>
      <c r="O67" s="14">
        <v>37.226999999999997</v>
      </c>
      <c r="P67" s="14"/>
      <c r="Q67" s="14" cm="1">
        <f t="array" ref="Q67">G(N67,$O$3,$O$4,$U$5:$Y$5)</f>
        <v>46.255301950197278</v>
      </c>
      <c r="R67" s="14"/>
      <c r="S67" s="14">
        <f t="shared" si="4"/>
        <v>9.0283019501972817</v>
      </c>
      <c r="AA67" s="14">
        <v>570</v>
      </c>
      <c r="AB67" s="14">
        <v>37.439500000000002</v>
      </c>
      <c r="AC67" s="14"/>
      <c r="AD67" s="14" cm="1">
        <f t="array" ref="AD67">G(AA67,$AB$3,$AB$4,AH$5:AL$5)</f>
        <v>37.043201796454461</v>
      </c>
      <c r="AE67" s="14"/>
      <c r="AF67" s="14">
        <f t="shared" si="5"/>
        <v>-0.39629820354554113</v>
      </c>
    </row>
    <row r="68" spans="1:32" x14ac:dyDescent="0.25">
      <c r="A68" s="14">
        <v>580</v>
      </c>
      <c r="B68" s="14">
        <v>38.276000000000003</v>
      </c>
      <c r="C68" s="14"/>
      <c r="D68" s="14" cm="1">
        <f t="array" ref="D68">G(A68,$B$3,$B$4,H$5:L$5)</f>
        <v>40.613238781332299</v>
      </c>
      <c r="E68" s="14"/>
      <c r="F68" s="14">
        <f t="shared" si="3"/>
        <v>2.3372387813322959</v>
      </c>
      <c r="N68" s="14">
        <v>580</v>
      </c>
      <c r="O68" s="14">
        <v>37.246899999999997</v>
      </c>
      <c r="P68" s="14"/>
      <c r="Q68" s="14" cm="1">
        <f t="array" ref="Q68">G(N68,$O$3,$O$4,$U$5:$Y$5)</f>
        <v>46.120307532424512</v>
      </c>
      <c r="R68" s="14"/>
      <c r="S68" s="14">
        <f t="shared" si="4"/>
        <v>8.8734075324245154</v>
      </c>
      <c r="AA68" s="14">
        <v>580</v>
      </c>
      <c r="AB68" s="14">
        <v>36.224299999999999</v>
      </c>
      <c r="AC68" s="14"/>
      <c r="AD68" s="14" cm="1">
        <f t="array" ref="AD68">G(AA68,$AB$3,$AB$4,AH$5:AL$5)</f>
        <v>36.9095422202059</v>
      </c>
      <c r="AE68" s="14"/>
      <c r="AF68" s="14">
        <f t="shared" si="5"/>
        <v>0.68524222020590031</v>
      </c>
    </row>
    <row r="69" spans="1:32" x14ac:dyDescent="0.25">
      <c r="A69" s="14">
        <v>590</v>
      </c>
      <c r="B69" s="14">
        <v>38.169199999999996</v>
      </c>
      <c r="C69" s="14"/>
      <c r="D69" s="14" cm="1">
        <f t="array" ref="D69">G(A69,$B$3,$B$4,H$5:L$5)</f>
        <v>40.471286293243729</v>
      </c>
      <c r="E69" s="14"/>
      <c r="F69" s="14">
        <f t="shared" si="3"/>
        <v>2.3020862932437325</v>
      </c>
      <c r="N69" s="14">
        <v>590</v>
      </c>
      <c r="O69" s="14">
        <v>36.924700000000001</v>
      </c>
      <c r="P69" s="14"/>
      <c r="Q69" s="14" cm="1">
        <f t="array" ref="Q69">G(N69,$O$3,$O$4,$U$5:$Y$5)</f>
        <v>45.983312524044486</v>
      </c>
      <c r="R69" s="14"/>
      <c r="S69" s="14">
        <f t="shared" si="4"/>
        <v>9.0586125240444844</v>
      </c>
      <c r="AA69" s="14">
        <v>590</v>
      </c>
      <c r="AB69" s="14">
        <v>36.208399999999997</v>
      </c>
      <c r="AC69" s="14"/>
      <c r="AD69" s="14" cm="1">
        <f t="array" ref="AD69">G(AA69,$AB$3,$AB$4,AH$5:AL$5)</f>
        <v>36.778828467353044</v>
      </c>
      <c r="AE69" s="14"/>
      <c r="AF69" s="14">
        <f t="shared" si="5"/>
        <v>0.57042846735304664</v>
      </c>
    </row>
    <row r="70" spans="1:32" x14ac:dyDescent="0.25">
      <c r="A70" s="14">
        <v>600</v>
      </c>
      <c r="B70" s="14">
        <v>38.322200000000002</v>
      </c>
      <c r="C70" s="14"/>
      <c r="D70" s="14" cm="1">
        <f t="array" ref="D70">G(A70,$B$3,$B$4,H$5:L$5)</f>
        <v>40.332061039736274</v>
      </c>
      <c r="E70" s="14"/>
      <c r="F70" s="14">
        <f t="shared" si="3"/>
        <v>2.0098610397362719</v>
      </c>
      <c r="N70" s="14">
        <v>600</v>
      </c>
      <c r="O70" s="14">
        <v>37.246499999999997</v>
      </c>
      <c r="P70" s="14"/>
      <c r="Q70" s="14" cm="1">
        <f t="array" ref="Q70">G(N70,$O$3,$O$4,$U$5:$Y$5)</f>
        <v>45.844476932688416</v>
      </c>
      <c r="R70" s="14"/>
      <c r="S70" s="14">
        <f t="shared" si="4"/>
        <v>8.5979769326884181</v>
      </c>
      <c r="AA70" s="14">
        <v>600</v>
      </c>
      <c r="AB70" s="14">
        <v>35.8232</v>
      </c>
      <c r="AC70" s="14"/>
      <c r="AD70" s="14" cm="1">
        <f t="array" ref="AD70">G(AA70,$AB$3,$AB$4,AH$5:AL$5)</f>
        <v>36.650926860121757</v>
      </c>
      <c r="AE70" s="14"/>
      <c r="AF70" s="14">
        <f t="shared" si="5"/>
        <v>0.82772686012175711</v>
      </c>
    </row>
    <row r="71" spans="1:32" x14ac:dyDescent="0.25">
      <c r="A71" s="14">
        <v>610</v>
      </c>
      <c r="B71" s="14">
        <v>38.023299999999999</v>
      </c>
      <c r="C71" s="14"/>
      <c r="D71" s="14" cm="1">
        <f t="array" ref="D71">G(A71,$B$3,$B$4,H$5:L$5)</f>
        <v>40.195451508219463</v>
      </c>
      <c r="E71" s="14"/>
      <c r="F71" s="14">
        <f t="shared" si="3"/>
        <v>2.1721515082194642</v>
      </c>
      <c r="N71" s="14">
        <v>610</v>
      </c>
      <c r="O71" s="14">
        <v>37.394300000000001</v>
      </c>
      <c r="P71" s="14"/>
      <c r="Q71" s="14" cm="1">
        <f t="array" ref="Q71">G(N71,$O$3,$O$4,$U$5:$Y$5)</f>
        <v>45.703947548272502</v>
      </c>
      <c r="R71" s="14"/>
      <c r="S71" s="14">
        <f t="shared" si="4"/>
        <v>8.3096475482725012</v>
      </c>
      <c r="AA71" s="14">
        <v>610</v>
      </c>
      <c r="AB71" s="14">
        <v>36.115499999999997</v>
      </c>
      <c r="AC71" s="14"/>
      <c r="AD71" s="14" cm="1">
        <f t="array" ref="AD71">G(AA71,$AB$3,$AB$4,AH$5:AL$5)</f>
        <v>36.525712518248973</v>
      </c>
      <c r="AE71" s="14"/>
      <c r="AF71" s="14">
        <f t="shared" si="5"/>
        <v>0.41021251824897575</v>
      </c>
    </row>
    <row r="72" spans="1:32" x14ac:dyDescent="0.25">
      <c r="A72" s="14">
        <v>620</v>
      </c>
      <c r="B72" s="14">
        <v>38.207700000000003</v>
      </c>
      <c r="C72" s="14"/>
      <c r="D72" s="14" cm="1">
        <f t="array" ref="D72">G(A72,$B$3,$B$4,H$5:L$5)</f>
        <v>40.061352912059164</v>
      </c>
      <c r="E72" s="14"/>
      <c r="F72" s="14">
        <f t="shared" si="3"/>
        <v>1.8536529120591609</v>
      </c>
      <c r="N72" s="14">
        <v>620</v>
      </c>
      <c r="O72" s="14">
        <v>36.665100000000002</v>
      </c>
      <c r="P72" s="14"/>
      <c r="Q72" s="14" cm="1">
        <f t="array" ref="Q72">G(N72,$O$3,$O$4,$U$5:$Y$5)</f>
        <v>45.561859169839856</v>
      </c>
      <c r="R72" s="14"/>
      <c r="S72" s="14">
        <f t="shared" si="4"/>
        <v>8.8967591698398536</v>
      </c>
      <c r="AA72" s="14">
        <v>620</v>
      </c>
      <c r="AB72" s="14">
        <v>35.3307</v>
      </c>
      <c r="AC72" s="14"/>
      <c r="AD72" s="14" cm="1">
        <f t="array" ref="AD72">G(AA72,$AB$3,$AB$4,AH$5:AL$5)</f>
        <v>36.403068615715718</v>
      </c>
      <c r="AE72" s="14"/>
      <c r="AF72" s="14">
        <f t="shared" si="5"/>
        <v>1.0723686157157175</v>
      </c>
    </row>
    <row r="73" spans="1:32" x14ac:dyDescent="0.25">
      <c r="A73" s="14">
        <v>630</v>
      </c>
      <c r="B73" s="14">
        <v>37.930599999999998</v>
      </c>
      <c r="C73" s="14"/>
      <c r="D73" s="14" cm="1">
        <f t="array" ref="D73">G(A73,$B$3,$B$4,H$5:L$5)</f>
        <v>39.929666662059489</v>
      </c>
      <c r="E73" s="14"/>
      <c r="F73" s="14">
        <f t="shared" ref="F73:F104" si="6">D73-B73</f>
        <v>1.9990666620594908</v>
      </c>
      <c r="N73" s="14">
        <v>630</v>
      </c>
      <c r="O73" s="14">
        <v>36.101100000000002</v>
      </c>
      <c r="P73" s="14"/>
      <c r="Q73" s="14" cm="1">
        <f t="array" ref="Q73">G(N73,$O$3,$O$4,$U$5:$Y$5)</f>
        <v>45.418335701747459</v>
      </c>
      <c r="R73" s="14"/>
      <c r="S73" s="14">
        <f t="shared" ref="S73:S104" si="7">Q73-O73</f>
        <v>9.3172357017474567</v>
      </c>
      <c r="AA73" s="14">
        <v>630</v>
      </c>
      <c r="AB73" s="14">
        <v>36.504399999999997</v>
      </c>
      <c r="AC73" s="14"/>
      <c r="AD73" s="14" cm="1">
        <f t="array" ref="AD73">G(AA73,$AB$3,$AB$4,AH$5:AL$5)</f>
        <v>36.282885713083992</v>
      </c>
      <c r="AE73" s="14"/>
      <c r="AF73" s="14">
        <f t="shared" ref="AF73:AF95" si="8">AD73-AB73</f>
        <v>-0.22151428691600472</v>
      </c>
    </row>
    <row r="74" spans="1:32" x14ac:dyDescent="0.25">
      <c r="A74" s="14">
        <v>640</v>
      </c>
      <c r="B74" s="14">
        <v>37.722099999999998</v>
      </c>
      <c r="C74" s="14"/>
      <c r="D74" s="14" cm="1">
        <f t="array" ref="D74">G(A74,$B$3,$B$4,H$5:L$5)</f>
        <v>39.80029988857347</v>
      </c>
      <c r="E74" s="14"/>
      <c r="F74" s="14">
        <f t="shared" si="6"/>
        <v>2.0781998885734723</v>
      </c>
      <c r="N74" s="14">
        <v>640</v>
      </c>
      <c r="O74" s="14">
        <v>36.520400000000002</v>
      </c>
      <c r="P74" s="14"/>
      <c r="Q74" s="14" cm="1">
        <f t="array" ref="Q74">G(N74,$O$3,$O$4,$U$5:$Y$5)</f>
        <v>45.273491134942418</v>
      </c>
      <c r="R74" s="14"/>
      <c r="S74" s="14">
        <f t="shared" si="7"/>
        <v>8.7530911349424159</v>
      </c>
      <c r="AA74" s="14">
        <v>640</v>
      </c>
      <c r="AB74" s="14">
        <v>35.597000000000001</v>
      </c>
      <c r="AC74" s="14"/>
      <c r="AD74" s="14" cm="1">
        <f t="array" ref="AD74">G(AA74,$AB$3,$AB$4,AH$5:AL$5)</f>
        <v>36.165061156535877</v>
      </c>
      <c r="AE74" s="14"/>
      <c r="AF74" s="14">
        <f t="shared" si="8"/>
        <v>0.56806115653587597</v>
      </c>
    </row>
    <row r="75" spans="1:32" x14ac:dyDescent="0.25">
      <c r="A75" s="14">
        <v>650</v>
      </c>
      <c r="B75" s="14">
        <v>37.430999999999997</v>
      </c>
      <c r="C75" s="14"/>
      <c r="D75" s="14" cm="1">
        <f t="array" ref="D75">G(A75,$B$3,$B$4,H$5:L$5)</f>
        <v>39.673165008567729</v>
      </c>
      <c r="E75" s="14"/>
      <c r="F75" s="14">
        <f t="shared" si="6"/>
        <v>2.2421650085677314</v>
      </c>
      <c r="N75" s="14">
        <v>650</v>
      </c>
      <c r="O75" s="14">
        <v>35.905000000000001</v>
      </c>
      <c r="P75" s="14"/>
      <c r="Q75" s="14" cm="1">
        <f t="array" ref="Q75">G(N75,$O$3,$O$4,$U$5:$Y$5)</f>
        <v>45.127430426956401</v>
      </c>
      <c r="R75" s="14"/>
      <c r="S75" s="14">
        <f t="shared" si="7"/>
        <v>9.2224304269564001</v>
      </c>
      <c r="AA75" s="14">
        <v>650</v>
      </c>
      <c r="AB75" s="14">
        <v>35.9694</v>
      </c>
      <c r="AC75" s="14"/>
      <c r="AD75" s="14" cm="1">
        <f t="array" ref="AD75">G(AA75,$AB$3,$AB$4,AH$5:AL$5)</f>
        <v>36.049498535894308</v>
      </c>
      <c r="AE75" s="14"/>
      <c r="AF75" s="14">
        <f t="shared" si="8"/>
        <v>8.0098535894308043E-2</v>
      </c>
    </row>
    <row r="76" spans="1:32" x14ac:dyDescent="0.25">
      <c r="A76" s="14">
        <v>660</v>
      </c>
      <c r="B76" s="14">
        <v>37.305799999999998</v>
      </c>
      <c r="C76" s="14"/>
      <c r="D76" s="14" cm="1">
        <f t="array" ref="D76">G(A76,$B$3,$B$4,H$5:L$5)</f>
        <v>39.548179332690054</v>
      </c>
      <c r="E76" s="14"/>
      <c r="F76" s="14">
        <f t="shared" si="6"/>
        <v>2.2423793326900565</v>
      </c>
      <c r="N76" s="14">
        <v>660</v>
      </c>
      <c r="O76" s="14">
        <v>36.259700000000002</v>
      </c>
      <c r="P76" s="14"/>
      <c r="Q76" s="14" cm="1">
        <f t="array" ref="Q76">G(N76,$O$3,$O$4,$U$5:$Y$5)</f>
        <v>44.980250292438299</v>
      </c>
      <c r="R76" s="14"/>
      <c r="S76" s="14">
        <f t="shared" si="7"/>
        <v>8.7205502924382969</v>
      </c>
      <c r="AA76" s="14">
        <v>660</v>
      </c>
      <c r="AB76" s="14">
        <v>35.898800000000001</v>
      </c>
      <c r="AC76" s="14"/>
      <c r="AD76" s="14" cm="1">
        <f t="array" ref="AD76">G(AA76,$AB$3,$AB$4,AH$5:AL$5)</f>
        <v>35.936107194913262</v>
      </c>
      <c r="AE76" s="14"/>
      <c r="AF76" s="14">
        <f t="shared" si="8"/>
        <v>3.7307194913260844E-2</v>
      </c>
    </row>
    <row r="77" spans="1:32" x14ac:dyDescent="0.25">
      <c r="A77" s="14">
        <v>670</v>
      </c>
      <c r="B77" s="14">
        <v>37.042999999999999</v>
      </c>
      <c r="C77" s="14"/>
      <c r="D77" s="14" cm="1">
        <f t="array" ref="D77">G(A77,$B$3,$B$4,H$5:L$5)</f>
        <v>39.42526470800977</v>
      </c>
      <c r="E77" s="14"/>
      <c r="F77" s="14">
        <f t="shared" si="6"/>
        <v>2.382264708009771</v>
      </c>
      <c r="N77" s="14">
        <v>670</v>
      </c>
      <c r="O77" s="14">
        <v>36.296999999999997</v>
      </c>
      <c r="P77" s="14"/>
      <c r="Q77" s="14" cm="1">
        <f t="array" ref="Q77">G(N77,$O$3,$O$4,$U$5:$Y$5)</f>
        <v>44.832039914509359</v>
      </c>
      <c r="R77" s="14"/>
      <c r="S77" s="14">
        <f t="shared" si="7"/>
        <v>8.5350399145093618</v>
      </c>
      <c r="AA77" s="14">
        <v>670</v>
      </c>
      <c r="AB77" s="14">
        <v>35.671199999999999</v>
      </c>
      <c r="AC77" s="14"/>
      <c r="AD77" s="14" cm="1">
        <f t="array" ref="AD77">G(AA77,$AB$3,$AB$4,AH$5:AL$5)</f>
        <v>35.824801787987504</v>
      </c>
      <c r="AE77" s="14"/>
      <c r="AF77" s="14">
        <f t="shared" si="8"/>
        <v>0.15360178798750468</v>
      </c>
    </row>
    <row r="78" spans="1:32" x14ac:dyDescent="0.25">
      <c r="A78" s="14">
        <v>680</v>
      </c>
      <c r="B78" s="14">
        <v>36.795200000000001</v>
      </c>
      <c r="C78" s="14"/>
      <c r="D78" s="14" cm="1">
        <f t="array" ref="D78">G(A78,$B$3,$B$4,H$5:L$5)</f>
        <v>39.304347192634729</v>
      </c>
      <c r="E78" s="14"/>
      <c r="F78" s="14">
        <f t="shared" si="6"/>
        <v>2.5091471926347282</v>
      </c>
      <c r="N78" s="14">
        <v>680</v>
      </c>
      <c r="O78" s="14">
        <v>35.9925</v>
      </c>
      <c r="P78" s="14"/>
      <c r="Q78" s="14" cm="1">
        <f t="array" ref="Q78">G(N78,$O$3,$O$4,$U$5:$Y$5)</f>
        <v>44.682881585900049</v>
      </c>
      <c r="R78" s="14"/>
      <c r="S78" s="14">
        <f t="shared" si="7"/>
        <v>8.6903815859000488</v>
      </c>
      <c r="AA78" s="14">
        <v>680</v>
      </c>
      <c r="AB78" s="14">
        <v>35.6492</v>
      </c>
      <c r="AC78" s="14"/>
      <c r="AD78" s="14" cm="1">
        <f t="array" ref="AD78">G(AA78,$AB$3,$AB$4,AH$5:AL$5)</f>
        <v>35.715501878171722</v>
      </c>
      <c r="AE78" s="14"/>
      <c r="AF78" s="14">
        <f t="shared" si="8"/>
        <v>6.6301878171721285E-2</v>
      </c>
    </row>
    <row r="79" spans="1:32" x14ac:dyDescent="0.25">
      <c r="A79" s="14">
        <v>690</v>
      </c>
      <c r="B79" s="14">
        <v>36.887300000000003</v>
      </c>
      <c r="C79" s="14"/>
      <c r="D79" s="14" cm="1">
        <f t="array" ref="D79">G(A79,$B$3,$B$4,H$5:L$5)</f>
        <v>39.185356758869332</v>
      </c>
      <c r="E79" s="14"/>
      <c r="F79" s="14">
        <f t="shared" si="6"/>
        <v>2.298056758869329</v>
      </c>
      <c r="N79" s="14">
        <v>690</v>
      </c>
      <c r="O79" s="14">
        <v>36.148699999999998</v>
      </c>
      <c r="P79" s="14"/>
      <c r="Q79" s="14" cm="1">
        <f t="array" ref="Q79">G(N79,$O$3,$O$4,$U$5:$Y$5)</f>
        <v>44.532851287701227</v>
      </c>
      <c r="R79" s="14"/>
      <c r="S79" s="14">
        <f t="shared" si="7"/>
        <v>8.3841512877012292</v>
      </c>
      <c r="AA79" s="14">
        <v>690</v>
      </c>
      <c r="AB79" s="14">
        <v>35.533700000000003</v>
      </c>
      <c r="AC79" s="14"/>
      <c r="AD79" s="14" cm="1">
        <f t="array" ref="AD79">G(AA79,$AB$3,$AB$4,AH$5:AL$5)</f>
        <v>35.60813157203485</v>
      </c>
      <c r="AE79" s="14"/>
      <c r="AF79" s="14">
        <f t="shared" si="8"/>
        <v>7.4431572034846738E-2</v>
      </c>
    </row>
    <row r="80" spans="1:32" x14ac:dyDescent="0.25">
      <c r="A80" s="14">
        <v>700</v>
      </c>
      <c r="B80" s="14">
        <v>36.840200000000003</v>
      </c>
      <c r="C80" s="14"/>
      <c r="D80" s="14" cm="1">
        <f t="array" ref="D80">G(A80,$B$3,$B$4,H$5:L$5)</f>
        <v>39.068227021976107</v>
      </c>
      <c r="E80" s="14"/>
      <c r="F80" s="14">
        <f t="shared" si="6"/>
        <v>2.2280270219761036</v>
      </c>
      <c r="N80" s="14">
        <v>700</v>
      </c>
      <c r="O80" s="14">
        <v>36.137999999999998</v>
      </c>
      <c r="P80" s="14"/>
      <c r="Q80" s="14" cm="1">
        <f t="array" ref="Q80">G(N80,$O$3,$O$4,$U$5:$Y$5)</f>
        <v>44.38201921258252</v>
      </c>
      <c r="R80" s="14"/>
      <c r="S80" s="14">
        <f t="shared" si="7"/>
        <v>8.244019212582522</v>
      </c>
      <c r="AA80" s="14">
        <v>700</v>
      </c>
      <c r="AB80" s="14">
        <v>35.606699999999996</v>
      </c>
      <c r="AC80" s="14"/>
      <c r="AD80" s="14" cm="1">
        <f t="array" ref="AD80">G(AA80,$AB$3,$AB$4,AH$5:AL$5)</f>
        <v>35.502619187423797</v>
      </c>
      <c r="AE80" s="14"/>
      <c r="AF80" s="14">
        <f t="shared" si="8"/>
        <v>-0.10408081257619983</v>
      </c>
    </row>
    <row r="81" spans="1:32" x14ac:dyDescent="0.25">
      <c r="A81" s="14">
        <v>710</v>
      </c>
      <c r="B81" s="14">
        <v>36.835700000000003</v>
      </c>
      <c r="C81" s="14"/>
      <c r="D81" s="14" cm="1">
        <f t="array" ref="D81">G(A81,$B$3,$B$4,H$5:L$5)</f>
        <v>38.952894991947865</v>
      </c>
      <c r="E81" s="14"/>
      <c r="F81" s="14">
        <f t="shared" si="6"/>
        <v>2.1171949919478621</v>
      </c>
      <c r="N81" s="14">
        <v>710</v>
      </c>
      <c r="O81" s="14">
        <v>36.107799999999997</v>
      </c>
      <c r="P81" s="14"/>
      <c r="Q81" s="14" cm="1">
        <f t="array" ref="Q81">G(N81,$O$3,$O$4,$U$5:$Y$5)</f>
        <v>44.230450238492772</v>
      </c>
      <c r="R81" s="14"/>
      <c r="S81" s="14">
        <f t="shared" si="7"/>
        <v>8.1226502384927741</v>
      </c>
      <c r="AA81" s="14">
        <v>710</v>
      </c>
      <c r="AB81" s="14">
        <v>35.421300000000002</v>
      </c>
      <c r="AC81" s="14"/>
      <c r="AD81" s="14" cm="1">
        <f t="array" ref="AD81">G(AA81,$AB$3,$AB$4,AH$5:AL$5)</f>
        <v>35.398896950684339</v>
      </c>
      <c r="AE81" s="14"/>
      <c r="AF81" s="14">
        <f t="shared" si="8"/>
        <v>-2.2403049315663282E-2</v>
      </c>
    </row>
    <row r="82" spans="1:32" x14ac:dyDescent="0.25">
      <c r="A82" s="14">
        <v>720</v>
      </c>
      <c r="B82" s="14">
        <v>36.834200000000003</v>
      </c>
      <c r="C82" s="14"/>
      <c r="D82" s="14" cm="1">
        <f t="array" ref="D82">G(A82,$B$3,$B$4,H$5:L$5)</f>
        <v>38.839300845998295</v>
      </c>
      <c r="E82" s="14"/>
      <c r="F82" s="14">
        <f t="shared" si="6"/>
        <v>2.0051008459982924</v>
      </c>
      <c r="N82" s="14">
        <v>720</v>
      </c>
      <c r="O82" s="14">
        <v>35.830399999999997</v>
      </c>
      <c r="P82" s="14"/>
      <c r="Q82" s="14" cm="1">
        <f t="array" ref="Q82">G(N82,$O$3,$O$4,$U$5:$Y$5)</f>
        <v>44.078204358129277</v>
      </c>
      <c r="R82" s="14"/>
      <c r="S82" s="14">
        <f t="shared" si="7"/>
        <v>8.2478043581292795</v>
      </c>
      <c r="AA82" s="14">
        <v>720</v>
      </c>
      <c r="AB82" s="14">
        <v>35.720399999999998</v>
      </c>
      <c r="AC82" s="14"/>
      <c r="AD82" s="14" cm="1">
        <f t="array" ref="AD82">G(AA82,$AB$3,$AB$4,AH$5:AL$5)</f>
        <v>35.296900720297145</v>
      </c>
      <c r="AE82" s="14"/>
      <c r="AF82" s="14">
        <f t="shared" si="8"/>
        <v>-0.4234992797028525</v>
      </c>
    </row>
    <row r="83" spans="1:32" x14ac:dyDescent="0.25">
      <c r="A83" s="14">
        <v>730</v>
      </c>
      <c r="B83" s="14">
        <v>36.671799999999998</v>
      </c>
      <c r="C83" s="14"/>
      <c r="D83" s="14" cm="1">
        <f t="array" ref="D83">G(A83,$B$3,$B$4,H$5:L$5)</f>
        <v>38.727387719737912</v>
      </c>
      <c r="E83" s="14"/>
      <c r="F83" s="14">
        <f t="shared" si="6"/>
        <v>2.0555877197379147</v>
      </c>
      <c r="N83" s="14">
        <v>730</v>
      </c>
      <c r="O83" s="14">
        <v>35.368899999999996</v>
      </c>
      <c r="P83" s="14"/>
      <c r="Q83" s="14" cm="1">
        <f t="array" ref="Q83">G(N83,$O$3,$O$4,$U$5:$Y$5)</f>
        <v>43.925337068834025</v>
      </c>
      <c r="R83" s="14"/>
      <c r="S83" s="14">
        <f t="shared" si="7"/>
        <v>8.556437068834029</v>
      </c>
      <c r="AA83" s="14">
        <v>730</v>
      </c>
      <c r="AB83" s="14">
        <v>35.412500000000001</v>
      </c>
      <c r="AC83" s="14"/>
      <c r="AD83" s="14" cm="1">
        <f t="array" ref="AD83">G(AA83,$AB$3,$AB$4,AH$5:AL$5)</f>
        <v>35.196569734243141</v>
      </c>
      <c r="AE83" s="14"/>
      <c r="AF83" s="14">
        <f t="shared" si="8"/>
        <v>-0.21593026575686025</v>
      </c>
    </row>
    <row r="84" spans="1:32" x14ac:dyDescent="0.25">
      <c r="A84" s="14">
        <v>740</v>
      </c>
      <c r="B84" s="14">
        <v>36.661200000000001</v>
      </c>
      <c r="C84" s="14"/>
      <c r="D84" s="14" cm="1">
        <f t="array" ref="D84">G(A84,$B$3,$B$4,H$5:L$5)</f>
        <v>38.617101515232157</v>
      </c>
      <c r="E84" s="14"/>
      <c r="F84" s="14">
        <f t="shared" si="6"/>
        <v>1.9559015152321564</v>
      </c>
      <c r="N84" s="14">
        <v>740</v>
      </c>
      <c r="O84" s="14">
        <v>34.979799999999997</v>
      </c>
      <c r="P84" s="14"/>
      <c r="Q84" s="14" cm="1">
        <f t="array" ref="Q84">G(N84,$O$3,$O$4,$U$5:$Y$5)</f>
        <v>43.771899727024106</v>
      </c>
      <c r="R84" s="14"/>
      <c r="S84" s="14">
        <f t="shared" si="7"/>
        <v>8.7920997270241088</v>
      </c>
      <c r="AA84" s="14">
        <v>740</v>
      </c>
      <c r="AB84" s="14">
        <v>35.253599999999999</v>
      </c>
      <c r="AC84" s="14"/>
      <c r="AD84" s="14" cm="1">
        <f t="array" ref="AD84">G(AA84,$AB$3,$AB$4,AH$5:AL$5)</f>
        <v>35.097846378722203</v>
      </c>
      <c r="AE84" s="14"/>
      <c r="AF84" s="14">
        <f t="shared" si="8"/>
        <v>-0.15575362127779613</v>
      </c>
    </row>
    <row r="85" spans="1:32" x14ac:dyDescent="0.25">
      <c r="A85" s="14">
        <v>750</v>
      </c>
      <c r="B85" s="14">
        <v>36.553600000000003</v>
      </c>
      <c r="C85" s="14"/>
      <c r="D85" s="14" cm="1">
        <f t="array" ref="D85">G(A85,$B$3,$B$4,H$5:L$5)</f>
        <v>38.508390724335463</v>
      </c>
      <c r="E85" s="14"/>
      <c r="F85" s="14">
        <f t="shared" si="6"/>
        <v>1.9547907243354601</v>
      </c>
      <c r="N85" s="14">
        <v>750</v>
      </c>
      <c r="O85" s="14">
        <v>35.4116</v>
      </c>
      <c r="P85" s="14"/>
      <c r="Q85" s="14" cm="1">
        <f t="array" ref="Q85">G(N85,$O$3,$O$4,$U$5:$Y$5)</f>
        <v>43.617939870792853</v>
      </c>
      <c r="R85" s="14"/>
      <c r="S85" s="14">
        <f t="shared" si="7"/>
        <v>8.2063398707928528</v>
      </c>
      <c r="AA85" s="14">
        <v>750</v>
      </c>
      <c r="AB85" s="14">
        <v>36.035299999999999</v>
      </c>
      <c r="AC85" s="14"/>
      <c r="AD85" s="14" cm="1">
        <f t="array" ref="AD85">G(AA85,$AB$3,$AB$4,AH$5:AL$5)</f>
        <v>35.000675976118693</v>
      </c>
      <c r="AE85" s="14"/>
      <c r="AF85" s="14">
        <f t="shared" si="8"/>
        <v>-1.0346240238813067</v>
      </c>
    </row>
    <row r="86" spans="1:32" x14ac:dyDescent="0.25">
      <c r="A86" s="14">
        <v>760</v>
      </c>
      <c r="B86" s="14">
        <v>36.051900000000003</v>
      </c>
      <c r="C86" s="14"/>
      <c r="D86" s="14" cm="1">
        <f t="array" ref="D86">G(A86,$B$3,$B$4,H$5:L$5)</f>
        <v>38.401206265871643</v>
      </c>
      <c r="E86" s="14"/>
      <c r="F86" s="14">
        <f t="shared" si="6"/>
        <v>2.3493062658716397</v>
      </c>
      <c r="N86" s="14">
        <v>760</v>
      </c>
      <c r="O86" s="14">
        <v>35.273800000000001</v>
      </c>
      <c r="P86" s="14"/>
      <c r="Q86" s="14" cm="1">
        <f t="array" ref="Q86">G(N86,$O$3,$O$4,$U$5:$Y$5)</f>
        <v>43.463501513897235</v>
      </c>
      <c r="R86" s="14"/>
      <c r="S86" s="14">
        <f t="shared" si="7"/>
        <v>8.1897015138972336</v>
      </c>
      <c r="AA86" s="14">
        <v>760</v>
      </c>
      <c r="AB86" s="14">
        <v>35.0381</v>
      </c>
      <c r="AC86" s="14"/>
      <c r="AD86" s="14" cm="1">
        <f t="array" ref="AD86">G(AA86,$AB$3,$AB$4,AH$5:AL$5)</f>
        <v>34.905006590344023</v>
      </c>
      <c r="AE86" s="14"/>
      <c r="AF86" s="14">
        <f t="shared" si="8"/>
        <v>-0.13309340965597727</v>
      </c>
    </row>
    <row r="87" spans="1:32" x14ac:dyDescent="0.25">
      <c r="A87" s="14">
        <v>770</v>
      </c>
      <c r="B87" s="14">
        <v>36.339500000000001</v>
      </c>
      <c r="C87" s="14"/>
      <c r="D87" s="14" cm="1">
        <f t="array" ref="D87">G(A87,$B$3,$B$4,H$5:L$5)</f>
        <v>38.295501335382234</v>
      </c>
      <c r="E87" s="14"/>
      <c r="F87" s="14">
        <f t="shared" si="6"/>
        <v>1.9560013353822328</v>
      </c>
      <c r="N87" s="14">
        <v>770</v>
      </c>
      <c r="O87" s="14">
        <v>35.6783</v>
      </c>
      <c r="P87" s="14"/>
      <c r="Q87" s="14" cm="1">
        <f t="array" ref="Q87">G(N87,$O$3,$O$4,$U$5:$Y$5)</f>
        <v>43.308625413987819</v>
      </c>
      <c r="R87" s="14"/>
      <c r="S87" s="14">
        <f t="shared" si="7"/>
        <v>7.6303254139878192</v>
      </c>
      <c r="AA87" s="14">
        <v>770</v>
      </c>
      <c r="AB87" s="14">
        <v>34.621400000000001</v>
      </c>
      <c r="AC87" s="14"/>
      <c r="AD87" s="14" cm="1">
        <f t="array" ref="AD87">G(AA87,$AB$3,$AB$4,AH$5:AL$5)</f>
        <v>34.810788847892162</v>
      </c>
      <c r="AE87" s="14"/>
      <c r="AF87" s="14">
        <f t="shared" si="8"/>
        <v>0.18938884789216104</v>
      </c>
    </row>
    <row r="88" spans="1:32" x14ac:dyDescent="0.25">
      <c r="A88" s="14">
        <v>780</v>
      </c>
      <c r="B88" s="14">
        <v>36.0623</v>
      </c>
      <c r="C88" s="14"/>
      <c r="D88" s="14" cm="1">
        <f t="array" ref="D88">G(A88,$B$3,$B$4,H$5:L$5)</f>
        <v>38.191231266300953</v>
      </c>
      <c r="E88" s="14"/>
      <c r="F88" s="14">
        <f t="shared" si="6"/>
        <v>2.1289312663009525</v>
      </c>
      <c r="N88" s="14">
        <v>780</v>
      </c>
      <c r="O88" s="14">
        <v>35.144500000000001</v>
      </c>
      <c r="P88" s="14"/>
      <c r="Q88" s="14" cm="1">
        <f t="array" ref="Q88">G(N88,$O$3,$O$4,$U$5:$Y$5)</f>
        <v>43.153349317618463</v>
      </c>
      <c r="R88" s="14"/>
      <c r="S88" s="14">
        <f t="shared" si="7"/>
        <v>8.0088493176184627</v>
      </c>
      <c r="AA88" s="14">
        <v>780</v>
      </c>
      <c r="AB88" s="14">
        <v>35.016599999999997</v>
      </c>
      <c r="AC88" s="14"/>
      <c r="AD88" s="14" cm="1">
        <f t="array" ref="AD88">G(AA88,$AB$3,$AB$4,AH$5:AL$5)</f>
        <v>34.717975773125445</v>
      </c>
      <c r="AE88" s="14"/>
      <c r="AF88" s="14">
        <f t="shared" si="8"/>
        <v>-0.29862422687455137</v>
      </c>
    </row>
    <row r="89" spans="1:32" x14ac:dyDescent="0.25">
      <c r="A89" s="14">
        <v>790</v>
      </c>
      <c r="B89" s="14">
        <v>35.816899999999997</v>
      </c>
      <c r="C89" s="14"/>
      <c r="D89" s="14" cm="1">
        <f t="array" ref="D89">G(A89,$B$3,$B$4,H$5:L$5)</f>
        <v>38.088353401530469</v>
      </c>
      <c r="E89" s="14"/>
      <c r="F89" s="14">
        <f t="shared" si="6"/>
        <v>2.2714534015304721</v>
      </c>
      <c r="N89" s="14">
        <v>790</v>
      </c>
      <c r="O89" s="14">
        <v>35.242100000000001</v>
      </c>
      <c r="P89" s="14"/>
      <c r="Q89" s="14" cm="1">
        <f t="array" ref="Q89">G(N89,$O$3,$O$4,$U$5:$Y$5)</f>
        <v>42.997708184293295</v>
      </c>
      <c r="R89" s="14"/>
      <c r="S89" s="14">
        <f t="shared" si="7"/>
        <v>7.755608184293294</v>
      </c>
      <c r="AA89" s="14">
        <v>790</v>
      </c>
      <c r="AB89" s="14">
        <v>35.330399999999997</v>
      </c>
      <c r="AC89" s="14"/>
      <c r="AD89" s="14" cm="1">
        <f t="array" ref="AD89">G(AA89,$AB$3,$AB$4,AH$5:AL$5)</f>
        <v>34.626522636467229</v>
      </c>
      <c r="AE89" s="14"/>
      <c r="AF89" s="14">
        <f t="shared" si="8"/>
        <v>-0.70387736353276864</v>
      </c>
    </row>
    <row r="90" spans="1:32" x14ac:dyDescent="0.25">
      <c r="A90" s="14">
        <v>800</v>
      </c>
      <c r="B90" s="14">
        <v>36.198</v>
      </c>
      <c r="C90" s="14"/>
      <c r="D90" s="14" cm="1">
        <f t="array" ref="D90">G(A90,$B$3,$B$4,H$5:L$5)</f>
        <v>37.986826974502463</v>
      </c>
      <c r="E90" s="14"/>
      <c r="F90" s="14">
        <f t="shared" si="6"/>
        <v>1.788826974502463</v>
      </c>
      <c r="N90" s="14">
        <v>800</v>
      </c>
      <c r="O90" s="14">
        <v>35.066299999999998</v>
      </c>
      <c r="P90" s="14"/>
      <c r="Q90" s="14" cm="1">
        <f t="array" ref="Q90">G(N90,$O$3,$O$4,$U$5:$Y$5)</f>
        <v>42.841734391565439</v>
      </c>
      <c r="R90" s="14"/>
      <c r="S90" s="14">
        <f t="shared" si="7"/>
        <v>7.7754343915654403</v>
      </c>
      <c r="AA90" s="14">
        <v>800</v>
      </c>
      <c r="AB90" s="14">
        <v>34.933199999999999</v>
      </c>
      <c r="AC90" s="14"/>
      <c r="AD90" s="14" cm="1">
        <f t="array" ref="AD90">G(AA90,$AB$3,$AB$4,AH$5:AL$5)</f>
        <v>34.536386814317602</v>
      </c>
      <c r="AE90" s="14"/>
      <c r="AF90" s="14">
        <f t="shared" si="8"/>
        <v>-0.39681318568239732</v>
      </c>
    </row>
    <row r="91" spans="1:32" x14ac:dyDescent="0.25">
      <c r="A91" s="14">
        <v>810</v>
      </c>
      <c r="B91" s="14">
        <v>35.837299999999999</v>
      </c>
      <c r="C91" s="14"/>
      <c r="D91" s="14" cm="1">
        <f t="array" ref="D91">G(A91,$B$3,$B$4,H$5:L$5)</f>
        <v>37.886612998895949</v>
      </c>
      <c r="E91" s="14"/>
      <c r="F91" s="14">
        <f t="shared" si="6"/>
        <v>2.0493129988959495</v>
      </c>
      <c r="N91" s="14">
        <v>810</v>
      </c>
      <c r="O91" s="14">
        <v>34.959099999999999</v>
      </c>
      <c r="P91" s="14"/>
      <c r="Q91" s="14" cm="1">
        <f t="array" ref="Q91">G(N91,$O$3,$O$4,$U$5:$Y$5)</f>
        <v>42.68545792298417</v>
      </c>
      <c r="R91" s="14"/>
      <c r="S91" s="14">
        <f t="shared" si="7"/>
        <v>7.726357922984171</v>
      </c>
      <c r="AA91" s="14">
        <v>810</v>
      </c>
      <c r="AB91" s="14">
        <v>34.773600000000002</v>
      </c>
      <c r="AC91" s="14"/>
      <c r="AD91" s="14" cm="1">
        <f t="array" ref="AD91">G(AA91,$AB$3,$AB$4,AH$5:AL$5)</f>
        <v>34.447527659632463</v>
      </c>
      <c r="AE91" s="14"/>
      <c r="AF91" s="14">
        <f t="shared" si="8"/>
        <v>-0.32607234036753852</v>
      </c>
    </row>
    <row r="92" spans="1:32" x14ac:dyDescent="0.25">
      <c r="A92" s="14">
        <v>820</v>
      </c>
      <c r="B92" s="14">
        <v>35.942100000000003</v>
      </c>
      <c r="C92" s="14"/>
      <c r="D92" s="14" cm="1">
        <f t="array" ref="D92">G(A92,$B$3,$B$4,H$5:L$5)</f>
        <v>37.787674166270072</v>
      </c>
      <c r="E92" s="14"/>
      <c r="F92" s="14">
        <f t="shared" si="6"/>
        <v>1.8455741662700689</v>
      </c>
      <c r="N92" s="14">
        <v>820</v>
      </c>
      <c r="O92" s="14">
        <v>35.120399999999997</v>
      </c>
      <c r="P92" s="14"/>
      <c r="Q92" s="14" cm="1">
        <f t="array" ref="Q92">G(N92,$O$3,$O$4,$U$5:$Y$5)</f>
        <v>42.528906540498681</v>
      </c>
      <c r="R92" s="14"/>
      <c r="S92" s="14">
        <f t="shared" si="7"/>
        <v>7.408506540498685</v>
      </c>
      <c r="AA92" s="14">
        <v>820</v>
      </c>
      <c r="AB92" s="14">
        <v>35.099800000000002</v>
      </c>
      <c r="AC92" s="14"/>
      <c r="AD92" s="14" cm="1">
        <f t="array" ref="AD92">G(AA92,$AB$3,$AB$4,AH$5:AL$5)</f>
        <v>34.359906382214902</v>
      </c>
      <c r="AE92" s="14"/>
      <c r="AF92" s="14">
        <f t="shared" si="8"/>
        <v>-0.73989361778509988</v>
      </c>
    </row>
    <row r="93" spans="1:32" x14ac:dyDescent="0.25">
      <c r="A93" s="14">
        <v>830</v>
      </c>
      <c r="B93" s="14">
        <v>36.372</v>
      </c>
      <c r="C93" s="14"/>
      <c r="D93" s="14" cm="1">
        <f t="array" ref="D93">G(A93,$B$3,$B$4,H$5:L$5)</f>
        <v>37.689974750941317</v>
      </c>
      <c r="E93" s="14"/>
      <c r="F93" s="14">
        <f t="shared" si="6"/>
        <v>1.3179747509413176</v>
      </c>
      <c r="N93" s="14">
        <v>830</v>
      </c>
      <c r="O93" s="14">
        <v>34.839500000000001</v>
      </c>
      <c r="P93" s="14"/>
      <c r="Q93" s="14" cm="1">
        <f t="array" ref="Q93">G(N93,$O$3,$O$4,$U$5:$Y$5)</f>
        <v>42.372105942757578</v>
      </c>
      <c r="R93" s="14"/>
      <c r="S93" s="14">
        <f t="shared" si="7"/>
        <v>7.5326059427575771</v>
      </c>
      <c r="AA93" s="14">
        <v>830</v>
      </c>
      <c r="AB93" s="14">
        <v>35.175600000000003</v>
      </c>
      <c r="AC93" s="14"/>
      <c r="AD93" s="14" cm="1">
        <f t="array" ref="AD93">G(AA93,$AB$3,$AB$4,AH$5:AL$5)</f>
        <v>34.273485937864734</v>
      </c>
      <c r="AE93" s="14"/>
      <c r="AF93" s="14">
        <f t="shared" si="8"/>
        <v>-0.90211406213526857</v>
      </c>
    </row>
    <row r="94" spans="1:32" x14ac:dyDescent="0.25">
      <c r="A94" s="14">
        <v>840</v>
      </c>
      <c r="B94" s="14">
        <v>35.580300000000001</v>
      </c>
      <c r="C94" s="14"/>
      <c r="D94" s="14" cm="1">
        <f t="array" ref="D94">G(A94,$B$3,$B$4,H$5:L$5)</f>
        <v>37.59348052150024</v>
      </c>
      <c r="E94" s="14"/>
      <c r="F94" s="14">
        <f t="shared" si="6"/>
        <v>2.0131805215002387</v>
      </c>
      <c r="N94" s="14">
        <v>840</v>
      </c>
      <c r="O94" s="14">
        <v>35.0458</v>
      </c>
      <c r="P94" s="14"/>
      <c r="Q94" s="14" cm="1">
        <f t="array" ref="Q94">G(N94,$O$3,$O$4,$U$5:$Y$5)</f>
        <v>42.215079910594604</v>
      </c>
      <c r="R94" s="14"/>
      <c r="S94" s="14">
        <f t="shared" si="7"/>
        <v>7.1692799105946037</v>
      </c>
      <c r="AA94" s="14">
        <v>840</v>
      </c>
      <c r="AB94" s="14">
        <v>34.786799999999999</v>
      </c>
      <c r="AC94" s="14"/>
      <c r="AD94" s="14" cm="1">
        <f t="array" ref="AD94">G(AA94,$AB$3,$AB$4,AH$5:AL$5)</f>
        <v>34.188230925617674</v>
      </c>
      <c r="AE94" s="14"/>
      <c r="AF94" s="14">
        <f t="shared" si="8"/>
        <v>-0.59856907438232554</v>
      </c>
    </row>
    <row r="95" spans="1:32" x14ac:dyDescent="0.25">
      <c r="A95" s="14">
        <v>850</v>
      </c>
      <c r="B95" s="14">
        <v>35.518000000000001</v>
      </c>
      <c r="C95" s="14"/>
      <c r="D95" s="14" cm="1">
        <f t="array" ref="D95">G(A95,$B$3,$B$4,H$5:L$5)</f>
        <v>37.49815865842028</v>
      </c>
      <c r="E95" s="14"/>
      <c r="F95" s="14">
        <f t="shared" si="6"/>
        <v>1.9801586584202795</v>
      </c>
      <c r="N95" s="14">
        <v>850</v>
      </c>
      <c r="O95" s="14">
        <v>34.725000000000001</v>
      </c>
      <c r="P95" s="14"/>
      <c r="Q95" s="14" cm="1">
        <f t="array" ref="Q95">G(N95,$O$3,$O$4,$U$5:$Y$5)</f>
        <v>42.057850440860676</v>
      </c>
      <c r="R95" s="14"/>
      <c r="S95" s="14">
        <f t="shared" si="7"/>
        <v>7.3328504408606747</v>
      </c>
      <c r="AA95" s="14">
        <v>850</v>
      </c>
      <c r="AB95" s="14">
        <v>35.322800000000001</v>
      </c>
      <c r="AC95" s="14"/>
      <c r="AD95" s="14" cm="1">
        <f t="array" ref="AD95">G(AA95,$AB$3,$AB$4,AH$5:AL$5)</f>
        <v>34.104107492381431</v>
      </c>
      <c r="AE95" s="14"/>
      <c r="AF95" s="14">
        <f t="shared" si="8"/>
        <v>-1.2186925076185702</v>
      </c>
    </row>
    <row r="96" spans="1:32" x14ac:dyDescent="0.25">
      <c r="A96" s="14">
        <v>860</v>
      </c>
      <c r="B96" s="14">
        <v>35.480800000000002</v>
      </c>
      <c r="C96" s="14"/>
      <c r="D96" s="14" cm="1">
        <f t="array" ref="D96">G(A96,$B$3,$B$4,H$5:L$5)</f>
        <v>37.403977677263605</v>
      </c>
      <c r="E96" s="14"/>
      <c r="F96" s="14">
        <f t="shared" si="6"/>
        <v>1.9231776772636024</v>
      </c>
      <c r="N96" s="14">
        <v>860</v>
      </c>
      <c r="O96" s="14">
        <v>34.673400000000001</v>
      </c>
      <c r="P96" s="14"/>
      <c r="Q96" s="14" cm="1">
        <f t="array" ref="Q96">G(N96,$O$3,$O$4,$U$5:$Y$5)</f>
        <v>41.900437869643184</v>
      </c>
      <c r="R96" s="14"/>
      <c r="S96" s="14">
        <f t="shared" si="7"/>
        <v>7.2270378696431834</v>
      </c>
      <c r="AA96" s="14">
        <v>860</v>
      </c>
      <c r="AB96" s="14">
        <v>35.443800000000003</v>
      </c>
      <c r="AC96" s="14"/>
      <c r="AD96" s="14" cm="1">
        <f t="array" ref="AD96">G(AA96,$AB$3,$AB$4,AH$5:AL$5)</f>
        <v>34.021083244344055</v>
      </c>
      <c r="AE96" s="14"/>
      <c r="AF96" s="14">
        <f>AD96-AB96</f>
        <v>-1.4227167556559479</v>
      </c>
    </row>
    <row r="97" spans="1:32" x14ac:dyDescent="0.25">
      <c r="A97" s="14">
        <v>870</v>
      </c>
      <c r="B97" s="14">
        <v>35.397399999999998</v>
      </c>
      <c r="C97" s="14"/>
      <c r="D97" s="14" cm="1">
        <f t="array" ref="D97">G(A97,$B$3,$B$4,H$5:L$5)</f>
        <v>37.310907357034587</v>
      </c>
      <c r="E97" s="14"/>
      <c r="F97" s="14">
        <f t="shared" si="6"/>
        <v>1.9135073570345895</v>
      </c>
      <c r="N97" s="14">
        <v>870</v>
      </c>
      <c r="O97" s="14">
        <v>35.027700000000003</v>
      </c>
      <c r="P97" s="14"/>
      <c r="Q97" s="14" cm="1">
        <f t="array" ref="Q97">G(N97,$O$3,$O$4,$U$5:$Y$5)</f>
        <v>41.742860985810985</v>
      </c>
      <c r="R97" s="14"/>
      <c r="S97" s="14">
        <f t="shared" si="7"/>
        <v>6.7151609858109822</v>
      </c>
      <c r="AA97" s="14">
        <v>870</v>
      </c>
      <c r="AB97" s="14">
        <v>34.602400000000003</v>
      </c>
      <c r="AC97" s="14"/>
      <c r="AD97" s="14" cm="1">
        <f t="array" ref="AD97">G(AA97,$AB$3,$AB$4,AH$5:AL$5)</f>
        <v>33.939127164589593</v>
      </c>
      <c r="AE97" s="14"/>
      <c r="AF97" s="14">
        <f>AD97-AB97</f>
        <v>-0.66327283541041027</v>
      </c>
    </row>
    <row r="98" spans="1:32" x14ac:dyDescent="0.25">
      <c r="A98" s="14">
        <v>880</v>
      </c>
      <c r="B98" s="14">
        <v>35.656199999999998</v>
      </c>
      <c r="C98" s="14"/>
      <c r="D98" s="14" cm="1">
        <f t="array" ref="D98">G(A98,$B$3,$B$4,H$5:L$5)</f>
        <v>37.218918673273194</v>
      </c>
      <c r="E98" s="14"/>
      <c r="F98" s="14">
        <f t="shared" si="6"/>
        <v>1.5627186732731957</v>
      </c>
      <c r="N98" s="14">
        <v>880</v>
      </c>
      <c r="O98" s="14">
        <v>34.920999999999999</v>
      </c>
      <c r="P98" s="14"/>
      <c r="Q98" s="14" cm="1">
        <f t="array" ref="Q98">G(N98,$O$3,$O$4,$U$5:$Y$5)</f>
        <v>41.585137135732431</v>
      </c>
      <c r="R98" s="14"/>
      <c r="S98" s="14">
        <f t="shared" si="7"/>
        <v>6.6641371357324317</v>
      </c>
      <c r="AA98" s="14">
        <v>880</v>
      </c>
      <c r="AB98" s="14">
        <v>35.360599999999998</v>
      </c>
      <c r="AC98" s="14"/>
      <c r="AD98" s="14" cm="1">
        <f t="array" ref="AD98">G(AA98,$AB$3,$AB$4,AH$5:AL$5)</f>
        <v>33.858209536410484</v>
      </c>
      <c r="AE98" s="14"/>
      <c r="AF98" s="14">
        <f>AD98-AB98</f>
        <v>-1.5023904635895136</v>
      </c>
    </row>
    <row r="99" spans="1:32" x14ac:dyDescent="0.25">
      <c r="A99" s="14">
        <v>890</v>
      </c>
      <c r="B99" s="14">
        <v>35.750700000000002</v>
      </c>
      <c r="C99" s="14"/>
      <c r="D99" s="14" cm="1">
        <f t="array" ref="D99">G(A99,$B$3,$B$4,H$5:L$5)</f>
        <v>37.127983735517859</v>
      </c>
      <c r="E99" s="14"/>
      <c r="F99" s="14">
        <f t="shared" si="6"/>
        <v>1.3772837355178567</v>
      </c>
      <c r="N99" s="14">
        <v>890</v>
      </c>
      <c r="O99" s="14">
        <v>34.797400000000003</v>
      </c>
      <c r="P99" s="14"/>
      <c r="Q99" s="14" cm="1">
        <f t="array" ref="Q99">G(N99,$O$3,$O$4,$U$5:$Y$5)</f>
        <v>41.427282319926938</v>
      </c>
      <c r="R99" s="14"/>
      <c r="S99" s="14">
        <f t="shared" si="7"/>
        <v>6.629882319926935</v>
      </c>
      <c r="AA99" s="14">
        <v>890</v>
      </c>
      <c r="AB99" s="14">
        <v>34.648800000000001</v>
      </c>
      <c r="AC99" s="14"/>
      <c r="AD99" s="14" cm="1">
        <f t="array" ref="AD99">G(AA99,$AB$3,$AB$4,AH$5:AL$5)</f>
        <v>33.778301871853508</v>
      </c>
      <c r="AE99" s="14"/>
      <c r="AF99" s="14">
        <f>AD99-AB99</f>
        <v>-0.87049812814649385</v>
      </c>
    </row>
    <row r="100" spans="1:32" x14ac:dyDescent="0.25">
      <c r="A100" s="14">
        <v>900</v>
      </c>
      <c r="B100" s="14">
        <v>35.765900000000002</v>
      </c>
      <c r="C100" s="14"/>
      <c r="D100" s="14" cm="1">
        <f t="array" ref="D100">G(A100,$B$3,$B$4,H$5:L$5)</f>
        <v>37.038075728799967</v>
      </c>
      <c r="E100" s="14"/>
      <c r="F100" s="14">
        <f t="shared" si="6"/>
        <v>1.2721757287999651</v>
      </c>
      <c r="N100" s="14">
        <v>900</v>
      </c>
      <c r="O100" s="14">
        <v>34.640300000000003</v>
      </c>
      <c r="P100" s="14"/>
      <c r="Q100" s="14" cm="1">
        <f t="array" ref="Q100">G(N100,$O$3,$O$4,$U$5:$Y$5)</f>
        <v>41.269311282342677</v>
      </c>
      <c r="R100" s="14"/>
      <c r="S100" s="14">
        <f t="shared" si="7"/>
        <v>6.6290112823426739</v>
      </c>
    </row>
    <row r="101" spans="1:32" x14ac:dyDescent="0.25">
      <c r="A101" s="14">
        <v>910</v>
      </c>
      <c r="B101" s="14">
        <v>35.801299999999998</v>
      </c>
      <c r="C101" s="14"/>
      <c r="D101" s="14" cm="1">
        <f t="array" ref="D101">G(A101,$B$3,$B$4,H$5:L$5)</f>
        <v>36.949168858862919</v>
      </c>
      <c r="E101" s="14"/>
      <c r="F101" s="14">
        <f t="shared" si="6"/>
        <v>1.1478688588629211</v>
      </c>
      <c r="N101" s="14">
        <v>910</v>
      </c>
      <c r="O101" s="14">
        <v>34.731900000000003</v>
      </c>
      <c r="P101" s="14"/>
      <c r="Q101" s="14" cm="1">
        <f t="array" ref="Q101">G(N101,$O$3,$O$4,$U$5:$Y$5)</f>
        <v>41.111237592882325</v>
      </c>
      <c r="R101" s="14"/>
      <c r="S101" s="14">
        <f t="shared" si="7"/>
        <v>6.3793375928823224</v>
      </c>
    </row>
    <row r="102" spans="1:32" x14ac:dyDescent="0.25">
      <c r="A102" s="14">
        <v>920</v>
      </c>
      <c r="B102" s="14">
        <v>35.569800000000001</v>
      </c>
      <c r="C102" s="14"/>
      <c r="D102" s="14" cm="1">
        <f t="array" ref="D102">G(A102,$B$3,$B$4,H$5:L$5)</f>
        <v>36.861238300825256</v>
      </c>
      <c r="E102" s="14"/>
      <c r="F102" s="14">
        <f t="shared" si="6"/>
        <v>1.2914383008252557</v>
      </c>
      <c r="N102" s="14">
        <v>920</v>
      </c>
      <c r="O102" s="14">
        <v>35.006399999999999</v>
      </c>
      <c r="P102" s="14"/>
      <c r="Q102" s="14" cm="1">
        <f t="array" ref="Q102">G(N102,$O$3,$O$4,$U$5:$Y$5)</f>
        <v>40.953073723742605</v>
      </c>
      <c r="R102" s="14"/>
      <c r="S102" s="14">
        <f t="shared" si="7"/>
        <v>5.9466737237426059</v>
      </c>
    </row>
    <row r="103" spans="1:32" x14ac:dyDescent="0.25">
      <c r="A103" s="14">
        <v>930</v>
      </c>
      <c r="B103" s="14">
        <v>35.866500000000002</v>
      </c>
      <c r="C103" s="14"/>
      <c r="D103" s="14" cm="1">
        <f t="array" ref="D103">G(A103,$B$3,$B$4,H$5:L$5)</f>
        <v>36.774260151031314</v>
      </c>
      <c r="E103" s="14"/>
      <c r="F103" s="14">
        <f t="shared" si="6"/>
        <v>0.90776015103131158</v>
      </c>
      <c r="N103" s="14">
        <v>930</v>
      </c>
      <c r="O103" s="14">
        <v>35.028300000000002</v>
      </c>
      <c r="P103" s="14"/>
      <c r="Q103" s="14" cm="1">
        <f t="array" ref="Q103">G(N103,$O$3,$O$4,$U$5:$Y$5)</f>
        <v>40.79483112008068</v>
      </c>
      <c r="R103" s="14"/>
      <c r="S103" s="14">
        <f t="shared" si="7"/>
        <v>5.7665311200806784</v>
      </c>
    </row>
    <row r="104" spans="1:32" x14ac:dyDescent="0.25">
      <c r="A104" s="14">
        <v>940</v>
      </c>
      <c r="B104" s="14">
        <v>36.099600000000002</v>
      </c>
      <c r="C104" s="14"/>
      <c r="D104" s="14" cm="1">
        <f t="array" ref="D104">G(A104,$B$3,$B$4,H$5:L$5)</f>
        <v>36.688211381855467</v>
      </c>
      <c r="E104" s="14"/>
      <c r="F104" s="14">
        <f t="shared" si="6"/>
        <v>0.5886113818554648</v>
      </c>
      <c r="N104" s="14">
        <v>940</v>
      </c>
      <c r="O104" s="14">
        <v>34.479100000000003</v>
      </c>
      <c r="P104" s="14"/>
      <c r="Q104" s="14" cm="1">
        <f t="array" ref="Q104">G(N104,$O$3,$O$4,$U$5:$Y$5)</f>
        <v>40.636520265471013</v>
      </c>
      <c r="R104" s="14"/>
      <c r="S104" s="14">
        <f t="shared" si="7"/>
        <v>6.1574202654710106</v>
      </c>
    </row>
    <row r="105" spans="1:32" x14ac:dyDescent="0.25">
      <c r="A105" s="14">
        <v>950</v>
      </c>
      <c r="B105" s="14">
        <v>35.838099999999997</v>
      </c>
      <c r="C105" s="14"/>
      <c r="D105" s="14" cm="1">
        <f t="array" ref="D105">G(A105,$B$3,$B$4,H$5:L$5)</f>
        <v>36.603069799245297</v>
      </c>
      <c r="E105" s="14"/>
      <c r="F105" s="14">
        <f t="shared" ref="F105:F121" si="9">D105-B105</f>
        <v>0.76496979924529995</v>
      </c>
      <c r="N105" s="14">
        <v>950</v>
      </c>
      <c r="O105" s="14">
        <v>34.496499999999997</v>
      </c>
      <c r="P105" s="14"/>
      <c r="Q105" s="14" cm="1">
        <f t="array" ref="Q105">G(N105,$O$3,$O$4,$U$5:$Y$5)</f>
        <v>40.478150742575956</v>
      </c>
      <c r="R105" s="14"/>
      <c r="S105" s="14">
        <f t="shared" ref="S105:S118" si="10">Q105-O105</f>
        <v>5.9816507425759582</v>
      </c>
    </row>
    <row r="106" spans="1:32" x14ac:dyDescent="0.25">
      <c r="A106" s="14">
        <v>960</v>
      </c>
      <c r="B106" s="14">
        <v>36.271500000000003</v>
      </c>
      <c r="C106" s="14"/>
      <c r="D106" s="14" cm="1">
        <f t="array" ref="D106">G(A106,$B$3,$B$4,H$5:L$5)</f>
        <v>36.518814002807019</v>
      </c>
      <c r="E106" s="14"/>
      <c r="F106" s="14">
        <f t="shared" si="9"/>
        <v>0.24731400280701621</v>
      </c>
      <c r="N106" s="14">
        <v>960</v>
      </c>
      <c r="O106" s="14">
        <v>34.389600000000002</v>
      </c>
      <c r="P106" s="14"/>
      <c r="Q106" s="14" cm="1">
        <f t="array" ref="Q106">G(N106,$O$3,$O$4,$U$5:$Y$5)</f>
        <v>40.319731289415138</v>
      </c>
      <c r="R106" s="14"/>
      <c r="S106" s="14">
        <f t="shared" si="10"/>
        <v>5.9301312894151366</v>
      </c>
    </row>
    <row r="107" spans="1:32" x14ac:dyDescent="0.25">
      <c r="A107" s="14">
        <v>970</v>
      </c>
      <c r="B107" s="14">
        <v>35.626800000000003</v>
      </c>
      <c r="C107" s="14"/>
      <c r="D107" s="14" cm="1">
        <f t="array" ref="D107">G(A107,$B$3,$B$4,H$5:L$5)</f>
        <v>36.435423348253202</v>
      </c>
      <c r="E107" s="14"/>
      <c r="F107" s="14">
        <f t="shared" si="9"/>
        <v>0.80862334825319948</v>
      </c>
      <c r="N107" s="14">
        <v>970</v>
      </c>
      <c r="O107" s="14">
        <v>34.197299999999998</v>
      </c>
      <c r="P107" s="14"/>
      <c r="Q107" s="14" cm="1">
        <f t="array" ref="Q107">G(N107,$O$3,$O$4,$U$5:$Y$5)</f>
        <v>40.16126985158121</v>
      </c>
      <c r="R107" s="14"/>
      <c r="S107" s="14">
        <f t="shared" si="10"/>
        <v>5.9639698515812114</v>
      </c>
    </row>
    <row r="108" spans="1:32" x14ac:dyDescent="0.25">
      <c r="A108" s="14">
        <v>980</v>
      </c>
      <c r="B108" s="14">
        <v>36.064</v>
      </c>
      <c r="C108" s="14"/>
      <c r="D108" s="14" cm="1">
        <f t="array" ref="D108">G(A108,$B$3,$B$4,H$5:L$5)</f>
        <v>36.352877912046566</v>
      </c>
      <c r="E108" s="14"/>
      <c r="F108" s="14">
        <f t="shared" si="9"/>
        <v>0.28887791204656565</v>
      </c>
      <c r="N108" s="14">
        <v>980</v>
      </c>
      <c r="O108" s="14">
        <v>34.000399999999999</v>
      </c>
      <c r="P108" s="14"/>
      <c r="Q108" s="14" cm="1">
        <f t="array" ref="Q108">G(N108,$O$3,$O$4,$U$5:$Y$5)</f>
        <v>40.002773630722658</v>
      </c>
      <c r="R108" s="14"/>
      <c r="S108" s="14">
        <f t="shared" si="10"/>
        <v>6.0023736307226585</v>
      </c>
    </row>
    <row r="109" spans="1:32" x14ac:dyDescent="0.25">
      <c r="A109" s="14">
        <v>990</v>
      </c>
      <c r="B109" s="14">
        <v>35.505000000000003</v>
      </c>
      <c r="C109" s="14"/>
      <c r="D109" s="14" cm="1">
        <f t="array" ref="D109">G(A109,$B$3,$B$4,H$5:L$5)</f>
        <v>36.271158458088337</v>
      </c>
      <c r="E109" s="14"/>
      <c r="F109" s="14">
        <f t="shared" si="9"/>
        <v>0.76615845808833427</v>
      </c>
      <c r="N109" s="14">
        <v>990</v>
      </c>
      <c r="O109" s="14">
        <v>34.270400000000002</v>
      </c>
      <c r="P109" s="14"/>
      <c r="Q109" s="14" cm="1">
        <f t="array" ref="Q109">G(N109,$O$3,$O$4,$U$5:$Y$5)</f>
        <v>39.844249129584448</v>
      </c>
      <c r="R109" s="14"/>
      <c r="S109" s="14">
        <f t="shared" si="10"/>
        <v>5.5738491295844454</v>
      </c>
    </row>
    <row r="110" spans="1:32" x14ac:dyDescent="0.25">
      <c r="A110" s="14">
        <v>1000</v>
      </c>
      <c r="B110" s="14">
        <v>35.7393</v>
      </c>
      <c r="C110" s="14"/>
      <c r="D110" s="14" cm="1">
        <f t="array" ref="D110">G(A110,$B$3,$B$4,H$5:L$5)</f>
        <v>36.190246406310465</v>
      </c>
      <c r="E110" s="14"/>
      <c r="F110" s="14">
        <f t="shared" si="9"/>
        <v>0.45094640631046445</v>
      </c>
      <c r="N110" s="14">
        <v>1000</v>
      </c>
      <c r="O110" s="14">
        <v>34.066899999999997</v>
      </c>
      <c r="P110" s="14"/>
      <c r="Q110" s="14" cm="1">
        <f t="array" ref="Q110">G(N110,$O$3,$O$4,$U$5:$Y$5)</f>
        <v>39.685702193869673</v>
      </c>
      <c r="R110" s="14"/>
      <c r="S110" s="14">
        <f t="shared" si="10"/>
        <v>5.6188021938696764</v>
      </c>
    </row>
    <row r="111" spans="1:32" x14ac:dyDescent="0.25">
      <c r="A111" s="14">
        <v>1010</v>
      </c>
      <c r="B111" s="14">
        <v>35.524999999999999</v>
      </c>
      <c r="C111" s="14"/>
      <c r="D111" s="14" cm="1">
        <f t="array" ref="D111">G(A111,$B$3,$B$4,H$5:L$5)</f>
        <v>36.11012380304286</v>
      </c>
      <c r="E111" s="14"/>
      <c r="F111" s="14">
        <f t="shared" si="9"/>
        <v>0.58512380304286182</v>
      </c>
      <c r="N111" s="14">
        <v>1010</v>
      </c>
      <c r="O111" s="14">
        <v>34.483800000000002</v>
      </c>
      <c r="P111" s="14"/>
      <c r="Q111" s="14" cm="1">
        <f t="array" ref="Q111">G(N111,$O$3,$O$4,$U$5:$Y$5)</f>
        <v>39.527138051168187</v>
      </c>
      <c r="R111" s="14"/>
      <c r="S111" s="14">
        <f t="shared" si="10"/>
        <v>5.0433380511681847</v>
      </c>
    </row>
    <row r="112" spans="1:32" x14ac:dyDescent="0.25">
      <c r="A112" s="14">
        <v>1020</v>
      </c>
      <c r="B112" s="14">
        <v>35.833100000000002</v>
      </c>
      <c r="C112" s="14"/>
      <c r="D112" s="14" cm="1">
        <f t="array" ref="D112">G(A112,$B$3,$B$4,H$5:L$5)</f>
        <v>36.03077329303693</v>
      </c>
      <c r="E112" s="14"/>
      <c r="F112" s="14">
        <f t="shared" si="9"/>
        <v>0.19767329303692804</v>
      </c>
      <c r="N112" s="14">
        <v>1020</v>
      </c>
      <c r="O112" s="14">
        <v>34.366</v>
      </c>
      <c r="P112" s="14"/>
      <c r="Q112" s="14" cm="1">
        <f t="array" ref="Q112">G(N112,$O$3,$O$4,$U$5:$Y$5)</f>
        <v>39.36856134717079</v>
      </c>
      <c r="R112" s="14"/>
      <c r="S112" s="14">
        <f t="shared" si="10"/>
        <v>5.0025613471707899</v>
      </c>
    </row>
    <row r="113" spans="1:19" x14ac:dyDescent="0.25">
      <c r="A113" s="14">
        <v>1030</v>
      </c>
      <c r="B113" s="14">
        <v>36.119599999999998</v>
      </c>
      <c r="C113" s="14"/>
      <c r="D113" s="14" cm="1">
        <f t="array" ref="D113">G(A113,$B$3,$B$4,H$5:L$5)</f>
        <v>35.952178093035265</v>
      </c>
      <c r="E113" s="14"/>
      <c r="F113" s="14">
        <f t="shared" si="9"/>
        <v>-0.16742190696473358</v>
      </c>
      <c r="N113" s="14">
        <v>1030</v>
      </c>
      <c r="O113" s="14">
        <v>34.218000000000004</v>
      </c>
      <c r="P113" s="14"/>
      <c r="Q113" s="14" cm="1">
        <f t="array" ref="Q113">G(N113,$O$3,$O$4,$U$5:$Y$5)</f>
        <v>39.209976179373847</v>
      </c>
      <c r="R113" s="14"/>
      <c r="S113" s="14">
        <f t="shared" si="10"/>
        <v>4.9919761793738431</v>
      </c>
    </row>
    <row r="114" spans="1:19" x14ac:dyDescent="0.25">
      <c r="A114" s="14">
        <v>1040</v>
      </c>
      <c r="B114" s="14">
        <v>35.710900000000002</v>
      </c>
      <c r="C114" s="14"/>
      <c r="D114" s="14" cm="1">
        <f t="array" ref="D114">G(A114,$B$3,$B$4,H$5:L$5)</f>
        <v>35.874321966786177</v>
      </c>
      <c r="E114" s="14"/>
      <c r="F114" s="14">
        <f t="shared" si="9"/>
        <v>0.16342196678617427</v>
      </c>
      <c r="N114" s="14">
        <v>1040</v>
      </c>
      <c r="O114" s="14">
        <v>34.597700000000003</v>
      </c>
      <c r="P114" s="14"/>
      <c r="Q114" s="14" cm="1">
        <f t="array" ref="Q114">G(N114,$O$3,$O$4,$U$5:$Y$5)</f>
        <v>39.051386128459889</v>
      </c>
      <c r="R114" s="14"/>
      <c r="S114" s="14">
        <f t="shared" si="10"/>
        <v>4.4536861284598857</v>
      </c>
    </row>
    <row r="115" spans="1:19" x14ac:dyDescent="0.25">
      <c r="A115" s="14">
        <v>1050</v>
      </c>
      <c r="B115" s="14">
        <v>35.773699999999998</v>
      </c>
      <c r="C115" s="14"/>
      <c r="D115" s="14" cm="1">
        <f t="array" ref="D115">G(A115,$B$3,$B$4,H$5:L$5)</f>
        <v>35.79718920140968</v>
      </c>
      <c r="E115" s="14"/>
      <c r="F115" s="14">
        <f t="shared" si="9"/>
        <v>2.3489201409681471E-2</v>
      </c>
      <c r="N115" s="14">
        <v>1050</v>
      </c>
      <c r="O115" s="14">
        <v>34.429699999999997</v>
      </c>
      <c r="P115" s="14"/>
      <c r="Q115" s="14" cm="1">
        <f t="array" ref="Q115">G(N115,$O$3,$O$4,$U$5:$Y$5)</f>
        <v>38.892794287524815</v>
      </c>
      <c r="R115" s="14"/>
      <c r="S115" s="14">
        <f t="shared" si="10"/>
        <v>4.4630942875248181</v>
      </c>
    </row>
    <row r="116" spans="1:19" x14ac:dyDescent="0.25">
      <c r="A116" s="14">
        <v>1060</v>
      </c>
      <c r="B116" s="14">
        <v>35.8187</v>
      </c>
      <c r="C116" s="14"/>
      <c r="D116" s="14" cm="1">
        <f t="array" ref="D116">G(A116,$B$3,$B$4,H$5:L$5)</f>
        <v>35.720764585027638</v>
      </c>
      <c r="E116" s="14"/>
      <c r="F116" s="14">
        <f t="shared" si="9"/>
        <v>-9.7935414972361912E-2</v>
      </c>
      <c r="N116" s="14">
        <v>1060</v>
      </c>
      <c r="O116" s="14">
        <v>33.842399999999998</v>
      </c>
      <c r="P116" s="14"/>
      <c r="Q116" s="14" cm="1">
        <f t="array" ref="Q116">G(N116,$O$3,$O$4,$U$5:$Y$5)</f>
        <v>38.734203289307018</v>
      </c>
      <c r="R116" s="14"/>
      <c r="S116" s="14">
        <f t="shared" si="10"/>
        <v>4.8918032893070205</v>
      </c>
    </row>
    <row r="117" spans="1:19" x14ac:dyDescent="0.25">
      <c r="A117" s="14">
        <v>1070</v>
      </c>
      <c r="B117" s="14">
        <v>35.929299999999998</v>
      </c>
      <c r="C117" s="14"/>
      <c r="D117" s="14" cm="1">
        <f t="array" ref="D117">G(A117,$B$3,$B$4,H$5:L$5)</f>
        <v>35.645033385578351</v>
      </c>
      <c r="E117" s="14"/>
      <c r="F117" s="14">
        <f t="shared" si="9"/>
        <v>-0.28426661442164658</v>
      </c>
      <c r="N117" s="14">
        <v>1070</v>
      </c>
      <c r="O117" s="14">
        <v>34.313200000000002</v>
      </c>
      <c r="P117" s="14"/>
      <c r="Q117" s="14" cm="1">
        <f t="array" ref="Q117">G(N117,$O$3,$O$4,$U$5:$Y$5)</f>
        <v>38.575615331564215</v>
      </c>
      <c r="R117" s="14"/>
      <c r="S117" s="14">
        <f t="shared" si="10"/>
        <v>4.2624153315642133</v>
      </c>
    </row>
    <row r="118" spans="1:19" x14ac:dyDescent="0.25">
      <c r="A118" s="14">
        <v>1080</v>
      </c>
      <c r="B118" s="14">
        <v>35.980699999999999</v>
      </c>
      <c r="C118" s="14"/>
      <c r="D118" s="14" cm="1">
        <f t="array" ref="D118">G(A118,$B$3,$B$4,H$5:L$5)</f>
        <v>35.569981330740767</v>
      </c>
      <c r="E118" s="14"/>
      <c r="F118" s="14">
        <f t="shared" si="9"/>
        <v>-0.41071866925923217</v>
      </c>
      <c r="N118" s="14">
        <v>1080</v>
      </c>
      <c r="O118" s="14">
        <v>34.108699999999999</v>
      </c>
      <c r="P118" s="14"/>
      <c r="Q118" s="14" cm="1">
        <f t="array" ref="Q118">G(N118,$O$3,$O$4,$U$5:$Y$5)</f>
        <v>38.417032200727782</v>
      </c>
      <c r="R118" s="14"/>
      <c r="S118" s="14">
        <f t="shared" si="10"/>
        <v>4.3083322007277829</v>
      </c>
    </row>
    <row r="119" spans="1:19" x14ac:dyDescent="0.25">
      <c r="A119" s="14">
        <v>1090</v>
      </c>
      <c r="B119" s="14">
        <v>35.959899999999998</v>
      </c>
      <c r="C119" s="14"/>
      <c r="D119" s="14" cm="1">
        <f t="array" ref="D119">G(A119,$B$3,$B$4,H$5:L$5)</f>
        <v>35.495594588899188</v>
      </c>
      <c r="E119" s="14"/>
      <c r="F119" s="14">
        <f t="shared" si="9"/>
        <v>-0.46430541110080981</v>
      </c>
      <c r="N119" s="14">
        <v>1090</v>
      </c>
      <c r="O119" s="14">
        <v>34.276899999999998</v>
      </c>
      <c r="P119" s="14"/>
      <c r="Q119" s="14" cm="1">
        <f t="array" ref="Q119">G(N119,$O$3,$O$4,$U$5:$Y$5)</f>
        <v>38.258455293957056</v>
      </c>
      <c r="R119" s="14"/>
      <c r="S119" s="14">
        <f>Q119-O119</f>
        <v>3.981555293957058</v>
      </c>
    </row>
    <row r="120" spans="1:19" x14ac:dyDescent="0.25">
      <c r="A120" s="14">
        <v>1100</v>
      </c>
      <c r="B120" s="14">
        <v>36.000700000000002</v>
      </c>
      <c r="C120" s="14"/>
      <c r="D120" s="14" cm="1">
        <f t="array" ref="D120">G(A120,$B$3,$B$4,H$5:L$5)</f>
        <v>35.421859751085165</v>
      </c>
      <c r="E120" s="14"/>
      <c r="F120" s="14">
        <f t="shared" si="9"/>
        <v>-0.57884024891483676</v>
      </c>
      <c r="N120" s="14">
        <v>1100</v>
      </c>
      <c r="O120" s="14">
        <v>33.679499999999997</v>
      </c>
      <c r="P120" s="14"/>
      <c r="Q120" s="14" cm="1">
        <f t="array" ref="Q120">G(N120,$O$3,$O$4,$U$5:$Y$5)</f>
        <v>38.099885639705285</v>
      </c>
      <c r="R120" s="14"/>
      <c r="S120" s="14">
        <f>Q120-O120</f>
        <v>4.4203856397052874</v>
      </c>
    </row>
    <row r="121" spans="1:19" x14ac:dyDescent="0.25">
      <c r="A121" s="14">
        <v>1110</v>
      </c>
      <c r="B121" s="14">
        <v>35.874299999999998</v>
      </c>
      <c r="C121" s="14"/>
      <c r="D121" s="14" cm="1">
        <f t="array" ref="D121">G(A121,$B$3,$B$4,H$5:L$5)</f>
        <v>35.348763813835923</v>
      </c>
      <c r="E121" s="14"/>
      <c r="F121" s="14">
        <f t="shared" si="9"/>
        <v>-0.52553618616407505</v>
      </c>
      <c r="N121" s="14">
        <v>1110</v>
      </c>
      <c r="O121" s="14">
        <v>34.209699999999998</v>
      </c>
      <c r="P121" s="14"/>
      <c r="Q121" s="14" cm="1">
        <f t="array" ref="Q121">G(N121,$O$3,$O$4,$U$5:$Y$5)</f>
        <v>37.941323916898931</v>
      </c>
      <c r="R121" s="14"/>
      <c r="S121" s="14">
        <f>Q121-O121</f>
        <v>3.7316239168989327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ED8A6-2576-4B73-A923-B126B6CADA47}">
  <sheetPr codeName="Arkusz19"/>
  <dimension ref="A1:AL48"/>
  <sheetViews>
    <sheetView zoomScale="85" zoomScaleNormal="85" workbookViewId="0">
      <selection activeCell="AJ26" sqref="AJ26"/>
    </sheetView>
  </sheetViews>
  <sheetFormatPr defaultRowHeight="15" x14ac:dyDescent="0.25"/>
  <cols>
    <col min="1" max="1" width="12.140625" bestFit="1" customWidth="1"/>
    <col min="2" max="2" width="14.7109375" bestFit="1" customWidth="1"/>
    <col min="3" max="3" width="10.7109375" bestFit="1" customWidth="1"/>
    <col min="4" max="4" width="21.7109375" bestFit="1" customWidth="1"/>
    <col min="5" max="5" width="21.7109375" customWidth="1"/>
    <col min="6" max="6" width="8.7109375" customWidth="1"/>
    <col min="7" max="7" width="33.140625" bestFit="1" customWidth="1"/>
    <col min="14" max="14" width="12.140625" bestFit="1" customWidth="1"/>
    <col min="15" max="15" width="14.7109375" bestFit="1" customWidth="1"/>
    <col min="16" max="16" width="10.7109375" bestFit="1" customWidth="1"/>
    <col min="17" max="17" width="21.7109375" bestFit="1" customWidth="1"/>
    <col min="18" max="18" width="21.7109375" customWidth="1"/>
    <col min="19" max="19" width="8.7109375" customWidth="1"/>
    <col min="20" max="20" width="33.140625" bestFit="1" customWidth="1"/>
    <col min="27" max="27" width="12.140625" bestFit="1" customWidth="1"/>
    <col min="28" max="28" width="14.7109375" bestFit="1" customWidth="1"/>
    <col min="29" max="29" width="10.7109375" bestFit="1" customWidth="1"/>
    <col min="30" max="30" width="21.7109375" bestFit="1" customWidth="1"/>
    <col min="31" max="31" width="21.7109375" customWidth="1"/>
    <col min="32" max="32" width="8.7109375" customWidth="1"/>
    <col min="33" max="33" width="33.140625" bestFit="1" customWidth="1"/>
  </cols>
  <sheetData>
    <row r="1" spans="1:38" x14ac:dyDescent="0.25">
      <c r="C1" s="2" t="s">
        <v>40</v>
      </c>
      <c r="D1" s="2" t="s">
        <v>41</v>
      </c>
      <c r="H1" s="2" t="s">
        <v>42</v>
      </c>
      <c r="I1" s="2" t="s">
        <v>43</v>
      </c>
      <c r="J1" s="2" t="s">
        <v>15</v>
      </c>
      <c r="K1" s="2" t="s">
        <v>44</v>
      </c>
      <c r="L1" s="2" t="s">
        <v>45</v>
      </c>
      <c r="P1" s="2" t="s">
        <v>40</v>
      </c>
      <c r="Q1" s="2" t="s">
        <v>41</v>
      </c>
      <c r="U1" s="2" t="s">
        <v>42</v>
      </c>
      <c r="V1" s="2" t="s">
        <v>43</v>
      </c>
      <c r="W1" s="2" t="s">
        <v>15</v>
      </c>
      <c r="X1" s="2" t="s">
        <v>44</v>
      </c>
      <c r="Y1" s="2" t="s">
        <v>45</v>
      </c>
      <c r="AC1" s="2" t="s">
        <v>40</v>
      </c>
      <c r="AD1" s="2" t="s">
        <v>41</v>
      </c>
      <c r="AH1" s="2" t="s">
        <v>42</v>
      </c>
      <c r="AI1" s="2" t="s">
        <v>43</v>
      </c>
      <c r="AJ1" s="2" t="s">
        <v>15</v>
      </c>
      <c r="AK1" s="2" t="s">
        <v>44</v>
      </c>
      <c r="AL1" s="2" t="s">
        <v>45</v>
      </c>
    </row>
    <row r="2" spans="1:38" x14ac:dyDescent="0.25">
      <c r="B2" s="46">
        <v>45385</v>
      </c>
      <c r="C2" s="77">
        <f>_xlfn.XLOOKUP(B2,AMZN[Date],AMZN[Close])</f>
        <v>182.41000399999999</v>
      </c>
      <c r="D2" s="14">
        <f>_xlfn.XLOOKUP(E2,'IR interpolation'!$G:$G,'IR interpolation'!$I:$I)</f>
        <v>2.0862820374417092E-2</v>
      </c>
      <c r="E2" s="46">
        <v>46122</v>
      </c>
      <c r="G2" s="2" t="s">
        <v>46</v>
      </c>
      <c r="H2" s="54">
        <f t="array" ref="H2:L2">initialParamsVola(B3,B4,A9:A48,B9:B48)</f>
        <v>2235.8344825005784</v>
      </c>
      <c r="I2" s="54">
        <v>2363.1289169053348</v>
      </c>
      <c r="J2" s="54">
        <v>-9.7106667456315451E-2</v>
      </c>
      <c r="K2" s="54">
        <v>-0.32848209804939571</v>
      </c>
      <c r="L2" s="54">
        <v>-0.2468512348876877</v>
      </c>
      <c r="O2" s="46">
        <v>45351</v>
      </c>
      <c r="P2" s="77">
        <f>_xlfn.XLOOKUP(O2,AMZN[Date],AMZN[Close])</f>
        <v>176.759995</v>
      </c>
      <c r="Q2" s="14">
        <f>_xlfn.XLOOKUP(R2,'IR interpolation'!$G:$G,'IR interpolation'!$F:$F)</f>
        <v>2.0567980459693956E-2</v>
      </c>
      <c r="R2" s="46">
        <v>46122</v>
      </c>
      <c r="T2" s="2" t="s">
        <v>46</v>
      </c>
      <c r="U2" s="54">
        <f t="array" ref="U2:Y2">initialParamsVola(O3,O4,N9:N48,O9:O48)</f>
        <v>1939.8059030918121</v>
      </c>
      <c r="V2" s="54">
        <v>851.11383615477394</v>
      </c>
      <c r="W2" s="54">
        <v>-0.48735317514719195</v>
      </c>
      <c r="X2" s="54">
        <v>-0.34455705542691828</v>
      </c>
      <c r="Y2" s="54">
        <v>0.34999579949775661</v>
      </c>
      <c r="AB2" s="46">
        <v>45291</v>
      </c>
      <c r="AC2" s="77">
        <f>_xlfn.XLOOKUP(AB2,AMZN[Date],AMZN[Close],,1)</f>
        <v>149.929993</v>
      </c>
      <c r="AD2" s="14">
        <f>_xlfn.XLOOKUP(AE2,'IR interpolation'!$G:$G,'IR interpolation'!$C:$C)</f>
        <v>1.8733290812456109E-2</v>
      </c>
      <c r="AE2" s="46">
        <v>46122</v>
      </c>
      <c r="AG2" s="2" t="s">
        <v>46</v>
      </c>
      <c r="AH2" s="54">
        <f t="array" ref="AH2:AL2">initialParamsVola(AB3,AB4,AA9:AA38,AB9:AB38)</f>
        <v>1436.551308472483</v>
      </c>
      <c r="AI2" s="54">
        <v>2137.103221591799</v>
      </c>
      <c r="AJ2" s="54">
        <v>3.8604716147610831E-2</v>
      </c>
      <c r="AK2" s="54">
        <v>0.1673207516373301</v>
      </c>
      <c r="AL2" s="54">
        <v>0.31912015686429029</v>
      </c>
    </row>
    <row r="3" spans="1:38" x14ac:dyDescent="0.25">
      <c r="A3" s="2" t="s">
        <v>47</v>
      </c>
      <c r="B3" s="14">
        <f>C3*EXP(D2*B4)</f>
        <v>190.82464353901213</v>
      </c>
      <c r="C3" s="77">
        <v>182.41000399999999</v>
      </c>
      <c r="G3" s="2" t="s">
        <v>48</v>
      </c>
      <c r="H3" s="54">
        <f>H2</f>
        <v>2235.8344825005784</v>
      </c>
      <c r="I3" s="54">
        <f>I2</f>
        <v>2363.1289169053348</v>
      </c>
      <c r="J3" s="54">
        <f>J2</f>
        <v>-9.7106667456315451E-2</v>
      </c>
      <c r="K3" s="54">
        <f>K2</f>
        <v>-0.32848209804939571</v>
      </c>
      <c r="L3" s="54">
        <f>L2</f>
        <v>-0.2468512348876877</v>
      </c>
      <c r="N3" s="2" t="s">
        <v>47</v>
      </c>
      <c r="O3" s="14">
        <f>P3*EXP(Q2*O4)</f>
        <v>183.58182414862051</v>
      </c>
      <c r="P3" s="77">
        <v>176.759995</v>
      </c>
      <c r="T3" s="2" t="s">
        <v>48</v>
      </c>
      <c r="U3" s="54">
        <f>U2</f>
        <v>1939.8059030918121</v>
      </c>
      <c r="V3" s="54">
        <f>V2</f>
        <v>851.11383615477394</v>
      </c>
      <c r="W3" s="54">
        <f>W2</f>
        <v>-0.48735317514719195</v>
      </c>
      <c r="X3" s="54">
        <f>X2</f>
        <v>-0.34455705542691828</v>
      </c>
      <c r="Y3" s="54">
        <f>Y2</f>
        <v>0.34999579949775661</v>
      </c>
      <c r="AA3" s="2" t="s">
        <v>47</v>
      </c>
      <c r="AB3" s="14">
        <f>AC3*EXP(AD2*AB4)</f>
        <v>155.66989407661771</v>
      </c>
      <c r="AC3" s="77">
        <v>149.929993</v>
      </c>
      <c r="AG3" s="2" t="s">
        <v>48</v>
      </c>
      <c r="AH3" s="54">
        <f>AH2</f>
        <v>1436.551308472483</v>
      </c>
      <c r="AI3" s="54">
        <f>AI2</f>
        <v>2137.103221591799</v>
      </c>
      <c r="AJ3" s="54">
        <f>AJ2</f>
        <v>3.8604716147610831E-2</v>
      </c>
      <c r="AK3" s="54">
        <f>AK2</f>
        <v>0.1673207516373301</v>
      </c>
      <c r="AL3" s="54">
        <f>AL2</f>
        <v>0.31912015686429029</v>
      </c>
    </row>
    <row r="4" spans="1:38" x14ac:dyDescent="0.25">
      <c r="A4" s="2" t="s">
        <v>49</v>
      </c>
      <c r="B4" s="14">
        <f>YEARFRAC(B5,B2,3)</f>
        <v>2.1616438356164385</v>
      </c>
      <c r="N4" s="2" t="s">
        <v>49</v>
      </c>
      <c r="O4" s="14">
        <f>YEARFRAC(O5,O2,3)</f>
        <v>1.8410958904109589</v>
      </c>
      <c r="AA4" s="2" t="s">
        <v>49</v>
      </c>
      <c r="AB4" s="14">
        <f>YEARFRAC(AB5,AB2,3)</f>
        <v>2.0054794520547947</v>
      </c>
    </row>
    <row r="5" spans="1:38" x14ac:dyDescent="0.25">
      <c r="B5" s="46">
        <v>46174</v>
      </c>
      <c r="G5" s="2" t="s">
        <v>50</v>
      </c>
      <c r="H5" s="54">
        <f t="array" ref="H5:L5">fitGatheralVola(B3,B4,A9:A48,B9:B48,H3:L3)</f>
        <v>2073.7703199628813</v>
      </c>
      <c r="I5" s="54">
        <v>883.6703664332216</v>
      </c>
      <c r="J5" s="54">
        <v>-0.45089637400019217</v>
      </c>
      <c r="K5" s="54">
        <v>-1.6354199503307543</v>
      </c>
      <c r="L5" s="54">
        <v>-3.0604829813676553E-2</v>
      </c>
      <c r="O5" s="46">
        <v>46023</v>
      </c>
      <c r="T5" s="2" t="s">
        <v>50</v>
      </c>
      <c r="U5" s="54">
        <f t="array" ref="U5:Y5">fitGatheralVola(O3,O4,N9:N48,O9:O48,U3:Y3)</f>
        <v>832.68165375061039</v>
      </c>
      <c r="V5" s="54">
        <v>1311.6378299134851</v>
      </c>
      <c r="W5" s="54">
        <v>-0.8248013809660798</v>
      </c>
      <c r="X5" s="54">
        <v>-0.86107003356826217</v>
      </c>
      <c r="Y5" s="54">
        <v>-0.11418277178083899</v>
      </c>
      <c r="AB5" s="46">
        <v>46023</v>
      </c>
      <c r="AG5" s="2" t="s">
        <v>50</v>
      </c>
      <c r="AH5" s="54">
        <f t="array" ref="AH5:AL5">fitGatheralVola(AB3,AB4,AA9:AA38,AB9:AB38,AH3:AL3)</f>
        <v>1500.9348739776483</v>
      </c>
      <c r="AI5" s="54">
        <v>2609.3002450963645</v>
      </c>
      <c r="AJ5" s="54">
        <v>1.6733092216647521E-2</v>
      </c>
      <c r="AK5" s="54">
        <v>0.39051908937792318</v>
      </c>
      <c r="AL5" s="54">
        <v>0.36253882311913371</v>
      </c>
    </row>
    <row r="7" spans="1:38" x14ac:dyDescent="0.25">
      <c r="F7" s="2">
        <f>SQRT(SUMPRODUCT(F9:F128,F9:F128))</f>
        <v>2.1682056323436663</v>
      </c>
      <c r="S7" s="2">
        <f>SQRT(SUMPRODUCT(S9:S128,S9:S128))</f>
        <v>2.0454041075813523</v>
      </c>
      <c r="AF7" s="2">
        <f>SQRT(SUMPRODUCT(AF9:AF128,AF9:AF128))</f>
        <v>0.93608746887709215</v>
      </c>
    </row>
    <row r="8" spans="1:38" x14ac:dyDescent="0.25">
      <c r="A8" s="2" t="s">
        <v>51</v>
      </c>
      <c r="B8" s="2" t="s">
        <v>52</v>
      </c>
      <c r="C8" s="2"/>
      <c r="D8" s="2" t="s">
        <v>53</v>
      </c>
      <c r="E8" s="2"/>
      <c r="F8" s="2" t="s">
        <v>54</v>
      </c>
      <c r="N8" s="2" t="s">
        <v>51</v>
      </c>
      <c r="O8" s="2" t="s">
        <v>52</v>
      </c>
      <c r="P8" s="2"/>
      <c r="Q8" s="2" t="s">
        <v>53</v>
      </c>
      <c r="R8" s="2"/>
      <c r="S8" s="2" t="s">
        <v>54</v>
      </c>
      <c r="AA8" s="2" t="s">
        <v>51</v>
      </c>
      <c r="AB8" s="2" t="s">
        <v>52</v>
      </c>
      <c r="AC8" s="2"/>
      <c r="AD8" s="2" t="s">
        <v>53</v>
      </c>
      <c r="AE8" s="2"/>
      <c r="AF8" s="2" t="s">
        <v>54</v>
      </c>
    </row>
    <row r="9" spans="1:38" x14ac:dyDescent="0.25">
      <c r="A9" s="14">
        <v>75</v>
      </c>
      <c r="B9" s="14">
        <v>45.078600000000002</v>
      </c>
      <c r="C9" s="14"/>
      <c r="D9" s="14" cm="1">
        <f t="array" ref="D9">G(A9,$B$3,$B$4,H$5:L$5)</f>
        <v>44.451388487513206</v>
      </c>
      <c r="E9" s="14"/>
      <c r="F9" s="14">
        <f t="shared" ref="F9:F48" si="0">D9-B9</f>
        <v>-0.62721151248679519</v>
      </c>
      <c r="N9" s="14">
        <v>65</v>
      </c>
      <c r="O9" s="14">
        <v>43.778100000000002</v>
      </c>
      <c r="P9" s="14"/>
      <c r="Q9" s="14" cm="1">
        <f t="array" ref="Q9">G(N9,$O$3,$O$4,$U$5:$Y$5)</f>
        <v>43.607249648788738</v>
      </c>
      <c r="R9" s="14"/>
      <c r="S9" s="14">
        <f t="shared" ref="S9:S46" si="1">Q9-O9</f>
        <v>-0.17085035121126424</v>
      </c>
      <c r="AA9" s="14">
        <v>85</v>
      </c>
      <c r="AB9" s="14">
        <v>39.196800000000003</v>
      </c>
      <c r="AC9" s="14"/>
      <c r="AD9" s="14" cm="1">
        <f t="array" ref="AD9">G(AA9,$AB$3,$AB$4,AH$5:AL$5)</f>
        <v>38.934807735297163</v>
      </c>
      <c r="AE9" s="14"/>
      <c r="AF9" s="14">
        <f t="shared" ref="AF9:AF38" si="2">AD9-AB9</f>
        <v>-0.26199226470284032</v>
      </c>
    </row>
    <row r="10" spans="1:38" x14ac:dyDescent="0.25">
      <c r="A10" s="14">
        <v>80</v>
      </c>
      <c r="B10" s="14">
        <v>44.026699999999998</v>
      </c>
      <c r="C10" s="14"/>
      <c r="D10" s="14" cm="1">
        <f t="array" ref="D10">G(A10,$B$3,$B$4,H$5:L$5)</f>
        <v>43.69612732871709</v>
      </c>
      <c r="E10" s="14"/>
      <c r="F10" s="14">
        <f t="shared" si="0"/>
        <v>-0.33057267128290846</v>
      </c>
      <c r="N10" s="14">
        <v>70</v>
      </c>
      <c r="O10" s="14">
        <v>43.248800000000003</v>
      </c>
      <c r="P10" s="14"/>
      <c r="Q10" s="14" cm="1">
        <f t="array" ref="Q10">G(N10,$O$3,$O$4,$U$5:$Y$5)</f>
        <v>42.63185626768054</v>
      </c>
      <c r="R10" s="14"/>
      <c r="S10" s="14">
        <f t="shared" si="1"/>
        <v>-0.61694373231946287</v>
      </c>
      <c r="AA10" s="14">
        <v>90</v>
      </c>
      <c r="AB10" s="14">
        <v>38.544400000000003</v>
      </c>
      <c r="AC10" s="14"/>
      <c r="AD10" s="14" cm="1">
        <f t="array" ref="AD10">G(AA10,$AB$3,$AB$4,AH$5:AL$5)</f>
        <v>38.348470659700872</v>
      </c>
      <c r="AE10" s="14"/>
      <c r="AF10" s="14">
        <f t="shared" si="2"/>
        <v>-0.19592934029913067</v>
      </c>
    </row>
    <row r="11" spans="1:38" x14ac:dyDescent="0.25">
      <c r="A11" s="14">
        <v>85</v>
      </c>
      <c r="B11" s="14">
        <v>43.281100000000002</v>
      </c>
      <c r="C11" s="14"/>
      <c r="D11" s="14" cm="1">
        <f t="array" ref="D11">G(A11,$B$3,$B$4,H$5:L$5)</f>
        <v>42.978826292979114</v>
      </c>
      <c r="E11" s="14"/>
      <c r="F11" s="14">
        <f t="shared" si="0"/>
        <v>-0.30227370702088763</v>
      </c>
      <c r="N11" s="14">
        <v>75</v>
      </c>
      <c r="O11" s="14">
        <v>41.610599999999998</v>
      </c>
      <c r="P11" s="14"/>
      <c r="Q11" s="14" cm="1">
        <f t="array" ref="Q11">G(N11,$O$3,$O$4,$U$5:$Y$5)</f>
        <v>41.720519080593817</v>
      </c>
      <c r="R11" s="14"/>
      <c r="S11" s="14">
        <f t="shared" si="1"/>
        <v>0.10991908059381927</v>
      </c>
      <c r="AA11" s="14">
        <v>95</v>
      </c>
      <c r="AB11" s="14">
        <v>38.147300000000001</v>
      </c>
      <c r="AC11" s="14"/>
      <c r="AD11" s="14" cm="1">
        <f t="array" ref="AD11">G(AA11,$AB$3,$AB$4,AH$5:AL$5)</f>
        <v>37.785489774039242</v>
      </c>
      <c r="AE11" s="14"/>
      <c r="AF11" s="14">
        <f t="shared" si="2"/>
        <v>-0.36181022596075962</v>
      </c>
    </row>
    <row r="12" spans="1:38" x14ac:dyDescent="0.25">
      <c r="A12" s="14">
        <v>90</v>
      </c>
      <c r="B12" s="14">
        <v>42.395099999999999</v>
      </c>
      <c r="C12" s="14"/>
      <c r="D12" s="14" cm="1">
        <f t="array" ref="D12">G(A12,$B$3,$B$4,H$5:L$5)</f>
        <v>42.295941436529411</v>
      </c>
      <c r="E12" s="14"/>
      <c r="F12" s="14">
        <f t="shared" si="0"/>
        <v>-9.915856347058849E-2</v>
      </c>
      <c r="N12" s="14">
        <v>80</v>
      </c>
      <c r="O12" s="14">
        <v>41.087899999999998</v>
      </c>
      <c r="P12" s="14"/>
      <c r="Q12" s="14" cm="1">
        <f t="array" ref="Q12">G(N12,$O$3,$O$4,$U$5:$Y$5)</f>
        <v>40.867030619202147</v>
      </c>
      <c r="R12" s="14"/>
      <c r="S12" s="14">
        <f t="shared" si="1"/>
        <v>-0.22086938079785057</v>
      </c>
      <c r="AA12" s="14">
        <v>100</v>
      </c>
      <c r="AB12" s="14">
        <v>37.389299999999999</v>
      </c>
      <c r="AC12" s="14"/>
      <c r="AD12" s="14" cm="1">
        <f t="array" ref="AD12">G(AA12,$AB$3,$AB$4,AH$5:AL$5)</f>
        <v>37.243548161946933</v>
      </c>
      <c r="AE12" s="14"/>
      <c r="AF12" s="14">
        <f t="shared" si="2"/>
        <v>-0.1457518380530658</v>
      </c>
    </row>
    <row r="13" spans="1:38" x14ac:dyDescent="0.25">
      <c r="A13" s="14">
        <v>95</v>
      </c>
      <c r="B13" s="14">
        <v>41.375100000000003</v>
      </c>
      <c r="C13" s="14"/>
      <c r="D13" s="14" cm="1">
        <f t="array" ref="D13">G(A13,$B$3,$B$4,H$5:L$5)</f>
        <v>41.644560689277753</v>
      </c>
      <c r="E13" s="14"/>
      <c r="F13" s="14">
        <f t="shared" si="0"/>
        <v>0.26946068927775002</v>
      </c>
      <c r="N13" s="14">
        <v>85</v>
      </c>
      <c r="O13" s="14">
        <v>39.8172</v>
      </c>
      <c r="P13" s="14"/>
      <c r="Q13" s="14" cm="1">
        <f t="array" ref="Q13">G(N13,$O$3,$O$4,$U$5:$Y$5)</f>
        <v>40.066313076389321</v>
      </c>
      <c r="R13" s="14"/>
      <c r="S13" s="14">
        <f t="shared" si="1"/>
        <v>0.24911307638932101</v>
      </c>
      <c r="AA13" s="14">
        <v>105</v>
      </c>
      <c r="AB13" s="14">
        <v>36.582500000000003</v>
      </c>
      <c r="AC13" s="14"/>
      <c r="AD13" s="14" cm="1">
        <f t="array" ref="AD13">G(AA13,$AB$3,$AB$4,AH$5:AL$5)</f>
        <v>36.720655148744093</v>
      </c>
      <c r="AE13" s="14"/>
      <c r="AF13" s="14">
        <f t="shared" si="2"/>
        <v>0.13815514874409018</v>
      </c>
    </row>
    <row r="14" spans="1:38" x14ac:dyDescent="0.25">
      <c r="A14" s="14">
        <v>100</v>
      </c>
      <c r="B14" s="14">
        <v>40.134500000000003</v>
      </c>
      <c r="C14" s="14"/>
      <c r="D14" s="14" cm="1">
        <f t="array" ref="D14">G(A14,$B$3,$B$4,H$5:L$5)</f>
        <v>41.022284514326415</v>
      </c>
      <c r="E14" s="14"/>
      <c r="F14" s="14">
        <f t="shared" si="0"/>
        <v>0.88778451432641248</v>
      </c>
      <c r="N14" s="14">
        <v>90</v>
      </c>
      <c r="O14" s="14">
        <v>38.9955</v>
      </c>
      <c r="P14" s="14"/>
      <c r="Q14" s="14" cm="1">
        <f t="array" ref="Q14">G(N14,$O$3,$O$4,$U$5:$Y$5)</f>
        <v>39.314149341745264</v>
      </c>
      <c r="R14" s="14"/>
      <c r="S14" s="14">
        <f t="shared" si="1"/>
        <v>0.31864934174526383</v>
      </c>
      <c r="AA14" s="14">
        <v>110</v>
      </c>
      <c r="AB14" s="14">
        <v>36.205199999999998</v>
      </c>
      <c r="AC14" s="14"/>
      <c r="AD14" s="14" cm="1">
        <f t="array" ref="AD14">G(AA14,$AB$3,$AB$4,AH$5:AL$5)</f>
        <v>36.215087126232191</v>
      </c>
      <c r="AE14" s="14"/>
      <c r="AF14" s="14">
        <f t="shared" si="2"/>
        <v>9.887126232193566E-3</v>
      </c>
    </row>
    <row r="15" spans="1:38" x14ac:dyDescent="0.25">
      <c r="A15" s="14">
        <v>105</v>
      </c>
      <c r="B15" s="14">
        <v>40.2209</v>
      </c>
      <c r="C15" s="14"/>
      <c r="D15" s="14" cm="1">
        <f t="array" ref="D15">G(A15,$B$3,$B$4,H$5:L$5)</f>
        <v>40.427134682627432</v>
      </c>
      <c r="E15" s="14"/>
      <c r="F15" s="14">
        <f t="shared" si="0"/>
        <v>0.20623468262743216</v>
      </c>
      <c r="N15" s="14">
        <v>95</v>
      </c>
      <c r="O15" s="14">
        <v>38.315899999999999</v>
      </c>
      <c r="P15" s="14"/>
      <c r="Q15" s="14" cm="1">
        <f t="array" ref="Q15">G(N15,$O$3,$O$4,$U$5:$Y$5)</f>
        <v>38.606983309112422</v>
      </c>
      <c r="R15" s="14"/>
      <c r="S15" s="14">
        <f t="shared" si="1"/>
        <v>0.29108330911242319</v>
      </c>
      <c r="AA15" s="14">
        <v>115</v>
      </c>
      <c r="AB15" s="14">
        <v>35.771099999999997</v>
      </c>
      <c r="AC15" s="14"/>
      <c r="AD15" s="14" cm="1">
        <f t="array" ref="AD15">G(AA15,$AB$3,$AB$4,AH$5:AL$5)</f>
        <v>35.725341326948737</v>
      </c>
      <c r="AE15" s="14"/>
      <c r="AF15" s="14">
        <f t="shared" si="2"/>
        <v>-4.5758673051260246E-2</v>
      </c>
    </row>
    <row r="16" spans="1:38" x14ac:dyDescent="0.25">
      <c r="A16" s="14">
        <v>110</v>
      </c>
      <c r="B16" s="14">
        <v>40.166200000000003</v>
      </c>
      <c r="C16" s="14"/>
      <c r="D16" s="14" cm="1">
        <f t="array" ref="D16">G(A16,$B$3,$B$4,H$5:L$5)</f>
        <v>39.857482888000625</v>
      </c>
      <c r="E16" s="14"/>
      <c r="F16" s="14">
        <f t="shared" si="0"/>
        <v>-0.30871711199937835</v>
      </c>
      <c r="N16" s="14">
        <v>100</v>
      </c>
      <c r="O16" s="14">
        <v>37.881799999999998</v>
      </c>
      <c r="P16" s="14"/>
      <c r="Q16" s="14" cm="1">
        <f t="array" ref="Q16">G(N16,$O$3,$O$4,$U$5:$Y$5)</f>
        <v>37.941768958587822</v>
      </c>
      <c r="R16" s="14"/>
      <c r="S16" s="14">
        <f t="shared" si="1"/>
        <v>5.9968958587823806E-2</v>
      </c>
      <c r="AA16" s="14">
        <v>120</v>
      </c>
      <c r="AB16" s="14">
        <v>35.068600000000004</v>
      </c>
      <c r="AC16" s="14"/>
      <c r="AD16" s="14" cm="1">
        <f t="array" ref="AD16">G(AA16,$AB$3,$AB$4,AH$5:AL$5)</f>
        <v>35.250099298066225</v>
      </c>
      <c r="AE16" s="14"/>
      <c r="AF16" s="14">
        <f t="shared" si="2"/>
        <v>0.18149929806622112</v>
      </c>
    </row>
    <row r="17" spans="1:32" x14ac:dyDescent="0.25">
      <c r="A17" s="14">
        <v>115</v>
      </c>
      <c r="B17" s="14">
        <v>38.587600000000002</v>
      </c>
      <c r="C17" s="14"/>
      <c r="D17" s="14" cm="1">
        <f t="array" ref="D17">G(A17,$B$3,$B$4,H$5:L$5)</f>
        <v>39.311993315622736</v>
      </c>
      <c r="E17" s="14"/>
      <c r="F17" s="14">
        <f t="shared" si="0"/>
        <v>0.72439331562273424</v>
      </c>
      <c r="N17" s="14">
        <v>105</v>
      </c>
      <c r="O17" s="14">
        <v>37.099499999999999</v>
      </c>
      <c r="P17" s="14"/>
      <c r="Q17" s="14" cm="1">
        <f t="array" ref="Q17">G(N17,$O$3,$O$4,$U$5:$Y$5)</f>
        <v>37.315854780041171</v>
      </c>
      <c r="R17" s="14"/>
      <c r="S17" s="14">
        <f t="shared" si="1"/>
        <v>0.21635478004117203</v>
      </c>
      <c r="AA17" s="14">
        <v>125</v>
      </c>
      <c r="AB17" s="14">
        <v>34.571800000000003</v>
      </c>
      <c r="AC17" s="14"/>
      <c r="AD17" s="14" cm="1">
        <f t="array" ref="AD17">G(AA17,$AB$3,$AB$4,AH$5:AL$5)</f>
        <v>34.788197747931306</v>
      </c>
      <c r="AE17" s="14"/>
      <c r="AF17" s="14">
        <f t="shared" si="2"/>
        <v>0.21639774793130329</v>
      </c>
    </row>
    <row r="18" spans="1:32" x14ac:dyDescent="0.25">
      <c r="A18" s="14">
        <v>120</v>
      </c>
      <c r="B18" s="14">
        <v>38.167700000000004</v>
      </c>
      <c r="C18" s="14"/>
      <c r="D18" s="14" cm="1">
        <f t="array" ref="D18">G(A18,$B$3,$B$4,H$5:L$5)</f>
        <v>38.789574857263432</v>
      </c>
      <c r="E18" s="14"/>
      <c r="F18" s="14">
        <f t="shared" si="0"/>
        <v>0.62187485726342828</v>
      </c>
      <c r="N18" s="14">
        <v>110</v>
      </c>
      <c r="O18" s="14">
        <v>36.533499999999997</v>
      </c>
      <c r="P18" s="14"/>
      <c r="Q18" s="14" cm="1">
        <f t="array" ref="Q18">G(N18,$O$3,$O$4,$U$5:$Y$5)</f>
        <v>36.726894529942093</v>
      </c>
      <c r="R18" s="14"/>
      <c r="S18" s="14">
        <f t="shared" si="1"/>
        <v>0.19339452994209694</v>
      </c>
      <c r="AA18" s="14">
        <v>130</v>
      </c>
      <c r="AB18" s="14">
        <v>34.298400000000001</v>
      </c>
      <c r="AC18" s="14"/>
      <c r="AD18" s="14" cm="1">
        <f t="array" ref="AD18">G(AA18,$AB$3,$AB$4,AH$5:AL$5)</f>
        <v>34.338605076193659</v>
      </c>
      <c r="AE18" s="14"/>
      <c r="AF18" s="14">
        <f t="shared" si="2"/>
        <v>4.0205076193657874E-2</v>
      </c>
    </row>
    <row r="19" spans="1:32" x14ac:dyDescent="0.25">
      <c r="A19" s="14">
        <v>125</v>
      </c>
      <c r="B19" s="14">
        <v>38.040399999999998</v>
      </c>
      <c r="C19" s="14"/>
      <c r="D19" s="14" cm="1">
        <f t="array" ref="D19">G(A19,$B$3,$B$4,H$5:L$5)</f>
        <v>38.28933975946746</v>
      </c>
      <c r="E19" s="14"/>
      <c r="F19" s="14">
        <f t="shared" si="0"/>
        <v>0.24893975946746139</v>
      </c>
      <c r="N19" s="14">
        <v>115</v>
      </c>
      <c r="O19" s="14">
        <v>36.265500000000003</v>
      </c>
      <c r="P19" s="14"/>
      <c r="Q19" s="14" cm="1">
        <f t="array" ref="Q19">G(N19,$O$3,$O$4,$U$5:$Y$5)</f>
        <v>36.172778131880001</v>
      </c>
      <c r="R19" s="14"/>
      <c r="S19" s="14">
        <f t="shared" si="1"/>
        <v>-9.2721868120001716E-2</v>
      </c>
      <c r="AA19" s="14">
        <v>135</v>
      </c>
      <c r="AB19" s="14">
        <v>33.81</v>
      </c>
      <c r="AC19" s="14"/>
      <c r="AD19" s="14" cm="1">
        <f t="array" ref="AD19">G(AA19,$AB$3,$AB$4,AH$5:AL$5)</f>
        <v>33.900402348726359</v>
      </c>
      <c r="AE19" s="14"/>
      <c r="AF19" s="14">
        <f t="shared" si="2"/>
        <v>9.0402348726357218E-2</v>
      </c>
    </row>
    <row r="20" spans="1:32" x14ac:dyDescent="0.25">
      <c r="A20" s="14">
        <v>130</v>
      </c>
      <c r="B20" s="14">
        <v>37.344000000000001</v>
      </c>
      <c r="C20" s="14"/>
      <c r="D20" s="14" cm="1">
        <f t="array" ref="D20">G(A20,$B$3,$B$4,H$5:L$5)</f>
        <v>37.810566304888475</v>
      </c>
      <c r="E20" s="14"/>
      <c r="F20" s="14">
        <f t="shared" si="0"/>
        <v>0.46656630488847384</v>
      </c>
      <c r="N20" s="14">
        <v>120</v>
      </c>
      <c r="O20" s="14">
        <v>35.837899999999998</v>
      </c>
      <c r="P20" s="14"/>
      <c r="Q20" s="14" cm="1">
        <f t="array" ref="Q20">G(N20,$O$3,$O$4,$U$5:$Y$5)</f>
        <v>35.651578344661985</v>
      </c>
      <c r="R20" s="14"/>
      <c r="S20" s="14">
        <f t="shared" si="1"/>
        <v>-0.1863216553380127</v>
      </c>
      <c r="AA20" s="14">
        <v>140</v>
      </c>
      <c r="AB20" s="14">
        <v>33.274900000000002</v>
      </c>
      <c r="AC20" s="14"/>
      <c r="AD20" s="14" cm="1">
        <f t="array" ref="AD20">G(AA20,$AB$3,$AB$4,AH$5:AL$5)</f>
        <v>33.472767803852186</v>
      </c>
      <c r="AE20" s="14"/>
      <c r="AF20" s="14">
        <f t="shared" si="2"/>
        <v>0.1978678038521835</v>
      </c>
    </row>
    <row r="21" spans="1:32" x14ac:dyDescent="0.25">
      <c r="A21" s="14">
        <v>135</v>
      </c>
      <c r="B21" s="14">
        <v>37.596899999999998</v>
      </c>
      <c r="C21" s="14"/>
      <c r="D21" s="14" cm="1">
        <f t="array" ref="D21">G(A21,$B$3,$B$4,H$5:L$5)</f>
        <v>37.352663803217567</v>
      </c>
      <c r="E21" s="14"/>
      <c r="F21" s="14">
        <f t="shared" si="0"/>
        <v>-0.24423619678243114</v>
      </c>
      <c r="N21" s="14">
        <v>125</v>
      </c>
      <c r="O21" s="14">
        <v>34.717399999999998</v>
      </c>
      <c r="P21" s="14"/>
      <c r="Q21" s="14" cm="1">
        <f t="array" ref="Q21">G(N21,$O$3,$O$4,$U$5:$Y$5)</f>
        <v>35.161509994003715</v>
      </c>
      <c r="R21" s="14"/>
      <c r="S21" s="14">
        <f t="shared" si="1"/>
        <v>0.44410999400371765</v>
      </c>
      <c r="AA21" s="14">
        <v>145</v>
      </c>
      <c r="AB21" s="14">
        <v>32.876600000000003</v>
      </c>
      <c r="AC21" s="14"/>
      <c r="AD21" s="14" cm="1">
        <f t="array" ref="AD21">G(AA21,$AB$3,$AB$4,AH$5:AL$5)</f>
        <v>33.05496421886231</v>
      </c>
      <c r="AE21" s="14"/>
      <c r="AF21" s="14">
        <f t="shared" si="2"/>
        <v>0.17836421886230625</v>
      </c>
    </row>
    <row r="22" spans="1:32" x14ac:dyDescent="0.25">
      <c r="A22" s="14">
        <v>140</v>
      </c>
      <c r="B22" s="14">
        <v>36.151400000000002</v>
      </c>
      <c r="C22" s="14"/>
      <c r="D22" s="14" cm="1">
        <f t="array" ref="D22">G(A22,$B$3,$B$4,H$5:L$5)</f>
        <v>36.915138800617264</v>
      </c>
      <c r="E22" s="14"/>
      <c r="F22" s="14">
        <f t="shared" si="0"/>
        <v>0.7637388006172614</v>
      </c>
      <c r="N22" s="14">
        <v>130</v>
      </c>
      <c r="O22" s="14">
        <v>33.754300000000001</v>
      </c>
      <c r="P22" s="14"/>
      <c r="Q22" s="14" cm="1">
        <f t="array" ref="Q22">G(N22,$O$3,$O$4,$U$5:$Y$5)</f>
        <v>34.700899323705777</v>
      </c>
      <c r="R22" s="14"/>
      <c r="S22" s="14">
        <f t="shared" si="1"/>
        <v>0.94659932370577593</v>
      </c>
      <c r="AA22" s="14">
        <v>150</v>
      </c>
      <c r="AB22" s="14">
        <v>32.7881</v>
      </c>
      <c r="AC22" s="14"/>
      <c r="AD22" s="14" cm="1">
        <f t="array" ref="AD22">G(AA22,$AB$3,$AB$4,AH$5:AL$5)</f>
        <v>32.646328655501918</v>
      </c>
      <c r="AE22" s="14"/>
      <c r="AF22" s="14">
        <f t="shared" si="2"/>
        <v>-0.14177134449808193</v>
      </c>
    </row>
    <row r="23" spans="1:32" x14ac:dyDescent="0.25">
      <c r="A23" s="14">
        <v>145</v>
      </c>
      <c r="B23" s="14">
        <v>37.064100000000003</v>
      </c>
      <c r="C23" s="14"/>
      <c r="D23" s="14" cm="1">
        <f t="array" ref="D23">G(A23,$B$3,$B$4,H$5:L$5)</f>
        <v>36.497562056644739</v>
      </c>
      <c r="E23" s="14"/>
      <c r="F23" s="14">
        <f t="shared" si="0"/>
        <v>-0.56653794335526442</v>
      </c>
      <c r="N23" s="14">
        <v>135</v>
      </c>
      <c r="O23" s="14">
        <v>33.936799999999998</v>
      </c>
      <c r="P23" s="14"/>
      <c r="Q23" s="14" cm="1">
        <f t="array" ref="Q23">G(N23,$O$3,$O$4,$U$5:$Y$5)</f>
        <v>34.268161519475186</v>
      </c>
      <c r="R23" s="14"/>
      <c r="S23" s="14">
        <f t="shared" si="1"/>
        <v>0.33136151947518755</v>
      </c>
      <c r="AA23" s="14">
        <v>155</v>
      </c>
      <c r="AB23" s="14">
        <v>32.145899999999997</v>
      </c>
      <c r="AC23" s="14"/>
      <c r="AD23" s="14" cm="1">
        <f t="array" ref="AD23">G(AA23,$AB$3,$AB$4,AH$5:AL$5)</f>
        <v>32.246264264132144</v>
      </c>
      <c r="AE23" s="14"/>
      <c r="AF23" s="14">
        <f t="shared" si="2"/>
        <v>0.10036426413214627</v>
      </c>
    </row>
    <row r="24" spans="1:32" x14ac:dyDescent="0.25">
      <c r="A24" s="14">
        <v>150</v>
      </c>
      <c r="B24" s="14">
        <v>36.770000000000003</v>
      </c>
      <c r="C24" s="14"/>
      <c r="D24" s="14" cm="1">
        <f t="array" ref="D24">G(A24,$B$3,$B$4,H$5:L$5)</f>
        <v>36.099536490303038</v>
      </c>
      <c r="E24" s="14"/>
      <c r="F24" s="14">
        <f t="shared" si="0"/>
        <v>-0.67046350969696533</v>
      </c>
      <c r="N24" s="14">
        <v>140</v>
      </c>
      <c r="O24" s="14">
        <v>33.847299999999997</v>
      </c>
      <c r="P24" s="14"/>
      <c r="Q24" s="14" cm="1">
        <f t="array" ref="Q24">G(N24,$O$3,$O$4,$U$5:$Y$5)</f>
        <v>33.861784793302881</v>
      </c>
      <c r="R24" s="14"/>
      <c r="S24" s="14">
        <f t="shared" si="1"/>
        <v>1.4484793302884214E-2</v>
      </c>
      <c r="AA24" s="14">
        <v>160</v>
      </c>
      <c r="AB24" s="14">
        <v>31.7637</v>
      </c>
      <c r="AC24" s="14"/>
      <c r="AD24" s="14" cm="1">
        <f t="array" ref="AD24">G(AA24,$AB$3,$AB$4,AH$5:AL$5)</f>
        <v>31.85423398243384</v>
      </c>
      <c r="AE24" s="14"/>
      <c r="AF24" s="14">
        <f t="shared" si="2"/>
        <v>9.053398243383981E-2</v>
      </c>
    </row>
    <row r="25" spans="1:32" x14ac:dyDescent="0.25">
      <c r="A25" s="14">
        <v>155</v>
      </c>
      <c r="B25" s="14">
        <v>35.613100000000003</v>
      </c>
      <c r="C25" s="14"/>
      <c r="D25" s="14" cm="1">
        <f t="array" ref="D25">G(A25,$B$3,$B$4,H$5:L$5)</f>
        <v>35.720666916763712</v>
      </c>
      <c r="E25" s="14"/>
      <c r="F25" s="14">
        <f t="shared" si="0"/>
        <v>0.10756691676370878</v>
      </c>
      <c r="N25" s="14">
        <v>145</v>
      </c>
      <c r="O25" s="14">
        <v>32.907299999999999</v>
      </c>
      <c r="P25" s="14"/>
      <c r="Q25" s="14" cm="1">
        <f t="array" ref="Q25">G(N25,$O$3,$O$4,$U$5:$Y$5)</f>
        <v>33.480319655664367</v>
      </c>
      <c r="R25" s="14"/>
      <c r="S25" s="14">
        <f t="shared" si="1"/>
        <v>0.57301965566436763</v>
      </c>
      <c r="AA25" s="14">
        <v>165</v>
      </c>
      <c r="AB25" s="14">
        <v>31.230699999999999</v>
      </c>
      <c r="AC25" s="14"/>
      <c r="AD25" s="14" cm="1">
        <f t="array" ref="AD25">G(AA25,$AB$3,$AB$4,AH$5:AL$5)</f>
        <v>31.469756146489274</v>
      </c>
      <c r="AE25" s="14"/>
      <c r="AF25" s="14">
        <f t="shared" si="2"/>
        <v>0.23905614648927553</v>
      </c>
    </row>
    <row r="26" spans="1:32" x14ac:dyDescent="0.25">
      <c r="A26" s="14">
        <v>160</v>
      </c>
      <c r="B26" s="14">
        <v>34.982199999999999</v>
      </c>
      <c r="C26" s="14"/>
      <c r="D26" s="14" cm="1">
        <f t="array" ref="D26">G(A26,$B$3,$B$4,H$5:L$5)</f>
        <v>35.36053289326523</v>
      </c>
      <c r="E26" s="14"/>
      <c r="F26" s="14">
        <f t="shared" si="0"/>
        <v>0.37833289326523101</v>
      </c>
      <c r="N26" s="14">
        <v>150</v>
      </c>
      <c r="O26" s="14">
        <v>33.0441</v>
      </c>
      <c r="P26" s="14"/>
      <c r="Q26" s="14" cm="1">
        <f t="array" ref="Q26">G(N26,$O$3,$O$4,$U$5:$Y$5)</f>
        <v>33.122372190543977</v>
      </c>
      <c r="R26" s="14"/>
      <c r="S26" s="14">
        <f t="shared" si="1"/>
        <v>7.827219054397716E-2</v>
      </c>
      <c r="AA26" s="14">
        <v>170</v>
      </c>
      <c r="AB26" s="14">
        <v>31.170300000000001</v>
      </c>
      <c r="AC26" s="14"/>
      <c r="AD26" s="14" cm="1">
        <f t="array" ref="AD26">G(AA26,$AB$3,$AB$4,AH$5:AL$5)</f>
        <v>31.092402290499457</v>
      </c>
      <c r="AE26" s="14"/>
      <c r="AF26" s="14">
        <f t="shared" si="2"/>
        <v>-7.7897709500543755E-2</v>
      </c>
    </row>
    <row r="27" spans="1:32" x14ac:dyDescent="0.25">
      <c r="A27" s="14">
        <v>165</v>
      </c>
      <c r="B27" s="14">
        <v>35.156399999999998</v>
      </c>
      <c r="C27" s="14"/>
      <c r="D27" s="14" cm="1">
        <f t="array" ref="D27">G(A27,$B$3,$B$4,H$5:L$5)</f>
        <v>35.018666254301372</v>
      </c>
      <c r="E27" s="14"/>
      <c r="F27" s="14">
        <f t="shared" si="0"/>
        <v>-0.1377337456986254</v>
      </c>
      <c r="N27" s="14">
        <v>155</v>
      </c>
      <c r="O27" s="14">
        <v>33.055999999999997</v>
      </c>
      <c r="P27" s="14"/>
      <c r="Q27" s="14" cm="1">
        <f t="array" ref="Q27">G(N27,$O$3,$O$4,$U$5:$Y$5)</f>
        <v>32.786600311017985</v>
      </c>
      <c r="R27" s="14"/>
      <c r="S27" s="14">
        <f t="shared" si="1"/>
        <v>-0.26939968898201272</v>
      </c>
      <c r="AA27" s="14">
        <v>175</v>
      </c>
      <c r="AB27" s="14">
        <v>30.854500000000002</v>
      </c>
      <c r="AC27" s="14"/>
      <c r="AD27" s="14" cm="1">
        <f t="array" ref="AD27">G(AA27,$AB$3,$AB$4,AH$5:AL$5)</f>
        <v>30.72179784500284</v>
      </c>
      <c r="AE27" s="14"/>
      <c r="AF27" s="14">
        <f t="shared" si="2"/>
        <v>-0.13270215499716187</v>
      </c>
    </row>
    <row r="28" spans="1:32" x14ac:dyDescent="0.25">
      <c r="A28" s="14">
        <v>170</v>
      </c>
      <c r="B28" s="14">
        <v>34.574300000000001</v>
      </c>
      <c r="C28" s="14"/>
      <c r="D28" s="14" cm="1">
        <f t="array" ref="D28">G(A28,$B$3,$B$4,H$5:L$5)</f>
        <v>34.694534848171465</v>
      </c>
      <c r="E28" s="14"/>
      <c r="F28" s="14">
        <f t="shared" si="0"/>
        <v>0.12023484817146368</v>
      </c>
      <c r="N28" s="14">
        <v>160</v>
      </c>
      <c r="O28" s="14">
        <v>33.255699999999997</v>
      </c>
      <c r="P28" s="14"/>
      <c r="Q28" s="14" cm="1">
        <f t="array" ref="Q28">G(N28,$O$3,$O$4,$U$5:$Y$5)</f>
        <v>32.471712124946897</v>
      </c>
      <c r="R28" s="14"/>
      <c r="S28" s="14">
        <f t="shared" si="1"/>
        <v>-0.78398787505309997</v>
      </c>
      <c r="AA28" s="14">
        <v>180</v>
      </c>
      <c r="AB28" s="14">
        <v>30.3232</v>
      </c>
      <c r="AC28" s="14"/>
      <c r="AD28" s="14" cm="1">
        <f t="array" ref="AD28">G(AA28,$AB$3,$AB$4,AH$5:AL$5)</f>
        <v>30.357627267028153</v>
      </c>
      <c r="AE28" s="14"/>
      <c r="AF28" s="14">
        <f t="shared" si="2"/>
        <v>3.4427267028153352E-2</v>
      </c>
    </row>
    <row r="29" spans="1:32" x14ac:dyDescent="0.25">
      <c r="A29" s="14">
        <v>175</v>
      </c>
      <c r="B29" s="14">
        <v>34.427300000000002</v>
      </c>
      <c r="C29" s="14"/>
      <c r="D29" s="14" cm="1">
        <f t="array" ref="D29">G(A29,$B$3,$B$4,H$5:L$5)</f>
        <v>34.387533559545538</v>
      </c>
      <c r="E29" s="14"/>
      <c r="F29" s="14">
        <f t="shared" si="0"/>
        <v>-3.9766440454464203E-2</v>
      </c>
      <c r="N29" s="14">
        <v>165</v>
      </c>
      <c r="O29" s="14">
        <v>32.237299999999998</v>
      </c>
      <c r="P29" s="14"/>
      <c r="Q29" s="14" cm="1">
        <f t="array" ref="Q29">G(N29,$O$3,$O$4,$U$5:$Y$5)</f>
        <v>32.176465686574616</v>
      </c>
      <c r="R29" s="14"/>
      <c r="S29" s="14">
        <f t="shared" si="1"/>
        <v>-6.0834313425381481E-2</v>
      </c>
      <c r="AA29" s="14">
        <v>185</v>
      </c>
      <c r="AB29" s="14">
        <v>29.939599999999999</v>
      </c>
      <c r="AC29" s="14"/>
      <c r="AD29" s="14" cm="1">
        <f t="array" ref="AD29">G(AA29,$AB$3,$AB$4,AH$5:AL$5)</f>
        <v>29.999646858794428</v>
      </c>
      <c r="AE29" s="14"/>
      <c r="AF29" s="14">
        <f t="shared" si="2"/>
        <v>6.004685879442917E-2</v>
      </c>
    </row>
    <row r="30" spans="1:32" x14ac:dyDescent="0.25">
      <c r="A30" s="14">
        <v>180</v>
      </c>
      <c r="B30" s="14">
        <v>34.149500000000003</v>
      </c>
      <c r="C30" s="14"/>
      <c r="D30" s="14" cm="1">
        <f t="array" ref="D30">G(A30,$B$3,$B$4,H$5:L$5)</f>
        <v>34.096982981780243</v>
      </c>
      <c r="E30" s="14"/>
      <c r="F30" s="14">
        <f t="shared" si="0"/>
        <v>-5.2517018219759848E-2</v>
      </c>
      <c r="N30" s="14">
        <v>170</v>
      </c>
      <c r="O30" s="14">
        <v>31.925000000000001</v>
      </c>
      <c r="P30" s="14"/>
      <c r="Q30" s="14" cm="1">
        <f t="array" ref="Q30">G(N30,$O$3,$O$4,$U$5:$Y$5)</f>
        <v>31.89966955039338</v>
      </c>
      <c r="R30" s="14"/>
      <c r="S30" s="14">
        <f t="shared" si="1"/>
        <v>-2.5330449606620675E-2</v>
      </c>
      <c r="AA30" s="14">
        <v>190</v>
      </c>
      <c r="AB30" s="14">
        <v>29.736000000000001</v>
      </c>
      <c r="AC30" s="14"/>
      <c r="AD30" s="14" cm="1">
        <f t="array" ref="AD30">G(AA30,$AB$3,$AB$4,AH$5:AL$5)</f>
        <v>29.64771247370728</v>
      </c>
      <c r="AE30" s="14"/>
      <c r="AF30" s="14">
        <f t="shared" si="2"/>
        <v>-8.8287526292720742E-2</v>
      </c>
    </row>
    <row r="31" spans="1:32" x14ac:dyDescent="0.25">
      <c r="A31" s="14">
        <v>185</v>
      </c>
      <c r="B31" s="14">
        <v>34.180700000000002</v>
      </c>
      <c r="C31" s="14"/>
      <c r="D31" s="14" cm="1">
        <f t="array" ref="D31">G(A31,$B$3,$B$4,H$5:L$5)</f>
        <v>33.82213524486356</v>
      </c>
      <c r="E31" s="14"/>
      <c r="F31" s="14">
        <f t="shared" si="0"/>
        <v>-0.3585647551364417</v>
      </c>
      <c r="N31" s="14">
        <v>175</v>
      </c>
      <c r="O31" s="14">
        <v>32.520099999999999</v>
      </c>
      <c r="P31" s="14"/>
      <c r="Q31" s="14" cm="1">
        <f t="array" ref="Q31">G(N31,$O$3,$O$4,$U$5:$Y$5)</f>
        <v>31.64018367560811</v>
      </c>
      <c r="R31" s="14"/>
      <c r="S31" s="14">
        <f t="shared" si="1"/>
        <v>-0.87991632439188905</v>
      </c>
      <c r="AA31" s="14">
        <v>195</v>
      </c>
      <c r="AB31" s="14">
        <v>29.655899999999999</v>
      </c>
      <c r="AC31" s="14"/>
      <c r="AD31" s="14" cm="1">
        <f t="array" ref="AD31">G(AA31,$AB$3,$AB$4,AH$5:AL$5)</f>
        <v>29.301839242636838</v>
      </c>
      <c r="AE31" s="14"/>
      <c r="AF31" s="14">
        <f t="shared" si="2"/>
        <v>-0.35406075736316112</v>
      </c>
    </row>
    <row r="32" spans="1:32" x14ac:dyDescent="0.25">
      <c r="A32" s="14">
        <v>190</v>
      </c>
      <c r="B32" s="14">
        <v>33.719499999999996</v>
      </c>
      <c r="C32" s="14"/>
      <c r="D32" s="14" cm="1">
        <f t="array" ref="D32">G(A32,$B$3,$B$4,H$5:L$5)</f>
        <v>33.562185711824391</v>
      </c>
      <c r="E32" s="14"/>
      <c r="F32" s="14">
        <f t="shared" si="0"/>
        <v>-0.15731428817560555</v>
      </c>
      <c r="N32" s="14">
        <v>180</v>
      </c>
      <c r="O32" s="14">
        <v>31.5945</v>
      </c>
      <c r="P32" s="14"/>
      <c r="Q32" s="14" cm="1">
        <f t="array" ref="Q32">G(N32,$O$3,$O$4,$U$5:$Y$5)</f>
        <v>31.396920349250237</v>
      </c>
      <c r="R32" s="14"/>
      <c r="S32" s="14">
        <f t="shared" si="1"/>
        <v>-0.19757965074976269</v>
      </c>
      <c r="AA32" s="14">
        <v>200</v>
      </c>
      <c r="AB32" s="14">
        <v>29.200199999999999</v>
      </c>
      <c r="AC32" s="14"/>
      <c r="AD32" s="14" cm="1">
        <f t="array" ref="AD32">G(AA32,$AB$3,$AB$4,AH$5:AL$5)</f>
        <v>28.962338570549022</v>
      </c>
      <c r="AE32" s="14"/>
      <c r="AF32" s="14">
        <f t="shared" si="2"/>
        <v>-0.23786142945097666</v>
      </c>
    </row>
    <row r="33" spans="1:32" x14ac:dyDescent="0.25">
      <c r="A33" s="14">
        <v>195</v>
      </c>
      <c r="B33" s="14">
        <v>33.334800000000001</v>
      </c>
      <c r="C33" s="14"/>
      <c r="D33" s="14" cm="1">
        <f t="array" ref="D33">G(A33,$B$3,$B$4,H$5:L$5)</f>
        <v>33.316288707364905</v>
      </c>
      <c r="E33" s="14"/>
      <c r="F33" s="14">
        <f t="shared" si="0"/>
        <v>-1.8511292635096765E-2</v>
      </c>
      <c r="N33" s="14">
        <v>185</v>
      </c>
      <c r="O33" s="14">
        <v>31.283200000000001</v>
      </c>
      <c r="P33" s="14"/>
      <c r="Q33" s="14" cm="1">
        <f t="array" ref="Q33">G(N33,$O$3,$O$4,$U$5:$Y$5)</f>
        <v>31.168844900330093</v>
      </c>
      <c r="R33" s="14"/>
      <c r="S33" s="14">
        <f t="shared" si="1"/>
        <v>-0.11435509966990764</v>
      </c>
      <c r="AA33" s="14">
        <v>205</v>
      </c>
      <c r="AB33" s="14">
        <v>28.537500000000001</v>
      </c>
      <c r="AC33" s="14"/>
      <c r="AD33" s="14" cm="1">
        <f t="array" ref="AD33">G(AA33,$AB$3,$AB$4,AH$5:AL$5)</f>
        <v>28.630170000911061</v>
      </c>
      <c r="AE33" s="14"/>
      <c r="AF33" s="14">
        <f t="shared" si="2"/>
        <v>9.2670000911059702E-2</v>
      </c>
    </row>
    <row r="34" spans="1:32" x14ac:dyDescent="0.25">
      <c r="A34" s="14">
        <v>200</v>
      </c>
      <c r="B34" s="14">
        <v>33.110799999999998</v>
      </c>
      <c r="C34" s="14"/>
      <c r="D34" s="14" cm="1">
        <f t="array" ref="D34">G(A34,$B$3,$B$4,H$5:L$5)</f>
        <v>33.083575235840556</v>
      </c>
      <c r="E34" s="14"/>
      <c r="F34" s="14">
        <f t="shared" si="0"/>
        <v>-2.7224764159441861E-2</v>
      </c>
      <c r="N34" s="14">
        <v>190</v>
      </c>
      <c r="O34" s="14">
        <v>31.0412</v>
      </c>
      <c r="P34" s="14"/>
      <c r="Q34" s="14" cm="1">
        <f t="array" ref="Q34">G(N34,$O$3,$O$4,$U$5:$Y$5)</f>
        <v>30.954976064494833</v>
      </c>
      <c r="R34" s="14"/>
      <c r="S34" s="14">
        <f t="shared" si="1"/>
        <v>-8.6223935505167049E-2</v>
      </c>
      <c r="AA34" s="14">
        <v>210</v>
      </c>
      <c r="AB34" s="14">
        <v>28.4527</v>
      </c>
      <c r="AC34" s="14"/>
      <c r="AD34" s="14" cm="1">
        <f t="array" ref="AD34">G(AA34,$AB$3,$AB$4,AH$5:AL$5)</f>
        <v>28.308016573880099</v>
      </c>
      <c r="AE34" s="14"/>
      <c r="AF34" s="14">
        <f t="shared" si="2"/>
        <v>-0.14468342611990082</v>
      </c>
    </row>
    <row r="35" spans="1:32" x14ac:dyDescent="0.25">
      <c r="A35" s="14">
        <v>205</v>
      </c>
      <c r="B35" s="14">
        <v>32.944899999999997</v>
      </c>
      <c r="C35" s="14"/>
      <c r="D35" s="14" cm="1">
        <f t="array" ref="D35">G(A35,$B$3,$B$4,H$5:L$5)</f>
        <v>32.863170777326069</v>
      </c>
      <c r="E35" s="14"/>
      <c r="F35" s="14">
        <f t="shared" si="0"/>
        <v>-8.1729222673928348E-2</v>
      </c>
      <c r="N35" s="14">
        <v>195</v>
      </c>
      <c r="O35" s="14">
        <v>30.843900000000001</v>
      </c>
      <c r="P35" s="14"/>
      <c r="Q35" s="14" cm="1">
        <f t="array" ref="Q35">G(N35,$O$3,$O$4,$U$5:$Y$5)</f>
        <v>30.754385928013349</v>
      </c>
      <c r="R35" s="14"/>
      <c r="S35" s="14">
        <f t="shared" si="1"/>
        <v>-8.951407198665251E-2</v>
      </c>
      <c r="AA35" s="14">
        <v>215</v>
      </c>
      <c r="AB35" s="14">
        <v>28.1675</v>
      </c>
      <c r="AC35" s="14"/>
      <c r="AD35" s="14" cm="1">
        <f t="array" ref="AD35">G(AA35,$AB$3,$AB$4,AH$5:AL$5)</f>
        <v>28.004584676312657</v>
      </c>
      <c r="AE35" s="14"/>
      <c r="AF35" s="14">
        <f t="shared" si="2"/>
        <v>-0.16291532368734352</v>
      </c>
    </row>
    <row r="36" spans="1:32" x14ac:dyDescent="0.25">
      <c r="A36" s="14">
        <v>210</v>
      </c>
      <c r="B36" s="14">
        <v>32.805</v>
      </c>
      <c r="C36" s="14"/>
      <c r="D36" s="14" cm="1">
        <f t="array" ref="D36">G(A36,$B$3,$B$4,H$5:L$5)</f>
        <v>32.654211632640873</v>
      </c>
      <c r="E36" s="14"/>
      <c r="F36" s="14">
        <f t="shared" si="0"/>
        <v>-0.1507883673591266</v>
      </c>
      <c r="N36" s="14">
        <v>200</v>
      </c>
      <c r="O36" s="14">
        <v>30.5259</v>
      </c>
      <c r="P36" s="14"/>
      <c r="Q36" s="14" cm="1">
        <f t="array" ref="Q36">G(N36,$O$3,$O$4,$U$5:$Y$5)</f>
        <v>30.566199432343659</v>
      </c>
      <c r="R36" s="14"/>
      <c r="S36" s="14">
        <f t="shared" si="1"/>
        <v>4.0299432343658736E-2</v>
      </c>
      <c r="AA36" s="14">
        <v>220</v>
      </c>
      <c r="AB36" s="14">
        <v>27.511299999999999</v>
      </c>
      <c r="AC36" s="14"/>
      <c r="AD36" s="14" cm="1">
        <f t="array" ref="AD36">G(AA36,$AB$3,$AB$4,AH$5:AL$5)</f>
        <v>27.760934248132315</v>
      </c>
      <c r="AE36" s="14"/>
      <c r="AF36" s="14">
        <f t="shared" si="2"/>
        <v>0.24963424813231683</v>
      </c>
    </row>
    <row r="37" spans="1:32" x14ac:dyDescent="0.25">
      <c r="A37" s="14">
        <v>215</v>
      </c>
      <c r="B37" s="14">
        <v>32.599200000000003</v>
      </c>
      <c r="C37" s="14"/>
      <c r="D37" s="14" cm="1">
        <f t="array" ref="D37">G(A37,$B$3,$B$4,H$5:L$5)</f>
        <v>32.455858793980667</v>
      </c>
      <c r="E37" s="14"/>
      <c r="F37" s="14">
        <f t="shared" si="0"/>
        <v>-0.1433412060193362</v>
      </c>
      <c r="N37" s="14">
        <v>205</v>
      </c>
      <c r="O37" s="14">
        <v>30.465299999999999</v>
      </c>
      <c r="P37" s="14"/>
      <c r="Q37" s="14" cm="1">
        <f t="array" ref="Q37">G(N37,$O$3,$O$4,$U$5:$Y$5)</f>
        <v>30.389593457791872</v>
      </c>
      <c r="R37" s="14"/>
      <c r="S37" s="14">
        <f t="shared" si="1"/>
        <v>-7.5706542208127559E-2</v>
      </c>
      <c r="AA37" s="14">
        <v>225</v>
      </c>
      <c r="AB37" s="14">
        <v>27.884899999999998</v>
      </c>
      <c r="AC37" s="14"/>
      <c r="AD37" s="14" cm="1">
        <f t="array" ref="AD37">G(AA37,$AB$3,$AB$4,AH$5:AL$5)</f>
        <v>27.828550408879838</v>
      </c>
      <c r="AE37" s="14"/>
      <c r="AF37" s="14">
        <f t="shared" si="2"/>
        <v>-5.6349591120159914E-2</v>
      </c>
    </row>
    <row r="38" spans="1:32" x14ac:dyDescent="0.25">
      <c r="A38" s="14">
        <v>220</v>
      </c>
      <c r="B38" s="14">
        <v>32.180599999999998</v>
      </c>
      <c r="C38" s="14"/>
      <c r="D38" s="14" cm="1">
        <f t="array" ref="D38">G(A38,$B$3,$B$4,H$5:L$5)</f>
        <v>32.267308826795109</v>
      </c>
      <c r="E38" s="14"/>
      <c r="F38" s="14">
        <f t="shared" si="0"/>
        <v>8.6708826795110383E-2</v>
      </c>
      <c r="N38" s="14">
        <v>210</v>
      </c>
      <c r="O38" s="14">
        <v>30.259599999999999</v>
      </c>
      <c r="P38" s="14"/>
      <c r="Q38" s="14" cm="1">
        <f t="array" ref="Q38">G(N38,$O$3,$O$4,$U$5:$Y$5)</f>
        <v>30.223795529139952</v>
      </c>
      <c r="R38" s="14"/>
      <c r="S38" s="14">
        <f t="shared" si="1"/>
        <v>-3.5804470860046678E-2</v>
      </c>
      <c r="AA38" s="14">
        <v>230</v>
      </c>
      <c r="AB38" s="14">
        <v>28.370899999999999</v>
      </c>
      <c r="AC38" s="14"/>
      <c r="AD38" s="14" cm="1">
        <f t="array" ref="AD38">G(AA38,$AB$3,$AB$4,AH$5:AL$5)</f>
        <v>28.368354490892557</v>
      </c>
      <c r="AE38" s="14"/>
      <c r="AF38" s="14">
        <f t="shared" si="2"/>
        <v>-2.5455091074420011E-3</v>
      </c>
    </row>
    <row r="39" spans="1:32" x14ac:dyDescent="0.25">
      <c r="A39" s="14">
        <v>225</v>
      </c>
      <c r="B39" s="14">
        <v>31.983799999999999</v>
      </c>
      <c r="C39" s="14"/>
      <c r="D39" s="14" cm="1">
        <f t="array" ref="D39">G(A39,$B$3,$B$4,H$5:L$5)</f>
        <v>32.087801676234321</v>
      </c>
      <c r="E39" s="14"/>
      <c r="F39" s="14">
        <f t="shared" si="0"/>
        <v>0.1040016762343221</v>
      </c>
      <c r="N39" s="14">
        <v>215</v>
      </c>
      <c r="O39" s="14">
        <v>30.132999999999999</v>
      </c>
      <c r="P39" s="14"/>
      <c r="Q39" s="14" cm="1">
        <f t="array" ref="Q39">G(N39,$O$3,$O$4,$U$5:$Y$5)</f>
        <v>30.068082200106378</v>
      </c>
      <c r="R39" s="14"/>
      <c r="S39" s="14">
        <f t="shared" si="1"/>
        <v>-6.4917799893621009E-2</v>
      </c>
    </row>
    <row r="40" spans="1:32" x14ac:dyDescent="0.25">
      <c r="A40" s="14">
        <v>230</v>
      </c>
      <c r="B40" s="14">
        <v>31.817900000000002</v>
      </c>
      <c r="C40" s="14"/>
      <c r="D40" s="14" cm="1">
        <f t="array" ref="D40">G(A40,$B$3,$B$4,H$5:L$5)</f>
        <v>31.916625617652059</v>
      </c>
      <c r="E40" s="14"/>
      <c r="F40" s="14">
        <f t="shared" si="0"/>
        <v>9.8725617652057451E-2</v>
      </c>
      <c r="N40" s="14">
        <v>220</v>
      </c>
      <c r="O40" s="14">
        <v>30.141300000000001</v>
      </c>
      <c r="P40" s="14"/>
      <c r="Q40" s="14" cm="1">
        <f t="array" ref="Q40">G(N40,$O$3,$O$4,$U$5:$Y$5)</f>
        <v>29.921777179552205</v>
      </c>
      <c r="R40" s="14"/>
      <c r="S40" s="14">
        <f t="shared" si="1"/>
        <v>-0.21952282044779636</v>
      </c>
    </row>
    <row r="41" spans="1:32" x14ac:dyDescent="0.25">
      <c r="A41" s="14">
        <v>235</v>
      </c>
      <c r="B41" s="14">
        <v>31.722300000000001</v>
      </c>
      <c r="C41" s="14"/>
      <c r="D41" s="14" cm="1">
        <f t="array" ref="D41">G(A41,$B$3,$B$4,H$5:L$5)</f>
        <v>31.753119752202824</v>
      </c>
      <c r="E41" s="14"/>
      <c r="F41" s="14">
        <f t="shared" si="0"/>
        <v>3.0819752202823736E-2</v>
      </c>
      <c r="N41" s="14">
        <v>225</v>
      </c>
      <c r="O41" s="14">
        <v>29.9285</v>
      </c>
      <c r="P41" s="14"/>
      <c r="Q41" s="14" cm="1">
        <f t="array" ref="Q41">G(N41,$O$3,$O$4,$U$5:$Y$5)</f>
        <v>29.784249262659767</v>
      </c>
      <c r="R41" s="14"/>
      <c r="S41" s="14">
        <f t="shared" si="1"/>
        <v>-0.14425073734023286</v>
      </c>
    </row>
    <row r="42" spans="1:32" x14ac:dyDescent="0.25">
      <c r="A42" s="14">
        <v>240</v>
      </c>
      <c r="B42" s="14">
        <v>31.6998</v>
      </c>
      <c r="C42" s="14"/>
      <c r="D42" s="14" cm="1">
        <f t="array" ref="D42">G(A42,$B$3,$B$4,H$5:L$5)</f>
        <v>31.596674525443078</v>
      </c>
      <c r="E42" s="14"/>
      <c r="F42" s="14">
        <f t="shared" si="0"/>
        <v>-0.10312547455692211</v>
      </c>
      <c r="N42" s="14">
        <v>230</v>
      </c>
      <c r="O42" s="14">
        <v>29.7562</v>
      </c>
      <c r="P42" s="14"/>
      <c r="Q42" s="14" cm="1">
        <f t="array" ref="Q42">G(N42,$O$3,$O$4,$U$5:$Y$5)</f>
        <v>29.654910126758896</v>
      </c>
      <c r="R42" s="14"/>
      <c r="S42" s="14">
        <f t="shared" si="1"/>
        <v>-0.10128987324110383</v>
      </c>
    </row>
    <row r="43" spans="1:32" x14ac:dyDescent="0.25">
      <c r="A43" s="14">
        <v>245</v>
      </c>
      <c r="B43" s="14">
        <v>31.479399999999998</v>
      </c>
      <c r="C43" s="14"/>
      <c r="D43" s="14" cm="1">
        <f t="array" ref="D43">G(A43,$B$3,$B$4,H$5:L$5)</f>
        <v>31.446730748338815</v>
      </c>
      <c r="E43" s="14"/>
      <c r="F43" s="14">
        <f t="shared" si="0"/>
        <v>-3.2669251661182841E-2</v>
      </c>
      <c r="N43" s="14">
        <v>235</v>
      </c>
      <c r="O43" s="14">
        <v>29.7258</v>
      </c>
      <c r="P43" s="14"/>
      <c r="Q43" s="14" cm="1">
        <f t="array" ref="Q43">G(N43,$O$3,$O$4,$U$5:$Y$5)</f>
        <v>29.533212045555953</v>
      </c>
      <c r="R43" s="14"/>
      <c r="S43" s="14">
        <f t="shared" si="1"/>
        <v>-0.19258795444404697</v>
      </c>
    </row>
    <row r="44" spans="1:32" x14ac:dyDescent="0.25">
      <c r="A44" s="14">
        <v>250</v>
      </c>
      <c r="B44" s="14">
        <v>31.307300000000001</v>
      </c>
      <c r="C44" s="14"/>
      <c r="D44" s="14" cm="1">
        <f t="array" ref="D44">G(A44,$B$3,$B$4,H$5:L$5)</f>
        <v>31.302777555152456</v>
      </c>
      <c r="E44" s="14"/>
      <c r="F44" s="14">
        <f t="shared" si="0"/>
        <v>-4.5224448475451595E-3</v>
      </c>
      <c r="N44" s="14">
        <v>240</v>
      </c>
      <c r="O44" s="14">
        <v>29.196899999999999</v>
      </c>
      <c r="P44" s="14"/>
      <c r="Q44" s="14" cm="1">
        <f t="array" ref="Q44">G(N44,$O$3,$O$4,$U$5:$Y$5)</f>
        <v>29.418645568377951</v>
      </c>
      <c r="R44" s="14"/>
      <c r="S44" s="14">
        <f t="shared" si="1"/>
        <v>0.22174556837795123</v>
      </c>
    </row>
    <row r="45" spans="1:32" x14ac:dyDescent="0.25">
      <c r="A45" s="14">
        <v>255</v>
      </c>
      <c r="B45" s="14">
        <v>31.0716</v>
      </c>
      <c r="C45" s="14"/>
      <c r="D45" s="14" cm="1">
        <f t="array" ref="D45">G(A45,$B$3,$B$4,H$5:L$5)</f>
        <v>31.164349664870187</v>
      </c>
      <c r="E45" s="14"/>
      <c r="F45" s="14">
        <f t="shared" si="0"/>
        <v>9.2749664870186876E-2</v>
      </c>
      <c r="N45" s="14">
        <v>245</v>
      </c>
      <c r="O45" s="14">
        <v>29.410299999999999</v>
      </c>
      <c r="P45" s="14"/>
      <c r="Q45" s="14" cm="1">
        <f t="array" ref="Q45">G(N45,$O$3,$O$4,$U$5:$Y$5)</f>
        <v>29.310737203506548</v>
      </c>
      <c r="R45" s="14"/>
      <c r="S45" s="14">
        <f t="shared" si="1"/>
        <v>-9.9562796493451344E-2</v>
      </c>
    </row>
    <row r="46" spans="1:32" x14ac:dyDescent="0.25">
      <c r="A46" s="14">
        <v>260</v>
      </c>
      <c r="B46" s="14">
        <v>31.03</v>
      </c>
      <c r="C46" s="14"/>
      <c r="D46" s="14" cm="1">
        <f t="array" ref="D46">G(A46,$B$3,$B$4,H$5:L$5)</f>
        <v>31.031024238718103</v>
      </c>
      <c r="E46" s="14"/>
      <c r="F46" s="14">
        <f t="shared" si="0"/>
        <v>1.0242387181023105E-3</v>
      </c>
      <c r="N46" s="14">
        <v>250</v>
      </c>
      <c r="O46" s="14">
        <v>29.481200000000001</v>
      </c>
      <c r="P46" s="14"/>
      <c r="Q46" s="14" cm="1">
        <f t="array" ref="Q46">G(N46,$O$3,$O$4,$U$5:$Y$5)</f>
        <v>29.209047137310158</v>
      </c>
      <c r="R46" s="14"/>
      <c r="S46" s="14">
        <f t="shared" si="1"/>
        <v>-0.27215286268984329</v>
      </c>
    </row>
    <row r="47" spans="1:32" x14ac:dyDescent="0.25">
      <c r="A47" s="14">
        <v>270</v>
      </c>
      <c r="B47" s="14">
        <v>30.995999999999999</v>
      </c>
      <c r="C47" s="14"/>
      <c r="D47" s="14" cm="1">
        <f t="array" ref="D47">G(A47,$B$3,$B$4,H$5:L$5)</f>
        <v>30.778181670132724</v>
      </c>
      <c r="E47" s="14"/>
      <c r="F47" s="14">
        <f t="shared" si="0"/>
        <v>-0.21781832986727423</v>
      </c>
      <c r="N47" s="14">
        <v>255</v>
      </c>
      <c r="O47" s="14">
        <v>29.1204</v>
      </c>
      <c r="P47" s="14"/>
      <c r="Q47" s="14" cm="1">
        <f t="array" ref="Q47">G(N47,$O$3,$O$4,$U$5:$Y$5)</f>
        <v>29.113167014045004</v>
      </c>
      <c r="R47" s="14"/>
      <c r="S47" s="14">
        <f>Q47-O47</f>
        <v>-7.2329859549959963E-3</v>
      </c>
    </row>
    <row r="48" spans="1:32" x14ac:dyDescent="0.25">
      <c r="A48" s="14">
        <v>280</v>
      </c>
      <c r="B48" s="14">
        <v>30.5623</v>
      </c>
      <c r="C48" s="14"/>
      <c r="D48" s="14" cm="1">
        <f t="array" ref="D48">G(A48,$B$3,$B$4,H$5:L$5)</f>
        <v>30.541590010732122</v>
      </c>
      <c r="E48" s="14"/>
      <c r="F48" s="14">
        <f t="shared" si="0"/>
        <v>-2.070998926787837E-2</v>
      </c>
      <c r="N48" s="14">
        <v>260</v>
      </c>
      <c r="O48" s="14">
        <v>29.019200000000001</v>
      </c>
      <c r="P48" s="14"/>
      <c r="Q48" s="14" cm="1">
        <f t="array" ref="Q48">G(N48,$O$3,$O$4,$U$5:$Y$5)</f>
        <v>29.022717795086841</v>
      </c>
      <c r="R48" s="14"/>
      <c r="S48" s="14">
        <f>Q48-O48</f>
        <v>3.5177950868394703E-3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047A5-1749-4B53-AF6A-15FAF1D737BB}">
  <sheetPr codeName="Arkusz20"/>
  <dimension ref="A1:AL56"/>
  <sheetViews>
    <sheetView topLeftCell="P1" zoomScale="85" zoomScaleNormal="85" workbookViewId="0">
      <selection activeCell="AG20" sqref="AG20"/>
    </sheetView>
  </sheetViews>
  <sheetFormatPr defaultRowHeight="15" x14ac:dyDescent="0.25"/>
  <cols>
    <col min="1" max="1" width="12.140625" bestFit="1" customWidth="1"/>
    <col min="2" max="2" width="14.7109375" bestFit="1" customWidth="1"/>
    <col min="3" max="3" width="10.7109375" bestFit="1" customWidth="1"/>
    <col min="4" max="4" width="21.7109375" bestFit="1" customWidth="1"/>
    <col min="5" max="5" width="21.7109375" customWidth="1"/>
    <col min="6" max="6" width="8.7109375" customWidth="1"/>
    <col min="7" max="7" width="33.140625" bestFit="1" customWidth="1"/>
    <col min="14" max="14" width="12.140625" bestFit="1" customWidth="1"/>
    <col min="15" max="15" width="14.7109375" bestFit="1" customWidth="1"/>
    <col min="16" max="16" width="10.7109375" bestFit="1" customWidth="1"/>
    <col min="17" max="17" width="21.7109375" bestFit="1" customWidth="1"/>
    <col min="18" max="18" width="21.7109375" customWidth="1"/>
    <col min="19" max="19" width="8.7109375" customWidth="1"/>
    <col min="20" max="20" width="33.140625" bestFit="1" customWidth="1"/>
    <col min="27" max="27" width="12.140625" bestFit="1" customWidth="1"/>
    <col min="28" max="28" width="14.7109375" bestFit="1" customWidth="1"/>
    <col min="29" max="29" width="10.7109375" bestFit="1" customWidth="1"/>
    <col min="30" max="30" width="21.7109375" bestFit="1" customWidth="1"/>
    <col min="31" max="31" width="21.7109375" customWidth="1"/>
    <col min="32" max="32" width="8.7109375" customWidth="1"/>
    <col min="33" max="33" width="33.140625" bestFit="1" customWidth="1"/>
  </cols>
  <sheetData>
    <row r="1" spans="1:38" x14ac:dyDescent="0.25">
      <c r="C1" s="2" t="s">
        <v>40</v>
      </c>
      <c r="D1" s="2" t="s">
        <v>41</v>
      </c>
      <c r="H1" s="2" t="s">
        <v>42</v>
      </c>
      <c r="I1" s="2" t="s">
        <v>43</v>
      </c>
      <c r="J1" s="2" t="s">
        <v>15</v>
      </c>
      <c r="K1" s="2" t="s">
        <v>44</v>
      </c>
      <c r="L1" s="2" t="s">
        <v>45</v>
      </c>
      <c r="P1" s="2" t="s">
        <v>40</v>
      </c>
      <c r="Q1" s="2" t="s">
        <v>41</v>
      </c>
      <c r="U1" s="2" t="s">
        <v>42</v>
      </c>
      <c r="V1" s="2" t="s">
        <v>43</v>
      </c>
      <c r="W1" s="2" t="s">
        <v>15</v>
      </c>
      <c r="X1" s="2" t="s">
        <v>44</v>
      </c>
      <c r="Y1" s="2" t="s">
        <v>45</v>
      </c>
      <c r="AC1" s="2" t="s">
        <v>40</v>
      </c>
      <c r="AD1" s="2" t="s">
        <v>41</v>
      </c>
      <c r="AH1" s="2" t="s">
        <v>42</v>
      </c>
      <c r="AI1" s="2" t="s">
        <v>43</v>
      </c>
      <c r="AJ1" s="2" t="s">
        <v>15</v>
      </c>
      <c r="AK1" s="2" t="s">
        <v>44</v>
      </c>
      <c r="AL1" s="2" t="s">
        <v>45</v>
      </c>
    </row>
    <row r="2" spans="1:38" x14ac:dyDescent="0.25">
      <c r="B2" s="46">
        <v>45385</v>
      </c>
      <c r="C2" s="77">
        <f>_xlfn.XLOOKUP(B2,GOOG[Date],GOOG[Close])</f>
        <v>156.36999499999999</v>
      </c>
      <c r="D2" s="14">
        <f>_xlfn.XLOOKUP(E2,'IR interpolation'!$G:$G,'IR interpolation'!$I:$I)</f>
        <v>2.0862820374417092E-2</v>
      </c>
      <c r="E2" s="46">
        <v>46122</v>
      </c>
      <c r="G2" s="2" t="s">
        <v>46</v>
      </c>
      <c r="H2" s="54">
        <f t="array" ref="H2:L2">initialParamsVola(B3,B4,A9:A56,B9:B56)</f>
        <v>1555.8568102039653</v>
      </c>
      <c r="I2" s="54">
        <v>3464.7090537913405</v>
      </c>
      <c r="J2" s="54">
        <v>9.4629603290172518E-2</v>
      </c>
      <c r="K2" s="54">
        <v>-0.56976988987581834</v>
      </c>
      <c r="L2" s="54">
        <v>-0.81698556176687753</v>
      </c>
      <c r="O2" s="46">
        <v>45351</v>
      </c>
      <c r="P2" s="77">
        <f>_xlfn.XLOOKUP(O2,GOOG[Date],GOOG[Close])</f>
        <v>139.779999</v>
      </c>
      <c r="Q2" s="14">
        <f>_xlfn.XLOOKUP(R2,'IR interpolation'!$G:$G,'IR interpolation'!$F:$F)</f>
        <v>2.0567980459693956E-2</v>
      </c>
      <c r="R2" s="46">
        <v>46122</v>
      </c>
      <c r="T2" s="2" t="s">
        <v>46</v>
      </c>
      <c r="U2" s="54">
        <f t="array" ref="U2:Y2">initialParamsVola(O3,O4,N9:N47,O9:O47)</f>
        <v>2388.1077644705583</v>
      </c>
      <c r="V2" s="54">
        <v>2870.7662448562833</v>
      </c>
      <c r="W2" s="54">
        <v>-0.34623380754389926</v>
      </c>
      <c r="X2" s="54">
        <v>-1.1093630078817438E-3</v>
      </c>
      <c r="Y2" s="54">
        <v>-0.48583764830651599</v>
      </c>
      <c r="AB2" s="46">
        <v>45291</v>
      </c>
      <c r="AC2" s="77">
        <f>_xlfn.XLOOKUP(AB2,GOOG[Date],GOOG[Close],,1)</f>
        <v>139.55999800000001</v>
      </c>
      <c r="AD2" s="14">
        <f>_xlfn.XLOOKUP(AE2,'IR interpolation'!$G:$G,'IR interpolation'!$C:$C)</f>
        <v>1.8733290812456109E-2</v>
      </c>
      <c r="AE2" s="46">
        <v>46122</v>
      </c>
      <c r="AG2" s="2" t="s">
        <v>46</v>
      </c>
      <c r="AH2" s="54">
        <f t="array" ref="AH2:AL2">initialParamsVola(AB3,AB4,AA9:AA53,AB9:AB53)</f>
        <v>1633.7809836286767</v>
      </c>
      <c r="AI2" s="54">
        <v>6868.3447748458111</v>
      </c>
      <c r="AJ2" s="54">
        <v>-3.2997767795409756E-2</v>
      </c>
      <c r="AK2" s="54">
        <v>0.23164452459335716</v>
      </c>
      <c r="AL2" s="54">
        <v>-0.59667394652604322</v>
      </c>
    </row>
    <row r="3" spans="1:38" x14ac:dyDescent="0.25">
      <c r="A3" s="2" t="s">
        <v>47</v>
      </c>
      <c r="B3" s="14">
        <f>C3*EXP(D2*B4)</f>
        <v>163.58339949420815</v>
      </c>
      <c r="C3" s="77">
        <v>156.36999499999999</v>
      </c>
      <c r="G3" s="2" t="s">
        <v>48</v>
      </c>
      <c r="H3" s="54">
        <f>H2</f>
        <v>1555.8568102039653</v>
      </c>
      <c r="I3" s="54">
        <f>I2</f>
        <v>3464.7090537913405</v>
      </c>
      <c r="J3" s="54">
        <f>J2</f>
        <v>9.4629603290172518E-2</v>
      </c>
      <c r="K3" s="54">
        <f>K2</f>
        <v>-0.56976988987581834</v>
      </c>
      <c r="L3" s="54">
        <f>L2</f>
        <v>-0.81698556176687753</v>
      </c>
      <c r="N3" s="2" t="s">
        <v>47</v>
      </c>
      <c r="O3" s="14">
        <f>P3*EXP(Q2*O4)</f>
        <v>145.17463182725453</v>
      </c>
      <c r="P3" s="77">
        <v>139.779999</v>
      </c>
      <c r="T3" s="2" t="s">
        <v>48</v>
      </c>
      <c r="U3" s="54">
        <f>U2</f>
        <v>2388.1077644705583</v>
      </c>
      <c r="V3" s="54">
        <f>V2</f>
        <v>2870.7662448562833</v>
      </c>
      <c r="W3" s="54">
        <f>W2</f>
        <v>-0.34623380754389926</v>
      </c>
      <c r="X3" s="54">
        <f>X2</f>
        <v>-1.1093630078817438E-3</v>
      </c>
      <c r="Y3" s="54">
        <f>Y2</f>
        <v>-0.48583764830651599</v>
      </c>
      <c r="AA3" s="2" t="s">
        <v>47</v>
      </c>
      <c r="AB3" s="14">
        <f>AC3*EXP(AD2*AB4)</f>
        <v>144.90289548664879</v>
      </c>
      <c r="AC3" s="77">
        <v>139.55999800000001</v>
      </c>
      <c r="AG3" s="2" t="s">
        <v>48</v>
      </c>
      <c r="AH3" s="54">
        <f>AH2</f>
        <v>1633.7809836286767</v>
      </c>
      <c r="AI3" s="54">
        <f>AI2</f>
        <v>6868.3447748458111</v>
      </c>
      <c r="AJ3" s="54">
        <f>AJ2</f>
        <v>-3.2997767795409756E-2</v>
      </c>
      <c r="AK3" s="54">
        <f>AK2</f>
        <v>0.23164452459335716</v>
      </c>
      <c r="AL3" s="54">
        <f>AL2</f>
        <v>-0.59667394652604322</v>
      </c>
    </row>
    <row r="4" spans="1:38" x14ac:dyDescent="0.25">
      <c r="A4" s="2" t="s">
        <v>49</v>
      </c>
      <c r="B4" s="14">
        <f>YEARFRAC(B5,B2,3)</f>
        <v>2.1616438356164385</v>
      </c>
      <c r="N4" s="2" t="s">
        <v>49</v>
      </c>
      <c r="O4" s="14">
        <f>YEARFRAC(O5,O2,3)</f>
        <v>1.8410958904109589</v>
      </c>
      <c r="AA4" s="2" t="s">
        <v>49</v>
      </c>
      <c r="AB4" s="14">
        <f>YEARFRAC(AB5,AB2,3)</f>
        <v>2.0054794520547947</v>
      </c>
    </row>
    <row r="5" spans="1:38" x14ac:dyDescent="0.25">
      <c r="B5" s="46">
        <v>46174</v>
      </c>
      <c r="G5" s="2" t="s">
        <v>50</v>
      </c>
      <c r="H5" s="54">
        <f t="array" ref="H5:L5">fitGatheralVola(B3,B4,A9:A56,B9:B56,H3:L3)</f>
        <v>2799.3250543895165</v>
      </c>
      <c r="I5" s="54">
        <v>798.69830721965798</v>
      </c>
      <c r="J5" s="54">
        <v>0.13000942538130836</v>
      </c>
      <c r="K5" s="54">
        <v>-1.8818587230186423</v>
      </c>
      <c r="L5" s="54">
        <v>-0.94546130924332406</v>
      </c>
      <c r="O5" s="46">
        <v>46023</v>
      </c>
      <c r="T5" s="2" t="s">
        <v>50</v>
      </c>
      <c r="U5" s="54">
        <f t="array" ref="U5:Y5">fitGatheralVola(O3,O4,N9:N47,O9:O47,U3:Y3)</f>
        <v>422.72538357805234</v>
      </c>
      <c r="V5" s="54">
        <v>2075.2026822692496</v>
      </c>
      <c r="W5" s="54">
        <v>-0.49311714455072514</v>
      </c>
      <c r="X5" s="54">
        <v>0.11759934911019795</v>
      </c>
      <c r="Y5" s="54">
        <v>0.34062473648422026</v>
      </c>
      <c r="AB5" s="46">
        <v>46023</v>
      </c>
      <c r="AG5" s="2" t="s">
        <v>50</v>
      </c>
      <c r="AH5" s="54">
        <f t="array" ref="AH5:AL5">fitGatheralVola(AB3,AB4,AA9:AA53,AB9:AB53,AH3:AL3)</f>
        <v>3204.2607600104116</v>
      </c>
      <c r="AI5" s="54">
        <v>-285.17352658640021</v>
      </c>
      <c r="AJ5" s="54">
        <v>0.77798569383423832</v>
      </c>
      <c r="AK5" s="54">
        <v>3.8061922519903728</v>
      </c>
      <c r="AL5" s="54">
        <v>-0.7447147408300111</v>
      </c>
    </row>
    <row r="7" spans="1:38" x14ac:dyDescent="0.25">
      <c r="F7" s="2">
        <f>SQRT(SUMPRODUCT(F9:F128,F9:F128))</f>
        <v>5.251647306822135</v>
      </c>
      <c r="S7" s="2">
        <f>SQRT(SUMPRODUCT(S9:S128,S9:S128))</f>
        <v>3.6705070816347423</v>
      </c>
      <c r="AF7" s="2">
        <f>SQRT(SUMPRODUCT(AF9:AF128,AF9:AF128))</f>
        <v>14.730391822876655</v>
      </c>
    </row>
    <row r="8" spans="1:38" x14ac:dyDescent="0.25">
      <c r="A8" s="2" t="s">
        <v>51</v>
      </c>
      <c r="B8" s="2" t="s">
        <v>52</v>
      </c>
      <c r="C8" s="2"/>
      <c r="D8" s="2" t="s">
        <v>53</v>
      </c>
      <c r="E8" s="2"/>
      <c r="F8" s="2" t="s">
        <v>54</v>
      </c>
      <c r="N8" s="2" t="s">
        <v>51</v>
      </c>
      <c r="O8" s="2" t="s">
        <v>52</v>
      </c>
      <c r="P8" s="2"/>
      <c r="Q8" s="2" t="s">
        <v>53</v>
      </c>
      <c r="R8" s="2"/>
      <c r="S8" s="2" t="s">
        <v>54</v>
      </c>
      <c r="AA8" s="2" t="s">
        <v>51</v>
      </c>
      <c r="AB8" s="2" t="s">
        <v>52</v>
      </c>
      <c r="AC8" s="2"/>
      <c r="AD8" s="2" t="s">
        <v>53</v>
      </c>
      <c r="AE8" s="2"/>
      <c r="AF8" s="2" t="s">
        <v>54</v>
      </c>
    </row>
    <row r="9" spans="1:38" x14ac:dyDescent="0.25">
      <c r="A9" s="14">
        <v>50</v>
      </c>
      <c r="B9" s="14">
        <v>40.576500000000003</v>
      </c>
      <c r="C9" s="14"/>
      <c r="D9" s="14" cm="1">
        <f t="array" ref="D9">G(A9,$B$3,$B$4,H$5:L$5)</f>
        <v>39.529263495480031</v>
      </c>
      <c r="E9" s="14"/>
      <c r="F9" s="14">
        <f t="shared" ref="F9:F48" si="0">D9-B9</f>
        <v>-1.0472365045199723</v>
      </c>
      <c r="N9" s="14">
        <v>95</v>
      </c>
      <c r="O9" s="14">
        <v>34.650799999999997</v>
      </c>
      <c r="P9" s="14"/>
      <c r="Q9" s="14" cm="1">
        <f t="array" ref="Q9">G(N9,$O$3,$O$4,$U$5:$Y$5)</f>
        <v>33.968181510781541</v>
      </c>
      <c r="R9" s="14"/>
      <c r="S9" s="14">
        <f t="shared" ref="S9:S47" si="1">Q9-O9</f>
        <v>-0.68261848921845569</v>
      </c>
      <c r="AA9" s="14">
        <v>45</v>
      </c>
      <c r="AB9" s="14">
        <v>48.184699999999999</v>
      </c>
      <c r="AC9" s="14"/>
      <c r="AD9" s="14" cm="1">
        <f t="array" ref="AD9">G(AA9,$AB$3,$AB$4,AH$5:AL$5)</f>
        <v>41.250081463909517</v>
      </c>
      <c r="AE9" s="14"/>
      <c r="AF9" s="14">
        <f t="shared" ref="AF9:AF42" si="2">AD9-AB9</f>
        <v>-6.9346185360904826</v>
      </c>
    </row>
    <row r="10" spans="1:38" x14ac:dyDescent="0.25">
      <c r="A10" s="14">
        <v>55</v>
      </c>
      <c r="B10" s="14">
        <v>37.505299999999998</v>
      </c>
      <c r="C10" s="14"/>
      <c r="D10" s="14" cm="1">
        <f t="array" ref="D10">G(A10,$B$3,$B$4,H$5:L$5)</f>
        <v>38.305610433396936</v>
      </c>
      <c r="E10" s="14"/>
      <c r="F10" s="14">
        <f t="shared" si="0"/>
        <v>0.80031043339693753</v>
      </c>
      <c r="N10" s="14">
        <v>100</v>
      </c>
      <c r="O10" s="14">
        <v>33.475499999999997</v>
      </c>
      <c r="P10" s="14"/>
      <c r="Q10" s="14" cm="1">
        <f t="array" ref="Q10">G(N10,$O$3,$O$4,$U$5:$Y$5)</f>
        <v>33.354908381656983</v>
      </c>
      <c r="R10" s="14"/>
      <c r="S10" s="14">
        <f t="shared" si="1"/>
        <v>-0.12059161834301335</v>
      </c>
      <c r="AA10" s="14">
        <v>50</v>
      </c>
      <c r="AB10" s="14">
        <v>45.216299999999997</v>
      </c>
      <c r="AC10" s="14"/>
      <c r="AD10" s="14" cm="1">
        <f t="array" ref="AD10">G(AA10,$AB$3,$AB$4,AH$5:AL$5)</f>
        <v>40.632476892145426</v>
      </c>
      <c r="AE10" s="14"/>
      <c r="AF10" s="14">
        <f t="shared" si="2"/>
        <v>-4.5838231078545704</v>
      </c>
    </row>
    <row r="11" spans="1:38" x14ac:dyDescent="0.25">
      <c r="A11" s="14">
        <v>60</v>
      </c>
      <c r="B11" s="14">
        <v>37.412500000000001</v>
      </c>
      <c r="C11" s="14"/>
      <c r="D11" s="14" cm="1">
        <f t="array" ref="D11">G(A11,$B$3,$B$4,H$5:L$5)</f>
        <v>37.249414853139037</v>
      </c>
      <c r="E11" s="14"/>
      <c r="F11" s="14">
        <f t="shared" si="0"/>
        <v>-0.16308514686096487</v>
      </c>
      <c r="N11" s="14">
        <v>105</v>
      </c>
      <c r="O11" s="14">
        <v>32.032899999999998</v>
      </c>
      <c r="P11" s="14"/>
      <c r="Q11" s="14" cm="1">
        <f t="array" ref="Q11">G(N11,$O$3,$O$4,$U$5:$Y$5)</f>
        <v>32.776560184323209</v>
      </c>
      <c r="R11" s="14"/>
      <c r="S11" s="14">
        <f t="shared" si="1"/>
        <v>0.74366018432321113</v>
      </c>
      <c r="AA11" s="14">
        <v>55</v>
      </c>
      <c r="AB11" s="14">
        <v>46.918999999999997</v>
      </c>
      <c r="AC11" s="14"/>
      <c r="AD11" s="14" cm="1">
        <f t="array" ref="AD11">G(AA11,$AB$3,$AB$4,AH$5:AL$5)</f>
        <v>40.048406500658778</v>
      </c>
      <c r="AE11" s="14"/>
      <c r="AF11" s="14">
        <f t="shared" si="2"/>
        <v>-6.8705934993412185</v>
      </c>
    </row>
    <row r="12" spans="1:38" x14ac:dyDescent="0.25">
      <c r="A12" s="14">
        <v>65</v>
      </c>
      <c r="B12" s="14">
        <v>37.554600000000001</v>
      </c>
      <c r="C12" s="14"/>
      <c r="D12" s="14" cm="1">
        <f t="array" ref="D12">G(A12,$B$3,$B$4,H$5:L$5)</f>
        <v>36.442943766135087</v>
      </c>
      <c r="E12" s="14"/>
      <c r="F12" s="14">
        <f t="shared" si="0"/>
        <v>-1.1116562338649132</v>
      </c>
      <c r="N12" s="14">
        <v>110</v>
      </c>
      <c r="O12" s="14">
        <v>32.322099999999999</v>
      </c>
      <c r="P12" s="14"/>
      <c r="Q12" s="14" cm="1">
        <f t="array" ref="Q12">G(N12,$O$3,$O$4,$U$5:$Y$5)</f>
        <v>32.232082974595933</v>
      </c>
      <c r="R12" s="14"/>
      <c r="S12" s="14">
        <f t="shared" si="1"/>
        <v>-9.0017025404065976E-2</v>
      </c>
      <c r="AA12" s="14">
        <v>60</v>
      </c>
      <c r="AB12" s="14">
        <v>43.3538</v>
      </c>
      <c r="AC12" s="14"/>
      <c r="AD12" s="14" cm="1">
        <f t="array" ref="AD12">G(AA12,$AB$3,$AB$4,AH$5:AL$5)</f>
        <v>39.491445377255907</v>
      </c>
      <c r="AE12" s="14"/>
      <c r="AF12" s="14">
        <f t="shared" si="2"/>
        <v>-3.8623546227440926</v>
      </c>
    </row>
    <row r="13" spans="1:38" x14ac:dyDescent="0.25">
      <c r="A13" s="14">
        <v>70</v>
      </c>
      <c r="B13" s="14">
        <v>36.162799999999997</v>
      </c>
      <c r="C13" s="14"/>
      <c r="D13" s="14" cm="1">
        <f t="array" ref="D13">G(A13,$B$3,$B$4,H$5:L$5)</f>
        <v>35.883975482384201</v>
      </c>
      <c r="E13" s="14"/>
      <c r="F13" s="14">
        <f t="shared" si="0"/>
        <v>-0.27882451761579574</v>
      </c>
      <c r="N13" s="14">
        <v>115</v>
      </c>
      <c r="O13" s="14">
        <v>31.952999999999999</v>
      </c>
      <c r="P13" s="14"/>
      <c r="Q13" s="14" cm="1">
        <f t="array" ref="Q13">G(N13,$O$3,$O$4,$U$5:$Y$5)</f>
        <v>31.720747208258459</v>
      </c>
      <c r="R13" s="14"/>
      <c r="S13" s="14">
        <f t="shared" si="1"/>
        <v>-0.23225279174154068</v>
      </c>
      <c r="AA13" s="14">
        <v>65</v>
      </c>
      <c r="AB13" s="14">
        <v>40.256</v>
      </c>
      <c r="AC13" s="14"/>
      <c r="AD13" s="14" cm="1">
        <f t="array" ref="AD13">G(AA13,$AB$3,$AB$4,AH$5:AL$5)</f>
        <v>38.957141979813365</v>
      </c>
      <c r="AE13" s="14"/>
      <c r="AF13" s="14">
        <f t="shared" si="2"/>
        <v>-1.2988580201866355</v>
      </c>
    </row>
    <row r="14" spans="1:38" x14ac:dyDescent="0.25">
      <c r="A14" s="14">
        <v>75</v>
      </c>
      <c r="B14" s="14">
        <v>34.517800000000001</v>
      </c>
      <c r="C14" s="14"/>
      <c r="D14" s="14" cm="1">
        <f t="array" ref="D14">G(A14,$B$3,$B$4,H$5:L$5)</f>
        <v>35.463120357704966</v>
      </c>
      <c r="E14" s="14"/>
      <c r="F14" s="14">
        <f t="shared" si="0"/>
        <v>0.94532035770496492</v>
      </c>
      <c r="N14" s="14">
        <v>120</v>
      </c>
      <c r="O14" s="14">
        <v>30.614699999999999</v>
      </c>
      <c r="P14" s="14"/>
      <c r="Q14" s="14" cm="1">
        <f t="array" ref="Q14">G(N14,$O$3,$O$4,$U$5:$Y$5)</f>
        <v>31.242093998110374</v>
      </c>
      <c r="R14" s="14"/>
      <c r="S14" s="14">
        <f t="shared" si="1"/>
        <v>0.62739399811037444</v>
      </c>
      <c r="AA14" s="14">
        <v>70</v>
      </c>
      <c r="AB14" s="14">
        <v>39.699599999999997</v>
      </c>
      <c r="AC14" s="14"/>
      <c r="AD14" s="14" cm="1">
        <f t="array" ref="AD14">G(AA14,$AB$3,$AB$4,AH$5:AL$5)</f>
        <v>38.442407952965098</v>
      </c>
      <c r="AE14" s="14"/>
      <c r="AF14" s="14">
        <f t="shared" si="2"/>
        <v>-1.2571920470348985</v>
      </c>
    </row>
    <row r="15" spans="1:38" x14ac:dyDescent="0.25">
      <c r="A15" s="14">
        <v>80</v>
      </c>
      <c r="B15" s="14">
        <v>34.667999999999999</v>
      </c>
      <c r="C15" s="14"/>
      <c r="D15" s="14" cm="1">
        <f t="array" ref="D15">G(A15,$B$3,$B$4,H$5:L$5)</f>
        <v>35.108853678901205</v>
      </c>
      <c r="E15" s="14"/>
      <c r="F15" s="14">
        <f t="shared" si="0"/>
        <v>0.44085367890120608</v>
      </c>
      <c r="N15" s="14">
        <v>125</v>
      </c>
      <c r="O15" s="14">
        <v>30.9939</v>
      </c>
      <c r="P15" s="14"/>
      <c r="Q15" s="14" cm="1">
        <f t="array" ref="Q15">G(N15,$O$3,$O$4,$U$5:$Y$5)</f>
        <v>30.795886444688168</v>
      </c>
      <c r="R15" s="14"/>
      <c r="S15" s="14">
        <f t="shared" si="1"/>
        <v>-0.19801355531183162</v>
      </c>
      <c r="AA15" s="14">
        <v>75</v>
      </c>
      <c r="AB15" s="14">
        <v>37.5548</v>
      </c>
      <c r="AC15" s="14"/>
      <c r="AD15" s="14" cm="1">
        <f t="array" ref="AD15">G(AA15,$AB$3,$AB$4,AH$5:AL$5)</f>
        <v>37.945073024617678</v>
      </c>
      <c r="AE15" s="14"/>
      <c r="AF15" s="14">
        <f t="shared" si="2"/>
        <v>0.39027302461767732</v>
      </c>
    </row>
    <row r="16" spans="1:38" x14ac:dyDescent="0.25">
      <c r="A16" s="14">
        <v>85</v>
      </c>
      <c r="B16" s="14">
        <v>34.189599999999999</v>
      </c>
      <c r="C16" s="14"/>
      <c r="D16" s="14" cm="1">
        <f t="array" ref="D16">G(A16,$B$3,$B$4,H$5:L$5)</f>
        <v>34.792217332375003</v>
      </c>
      <c r="E16" s="14"/>
      <c r="F16" s="14">
        <f t="shared" si="0"/>
        <v>0.60261733237500437</v>
      </c>
      <c r="N16" s="14">
        <v>130</v>
      </c>
      <c r="O16" s="14">
        <v>30.1675</v>
      </c>
      <c r="P16" s="14"/>
      <c r="Q16" s="14" cm="1">
        <f t="array" ref="Q16">G(N16,$O$3,$O$4,$U$5:$Y$5)</f>
        <v>30.382063495837841</v>
      </c>
      <c r="R16" s="14"/>
      <c r="S16" s="14">
        <f t="shared" si="1"/>
        <v>0.21456349583784018</v>
      </c>
      <c r="AA16" s="14">
        <v>80</v>
      </c>
      <c r="AB16" s="14">
        <v>39.998199999999997</v>
      </c>
      <c r="AC16" s="14"/>
      <c r="AD16" s="14" cm="1">
        <f t="array" ref="AD16">G(AA16,$AB$3,$AB$4,AH$5:AL$5)</f>
        <v>37.463564625596156</v>
      </c>
      <c r="AE16" s="14"/>
      <c r="AF16" s="14">
        <f t="shared" si="2"/>
        <v>-2.534635374403841</v>
      </c>
    </row>
    <row r="17" spans="1:32" x14ac:dyDescent="0.25">
      <c r="A17" s="14">
        <v>90</v>
      </c>
      <c r="B17" s="14">
        <v>33.786799999999999</v>
      </c>
      <c r="C17" s="14"/>
      <c r="D17" s="14" cm="1">
        <f t="array" ref="D17">G(A17,$B$3,$B$4,H$5:L$5)</f>
        <v>34.500810486749621</v>
      </c>
      <c r="E17" s="14"/>
      <c r="F17" s="14">
        <f t="shared" si="0"/>
        <v>0.71401048674962198</v>
      </c>
      <c r="N17" s="14">
        <v>135</v>
      </c>
      <c r="O17" s="14">
        <v>30.073499999999999</v>
      </c>
      <c r="P17" s="14"/>
      <c r="Q17" s="14" cm="1">
        <f t="array" ref="Q17">G(N17,$O$3,$O$4,$U$5:$Y$5)</f>
        <v>30.000694494258781</v>
      </c>
      <c r="R17" s="14"/>
      <c r="S17" s="14">
        <f t="shared" si="1"/>
        <v>-7.2805505741218468E-2</v>
      </c>
      <c r="AA17" s="14">
        <v>85</v>
      </c>
      <c r="AB17" s="14">
        <v>36.026000000000003</v>
      </c>
      <c r="AC17" s="14"/>
      <c r="AD17" s="14" cm="1">
        <f t="array" ref="AD17">G(AA17,$AB$3,$AB$4,AH$5:AL$5)</f>
        <v>36.996686563366417</v>
      </c>
      <c r="AE17" s="14"/>
      <c r="AF17" s="14">
        <f t="shared" si="2"/>
        <v>0.97068656336641368</v>
      </c>
    </row>
    <row r="18" spans="1:32" x14ac:dyDescent="0.25">
      <c r="A18" s="14">
        <v>95</v>
      </c>
      <c r="B18" s="14">
        <v>33.953299999999999</v>
      </c>
      <c r="C18" s="14"/>
      <c r="D18" s="14" cm="1">
        <f t="array" ref="D18">G(A18,$B$3,$B$4,H$5:L$5)</f>
        <v>34.228379441218664</v>
      </c>
      <c r="E18" s="14"/>
      <c r="F18" s="14">
        <f t="shared" si="0"/>
        <v>0.27507944121866501</v>
      </c>
      <c r="N18" s="14">
        <v>140</v>
      </c>
      <c r="O18" s="14">
        <v>29.255700000000001</v>
      </c>
      <c r="P18" s="14"/>
      <c r="Q18" s="14" cm="1">
        <f t="array" ref="Q18">G(N18,$O$3,$O$4,$U$5:$Y$5)</f>
        <v>29.651933226046772</v>
      </c>
      <c r="R18" s="14"/>
      <c r="S18" s="14">
        <f t="shared" si="1"/>
        <v>0.39623322604677114</v>
      </c>
      <c r="AA18" s="14">
        <v>90</v>
      </c>
      <c r="AB18" s="14">
        <v>37.474499999999999</v>
      </c>
      <c r="AC18" s="14"/>
      <c r="AD18" s="14" cm="1">
        <f t="array" ref="AD18">G(AA18,$AB$3,$AB$4,AH$5:AL$5)</f>
        <v>36.543474036104563</v>
      </c>
      <c r="AE18" s="14"/>
      <c r="AF18" s="14">
        <f t="shared" si="2"/>
        <v>-0.93102596389543635</v>
      </c>
    </row>
    <row r="19" spans="1:32" x14ac:dyDescent="0.25">
      <c r="A19" s="14">
        <v>100</v>
      </c>
      <c r="B19" s="14">
        <v>34.546300000000002</v>
      </c>
      <c r="C19" s="14"/>
      <c r="D19" s="14" cm="1">
        <f t="array" ref="D19">G(A19,$B$3,$B$4,H$5:L$5)</f>
        <v>33.971265930963085</v>
      </c>
      <c r="E19" s="14"/>
      <c r="F19" s="14">
        <f t="shared" si="0"/>
        <v>-0.57503406903691712</v>
      </c>
      <c r="N19" s="14">
        <v>145</v>
      </c>
      <c r="O19" s="14">
        <v>29.114999999999998</v>
      </c>
      <c r="P19" s="14"/>
      <c r="Q19" s="14" cm="1">
        <f t="array" ref="Q19">G(N19,$O$3,$O$4,$U$5:$Y$5)</f>
        <v>29.335970943874127</v>
      </c>
      <c r="R19" s="14"/>
      <c r="S19" s="14">
        <f t="shared" si="1"/>
        <v>0.22097094387412852</v>
      </c>
      <c r="AA19" s="14">
        <v>95</v>
      </c>
      <c r="AB19" s="14">
        <v>34.816299999999998</v>
      </c>
      <c r="AC19" s="14"/>
      <c r="AD19" s="14" cm="1">
        <f t="array" ref="AD19">G(AA19,$AB$3,$AB$4,AH$5:AL$5)</f>
        <v>36.103103832260039</v>
      </c>
      <c r="AE19" s="14"/>
      <c r="AF19" s="14">
        <f t="shared" si="2"/>
        <v>1.2868038322600412</v>
      </c>
    </row>
    <row r="20" spans="1:32" x14ac:dyDescent="0.25">
      <c r="A20" s="14">
        <v>105</v>
      </c>
      <c r="B20" s="14">
        <v>35.305500000000002</v>
      </c>
      <c r="C20" s="14"/>
      <c r="D20" s="14" cm="1">
        <f t="array" ref="D20">G(A20,$B$3,$B$4,H$5:L$5)</f>
        <v>33.72706955565652</v>
      </c>
      <c r="E20" s="14"/>
      <c r="F20" s="14">
        <f t="shared" si="0"/>
        <v>-1.578430444343482</v>
      </c>
      <c r="N20" s="14">
        <v>150</v>
      </c>
      <c r="O20" s="14">
        <v>29.484400000000001</v>
      </c>
      <c r="P20" s="14"/>
      <c r="Q20" s="14" cm="1">
        <f t="array" ref="Q20">G(N20,$O$3,$O$4,$U$5:$Y$5)</f>
        <v>29.052988528387029</v>
      </c>
      <c r="R20" s="14"/>
      <c r="S20" s="14">
        <f t="shared" si="1"/>
        <v>-0.43141147161297155</v>
      </c>
      <c r="AA20" s="14">
        <v>100</v>
      </c>
      <c r="AB20" s="14">
        <v>33.524099999999997</v>
      </c>
      <c r="AC20" s="14"/>
      <c r="AD20" s="14" cm="1">
        <f t="array" ref="AD20">G(AA20,$AB$3,$AB$4,AH$5:AL$5)</f>
        <v>35.674841702027663</v>
      </c>
      <c r="AE20" s="14"/>
      <c r="AF20" s="14">
        <f t="shared" si="2"/>
        <v>2.1507417020276662</v>
      </c>
    </row>
    <row r="21" spans="1:32" x14ac:dyDescent="0.25">
      <c r="A21" s="14">
        <v>110</v>
      </c>
      <c r="B21" s="14">
        <v>33.839700000000001</v>
      </c>
      <c r="C21" s="14"/>
      <c r="D21" s="14" cm="1">
        <f t="array" ref="D21">G(A21,$B$3,$B$4,H$5:L$5)</f>
        <v>33.494076658256958</v>
      </c>
      <c r="E21" s="14"/>
      <c r="F21" s="14">
        <f t="shared" si="0"/>
        <v>-0.34562334174304254</v>
      </c>
      <c r="N21" s="14">
        <v>155</v>
      </c>
      <c r="O21" s="14">
        <v>29.026900000000001</v>
      </c>
      <c r="P21" s="14"/>
      <c r="Q21" s="14" cm="1">
        <f t="array" ref="Q21">G(N21,$O$3,$O$4,$U$5:$Y$5)</f>
        <v>28.803108657364717</v>
      </c>
      <c r="R21" s="14"/>
      <c r="S21" s="14">
        <f t="shared" si="1"/>
        <v>-0.223791342635284</v>
      </c>
      <c r="AA21" s="14">
        <v>105</v>
      </c>
      <c r="AB21" s="14">
        <v>33.5182</v>
      </c>
      <c r="AC21" s="14"/>
      <c r="AD21" s="14" cm="1">
        <f t="array" ref="AD21">G(AA21,$AB$3,$AB$4,AH$5:AL$5)</f>
        <v>35.258013135211925</v>
      </c>
      <c r="AE21" s="14"/>
      <c r="AF21" s="14">
        <f t="shared" si="2"/>
        <v>1.739813135211925</v>
      </c>
    </row>
    <row r="22" spans="1:32" x14ac:dyDescent="0.25">
      <c r="A22" s="14">
        <v>115</v>
      </c>
      <c r="B22" s="14">
        <v>32.9923</v>
      </c>
      <c r="C22" s="14"/>
      <c r="D22" s="14" cm="1">
        <f t="array" ref="D22">G(A22,$B$3,$B$4,H$5:L$5)</f>
        <v>33.270987173575918</v>
      </c>
      <c r="E22" s="14"/>
      <c r="F22" s="14">
        <f t="shared" si="0"/>
        <v>0.27868717357591777</v>
      </c>
      <c r="N22" s="14">
        <v>160</v>
      </c>
      <c r="O22" s="14">
        <v>28.801100000000002</v>
      </c>
      <c r="P22" s="14"/>
      <c r="Q22" s="14" cm="1">
        <f t="array" ref="Q22">G(N22,$O$3,$O$4,$U$5:$Y$5)</f>
        <v>28.586349524097088</v>
      </c>
      <c r="R22" s="14"/>
      <c r="S22" s="14">
        <f t="shared" si="1"/>
        <v>-0.21475047590291396</v>
      </c>
      <c r="AA22" s="14">
        <v>110</v>
      </c>
      <c r="AB22" s="14">
        <v>34.5334</v>
      </c>
      <c r="AC22" s="14"/>
      <c r="AD22" s="14" cm="1">
        <f t="array" ref="AD22">G(AA22,$AB$3,$AB$4,AH$5:AL$5)</f>
        <v>34.851987972941885</v>
      </c>
      <c r="AE22" s="14"/>
      <c r="AF22" s="14">
        <f t="shared" si="2"/>
        <v>0.31858797294188435</v>
      </c>
    </row>
    <row r="23" spans="1:32" x14ac:dyDescent="0.25">
      <c r="A23" s="14">
        <v>120</v>
      </c>
      <c r="B23" s="14">
        <v>32.8309</v>
      </c>
      <c r="C23" s="14"/>
      <c r="D23" s="14" cm="1">
        <f t="array" ref="D23">G(A23,$B$3,$B$4,H$5:L$5)</f>
        <v>33.056770667095499</v>
      </c>
      <c r="E23" s="14"/>
      <c r="F23" s="14">
        <f t="shared" si="0"/>
        <v>0.2258706670954993</v>
      </c>
      <c r="N23" s="14">
        <v>165</v>
      </c>
      <c r="O23" s="14">
        <v>28.980799999999999</v>
      </c>
      <c r="P23" s="14"/>
      <c r="Q23" s="14" cm="1">
        <f t="array" ref="Q23">G(N23,$O$3,$O$4,$U$5:$Y$5)</f>
        <v>28.402582202216522</v>
      </c>
      <c r="R23" s="14"/>
      <c r="S23" s="14">
        <f t="shared" si="1"/>
        <v>-0.57821779778347704</v>
      </c>
      <c r="AA23" s="14">
        <v>115</v>
      </c>
      <c r="AB23" s="14">
        <v>32.758800000000001</v>
      </c>
      <c r="AC23" s="14"/>
      <c r="AD23" s="14" cm="1">
        <f t="array" ref="AD23">G(AA23,$AB$3,$AB$4,AH$5:AL$5)</f>
        <v>34.456172694631917</v>
      </c>
      <c r="AE23" s="14"/>
      <c r="AF23" s="14">
        <f t="shared" si="2"/>
        <v>1.6973726946319161</v>
      </c>
    </row>
    <row r="24" spans="1:32" x14ac:dyDescent="0.25">
      <c r="A24" s="14">
        <v>125</v>
      </c>
      <c r="B24" s="14">
        <v>32.579099999999997</v>
      </c>
      <c r="C24" s="14"/>
      <c r="D24" s="14" cm="1">
        <f t="array" ref="D24">G(A24,$B$3,$B$4,H$5:L$5)</f>
        <v>32.850583949843141</v>
      </c>
      <c r="E24" s="14"/>
      <c r="F24" s="14">
        <f t="shared" si="0"/>
        <v>0.2714839498431445</v>
      </c>
      <c r="N24" s="14">
        <v>170</v>
      </c>
      <c r="O24" s="14">
        <v>28.519100000000002</v>
      </c>
      <c r="P24" s="14"/>
      <c r="Q24" s="14" cm="1">
        <f t="array" ref="Q24">G(N24,$O$3,$O$4,$U$5:$Y$5)</f>
        <v>28.251494093735975</v>
      </c>
      <c r="R24" s="14"/>
      <c r="S24" s="14">
        <f t="shared" si="1"/>
        <v>-0.26760590626402703</v>
      </c>
      <c r="AA24" s="14">
        <v>120</v>
      </c>
      <c r="AB24" s="14">
        <v>32.863399999999999</v>
      </c>
      <c r="AC24" s="14"/>
      <c r="AD24" s="14" cm="1">
        <f t="array" ref="AD24">G(AA24,$AB$3,$AB$4,AH$5:AL$5)</f>
        <v>34.070006670251857</v>
      </c>
      <c r="AE24" s="14"/>
      <c r="AF24" s="14">
        <f t="shared" si="2"/>
        <v>1.2066066702518583</v>
      </c>
    </row>
    <row r="25" spans="1:32" x14ac:dyDescent="0.25">
      <c r="A25" s="14">
        <v>130</v>
      </c>
      <c r="B25" s="14">
        <v>32.423900000000003</v>
      </c>
      <c r="C25" s="14"/>
      <c r="D25" s="14" cm="1">
        <f t="array" ref="D25">G(A25,$B$3,$B$4,H$5:L$5)</f>
        <v>32.651720529559888</v>
      </c>
      <c r="E25" s="14"/>
      <c r="F25" s="14">
        <f t="shared" si="0"/>
        <v>0.22782052955988519</v>
      </c>
      <c r="N25" s="14">
        <v>175</v>
      </c>
      <c r="O25" s="14">
        <v>28.335599999999999</v>
      </c>
      <c r="P25" s="14"/>
      <c r="Q25" s="14" cm="1">
        <f t="array" ref="Q25">G(N25,$O$3,$O$4,$U$5:$Y$5)</f>
        <v>28.132560926008722</v>
      </c>
      <c r="R25" s="14"/>
      <c r="S25" s="14">
        <f t="shared" si="1"/>
        <v>-0.20303907399127752</v>
      </c>
      <c r="AA25" s="14">
        <v>125</v>
      </c>
      <c r="AB25" s="14">
        <v>32.918399999999998</v>
      </c>
      <c r="AC25" s="14"/>
      <c r="AD25" s="14" cm="1">
        <f t="array" ref="AD25">G(AA25,$AB$3,$AB$4,AH$5:AL$5)</f>
        <v>33.692960273820141</v>
      </c>
      <c r="AE25" s="14"/>
      <c r="AF25" s="14">
        <f t="shared" si="2"/>
        <v>0.7745602738201427</v>
      </c>
    </row>
    <row r="26" spans="1:32" x14ac:dyDescent="0.25">
      <c r="A26" s="14">
        <v>135</v>
      </c>
      <c r="B26" s="14">
        <v>32.731999999999999</v>
      </c>
      <c r="C26" s="14"/>
      <c r="D26" s="14" cm="1">
        <f t="array" ref="D26">G(A26,$B$3,$B$4,H$5:L$5)</f>
        <v>32.459577718302981</v>
      </c>
      <c r="E26" s="14"/>
      <c r="F26" s="14">
        <f t="shared" si="0"/>
        <v>-0.27242228169701832</v>
      </c>
      <c r="N26" s="14">
        <v>180</v>
      </c>
      <c r="O26" s="14">
        <v>27.993099999999998</v>
      </c>
      <c r="P26" s="14"/>
      <c r="Q26" s="14" cm="1">
        <f t="array" ref="Q26">G(N26,$O$3,$O$4,$U$5:$Y$5)</f>
        <v>28.045029423257667</v>
      </c>
      <c r="R26" s="14"/>
      <c r="S26" s="14">
        <f t="shared" si="1"/>
        <v>5.1929423257668361E-2</v>
      </c>
      <c r="AA26" s="14">
        <v>130</v>
      </c>
      <c r="AB26" s="14">
        <v>31.790199999999999</v>
      </c>
      <c r="AC26" s="14"/>
      <c r="AD26" s="14" cm="1">
        <f t="array" ref="AD26">G(AA26,$AB$3,$AB$4,AH$5:AL$5)</f>
        <v>33.324533737978825</v>
      </c>
      <c r="AE26" s="14"/>
      <c r="AF26" s="14">
        <f t="shared" si="2"/>
        <v>1.5343337379788267</v>
      </c>
    </row>
    <row r="27" spans="1:32" x14ac:dyDescent="0.25">
      <c r="A27" s="14">
        <v>140</v>
      </c>
      <c r="B27" s="14">
        <v>31.511900000000001</v>
      </c>
      <c r="C27" s="14"/>
      <c r="D27" s="14" cm="1">
        <f t="array" ref="D27">G(A27,$B$3,$B$4,H$5:L$5)</f>
        <v>32.273634146440578</v>
      </c>
      <c r="E27" s="14"/>
      <c r="F27" s="14">
        <f t="shared" si="0"/>
        <v>0.76173414644057758</v>
      </c>
      <c r="N27" s="14">
        <v>185</v>
      </c>
      <c r="O27" s="14">
        <v>27.672799999999999</v>
      </c>
      <c r="P27" s="14"/>
      <c r="Q27" s="14" cm="1">
        <f t="array" ref="Q27">G(N27,$O$3,$O$4,$U$5:$Y$5)</f>
        <v>27.987912073927404</v>
      </c>
      <c r="R27" s="14"/>
      <c r="S27" s="14">
        <f t="shared" si="1"/>
        <v>0.31511207392740559</v>
      </c>
      <c r="AA27" s="14">
        <v>135</v>
      </c>
      <c r="AB27" s="14">
        <v>30.9864</v>
      </c>
      <c r="AC27" s="14"/>
      <c r="AD27" s="14" cm="1">
        <f t="array" ref="AD27">G(AA27,$AB$3,$AB$4,AH$5:AL$5)</f>
        <v>32.964256199241596</v>
      </c>
      <c r="AE27" s="14"/>
      <c r="AF27" s="14">
        <f t="shared" si="2"/>
        <v>1.9778561992415966</v>
      </c>
    </row>
    <row r="28" spans="1:32" x14ac:dyDescent="0.25">
      <c r="A28" s="14">
        <v>145</v>
      </c>
      <c r="B28" s="14">
        <v>32.508000000000003</v>
      </c>
      <c r="C28" s="14"/>
      <c r="D28" s="14" cm="1">
        <f t="array" ref="D28">G(A28,$B$3,$B$4,H$5:L$5)</f>
        <v>32.093433743113735</v>
      </c>
      <c r="E28" s="14"/>
      <c r="F28" s="14">
        <f t="shared" si="0"/>
        <v>-0.41456625688626758</v>
      </c>
      <c r="N28" s="14">
        <v>190</v>
      </c>
      <c r="O28" s="14">
        <v>27.791699999999999</v>
      </c>
      <c r="P28" s="14"/>
      <c r="Q28" s="14" cm="1">
        <f t="array" ref="Q28">G(N28,$O$3,$O$4,$U$5:$Y$5)</f>
        <v>27.959994428013278</v>
      </c>
      <c r="R28" s="14"/>
      <c r="S28" s="14">
        <f t="shared" si="1"/>
        <v>0.16829442801327943</v>
      </c>
      <c r="AA28" s="14">
        <v>140</v>
      </c>
      <c r="AB28" s="14">
        <v>30.604700000000001</v>
      </c>
      <c r="AC28" s="14"/>
      <c r="AD28" s="14" cm="1">
        <f t="array" ref="AD28">G(AA28,$AB$3,$AB$4,AH$5:AL$5)</f>
        <v>32.611684696132798</v>
      </c>
      <c r="AE28" s="14"/>
      <c r="AF28" s="14">
        <f t="shared" si="2"/>
        <v>2.0069846961327968</v>
      </c>
    </row>
    <row r="29" spans="1:32" x14ac:dyDescent="0.25">
      <c r="A29" s="14">
        <v>150</v>
      </c>
      <c r="B29" s="14">
        <v>30.9514</v>
      </c>
      <c r="C29" s="14"/>
      <c r="D29" s="14" cm="1">
        <f t="array" ref="D29">G(A29,$B$3,$B$4,H$5:L$5)</f>
        <v>31.91857392408841</v>
      </c>
      <c r="E29" s="14"/>
      <c r="F29" s="14">
        <f t="shared" si="0"/>
        <v>0.96717392408841008</v>
      </c>
      <c r="N29" s="14">
        <v>195</v>
      </c>
      <c r="O29" s="14">
        <v>27.9816</v>
      </c>
      <c r="P29" s="14"/>
      <c r="Q29" s="14" cm="1">
        <f t="array" ref="Q29">G(N29,$O$3,$O$4,$U$5:$Y$5)</f>
        <v>27.959854238837035</v>
      </c>
      <c r="R29" s="14"/>
      <c r="S29" s="14">
        <f t="shared" si="1"/>
        <v>-2.1745761162964783E-2</v>
      </c>
      <c r="AA29" s="14">
        <v>145</v>
      </c>
      <c r="AB29" s="14">
        <v>30.802900000000001</v>
      </c>
      <c r="AC29" s="14"/>
      <c r="AD29" s="14" cm="1">
        <f t="array" ref="AD29">G(AA29,$AB$3,$AB$4,AH$5:AL$5)</f>
        <v>32.266403043847006</v>
      </c>
      <c r="AE29" s="14"/>
      <c r="AF29" s="14">
        <f t="shared" si="2"/>
        <v>1.4635030438470054</v>
      </c>
    </row>
    <row r="30" spans="1:32" x14ac:dyDescent="0.25">
      <c r="A30" s="14">
        <v>155</v>
      </c>
      <c r="B30" s="14">
        <v>31.175799999999999</v>
      </c>
      <c r="C30" s="14"/>
      <c r="D30" s="14" cm="1">
        <f t="array" ref="D30">G(A30,$B$3,$B$4,H$5:L$5)</f>
        <v>31.748696628720793</v>
      </c>
      <c r="E30" s="14"/>
      <c r="F30" s="14">
        <f t="shared" si="0"/>
        <v>0.57289662872079461</v>
      </c>
      <c r="N30" s="14">
        <v>200</v>
      </c>
      <c r="O30" s="14">
        <v>27.649699999999999</v>
      </c>
      <c r="P30" s="14"/>
      <c r="Q30" s="14" cm="1">
        <f t="array" ref="Q30">G(N30,$O$3,$O$4,$U$5:$Y$5)</f>
        <v>27.985890698622679</v>
      </c>
      <c r="R30" s="14"/>
      <c r="S30" s="14">
        <f t="shared" si="1"/>
        <v>0.33619069862267992</v>
      </c>
      <c r="AA30" s="14">
        <v>150</v>
      </c>
      <c r="AB30" s="14">
        <v>30.442399999999999</v>
      </c>
      <c r="AC30" s="14"/>
      <c r="AD30" s="14" cm="1">
        <f t="array" ref="AD30">G(AA30,$AB$3,$AB$4,AH$5:AL$5)</f>
        <v>31.928020585590609</v>
      </c>
      <c r="AE30" s="14"/>
      <c r="AF30" s="14">
        <f t="shared" si="2"/>
        <v>1.4856205855906097</v>
      </c>
    </row>
    <row r="31" spans="1:32" x14ac:dyDescent="0.25">
      <c r="A31" s="14">
        <v>160</v>
      </c>
      <c r="B31" s="14">
        <v>30.5764</v>
      </c>
      <c r="C31" s="14"/>
      <c r="D31" s="14" cm="1">
        <f t="array" ref="D31">G(A31,$B$3,$B$4,H$5:L$5)</f>
        <v>31.583481354215557</v>
      </c>
      <c r="E31" s="14"/>
      <c r="F31" s="14">
        <f t="shared" si="0"/>
        <v>1.0070813542155577</v>
      </c>
      <c r="N31" s="14">
        <v>205</v>
      </c>
      <c r="O31" s="14">
        <v>27.940999999999999</v>
      </c>
      <c r="P31" s="14"/>
      <c r="Q31" s="14" cm="1">
        <f t="array" ref="Q31">G(N31,$O$3,$O$4,$U$5:$Y$5)</f>
        <v>28.036361185190646</v>
      </c>
      <c r="R31" s="14"/>
      <c r="S31" s="14">
        <f t="shared" si="1"/>
        <v>9.5361185190647291E-2</v>
      </c>
      <c r="AA31" s="14">
        <v>155</v>
      </c>
      <c r="AB31" s="14">
        <v>30.2911</v>
      </c>
      <c r="AC31" s="14"/>
      <c r="AD31" s="14" cm="1">
        <f t="array" ref="AD31">G(AA31,$AB$3,$AB$4,AH$5:AL$5)</f>
        <v>31.596170851869289</v>
      </c>
      <c r="AE31" s="14"/>
      <c r="AF31" s="14">
        <f t="shared" si="2"/>
        <v>1.3050708518692886</v>
      </c>
    </row>
    <row r="32" spans="1:32" x14ac:dyDescent="0.25">
      <c r="A32" s="14">
        <v>165</v>
      </c>
      <c r="B32" s="14">
        <v>30.3306</v>
      </c>
      <c r="C32" s="14"/>
      <c r="D32" s="14" cm="1">
        <f t="array" ref="D32">G(A32,$B$3,$B$4,H$5:L$5)</f>
        <v>31.42263963258004</v>
      </c>
      <c r="E32" s="14"/>
      <c r="F32" s="14">
        <f t="shared" si="0"/>
        <v>1.0920396325800397</v>
      </c>
      <c r="N32" s="14">
        <v>210</v>
      </c>
      <c r="O32" s="14">
        <v>27.518000000000001</v>
      </c>
      <c r="P32" s="14"/>
      <c r="Q32" s="14" cm="1">
        <f t="array" ref="Q32">G(N32,$O$3,$O$4,$U$5:$Y$5)</f>
        <v>28.109422463731946</v>
      </c>
      <c r="R32" s="14"/>
      <c r="S32" s="14">
        <f t="shared" si="1"/>
        <v>0.59142246373194496</v>
      </c>
      <c r="AA32" s="14">
        <v>160</v>
      </c>
      <c r="AB32" s="14">
        <v>30.5243</v>
      </c>
      <c r="AC32" s="14"/>
      <c r="AD32" s="14" cm="1">
        <f t="array" ref="AD32">G(AA32,$AB$3,$AB$4,AH$5:AL$5)</f>
        <v>31.270510167154882</v>
      </c>
      <c r="AE32" s="14"/>
      <c r="AF32" s="14">
        <f t="shared" si="2"/>
        <v>0.74621016715488153</v>
      </c>
    </row>
    <row r="33" spans="1:32" x14ac:dyDescent="0.25">
      <c r="A33" s="14">
        <v>170</v>
      </c>
      <c r="B33" s="14">
        <v>30.377099999999999</v>
      </c>
      <c r="C33" s="14"/>
      <c r="D33" s="14" cm="1">
        <f t="array" ref="D33">G(A33,$B$3,$B$4,H$5:L$5)</f>
        <v>31.265910576966572</v>
      </c>
      <c r="E33" s="14"/>
      <c r="F33" s="14">
        <f t="shared" si="0"/>
        <v>0.88881057696657351</v>
      </c>
      <c r="N33" s="14">
        <v>215</v>
      </c>
      <c r="O33" s="14">
        <v>28.4102</v>
      </c>
      <c r="P33" s="14"/>
      <c r="Q33" s="14" cm="1">
        <f t="array" ref="Q33">G(N33,$O$3,$O$4,$U$5:$Y$5)</f>
        <v>28.203173218206331</v>
      </c>
      <c r="R33" s="14"/>
      <c r="S33" s="14">
        <f t="shared" si="1"/>
        <v>-0.20702678179366885</v>
      </c>
      <c r="AA33" s="14">
        <v>165</v>
      </c>
      <c r="AB33" s="14">
        <v>29.271100000000001</v>
      </c>
      <c r="AC33" s="14"/>
      <c r="AD33" s="14" cm="1">
        <f t="array" ref="AD33">G(AA33,$AB$3,$AB$4,AH$5:AL$5)</f>
        <v>30.950716240946203</v>
      </c>
      <c r="AE33" s="14"/>
      <c r="AF33" s="14">
        <f t="shared" si="2"/>
        <v>1.6796162409462028</v>
      </c>
    </row>
    <row r="34" spans="1:32" x14ac:dyDescent="0.25">
      <c r="A34" s="14">
        <v>175</v>
      </c>
      <c r="B34" s="14">
        <v>30.634599999999999</v>
      </c>
      <c r="C34" s="14"/>
      <c r="D34" s="14" cm="1">
        <f t="array" ref="D34">G(A34,$B$3,$B$4,H$5:L$5)</f>
        <v>31.113057238585867</v>
      </c>
      <c r="E34" s="14"/>
      <c r="F34" s="14">
        <f t="shared" si="0"/>
        <v>0.47845723858586808</v>
      </c>
      <c r="N34" s="14">
        <v>220</v>
      </c>
      <c r="O34" s="14">
        <v>28.327999999999999</v>
      </c>
      <c r="P34" s="14"/>
      <c r="Q34" s="14" cm="1">
        <f t="array" ref="Q34">G(N34,$O$3,$O$4,$U$5:$Y$5)</f>
        <v>28.315695084001675</v>
      </c>
      <c r="R34" s="14"/>
      <c r="S34" s="14">
        <f t="shared" si="1"/>
        <v>-1.2304915998324617E-2</v>
      </c>
      <c r="AA34" s="14">
        <v>170</v>
      </c>
      <c r="AB34" s="14">
        <v>29.8706</v>
      </c>
      <c r="AC34" s="14"/>
      <c r="AD34" s="14" cm="1">
        <f t="array" ref="AD34">G(AA34,$AB$3,$AB$4,AH$5:AL$5)</f>
        <v>30.636486773716051</v>
      </c>
      <c r="AE34" s="14"/>
      <c r="AF34" s="14">
        <f t="shared" si="2"/>
        <v>0.76588677371605129</v>
      </c>
    </row>
    <row r="35" spans="1:32" x14ac:dyDescent="0.25">
      <c r="A35" s="14">
        <v>180</v>
      </c>
      <c r="B35" s="14">
        <v>30.352599999999999</v>
      </c>
      <c r="C35" s="14"/>
      <c r="D35" s="14" cm="1">
        <f t="array" ref="D35">G(A35,$B$3,$B$4,H$5:L$5)</f>
        <v>30.963863589987319</v>
      </c>
      <c r="E35" s="14"/>
      <c r="F35" s="14">
        <f t="shared" si="0"/>
        <v>0.61126358998732044</v>
      </c>
      <c r="N35" s="14">
        <v>225</v>
      </c>
      <c r="O35" s="14">
        <v>28.940899999999999</v>
      </c>
      <c r="P35" s="14"/>
      <c r="Q35" s="14" cm="1">
        <f t="array" ref="Q35">G(N35,$O$3,$O$4,$U$5:$Y$5)</f>
        <v>28.445089917567479</v>
      </c>
      <c r="R35" s="14"/>
      <c r="S35" s="14">
        <f t="shared" si="1"/>
        <v>-0.49581008243252001</v>
      </c>
      <c r="AA35" s="14">
        <v>175</v>
      </c>
      <c r="AB35" s="14">
        <v>28.652100000000001</v>
      </c>
      <c r="AC35" s="14"/>
      <c r="AD35" s="14" cm="1">
        <f t="array" ref="AD35">G(AA35,$AB$3,$AB$4,AH$5:AL$5)</f>
        <v>30.327538100830601</v>
      </c>
      <c r="AE35" s="14"/>
      <c r="AF35" s="14">
        <f t="shared" si="2"/>
        <v>1.6754381008306005</v>
      </c>
    </row>
    <row r="36" spans="1:32" x14ac:dyDescent="0.25">
      <c r="A36" s="14">
        <v>185</v>
      </c>
      <c r="B36" s="14">
        <v>30.688600000000001</v>
      </c>
      <c r="C36" s="14"/>
      <c r="D36" s="14" cm="1">
        <f t="array" ref="D36">G(A36,$B$3,$B$4,H$5:L$5)</f>
        <v>30.818132000527381</v>
      </c>
      <c r="E36" s="14"/>
      <c r="F36" s="14">
        <f t="shared" si="0"/>
        <v>0.12953200052738012</v>
      </c>
      <c r="N36" s="14">
        <v>230</v>
      </c>
      <c r="O36" s="14">
        <v>29.011500000000002</v>
      </c>
      <c r="P36" s="14"/>
      <c r="Q36" s="14" cm="1">
        <f t="array" ref="Q36">G(N36,$O$3,$O$4,$U$5:$Y$5)</f>
        <v>28.589511741452959</v>
      </c>
      <c r="R36" s="14"/>
      <c r="S36" s="14">
        <f t="shared" si="1"/>
        <v>-0.42198825854704225</v>
      </c>
      <c r="AA36" s="14">
        <v>180</v>
      </c>
      <c r="AB36" s="14">
        <v>28.744</v>
      </c>
      <c r="AC36" s="14"/>
      <c r="AD36" s="14" cm="1">
        <f t="array" ref="AD36">G(AA36,$AB$3,$AB$4,AH$5:AL$5)</f>
        <v>30.023603890693966</v>
      </c>
      <c r="AE36" s="14"/>
      <c r="AF36" s="14">
        <f t="shared" si="2"/>
        <v>1.2796038906939664</v>
      </c>
    </row>
    <row r="37" spans="1:32" x14ac:dyDescent="0.25">
      <c r="A37" s="14">
        <v>190</v>
      </c>
      <c r="B37" s="14">
        <v>29.667100000000001</v>
      </c>
      <c r="C37" s="14"/>
      <c r="D37" s="14" cm="1">
        <f t="array" ref="D37">G(A37,$B$3,$B$4,H$5:L$5)</f>
        <v>30.675681104258445</v>
      </c>
      <c r="E37" s="14"/>
      <c r="F37" s="14">
        <f t="shared" si="0"/>
        <v>1.0085811042584432</v>
      </c>
      <c r="N37" s="14">
        <v>235</v>
      </c>
      <c r="O37" s="14">
        <v>27.9863</v>
      </c>
      <c r="P37" s="14"/>
      <c r="Q37" s="14" cm="1">
        <f t="array" ref="Q37">G(N37,$O$3,$O$4,$U$5:$Y$5)</f>
        <v>28.74719252069119</v>
      </c>
      <c r="R37" s="14"/>
      <c r="S37" s="14">
        <f t="shared" si="1"/>
        <v>0.76089252069118984</v>
      </c>
      <c r="AA37" s="14">
        <v>185</v>
      </c>
      <c r="AB37" s="14">
        <v>28.790500000000002</v>
      </c>
      <c r="AC37" s="14"/>
      <c r="AD37" s="14" cm="1">
        <f t="array" ref="AD37">G(AA37,$AB$3,$AB$4,AH$5:AL$5)</f>
        <v>29.724433907651651</v>
      </c>
      <c r="AE37" s="14"/>
      <c r="AF37" s="14">
        <f t="shared" si="2"/>
        <v>0.93393390765164952</v>
      </c>
    </row>
    <row r="38" spans="1:32" x14ac:dyDescent="0.25">
      <c r="A38" s="14">
        <v>195</v>
      </c>
      <c r="B38" s="14">
        <v>30.2029</v>
      </c>
      <c r="C38" s="14"/>
      <c r="D38" s="14" cm="1">
        <f t="array" ref="D38">G(A38,$B$3,$B$4,H$5:L$5)</f>
        <v>30.536343984696067</v>
      </c>
      <c r="E38" s="14"/>
      <c r="F38" s="14">
        <f t="shared" si="0"/>
        <v>0.33344398469606773</v>
      </c>
      <c r="N38" s="14">
        <v>240</v>
      </c>
      <c r="O38" s="14">
        <v>29.233899999999998</v>
      </c>
      <c r="P38" s="14"/>
      <c r="Q38" s="14" cm="1">
        <f t="array" ref="Q38">G(N38,$O$3,$O$4,$U$5:$Y$5)</f>
        <v>28.91646156315954</v>
      </c>
      <c r="R38" s="14"/>
      <c r="S38" s="14">
        <f t="shared" si="1"/>
        <v>-0.31743843684045814</v>
      </c>
      <c r="AA38" s="14">
        <v>190</v>
      </c>
      <c r="AB38" s="14">
        <v>28.133800000000001</v>
      </c>
      <c r="AC38" s="14"/>
      <c r="AD38" s="14" cm="1">
        <f t="array" ref="AD38">G(AA38,$AB$3,$AB$4,AH$5:AL$5)</f>
        <v>29.429792845675916</v>
      </c>
      <c r="AE38" s="14"/>
      <c r="AF38" s="14">
        <f t="shared" si="2"/>
        <v>1.2959928456759151</v>
      </c>
    </row>
    <row r="39" spans="1:32" x14ac:dyDescent="0.25">
      <c r="A39" s="14">
        <v>200</v>
      </c>
      <c r="B39" s="14">
        <v>29.612400000000001</v>
      </c>
      <c r="C39" s="14"/>
      <c r="D39" s="14" cm="1">
        <f t="array" ref="D39">G(A39,$B$3,$B$4,H$5:L$5)</f>
        <v>30.399966618336062</v>
      </c>
      <c r="E39" s="14"/>
      <c r="F39" s="14">
        <f t="shared" si="0"/>
        <v>0.78756661833606145</v>
      </c>
      <c r="N39" s="14">
        <v>245</v>
      </c>
      <c r="O39" s="14">
        <v>29.720700000000001</v>
      </c>
      <c r="P39" s="14"/>
      <c r="Q39" s="14" cm="1">
        <f t="array" ref="Q39">G(N39,$O$3,$O$4,$U$5:$Y$5)</f>
        <v>29.095758835421528</v>
      </c>
      <c r="R39" s="14"/>
      <c r="S39" s="14">
        <f t="shared" si="1"/>
        <v>-0.62494116457847326</v>
      </c>
      <c r="AA39" s="14">
        <v>195</v>
      </c>
      <c r="AB39" s="14">
        <v>28.720500000000001</v>
      </c>
      <c r="AC39" s="14"/>
      <c r="AD39" s="14" cm="1">
        <f t="array" ref="AD39">G(AA39,$AB$3,$AB$4,AH$5:AL$5)</f>
        <v>29.139459235449571</v>
      </c>
      <c r="AE39" s="14"/>
      <c r="AF39" s="14">
        <f t="shared" si="2"/>
        <v>0.41895923544957014</v>
      </c>
    </row>
    <row r="40" spans="1:32" x14ac:dyDescent="0.25">
      <c r="A40" s="14">
        <v>205</v>
      </c>
      <c r="B40" s="14">
        <v>29.672899999999998</v>
      </c>
      <c r="C40" s="14"/>
      <c r="D40" s="14" cm="1">
        <f t="array" ref="D40">G(A40,$B$3,$B$4,H$5:L$5)</f>
        <v>30.266406531548689</v>
      </c>
      <c r="E40" s="14"/>
      <c r="F40" s="14">
        <f t="shared" si="0"/>
        <v>0.59350653154869093</v>
      </c>
      <c r="N40" s="14">
        <v>250</v>
      </c>
      <c r="O40" s="14">
        <v>29.372900000000001</v>
      </c>
      <c r="P40" s="14"/>
      <c r="Q40" s="14" cm="1">
        <f t="array" ref="Q40">G(N40,$O$3,$O$4,$U$5:$Y$5)</f>
        <v>29.283642826832022</v>
      </c>
      <c r="R40" s="14"/>
      <c r="S40" s="14">
        <f t="shared" si="1"/>
        <v>-8.9257173167979431E-2</v>
      </c>
      <c r="AA40" s="14">
        <v>200</v>
      </c>
      <c r="AB40" s="14">
        <v>28.518999999999998</v>
      </c>
      <c r="AC40" s="14"/>
      <c r="AD40" s="14" cm="1">
        <f t="array" ref="AD40">G(AA40,$AB$3,$AB$4,AH$5:AL$5)</f>
        <v>28.853224424984504</v>
      </c>
      <c r="AE40" s="14"/>
      <c r="AF40" s="14">
        <f t="shared" si="2"/>
        <v>0.33422442498450522</v>
      </c>
    </row>
    <row r="41" spans="1:32" x14ac:dyDescent="0.25">
      <c r="A41" s="14">
        <v>210</v>
      </c>
      <c r="B41" s="14">
        <v>29.7972</v>
      </c>
      <c r="C41" s="14"/>
      <c r="D41" s="14" cm="1">
        <f t="array" ref="D41">G(A41,$B$3,$B$4,H$5:L$5)</f>
        <v>30.135531634980016</v>
      </c>
      <c r="E41" s="14"/>
      <c r="F41" s="14">
        <f t="shared" si="0"/>
        <v>0.33833163498001539</v>
      </c>
      <c r="N41" s="14">
        <v>255</v>
      </c>
      <c r="O41" s="14">
        <v>28.877600000000001</v>
      </c>
      <c r="P41" s="14"/>
      <c r="Q41" s="14" cm="1">
        <f t="array" ref="Q41">G(N41,$O$3,$O$4,$U$5:$Y$5)</f>
        <v>29.478793787022969</v>
      </c>
      <c r="R41" s="14"/>
      <c r="S41" s="14">
        <f t="shared" si="1"/>
        <v>0.601193787022968</v>
      </c>
      <c r="AA41" s="14">
        <v>205</v>
      </c>
      <c r="AB41" s="14">
        <v>28.146000000000001</v>
      </c>
      <c r="AC41" s="14"/>
      <c r="AD41" s="14" cm="1">
        <f t="array" ref="AD41">G(AA41,$AB$3,$AB$4,AH$5:AL$5)</f>
        <v>28.570891632172977</v>
      </c>
      <c r="AE41" s="14"/>
      <c r="AF41" s="14">
        <f t="shared" si="2"/>
        <v>0.42489163217297587</v>
      </c>
    </row>
    <row r="42" spans="1:32" x14ac:dyDescent="0.25">
      <c r="A42" s="14">
        <v>215</v>
      </c>
      <c r="B42" s="14">
        <v>30.053699999999999</v>
      </c>
      <c r="C42" s="14"/>
      <c r="D42" s="14" cm="1">
        <f t="array" ref="D42">G(A42,$B$3,$B$4,H$5:L$5)</f>
        <v>30.007219206779503</v>
      </c>
      <c r="E42" s="14"/>
      <c r="F42" s="14">
        <f t="shared" si="0"/>
        <v>-4.6480793220496253E-2</v>
      </c>
      <c r="N42" s="14">
        <v>260</v>
      </c>
      <c r="O42" s="14">
        <v>28.726600000000001</v>
      </c>
      <c r="P42" s="14"/>
      <c r="Q42" s="14" cm="1">
        <f t="array" ref="Q42">G(N42,$O$3,$O$4,$U$5:$Y$5)</f>
        <v>29.680013231073772</v>
      </c>
      <c r="R42" s="14"/>
      <c r="S42" s="14">
        <f t="shared" si="1"/>
        <v>0.95341323107377107</v>
      </c>
      <c r="AA42" s="14">
        <v>210</v>
      </c>
      <c r="AB42" s="14">
        <v>27.8658</v>
      </c>
      <c r="AC42" s="14"/>
      <c r="AD42" s="14" cm="1">
        <f t="array" ref="AD42">G(AA42,$AB$3,$AB$4,AH$5:AL$5)</f>
        <v>28.292275066503301</v>
      </c>
      <c r="AE42" s="14"/>
      <c r="AF42" s="14">
        <f t="shared" si="2"/>
        <v>0.42647506650330058</v>
      </c>
    </row>
    <row r="43" spans="1:32" x14ac:dyDescent="0.25">
      <c r="A43" s="14">
        <v>220</v>
      </c>
      <c r="B43" s="14">
        <v>29.42</v>
      </c>
      <c r="C43" s="14"/>
      <c r="D43" s="14" cm="1">
        <f t="array" ref="D43">G(A43,$B$3,$B$4,H$5:L$5)</f>
        <v>29.881355001486494</v>
      </c>
      <c r="E43" s="14"/>
      <c r="F43" s="14">
        <f t="shared" si="0"/>
        <v>0.461355001486492</v>
      </c>
      <c r="N43" s="14">
        <v>265</v>
      </c>
      <c r="O43" s="14">
        <v>28.486499999999999</v>
      </c>
      <c r="P43" s="14"/>
      <c r="Q43" s="14" cm="1">
        <f t="array" ref="Q43">G(N43,$O$3,$O$4,$U$5:$Y$5)</f>
        <v>29.886220585362775</v>
      </c>
      <c r="R43" s="14"/>
      <c r="S43" s="14">
        <f t="shared" si="1"/>
        <v>1.3997205853627754</v>
      </c>
      <c r="AA43" s="14">
        <v>215</v>
      </c>
      <c r="AB43" s="14">
        <v>27.776599999999998</v>
      </c>
      <c r="AC43" s="14"/>
      <c r="AD43" s="14" cm="1">
        <f t="array" ref="AD43">G(AA43,$AB$3,$AB$4,AH$5:AL$5)</f>
        <v>28.017199116436718</v>
      </c>
      <c r="AE43" s="14"/>
      <c r="AF43" s="14">
        <f t="shared" ref="AF43:AF53" si="3">AD43-AB43</f>
        <v>0.24059911643671938</v>
      </c>
    </row>
    <row r="44" spans="1:32" x14ac:dyDescent="0.25">
      <c r="A44" s="14">
        <v>225</v>
      </c>
      <c r="B44" s="14">
        <v>29.482900000000001</v>
      </c>
      <c r="C44" s="14"/>
      <c r="D44" s="14" cm="1">
        <f t="array" ref="D44">G(A44,$B$3,$B$4,H$5:L$5)</f>
        <v>29.757832465690214</v>
      </c>
      <c r="E44" s="14"/>
      <c r="F44" s="14">
        <f t="shared" si="0"/>
        <v>0.27493246569021323</v>
      </c>
      <c r="N44" s="14">
        <v>270</v>
      </c>
      <c r="O44" s="14">
        <v>31.033300000000001</v>
      </c>
      <c r="P44" s="14"/>
      <c r="Q44" s="14" cm="1">
        <f t="array" ref="Q44">G(N44,$O$3,$O$4,$U$5:$Y$5)</f>
        <v>30.096447767336354</v>
      </c>
      <c r="R44" s="14"/>
      <c r="S44" s="14">
        <f t="shared" si="1"/>
        <v>-0.93685223266364659</v>
      </c>
      <c r="AA44" s="14">
        <v>220</v>
      </c>
      <c r="AB44" s="14">
        <v>27.565300000000001</v>
      </c>
      <c r="AC44" s="14"/>
      <c r="AD44" s="14" cm="1">
        <f t="array" ref="AD44">G(AA44,$AB$3,$AB$4,AH$5:AL$5)</f>
        <v>27.74549759852432</v>
      </c>
      <c r="AE44" s="14"/>
      <c r="AF44" s="14">
        <f t="shared" si="3"/>
        <v>0.1801975985243196</v>
      </c>
    </row>
    <row r="45" spans="1:32" x14ac:dyDescent="0.25">
      <c r="A45" s="14">
        <v>230</v>
      </c>
      <c r="B45" s="14">
        <v>29.877500000000001</v>
      </c>
      <c r="C45" s="14"/>
      <c r="D45" s="14" cm="1">
        <f t="array" ref="D45">G(A45,$B$3,$B$4,H$5:L$5)</f>
        <v>29.636552044940913</v>
      </c>
      <c r="E45" s="14"/>
      <c r="F45" s="14">
        <f t="shared" si="0"/>
        <v>-0.24094795505908806</v>
      </c>
      <c r="N45" s="14">
        <v>280</v>
      </c>
      <c r="O45" s="14">
        <v>32.421399999999998</v>
      </c>
      <c r="P45" s="14"/>
      <c r="Q45" s="14" cm="1">
        <f t="array" ref="Q45">G(N45,$O$3,$O$4,$U$5:$Y$5)</f>
        <v>30.525610090660003</v>
      </c>
      <c r="R45" s="14"/>
      <c r="S45" s="14">
        <f t="shared" si="1"/>
        <v>-1.8957899093399959</v>
      </c>
      <c r="AA45" s="14">
        <v>225</v>
      </c>
      <c r="AB45" s="14">
        <v>28.847799999999999</v>
      </c>
      <c r="AC45" s="14"/>
      <c r="AD45" s="14" cm="1">
        <f t="array" ref="AD45">G(AA45,$AB$3,$AB$4,AH$5:AL$5)</f>
        <v>27.477013064153667</v>
      </c>
      <c r="AE45" s="14"/>
      <c r="AF45" s="14">
        <f t="shared" si="3"/>
        <v>-1.3707869358463327</v>
      </c>
    </row>
    <row r="46" spans="1:32" x14ac:dyDescent="0.25">
      <c r="A46" s="14">
        <v>235</v>
      </c>
      <c r="B46" s="14">
        <v>29.9999</v>
      </c>
      <c r="C46" s="14"/>
      <c r="D46" s="14" cm="1">
        <f t="array" ref="D46">G(A46,$B$3,$B$4,H$5:L$5)</f>
        <v>29.517420569058064</v>
      </c>
      <c r="E46" s="14"/>
      <c r="F46" s="14">
        <f t="shared" si="0"/>
        <v>-0.48247943094193602</v>
      </c>
      <c r="N46" s="14">
        <v>290</v>
      </c>
      <c r="O46" s="14">
        <v>31.2425</v>
      </c>
      <c r="P46" s="14"/>
      <c r="Q46" s="14" cm="1">
        <f t="array" ref="Q46">G(N46,$O$3,$O$4,$U$5:$Y$5)</f>
        <v>30.961729631554221</v>
      </c>
      <c r="R46" s="14"/>
      <c r="S46" s="14">
        <f t="shared" si="1"/>
        <v>-0.28077036844577918</v>
      </c>
      <c r="AA46" s="14">
        <v>230</v>
      </c>
      <c r="AB46" s="14">
        <v>28.239100000000001</v>
      </c>
      <c r="AC46" s="14"/>
      <c r="AD46" s="14" cm="1">
        <f t="array" ref="AD46">G(AA46,$AB$3,$AB$4,AH$5:AL$5)</f>
        <v>27.211596159786275</v>
      </c>
      <c r="AE46" s="14"/>
      <c r="AF46" s="14">
        <f t="shared" si="3"/>
        <v>-1.0275038402137255</v>
      </c>
    </row>
    <row r="47" spans="1:32" x14ac:dyDescent="0.25">
      <c r="A47" s="14">
        <v>240</v>
      </c>
      <c r="B47" s="14">
        <v>29.058599999999998</v>
      </c>
      <c r="C47" s="14"/>
      <c r="D47" s="14" cm="1">
        <f t="array" ref="D47">G(A47,$B$3,$B$4,H$5:L$5)</f>
        <v>29.400350705118537</v>
      </c>
      <c r="E47" s="14"/>
      <c r="F47" s="14">
        <f t="shared" si="0"/>
        <v>0.34175070511853889</v>
      </c>
      <c r="N47" s="14">
        <v>300</v>
      </c>
      <c r="O47" s="14">
        <v>30.3857</v>
      </c>
      <c r="P47" s="14"/>
      <c r="Q47" s="14" cm="1">
        <f t="array" ref="Q47">G(N47,$O$3,$O$4,$U$5:$Y$5)</f>
        <v>31.400349109157581</v>
      </c>
      <c r="R47" s="14"/>
      <c r="S47" s="14">
        <f t="shared" si="1"/>
        <v>1.0146491091575811</v>
      </c>
      <c r="AA47" s="14">
        <v>235</v>
      </c>
      <c r="AB47" s="14">
        <v>28.511600000000001</v>
      </c>
      <c r="AC47" s="14"/>
      <c r="AD47" s="14" cm="1">
        <f t="array" ref="AD47">G(AA47,$AB$3,$AB$4,AH$5:AL$5)</f>
        <v>26.949105036628232</v>
      </c>
      <c r="AE47" s="14"/>
      <c r="AF47" s="14">
        <f t="shared" si="3"/>
        <v>-1.5624949633717691</v>
      </c>
    </row>
    <row r="48" spans="1:32" x14ac:dyDescent="0.25">
      <c r="A48" s="14">
        <v>245</v>
      </c>
      <c r="B48" s="14">
        <v>29.922599999999999</v>
      </c>
      <c r="C48" s="14"/>
      <c r="D48" s="14" cm="1">
        <f t="array" ref="D48">G(A48,$B$3,$B$4,H$5:L$5)</f>
        <v>29.285260469133604</v>
      </c>
      <c r="E48" s="14"/>
      <c r="F48" s="14">
        <f t="shared" si="0"/>
        <v>-0.63733953086639517</v>
      </c>
      <c r="AA48" s="14">
        <v>240</v>
      </c>
      <c r="AB48" s="14">
        <v>26.932500000000001</v>
      </c>
      <c r="AC48" s="14"/>
      <c r="AD48" s="14" cm="1">
        <f t="array" ref="AD48">G(AA48,$AB$3,$AB$4,AH$5:AL$5)</f>
        <v>26.689404805830133</v>
      </c>
      <c r="AE48" s="14"/>
      <c r="AF48" s="14">
        <f t="shared" si="3"/>
        <v>-0.24309519416986802</v>
      </c>
    </row>
    <row r="49" spans="1:32" x14ac:dyDescent="0.25">
      <c r="A49" s="14">
        <v>250</v>
      </c>
      <c r="B49" s="14">
        <v>30.459099999999999</v>
      </c>
      <c r="C49" s="14"/>
      <c r="D49" s="14" cm="1">
        <f t="array" ref="D49">G(A49,$B$3,$B$4,H$5:L$5)</f>
        <v>29.17207278882837</v>
      </c>
      <c r="E49" s="14"/>
      <c r="F49" s="14">
        <f t="shared" ref="F49:F56" si="4">D49-B49</f>
        <v>-1.2870272111716297</v>
      </c>
      <c r="AA49" s="14">
        <v>245</v>
      </c>
      <c r="AB49" s="14">
        <v>26.546600000000002</v>
      </c>
      <c r="AC49" s="14"/>
      <c r="AD49" s="14" cm="1">
        <f t="array" ref="AD49">G(AA49,$AB$3,$AB$4,AH$5:AL$5)</f>
        <v>26.432367035510246</v>
      </c>
      <c r="AE49" s="14"/>
      <c r="AF49" s="14">
        <f t="shared" si="3"/>
        <v>-0.11423296448975506</v>
      </c>
    </row>
    <row r="50" spans="1:32" x14ac:dyDescent="0.25">
      <c r="A50" s="14">
        <v>255</v>
      </c>
      <c r="B50" s="14">
        <v>30.441800000000001</v>
      </c>
      <c r="C50" s="14"/>
      <c r="D50" s="14" cm="1">
        <f t="array" ref="D50">G(A50,$B$3,$B$4,H$5:L$5)</f>
        <v>29.060715111088964</v>
      </c>
      <c r="E50" s="14"/>
      <c r="F50" s="14">
        <f t="shared" si="4"/>
        <v>-1.3810848889110368</v>
      </c>
      <c r="AA50" s="14">
        <v>250</v>
      </c>
      <c r="AB50" s="14">
        <v>27.950600000000001</v>
      </c>
      <c r="AC50" s="14"/>
      <c r="AD50" s="14" cm="1">
        <f t="array" ref="AD50">G(AA50,$AB$3,$AB$4,AH$5:AL$5)</f>
        <v>26.177869286118522</v>
      </c>
      <c r="AE50" s="14"/>
      <c r="AF50" s="14">
        <f t="shared" si="3"/>
        <v>-1.7727307138814794</v>
      </c>
    </row>
    <row r="51" spans="1:32" x14ac:dyDescent="0.25">
      <c r="A51" s="14">
        <v>260</v>
      </c>
      <c r="B51" s="14">
        <v>29.318899999999999</v>
      </c>
      <c r="C51" s="14"/>
      <c r="D51" s="14" cm="1">
        <f t="array" ref="D51">G(A51,$B$3,$B$4,H$5:L$5)</f>
        <v>28.95111904859267</v>
      </c>
      <c r="E51" s="14"/>
      <c r="F51" s="14">
        <f t="shared" si="4"/>
        <v>-0.36778095140732958</v>
      </c>
      <c r="AA51" s="14">
        <v>255</v>
      </c>
      <c r="AB51" s="14">
        <v>27.471299999999999</v>
      </c>
      <c r="AC51" s="14"/>
      <c r="AD51" s="14" cm="1">
        <f t="array" ref="AD51">G(AA51,$AB$3,$AB$4,AH$5:AL$5)</f>
        <v>25.925794680892725</v>
      </c>
      <c r="AE51" s="14"/>
      <c r="AF51" s="14">
        <f t="shared" si="3"/>
        <v>-1.5455053191072743</v>
      </c>
    </row>
    <row r="52" spans="1:32" x14ac:dyDescent="0.25">
      <c r="A52" s="14">
        <v>265</v>
      </c>
      <c r="B52" s="14">
        <v>29.943899999999999</v>
      </c>
      <c r="C52" s="14"/>
      <c r="D52" s="14" cm="1">
        <f t="array" ref="D52">G(A52,$B$3,$B$4,H$5:L$5)</f>
        <v>28.843220060925233</v>
      </c>
      <c r="E52" s="14"/>
      <c r="F52" s="14">
        <f t="shared" si="4"/>
        <v>-1.1006799390747659</v>
      </c>
      <c r="AA52" s="14">
        <v>260</v>
      </c>
      <c r="AB52" s="14">
        <v>29.419599999999999</v>
      </c>
      <c r="AC52" s="14"/>
      <c r="AD52" s="14" cm="1">
        <f t="array" ref="AD52">G(AA52,$AB$3,$AB$4,AH$5:AL$5)</f>
        <v>25.676031508393535</v>
      </c>
      <c r="AE52" s="14"/>
      <c r="AF52" s="14">
        <f t="shared" si="3"/>
        <v>-3.7435684916064638</v>
      </c>
    </row>
    <row r="53" spans="1:32" x14ac:dyDescent="0.25">
      <c r="A53" s="14">
        <v>270</v>
      </c>
      <c r="B53" s="14">
        <v>29.075399999999998</v>
      </c>
      <c r="C53" s="14"/>
      <c r="D53" s="14" cm="1">
        <f t="array" ref="D53">G(A53,$B$3,$B$4,H$5:L$5)</f>
        <v>28.736957166147583</v>
      </c>
      <c r="E53" s="14"/>
      <c r="F53" s="14">
        <f t="shared" si="4"/>
        <v>-0.33844283385241525</v>
      </c>
      <c r="AA53" s="14">
        <v>265</v>
      </c>
      <c r="AB53" s="14">
        <v>28.020800000000001</v>
      </c>
      <c r="AC53" s="14"/>
      <c r="AD53" s="14" cm="1">
        <f t="array" ref="AD53">G(AA53,$AB$3,$AB$4,AH$5:AL$5)</f>
        <v>25.4284728543354</v>
      </c>
      <c r="AE53" s="14"/>
      <c r="AF53" s="14">
        <f t="shared" si="3"/>
        <v>-2.5923271456646013</v>
      </c>
    </row>
    <row r="54" spans="1:32" x14ac:dyDescent="0.25">
      <c r="A54" s="14">
        <v>280</v>
      </c>
      <c r="B54" s="14">
        <v>29.712599999999998</v>
      </c>
      <c r="C54" s="14"/>
      <c r="D54" s="14" cm="1">
        <f t="array" ref="D54">G(A54,$B$3,$B$4,H$5:L$5)</f>
        <v>28.529111975012015</v>
      </c>
      <c r="E54" s="14"/>
      <c r="F54" s="14">
        <f t="shared" si="4"/>
        <v>-1.1834880249879838</v>
      </c>
    </row>
    <row r="55" spans="1:32" x14ac:dyDescent="0.25">
      <c r="A55" s="14">
        <v>290</v>
      </c>
      <c r="B55" s="14">
        <v>29.804500000000001</v>
      </c>
      <c r="C55" s="14"/>
      <c r="D55" s="14" cm="1">
        <f t="array" ref="D55">G(A55,$B$3,$B$4,H$5:L$5)</f>
        <v>28.327157431308397</v>
      </c>
      <c r="E55" s="14"/>
      <c r="F55" s="14">
        <f t="shared" si="4"/>
        <v>-1.4773425686916042</v>
      </c>
    </row>
    <row r="56" spans="1:32" x14ac:dyDescent="0.25">
      <c r="A56" s="14">
        <v>300</v>
      </c>
      <c r="B56" s="14">
        <v>29.409700000000001</v>
      </c>
      <c r="C56" s="14"/>
      <c r="D56" s="14" cm="1">
        <f t="array" ref="D56">G(A56,$B$3,$B$4,H$5:L$5)</f>
        <v>28.130709965262231</v>
      </c>
      <c r="E56" s="14"/>
      <c r="F56" s="14">
        <f t="shared" si="4"/>
        <v>-1.2789900347377703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9E54A-E6FF-4E3A-9B19-D21EF21290D5}">
  <sheetPr codeName="Arkusz21">
    <tabColor theme="0" tint="-0.14999847407452621"/>
  </sheetPr>
  <dimension ref="A1:AL28"/>
  <sheetViews>
    <sheetView zoomScale="85" zoomScaleNormal="85" workbookViewId="0">
      <selection activeCell="AO8" sqref="AO8"/>
    </sheetView>
  </sheetViews>
  <sheetFormatPr defaultRowHeight="15" x14ac:dyDescent="0.25"/>
  <cols>
    <col min="1" max="1" width="12.140625" bestFit="1" customWidth="1"/>
    <col min="2" max="2" width="14.7109375" bestFit="1" customWidth="1"/>
    <col min="3" max="3" width="10.7109375" bestFit="1" customWidth="1"/>
    <col min="4" max="4" width="21.7109375" bestFit="1" customWidth="1"/>
    <col min="5" max="5" width="21.7109375" customWidth="1"/>
    <col min="6" max="6" width="8.7109375" customWidth="1"/>
    <col min="7" max="7" width="33.140625" bestFit="1" customWidth="1"/>
    <col min="14" max="14" width="12.140625" bestFit="1" customWidth="1"/>
    <col min="15" max="15" width="14.7109375" bestFit="1" customWidth="1"/>
    <col min="16" max="16" width="10.7109375" bestFit="1" customWidth="1"/>
    <col min="17" max="17" width="21.7109375" bestFit="1" customWidth="1"/>
    <col min="18" max="18" width="21.7109375" customWidth="1"/>
    <col min="19" max="19" width="8.7109375" customWidth="1"/>
    <col min="20" max="20" width="33.140625" bestFit="1" customWidth="1"/>
    <col min="27" max="27" width="12.140625" bestFit="1" customWidth="1"/>
    <col min="28" max="28" width="14.7109375" bestFit="1" customWidth="1"/>
    <col min="29" max="29" width="10.7109375" bestFit="1" customWidth="1"/>
    <col min="30" max="30" width="21.7109375" bestFit="1" customWidth="1"/>
    <col min="31" max="31" width="21.7109375" customWidth="1"/>
    <col min="32" max="32" width="8.7109375" customWidth="1"/>
    <col min="33" max="33" width="33.140625" bestFit="1" customWidth="1"/>
  </cols>
  <sheetData>
    <row r="1" spans="1:38" x14ac:dyDescent="0.25">
      <c r="C1" s="2" t="s">
        <v>40</v>
      </c>
      <c r="D1" s="2" t="s">
        <v>41</v>
      </c>
      <c r="H1" s="2" t="s">
        <v>42</v>
      </c>
      <c r="I1" s="2" t="s">
        <v>43</v>
      </c>
      <c r="J1" s="2" t="s">
        <v>15</v>
      </c>
      <c r="K1" s="2" t="s">
        <v>44</v>
      </c>
      <c r="L1" s="2" t="s">
        <v>45</v>
      </c>
      <c r="P1" s="2" t="s">
        <v>40</v>
      </c>
      <c r="Q1" s="2" t="s">
        <v>41</v>
      </c>
      <c r="U1" s="2" t="s">
        <v>42</v>
      </c>
      <c r="V1" s="2" t="s">
        <v>43</v>
      </c>
      <c r="W1" s="2" t="s">
        <v>15</v>
      </c>
      <c r="X1" s="2" t="s">
        <v>44</v>
      </c>
      <c r="Y1" s="2" t="s">
        <v>45</v>
      </c>
      <c r="AC1" s="2" t="s">
        <v>40</v>
      </c>
      <c r="AD1" s="2" t="s">
        <v>41</v>
      </c>
      <c r="AH1" s="2" t="s">
        <v>42</v>
      </c>
      <c r="AI1" s="2" t="s">
        <v>43</v>
      </c>
      <c r="AJ1" s="2" t="s">
        <v>15</v>
      </c>
      <c r="AK1" s="2" t="s">
        <v>44</v>
      </c>
      <c r="AL1" s="2" t="s">
        <v>45</v>
      </c>
    </row>
    <row r="2" spans="1:38" x14ac:dyDescent="0.25">
      <c r="B2" s="46">
        <v>45385</v>
      </c>
      <c r="C2" s="77">
        <f>_xlfn.XLOOKUP(B2,EBAY[Date],EBAY[Close])</f>
        <v>51.849997999999999</v>
      </c>
      <c r="D2" s="14">
        <f>_xlfn.XLOOKUP(E2,'IR interpolation'!$G:$G,'IR interpolation'!$I:$I)</f>
        <v>2.0862820374417092E-2</v>
      </c>
      <c r="E2" s="46">
        <v>46122</v>
      </c>
      <c r="G2" s="2" t="s">
        <v>46</v>
      </c>
      <c r="H2" s="54">
        <f t="array" ref="H2:L2">initialParamsVola(B3,B4,A9:A28,B9:B28)</f>
        <v>2852.3562962143042</v>
      </c>
      <c r="I2" s="54">
        <v>2744.187884295186</v>
      </c>
      <c r="J2" s="54">
        <v>-0.52154396221053756</v>
      </c>
      <c r="K2" s="54">
        <v>-0.60305072913795221</v>
      </c>
      <c r="L2" s="54">
        <v>1.3031286748132491</v>
      </c>
      <c r="O2" s="46">
        <v>45351</v>
      </c>
      <c r="P2" s="77">
        <f>_xlfn.XLOOKUP(O2,EBAY[Date],EBAY[Close])</f>
        <v>47.279998999999997</v>
      </c>
      <c r="Q2" s="14">
        <f>_xlfn.XLOOKUP(R2,'IR interpolation'!$G:$G,'IR interpolation'!$F:$F)</f>
        <v>2.0567980459693956E-2</v>
      </c>
      <c r="R2" s="46">
        <v>46122</v>
      </c>
      <c r="T2" s="2" t="s">
        <v>46</v>
      </c>
      <c r="U2" s="54">
        <f t="array" ref="U2:Y2">initialParamsVola(O3,O4,N9:N25,O9:O25)</f>
        <v>2322.1333243712143</v>
      </c>
      <c r="V2" s="54">
        <v>5118.3214245798063</v>
      </c>
      <c r="W2" s="54">
        <v>-0.34729877492919442</v>
      </c>
      <c r="X2" s="54">
        <v>-0.86479914184449436</v>
      </c>
      <c r="Y2" s="54">
        <v>1.0093890450743548</v>
      </c>
      <c r="AB2" s="46">
        <v>45291</v>
      </c>
      <c r="AC2" s="77">
        <f>_xlfn.XLOOKUP(AB2,EBAY[Date],EBAY[Close],,1)</f>
        <v>43.869999</v>
      </c>
      <c r="AD2" s="14">
        <f>_xlfn.XLOOKUP(AE2,'IR interpolation'!$G:$G,'IR interpolation'!$C:$C)</f>
        <v>1.8733290812456109E-2</v>
      </c>
      <c r="AE2" s="46">
        <v>46122</v>
      </c>
      <c r="AG2" s="2" t="s">
        <v>46</v>
      </c>
      <c r="AH2" s="54">
        <f t="array" ref="AH2:AL2">initialParamsVola(AB3,AB4,AA9:AA25,AB9:AB25)</f>
        <v>2188.8113251850373</v>
      </c>
      <c r="AI2" s="54">
        <v>8366.7342254058949</v>
      </c>
      <c r="AJ2" s="54">
        <v>-0.16392286412296753</v>
      </c>
      <c r="AK2" s="54">
        <v>-0.87287237291630682</v>
      </c>
      <c r="AL2" s="54">
        <v>0.9047228231367167</v>
      </c>
    </row>
    <row r="3" spans="1:38" x14ac:dyDescent="0.25">
      <c r="A3" s="2" t="s">
        <v>47</v>
      </c>
      <c r="B3" s="14">
        <f>C3*EXP(D2*B4)</f>
        <v>54.241857183712867</v>
      </c>
      <c r="C3" s="77">
        <v>51.849997999999999</v>
      </c>
      <c r="G3" s="2" t="s">
        <v>48</v>
      </c>
      <c r="H3" s="54">
        <f>H2</f>
        <v>2852.3562962143042</v>
      </c>
      <c r="I3" s="54">
        <f>I2</f>
        <v>2744.187884295186</v>
      </c>
      <c r="J3" s="54">
        <f>J2</f>
        <v>-0.52154396221053756</v>
      </c>
      <c r="K3" s="54">
        <f>K2</f>
        <v>-0.60305072913795221</v>
      </c>
      <c r="L3" s="54">
        <f>L2</f>
        <v>1.3031286748132491</v>
      </c>
      <c r="N3" s="2" t="s">
        <v>47</v>
      </c>
      <c r="O3" s="14">
        <f>P3*EXP(Q2*O4)</f>
        <v>49.104710950942</v>
      </c>
      <c r="P3" s="77">
        <v>47.279998999999997</v>
      </c>
      <c r="T3" s="2" t="s">
        <v>48</v>
      </c>
      <c r="U3" s="54">
        <f>U2</f>
        <v>2322.1333243712143</v>
      </c>
      <c r="V3" s="54">
        <f>V2</f>
        <v>5118.3214245798063</v>
      </c>
      <c r="W3" s="54">
        <f>W2</f>
        <v>-0.34729877492919442</v>
      </c>
      <c r="X3" s="54">
        <f>X2</f>
        <v>-0.86479914184449436</v>
      </c>
      <c r="Y3" s="54">
        <f>Y2</f>
        <v>1.0093890450743548</v>
      </c>
      <c r="AA3" s="2" t="s">
        <v>47</v>
      </c>
      <c r="AB3" s="14">
        <f>AC3*EXP(AD2*AB4)</f>
        <v>45.549512547975141</v>
      </c>
      <c r="AC3" s="77">
        <v>43.869999</v>
      </c>
      <c r="AG3" s="2" t="s">
        <v>48</v>
      </c>
      <c r="AH3" s="54">
        <f>AH2</f>
        <v>2188.8113251850373</v>
      </c>
      <c r="AI3" s="54">
        <f>AI2</f>
        <v>8366.7342254058949</v>
      </c>
      <c r="AJ3" s="54">
        <f>AJ2</f>
        <v>-0.16392286412296753</v>
      </c>
      <c r="AK3" s="54">
        <f>AK2</f>
        <v>-0.87287237291630682</v>
      </c>
      <c r="AL3" s="54">
        <f>AL2</f>
        <v>0.9047228231367167</v>
      </c>
    </row>
    <row r="4" spans="1:38" x14ac:dyDescent="0.25">
      <c r="A4" s="2" t="s">
        <v>49</v>
      </c>
      <c r="B4" s="14">
        <f>YEARFRAC(B5,B2,3)</f>
        <v>2.1616438356164385</v>
      </c>
      <c r="N4" s="2" t="s">
        <v>49</v>
      </c>
      <c r="O4" s="14">
        <f>YEARFRAC(O5,O2,3)</f>
        <v>1.8410958904109589</v>
      </c>
      <c r="AA4" s="2" t="s">
        <v>49</v>
      </c>
      <c r="AB4" s="14">
        <f>YEARFRAC(AB5,AB2,3)</f>
        <v>2.0054794520547947</v>
      </c>
    </row>
    <row r="5" spans="1:38" x14ac:dyDescent="0.25">
      <c r="B5" s="46">
        <v>46174</v>
      </c>
      <c r="G5" s="2" t="s">
        <v>50</v>
      </c>
      <c r="H5" s="54">
        <f t="array" ref="H5:L5">fitGatheralVola(B3,B4,A9:A28,B9:B28,H3:L3)</f>
        <v>-1225.711368127696</v>
      </c>
      <c r="I5" s="54">
        <v>1965.0591141810951</v>
      </c>
      <c r="J5" s="54">
        <v>-3.0222016571247883</v>
      </c>
      <c r="K5" s="54">
        <v>-1.3473076976040594</v>
      </c>
      <c r="L5" s="54">
        <v>-1.1442556599108269</v>
      </c>
      <c r="O5" s="46">
        <v>46023</v>
      </c>
      <c r="T5" s="2" t="s">
        <v>50</v>
      </c>
      <c r="U5" s="54">
        <f t="array" ref="U5:Y5">fitGatheralVola(O3,O4,N9:N25,O9:O25,U3:Y3)</f>
        <v>-5056.2243816391274</v>
      </c>
      <c r="V5" s="54">
        <v>1624.6709538498308</v>
      </c>
      <c r="W5" s="54">
        <v>-3.8514863811927365</v>
      </c>
      <c r="X5" s="54">
        <v>-2.0332515208149089</v>
      </c>
      <c r="Y5" s="54">
        <v>-2.2009254539346186</v>
      </c>
      <c r="AB5" s="46">
        <v>46023</v>
      </c>
      <c r="AG5" s="2" t="s">
        <v>50</v>
      </c>
      <c r="AH5" s="54">
        <f t="array" ref="AH5:AL5">fitGatheralVola(AB3,AB4,AA9:AA25,AB9:AB25,AH3:AL3)</f>
        <v>-5709.8135717614286</v>
      </c>
      <c r="AI5" s="54">
        <v>920.34551242782686</v>
      </c>
      <c r="AJ5" s="54">
        <v>-3.6638669206882692</v>
      </c>
      <c r="AK5" s="54">
        <v>-1.4785412219801601</v>
      </c>
      <c r="AL5" s="54">
        <v>2.567028590076657</v>
      </c>
    </row>
    <row r="7" spans="1:38" x14ac:dyDescent="0.25">
      <c r="F7" s="2">
        <f>SQRT(SUMPRODUCT(F9:F128,F9:F128))</f>
        <v>15.153187019318198</v>
      </c>
      <c r="S7" s="2">
        <f>SQRT(SUMPRODUCT(S9:S128,S9:S128))</f>
        <v>74.956348850612329</v>
      </c>
      <c r="AF7" s="2">
        <f>SQRT(SUMPRODUCT(AF9:AF128,AF9:AF128))</f>
        <v>13.87384089149616</v>
      </c>
    </row>
    <row r="8" spans="1:38" x14ac:dyDescent="0.25">
      <c r="A8" s="2" t="s">
        <v>51</v>
      </c>
      <c r="B8" s="2" t="s">
        <v>52</v>
      </c>
      <c r="C8" s="2"/>
      <c r="D8" s="2" t="s">
        <v>53</v>
      </c>
      <c r="E8" s="2"/>
      <c r="F8" s="2" t="s">
        <v>54</v>
      </c>
      <c r="N8" s="2" t="s">
        <v>51</v>
      </c>
      <c r="O8" s="2" t="s">
        <v>52</v>
      </c>
      <c r="P8" s="2"/>
      <c r="Q8" s="2" t="s">
        <v>53</v>
      </c>
      <c r="R8" s="2"/>
      <c r="S8" s="2" t="s">
        <v>54</v>
      </c>
      <c r="AA8" s="2" t="s">
        <v>51</v>
      </c>
      <c r="AB8" s="2" t="s">
        <v>52</v>
      </c>
      <c r="AC8" s="2"/>
      <c r="AD8" s="2" t="s">
        <v>53</v>
      </c>
      <c r="AE8" s="2"/>
      <c r="AF8" s="2" t="s">
        <v>54</v>
      </c>
    </row>
    <row r="9" spans="1:38" x14ac:dyDescent="0.25">
      <c r="A9" s="14">
        <v>20</v>
      </c>
      <c r="B9" s="14">
        <v>44.057400000000001</v>
      </c>
      <c r="C9" s="14"/>
      <c r="D9" s="14" cm="1">
        <f t="array" ref="D9">G(A9,$B$3,$B$4,H$5:L$5)</f>
        <v>44.766981894718228</v>
      </c>
      <c r="E9" s="14"/>
      <c r="F9" s="14">
        <f>D9-B9</f>
        <v>0.70958189471822664</v>
      </c>
      <c r="N9" s="14">
        <v>20</v>
      </c>
      <c r="O9" s="14">
        <v>42.867100000000001</v>
      </c>
      <c r="P9" s="14"/>
      <c r="Q9" s="14" cm="1">
        <f t="array" ref="Q9">G(N9,$O$3,$O$4,$U$5:$Y$5)</f>
        <v>38.675418294413809</v>
      </c>
      <c r="R9" s="14"/>
      <c r="S9" s="14">
        <f>Q9-O9</f>
        <v>-4.1916817055861912</v>
      </c>
      <c r="AA9" s="14">
        <v>20</v>
      </c>
      <c r="AB9" s="14">
        <v>41.586399999999998</v>
      </c>
      <c r="AC9" s="14"/>
      <c r="AD9" s="14" cm="1">
        <f t="array" ref="AD9">G(AA9,$AB$3,$AB$4,AH$5:AL$5)</f>
        <v>41.760149080038538</v>
      </c>
      <c r="AE9" s="14"/>
      <c r="AF9" s="14">
        <f>AD9-AB9</f>
        <v>0.17374908003854017</v>
      </c>
    </row>
    <row r="10" spans="1:38" x14ac:dyDescent="0.25">
      <c r="A10" s="14">
        <v>22.5</v>
      </c>
      <c r="B10" s="14">
        <v>46.698500000000003</v>
      </c>
      <c r="C10" s="14"/>
      <c r="D10" s="14" cm="1">
        <f t="array" ref="D10">G(A10,$B$3,$B$4,H$5:L$5)</f>
        <v>43.209768586426122</v>
      </c>
      <c r="E10" s="14"/>
      <c r="F10" s="14">
        <f t="shared" ref="F10:F28" si="0">D10-B10</f>
        <v>-3.4887314135738805</v>
      </c>
      <c r="N10" s="14">
        <v>22.5</v>
      </c>
      <c r="O10" s="14">
        <v>49.479300000000002</v>
      </c>
      <c r="P10" s="14"/>
      <c r="Q10" s="14" cm="1">
        <f t="array" ref="Q10">G(N10,$O$3,$O$4,$U$5:$Y$5)</f>
        <v>40.89595022947492</v>
      </c>
      <c r="R10" s="14"/>
      <c r="S10" s="14">
        <f t="shared" ref="S10:S25" si="1">Q10-O10</f>
        <v>-8.5833497705250821</v>
      </c>
      <c r="AA10" s="14">
        <v>22.5</v>
      </c>
      <c r="AB10" s="14">
        <v>51.475499999999997</v>
      </c>
      <c r="AC10" s="14"/>
      <c r="AD10" s="14" cm="1">
        <f t="array" ref="AD10">G(AA10,$AB$3,$AB$4,AH$5:AL$5)</f>
        <v>40.343903751367755</v>
      </c>
      <c r="AE10" s="14"/>
      <c r="AF10" s="14">
        <f t="shared" ref="AF10:AF25" si="2">AD10-AB10</f>
        <v>-11.131596248632242</v>
      </c>
    </row>
    <row r="11" spans="1:38" x14ac:dyDescent="0.25">
      <c r="A11" s="14">
        <v>25</v>
      </c>
      <c r="B11" s="14">
        <v>34.470399999999998</v>
      </c>
      <c r="C11" s="14"/>
      <c r="D11" s="14" cm="1">
        <f t="array" ref="D11">G(A11,$B$3,$B$4,H$5:L$5)</f>
        <v>41.809454942496863</v>
      </c>
      <c r="E11" s="14"/>
      <c r="F11" s="14">
        <f t="shared" si="0"/>
        <v>7.3390549424968654</v>
      </c>
      <c r="N11" s="14">
        <v>25</v>
      </c>
      <c r="O11" s="14">
        <v>40.587800000000001</v>
      </c>
      <c r="P11" s="14"/>
      <c r="Q11" s="14" cm="1">
        <f t="array" ref="Q11">G(N11,$O$3,$O$4,$U$5:$Y$5)</f>
        <v>42.758712179709889</v>
      </c>
      <c r="R11" s="14"/>
      <c r="S11" s="14">
        <f t="shared" si="1"/>
        <v>2.1709121797098874</v>
      </c>
      <c r="AA11" s="14">
        <v>25</v>
      </c>
      <c r="AB11" s="14">
        <v>41.794199999999996</v>
      </c>
      <c r="AC11" s="14"/>
      <c r="AD11" s="14" cm="1">
        <f t="array" ref="AD11">G(AA11,$AB$3,$AB$4,AH$5:AL$5)</f>
        <v>39.041323962825423</v>
      </c>
      <c r="AE11" s="14"/>
      <c r="AF11" s="14">
        <f t="shared" si="2"/>
        <v>-2.7528760371745733</v>
      </c>
    </row>
    <row r="12" spans="1:38" x14ac:dyDescent="0.25">
      <c r="A12" s="14">
        <v>27.5</v>
      </c>
      <c r="B12" s="14">
        <v>44.193100000000001</v>
      </c>
      <c r="C12" s="14"/>
      <c r="D12" s="14" cm="1">
        <f t="array" ref="D12">G(A12,$B$3,$B$4,H$5:L$5)</f>
        <v>40.535749424672758</v>
      </c>
      <c r="E12" s="14"/>
      <c r="F12" s="14">
        <f t="shared" si="0"/>
        <v>-3.6573505753272428</v>
      </c>
      <c r="N12" s="14">
        <v>27.5</v>
      </c>
      <c r="O12" s="14">
        <v>42.598700000000001</v>
      </c>
      <c r="P12" s="14"/>
      <c r="Q12" s="14" cm="1">
        <f t="array" ref="Q12">G(N12,$O$3,$O$4,$U$5:$Y$5)</f>
        <v>44.356617556261497</v>
      </c>
      <c r="R12" s="14"/>
      <c r="S12" s="14">
        <f t="shared" si="1"/>
        <v>1.7579175562614964</v>
      </c>
      <c r="AA12" s="14">
        <v>27.5</v>
      </c>
      <c r="AB12" s="14">
        <v>36.509799999999998</v>
      </c>
      <c r="AC12" s="14"/>
      <c r="AD12" s="14" cm="1">
        <f t="array" ref="AD12">G(AA12,$AB$3,$AB$4,AH$5:AL$5)</f>
        <v>37.831220867157356</v>
      </c>
      <c r="AE12" s="14"/>
      <c r="AF12" s="14">
        <f t="shared" si="2"/>
        <v>1.3214208671573573</v>
      </c>
    </row>
    <row r="13" spans="1:38" x14ac:dyDescent="0.25">
      <c r="A13" s="14">
        <v>30</v>
      </c>
      <c r="B13" s="14">
        <v>48.396500000000003</v>
      </c>
      <c r="C13" s="14"/>
      <c r="D13" s="14" cm="1">
        <f t="array" ref="D13">G(A13,$B$3,$B$4,H$5:L$5)</f>
        <v>39.366228217078302</v>
      </c>
      <c r="E13" s="14"/>
      <c r="F13" s="14">
        <f t="shared" si="0"/>
        <v>-9.0302717829217016</v>
      </c>
      <c r="N13" s="14">
        <v>30</v>
      </c>
      <c r="O13" s="14">
        <v>37.032699999999998</v>
      </c>
      <c r="P13" s="14"/>
      <c r="Q13" s="14" cm="1">
        <f t="array" ref="Q13">G(N13,$O$3,$O$4,$U$5:$Y$5)</f>
        <v>45.751142611604976</v>
      </c>
      <c r="R13" s="14"/>
      <c r="S13" s="14">
        <f t="shared" si="1"/>
        <v>8.7184426116049778</v>
      </c>
      <c r="AA13" s="14">
        <v>30</v>
      </c>
      <c r="AB13" s="14">
        <v>33.6509</v>
      </c>
      <c r="AC13" s="14"/>
      <c r="AD13" s="14" cm="1">
        <f t="array" ref="AD13">G(AA13,$AB$3,$AB$4,AH$5:AL$5)</f>
        <v>36.697737493235046</v>
      </c>
      <c r="AE13" s="14"/>
      <c r="AF13" s="14">
        <f t="shared" si="2"/>
        <v>3.0468374932350457</v>
      </c>
    </row>
    <row r="14" spans="1:38" x14ac:dyDescent="0.25">
      <c r="A14" s="14">
        <v>32.5</v>
      </c>
      <c r="B14" s="14">
        <v>36.172600000000003</v>
      </c>
      <c r="C14" s="14"/>
      <c r="D14" s="14" cm="1">
        <f t="array" ref="D14">G(A14,$B$3,$B$4,H$5:L$5)</f>
        <v>38.28383306603007</v>
      </c>
      <c r="E14" s="14"/>
      <c r="F14" s="14">
        <f t="shared" si="0"/>
        <v>2.1112330660300671</v>
      </c>
      <c r="N14" s="14">
        <v>32.5</v>
      </c>
      <c r="O14" s="14">
        <v>35.6509</v>
      </c>
      <c r="P14" s="14"/>
      <c r="Q14" s="14" cm="1">
        <f t="array" ref="Q14">G(N14,$O$3,$O$4,$U$5:$Y$5)</f>
        <v>46.984996380270992</v>
      </c>
      <c r="R14" s="14"/>
      <c r="S14" s="14">
        <f t="shared" si="1"/>
        <v>11.334096380270992</v>
      </c>
      <c r="AA14" s="14">
        <v>32.5</v>
      </c>
      <c r="AB14" s="14">
        <v>31.943899999999999</v>
      </c>
      <c r="AC14" s="14"/>
      <c r="AD14" s="14" cm="1">
        <f t="array" ref="AD14">G(AA14,$AB$3,$AB$4,AH$5:AL$5)</f>
        <v>35.628671941476249</v>
      </c>
      <c r="AE14" s="14"/>
      <c r="AF14" s="14">
        <f t="shared" si="2"/>
        <v>3.6847719414762494</v>
      </c>
    </row>
    <row r="15" spans="1:38" x14ac:dyDescent="0.25">
      <c r="A15" s="14">
        <v>35</v>
      </c>
      <c r="B15" s="14">
        <v>41.005600000000001</v>
      </c>
      <c r="C15" s="14"/>
      <c r="D15" s="14" cm="1">
        <f t="array" ref="D15">G(A15,$B$3,$B$4,H$5:L$5)</f>
        <v>37.275289604666447</v>
      </c>
      <c r="E15" s="14"/>
      <c r="F15" s="14">
        <f t="shared" si="0"/>
        <v>-3.7303103953335537</v>
      </c>
      <c r="N15" s="14">
        <v>35</v>
      </c>
      <c r="O15" s="14">
        <v>32.805700000000002</v>
      </c>
      <c r="P15" s="14"/>
      <c r="Q15" s="14" cm="1">
        <f t="array" ref="Q15">G(N15,$O$3,$O$4,$U$5:$Y$5)</f>
        <v>48.088998901980617</v>
      </c>
      <c r="R15" s="14"/>
      <c r="S15" s="14">
        <f t="shared" si="1"/>
        <v>15.283298901980615</v>
      </c>
      <c r="AA15" s="14">
        <v>35</v>
      </c>
      <c r="AB15" s="14">
        <v>33.405500000000004</v>
      </c>
      <c r="AC15" s="14"/>
      <c r="AD15" s="14" cm="1">
        <f t="array" ref="AD15">G(AA15,$AB$3,$AB$4,AH$5:AL$5)</f>
        <v>34.614413161423826</v>
      </c>
      <c r="AE15" s="14"/>
      <c r="AF15" s="14">
        <f t="shared" si="2"/>
        <v>1.2089131614238227</v>
      </c>
    </row>
    <row r="16" spans="1:38" x14ac:dyDescent="0.25">
      <c r="A16" s="14">
        <v>37.5</v>
      </c>
      <c r="B16" s="14">
        <v>34.707000000000001</v>
      </c>
      <c r="C16" s="14"/>
      <c r="D16" s="14" cm="1">
        <f t="array" ref="D16">G(A16,$B$3,$B$4,H$5:L$5)</f>
        <v>36.330067608154522</v>
      </c>
      <c r="E16" s="14"/>
      <c r="F16" s="14">
        <f t="shared" si="0"/>
        <v>1.6230676081545212</v>
      </c>
      <c r="N16" s="14">
        <v>37.5</v>
      </c>
      <c r="O16" s="14">
        <v>33.284300000000002</v>
      </c>
      <c r="P16" s="14"/>
      <c r="Q16" s="14" cm="1">
        <f t="array" ref="Q16">G(N16,$O$3,$O$4,$U$5:$Y$5)</f>
        <v>49.08608067291707</v>
      </c>
      <c r="R16" s="14"/>
      <c r="S16" s="14">
        <f t="shared" si="1"/>
        <v>15.801780672917069</v>
      </c>
      <c r="AA16" s="14">
        <v>37.5</v>
      </c>
      <c r="AB16" s="14">
        <v>31.280799999999999</v>
      </c>
      <c r="AC16" s="14"/>
      <c r="AD16" s="14" cm="1">
        <f t="array" ref="AD16">G(AA16,$AB$3,$AB$4,AH$5:AL$5)</f>
        <v>33.647238182532554</v>
      </c>
      <c r="AE16" s="14"/>
      <c r="AF16" s="14">
        <f t="shared" si="2"/>
        <v>2.3664381825325549</v>
      </c>
    </row>
    <row r="17" spans="1:32" x14ac:dyDescent="0.25">
      <c r="A17" s="14">
        <v>40</v>
      </c>
      <c r="B17" s="14">
        <v>34.114400000000003</v>
      </c>
      <c r="C17" s="14"/>
      <c r="D17" s="14" cm="1">
        <f t="array" ref="D17">G(A17,$B$3,$B$4,H$5:L$5)</f>
        <v>35.439674685852957</v>
      </c>
      <c r="E17" s="14"/>
      <c r="F17" s="14">
        <f t="shared" si="0"/>
        <v>1.3252746858529534</v>
      </c>
      <c r="N17" s="14">
        <v>40</v>
      </c>
      <c r="O17" s="14">
        <v>32.6098</v>
      </c>
      <c r="P17" s="14"/>
      <c r="Q17" s="14" cm="1">
        <f t="array" ref="Q17">G(N17,$O$3,$O$4,$U$5:$Y$5)</f>
        <v>49.993736926885425</v>
      </c>
      <c r="R17" s="14"/>
      <c r="S17" s="14">
        <f t="shared" si="1"/>
        <v>17.383936926885426</v>
      </c>
      <c r="AA17" s="14">
        <v>40</v>
      </c>
      <c r="AB17" s="14">
        <v>30.869199999999999</v>
      </c>
      <c r="AC17" s="14"/>
      <c r="AD17" s="14" cm="1">
        <f t="array" ref="AD17">G(AA17,$AB$3,$AB$4,AH$5:AL$5)</f>
        <v>32.72083228937089</v>
      </c>
      <c r="AE17" s="14"/>
      <c r="AF17" s="14">
        <f t="shared" si="2"/>
        <v>1.8516322893708903</v>
      </c>
    </row>
    <row r="18" spans="1:32" x14ac:dyDescent="0.25">
      <c r="A18" s="14">
        <v>42.5</v>
      </c>
      <c r="B18" s="14">
        <v>30.6752</v>
      </c>
      <c r="C18" s="14"/>
      <c r="D18" s="14" cm="1">
        <f t="array" ref="D18">G(A18,$B$3,$B$4,H$5:L$5)</f>
        <v>34.597162881326476</v>
      </c>
      <c r="E18" s="14"/>
      <c r="F18" s="14">
        <f t="shared" si="0"/>
        <v>3.9219628813264755</v>
      </c>
      <c r="N18" s="14">
        <v>42.5</v>
      </c>
      <c r="O18" s="14">
        <v>31.688800000000001</v>
      </c>
      <c r="P18" s="14"/>
      <c r="Q18" s="14" cm="1">
        <f t="array" ref="Q18">G(N18,$O$3,$O$4,$U$5:$Y$5)</f>
        <v>50.82560082164369</v>
      </c>
      <c r="R18" s="14"/>
      <c r="S18" s="14">
        <f t="shared" si="1"/>
        <v>19.136800821643689</v>
      </c>
      <c r="AA18" s="14">
        <v>42.5</v>
      </c>
      <c r="AB18" s="14">
        <v>30.546399999999998</v>
      </c>
      <c r="AC18" s="14"/>
      <c r="AD18" s="14" cm="1">
        <f t="array" ref="AD18">G(AA18,$AB$3,$AB$4,AH$5:AL$5)</f>
        <v>31.829951927259625</v>
      </c>
      <c r="AE18" s="14"/>
      <c r="AF18" s="14">
        <f t="shared" si="2"/>
        <v>1.2835519272596265</v>
      </c>
    </row>
    <row r="19" spans="1:32" x14ac:dyDescent="0.25">
      <c r="A19" s="14">
        <v>45</v>
      </c>
      <c r="B19" s="14">
        <v>32.2286</v>
      </c>
      <c r="C19" s="14"/>
      <c r="D19" s="14" cm="1">
        <f t="array" ref="D19">G(A19,$B$3,$B$4,H$5:L$5)</f>
        <v>33.796775593673608</v>
      </c>
      <c r="E19" s="14"/>
      <c r="F19" s="14">
        <f t="shared" si="0"/>
        <v>1.5681755936736081</v>
      </c>
      <c r="N19" s="14">
        <v>45</v>
      </c>
      <c r="O19" s="14">
        <v>31.625699999999998</v>
      </c>
      <c r="P19" s="14"/>
      <c r="Q19" s="14" cm="1">
        <f t="array" ref="Q19">G(N19,$O$3,$O$4,$U$5:$Y$5)</f>
        <v>51.592488918090844</v>
      </c>
      <c r="R19" s="14"/>
      <c r="S19" s="14">
        <f t="shared" si="1"/>
        <v>19.966788918090845</v>
      </c>
      <c r="AA19" s="14">
        <v>45</v>
      </c>
      <c r="AB19" s="14">
        <v>29.3721</v>
      </c>
      <c r="AC19" s="14"/>
      <c r="AD19" s="14" cm="1">
        <f t="array" ref="AD19">G(AA19,$AB$3,$AB$4,AH$5:AL$5)</f>
        <v>30.970181926869024</v>
      </c>
      <c r="AE19" s="14"/>
      <c r="AF19" s="14">
        <f t="shared" si="2"/>
        <v>1.5980819268690247</v>
      </c>
    </row>
    <row r="20" spans="1:32" x14ac:dyDescent="0.25">
      <c r="A20" s="14">
        <v>47.5</v>
      </c>
      <c r="B20" s="14">
        <v>31.7531</v>
      </c>
      <c r="C20" s="14"/>
      <c r="D20" s="14" cm="1">
        <f t="array" ref="D20">G(A20,$B$3,$B$4,H$5:L$5)</f>
        <v>33.033689547214877</v>
      </c>
      <c r="E20" s="14"/>
      <c r="F20" s="14">
        <f t="shared" si="0"/>
        <v>1.2805895472148769</v>
      </c>
      <c r="N20" s="14">
        <v>47.5</v>
      </c>
      <c r="O20" s="14">
        <v>30.2498</v>
      </c>
      <c r="P20" s="14"/>
      <c r="Q20" s="14" cm="1">
        <f t="array" ref="Q20">G(N20,$O$3,$O$4,$U$5:$Y$5)</f>
        <v>52.303117452118784</v>
      </c>
      <c r="R20" s="14"/>
      <c r="S20" s="14">
        <f t="shared" si="1"/>
        <v>22.053317452118783</v>
      </c>
      <c r="AA20" s="14">
        <v>47.5</v>
      </c>
      <c r="AB20" s="14">
        <v>31.875499999999999</v>
      </c>
      <c r="AC20" s="14"/>
      <c r="AD20" s="14" cm="1">
        <f t="array" ref="AD20">G(AA20,$AB$3,$AB$4,AH$5:AL$5)</f>
        <v>30.137756775736612</v>
      </c>
      <c r="AE20" s="14"/>
      <c r="AF20" s="14">
        <f t="shared" si="2"/>
        <v>-1.7377432242633866</v>
      </c>
    </row>
    <row r="21" spans="1:32" x14ac:dyDescent="0.25">
      <c r="A21" s="14">
        <v>50</v>
      </c>
      <c r="B21" s="14">
        <v>31.425999999999998</v>
      </c>
      <c r="C21" s="14"/>
      <c r="D21" s="14" cm="1">
        <f t="array" ref="D21">G(A21,$B$3,$B$4,H$5:L$5)</f>
        <v>32.303822701339925</v>
      </c>
      <c r="E21" s="14"/>
      <c r="F21" s="14">
        <f t="shared" si="0"/>
        <v>0.87782270133992668</v>
      </c>
      <c r="N21" s="14">
        <v>50</v>
      </c>
      <c r="O21" s="14">
        <v>29.942299999999999</v>
      </c>
      <c r="P21" s="14"/>
      <c r="Q21" s="14" cm="1">
        <f t="array" ref="Q21">G(N21,$O$3,$O$4,$U$5:$Y$5)</f>
        <v>52.964606028910559</v>
      </c>
      <c r="R21" s="14"/>
      <c r="S21" s="14">
        <f t="shared" si="1"/>
        <v>23.02230602891056</v>
      </c>
      <c r="AA21" s="14">
        <v>50</v>
      </c>
      <c r="AB21" s="14">
        <v>29.461500000000001</v>
      </c>
      <c r="AC21" s="14"/>
      <c r="AD21" s="14" cm="1">
        <f t="array" ref="AD21">G(AA21,$AB$3,$AB$4,AH$5:AL$5)</f>
        <v>29.329426413875112</v>
      </c>
      <c r="AE21" s="14"/>
      <c r="AF21" s="14">
        <f t="shared" si="2"/>
        <v>-0.13207358612488918</v>
      </c>
    </row>
    <row r="22" spans="1:32" x14ac:dyDescent="0.25">
      <c r="A22" s="14">
        <v>52.5</v>
      </c>
      <c r="B22" s="14">
        <v>29.042300000000001</v>
      </c>
      <c r="C22" s="14"/>
      <c r="D22" s="14" cm="1">
        <f t="array" ref="D22">G(A22,$B$3,$B$4,H$5:L$5)</f>
        <v>31.603688880768882</v>
      </c>
      <c r="E22" s="14"/>
      <c r="F22" s="14">
        <f t="shared" si="0"/>
        <v>2.5613888807688809</v>
      </c>
      <c r="N22" s="14">
        <v>52.5</v>
      </c>
      <c r="O22" s="14">
        <v>29.2742</v>
      </c>
      <c r="P22" s="14"/>
      <c r="Q22" s="14" cm="1">
        <f t="array" ref="Q22">G(N22,$O$3,$O$4,$U$5:$Y$5)</f>
        <v>53.582839929443203</v>
      </c>
      <c r="R22" s="14"/>
      <c r="S22" s="14">
        <f t="shared" si="1"/>
        <v>24.308639929443203</v>
      </c>
      <c r="AA22" s="14">
        <v>52.5</v>
      </c>
      <c r="AB22" s="14">
        <v>30.8264</v>
      </c>
      <c r="AC22" s="14"/>
      <c r="AD22" s="14" cm="1">
        <f t="array" ref="AD22">G(AA22,$AB$3,$AB$4,AH$5:AL$5)</f>
        <v>28.542353614876074</v>
      </c>
      <c r="AE22" s="14"/>
      <c r="AF22" s="14">
        <f t="shared" si="2"/>
        <v>-2.2840463851239257</v>
      </c>
    </row>
    <row r="23" spans="1:32" x14ac:dyDescent="0.25">
      <c r="A23" s="14">
        <v>55</v>
      </c>
      <c r="B23" s="14">
        <v>30.524000000000001</v>
      </c>
      <c r="C23" s="14"/>
      <c r="D23" s="14" cm="1">
        <f t="array" ref="D23">G(A23,$B$3,$B$4,H$5:L$5)</f>
        <v>30.930286133788091</v>
      </c>
      <c r="E23" s="14"/>
      <c r="F23" s="14">
        <f t="shared" si="0"/>
        <v>0.40628613378808964</v>
      </c>
      <c r="N23" s="14">
        <v>55</v>
      </c>
      <c r="O23" s="14">
        <v>28.934699999999999</v>
      </c>
      <c r="P23" s="14"/>
      <c r="Q23" s="14" cm="1">
        <f t="array" ref="Q23">G(N23,$O$3,$O$4,$U$5:$Y$5)</f>
        <v>54.162735930812261</v>
      </c>
      <c r="R23" s="14"/>
      <c r="S23" s="14">
        <f t="shared" si="1"/>
        <v>25.228035930812261</v>
      </c>
      <c r="AA23" s="14">
        <v>55</v>
      </c>
      <c r="AB23" s="14">
        <v>27.947399999999998</v>
      </c>
      <c r="AC23" s="14"/>
      <c r="AD23" s="14" cm="1">
        <f t="array" ref="AD23">G(AA23,$AB$3,$AB$4,AH$5:AL$5)</f>
        <v>27.774034165070475</v>
      </c>
      <c r="AE23" s="14"/>
      <c r="AF23" s="14">
        <f t="shared" si="2"/>
        <v>-0.17336583492952329</v>
      </c>
    </row>
    <row r="24" spans="1:32" x14ac:dyDescent="0.25">
      <c r="A24" s="14">
        <v>57.5</v>
      </c>
      <c r="B24" s="14">
        <v>32.226100000000002</v>
      </c>
      <c r="C24" s="14"/>
      <c r="D24" s="14" cm="1">
        <f t="array" ref="D24">G(A24,$B$3,$B$4,H$5:L$5)</f>
        <v>30.281009849817384</v>
      </c>
      <c r="E24" s="14"/>
      <c r="F24" s="14">
        <f t="shared" si="0"/>
        <v>-1.9450901501826188</v>
      </c>
      <c r="N24" s="14">
        <v>60</v>
      </c>
      <c r="O24" s="14">
        <v>28.400099999999998</v>
      </c>
      <c r="P24" s="14"/>
      <c r="Q24" s="14" cm="1">
        <f t="array" ref="Q24">G(N24,$O$3,$O$4,$U$5:$Y$5)</f>
        <v>55.223481717557753</v>
      </c>
      <c r="R24" s="14"/>
      <c r="S24" s="14">
        <f t="shared" si="1"/>
        <v>26.823381717557755</v>
      </c>
      <c r="AA24" s="14">
        <v>60</v>
      </c>
      <c r="AB24" s="14">
        <v>27.526700000000002</v>
      </c>
      <c r="AC24" s="14"/>
      <c r="AD24" s="14" cm="1">
        <f t="array" ref="AD24">G(AA24,$AB$3,$AB$4,AH$5:AL$5)</f>
        <v>26.28493712892374</v>
      </c>
      <c r="AE24" s="14"/>
      <c r="AF24" s="14">
        <f t="shared" si="2"/>
        <v>-1.2417628710762614</v>
      </c>
    </row>
    <row r="25" spans="1:32" x14ac:dyDescent="0.25">
      <c r="A25" s="14">
        <v>60</v>
      </c>
      <c r="B25" s="14">
        <v>32.3626</v>
      </c>
      <c r="C25" s="14"/>
      <c r="D25" s="14" cm="1">
        <f t="array" ref="D25">G(A25,$B$3,$B$4,H$5:L$5)</f>
        <v>29.653584327951474</v>
      </c>
      <c r="E25" s="14"/>
      <c r="F25" s="14">
        <f t="shared" si="0"/>
        <v>-2.7090156720485261</v>
      </c>
      <c r="N25" s="14">
        <v>65</v>
      </c>
      <c r="O25" s="14">
        <v>27.865400000000001</v>
      </c>
      <c r="P25" s="14"/>
      <c r="Q25" s="14" cm="1">
        <f t="array" ref="Q25">G(N25,$O$3,$O$4,$U$5:$Y$5)</f>
        <v>56.17325222131057</v>
      </c>
      <c r="R25" s="14"/>
      <c r="S25" s="14">
        <f t="shared" si="1"/>
        <v>28.307852221310569</v>
      </c>
      <c r="AA25" s="14">
        <v>65</v>
      </c>
      <c r="AB25" s="14">
        <v>28.287299999999998</v>
      </c>
      <c r="AC25" s="14"/>
      <c r="AD25" s="14" cm="1">
        <f t="array" ref="AD25">G(AA25,$AB$3,$AB$4,AH$5:AL$5)</f>
        <v>24.846647891350564</v>
      </c>
      <c r="AE25" s="14"/>
      <c r="AF25" s="14">
        <f t="shared" si="2"/>
        <v>-3.4406521086494344</v>
      </c>
    </row>
    <row r="26" spans="1:32" x14ac:dyDescent="0.25">
      <c r="A26" s="14">
        <v>65</v>
      </c>
      <c r="B26" s="14">
        <v>29.116700000000002</v>
      </c>
      <c r="C26" s="14"/>
      <c r="D26" s="14" cm="1">
        <f t="array" ref="D26">G(A26,$B$3,$B$4,H$5:L$5)</f>
        <v>28.45651101390451</v>
      </c>
      <c r="E26" s="14"/>
      <c r="F26" s="14">
        <f t="shared" si="0"/>
        <v>-0.66018898609549126</v>
      </c>
    </row>
    <row r="27" spans="1:32" x14ac:dyDescent="0.25">
      <c r="A27" s="14">
        <v>70</v>
      </c>
      <c r="B27" s="14">
        <v>28.131399999999999</v>
      </c>
      <c r="C27" s="14"/>
      <c r="D27" s="14" cm="1">
        <f t="array" ref="D27">G(A27,$B$3,$B$4,H$5:L$5)</f>
        <v>27.32561580012467</v>
      </c>
      <c r="E27" s="14"/>
      <c r="F27" s="14">
        <f t="shared" si="0"/>
        <v>-0.80578419987532968</v>
      </c>
    </row>
    <row r="28" spans="1:32" x14ac:dyDescent="0.25">
      <c r="A28" s="14">
        <v>75</v>
      </c>
      <c r="B28" s="14">
        <v>28.742699999999999</v>
      </c>
      <c r="C28" s="14"/>
      <c r="D28" s="14" cm="1">
        <f t="array" ref="D28">G(A28,$B$3,$B$4,H$5:L$5)</f>
        <v>26.250142744461911</v>
      </c>
      <c r="E28" s="14"/>
      <c r="F28" s="14">
        <f t="shared" si="0"/>
        <v>-2.4925572555380882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0E9C8-33AC-4938-B4BD-1D74EEE98477}">
  <sheetPr codeName="Arkusz14">
    <tabColor theme="0" tint="-0.14999847407452621"/>
  </sheetPr>
  <dimension ref="A1:H16"/>
  <sheetViews>
    <sheetView workbookViewId="0">
      <selection activeCell="A7" sqref="A7"/>
    </sheetView>
  </sheetViews>
  <sheetFormatPr defaultRowHeight="15" x14ac:dyDescent="0.25"/>
  <cols>
    <col min="1" max="1" width="11" bestFit="1" customWidth="1"/>
    <col min="2" max="2" width="10.140625" bestFit="1" customWidth="1"/>
    <col min="8" max="8" width="10.7109375" customWidth="1"/>
    <col min="9" max="9" width="10.140625" bestFit="1" customWidth="1"/>
  </cols>
  <sheetData>
    <row r="1" spans="1:8" x14ac:dyDescent="0.25">
      <c r="C1" s="2" t="s">
        <v>42</v>
      </c>
      <c r="D1" s="2" t="s">
        <v>43</v>
      </c>
      <c r="E1" s="2" t="s">
        <v>15</v>
      </c>
      <c r="F1" s="2" t="s">
        <v>44</v>
      </c>
      <c r="G1" s="2" t="s">
        <v>45</v>
      </c>
      <c r="H1" t="s">
        <v>55</v>
      </c>
    </row>
    <row r="2" spans="1:8" x14ac:dyDescent="0.25">
      <c r="A2" s="7">
        <v>45291</v>
      </c>
      <c r="B2" s="22" t="s">
        <v>14</v>
      </c>
      <c r="C2" s="23" cm="1">
        <f t="array" ref="C2:G2">'volatility netflix call'!AH$5:AL$5</f>
        <v>2882.1283870269108</v>
      </c>
      <c r="D2" s="23">
        <v>4844.7388430547544</v>
      </c>
      <c r="E2" s="23">
        <v>0.71632421376408617</v>
      </c>
      <c r="F2" s="23">
        <v>-1.1333097192295405</v>
      </c>
      <c r="G2" s="24">
        <v>-1.2951296564692705</v>
      </c>
      <c r="H2" s="7">
        <v>46023</v>
      </c>
    </row>
    <row r="3" spans="1:8" x14ac:dyDescent="0.25">
      <c r="B3" s="3" t="s">
        <v>16</v>
      </c>
      <c r="C3" s="14" cm="1">
        <f t="array" ref="C3:G3">'volatility meta call'!AH$5:AL$5</f>
        <v>697.69354280612481</v>
      </c>
      <c r="D3" s="14">
        <v>7206.7550035878239</v>
      </c>
      <c r="E3" s="14">
        <v>1.0336061061032831</v>
      </c>
      <c r="F3" s="14">
        <v>-0.9490167736923022</v>
      </c>
      <c r="G3" s="25">
        <v>-2.2331050409277986</v>
      </c>
    </row>
    <row r="4" spans="1:8" x14ac:dyDescent="0.25">
      <c r="B4" s="3" t="s">
        <v>17</v>
      </c>
      <c r="C4" s="14" cm="1">
        <f t="array" ref="C4:G4">'volatility alphabet call'!AH$5:AL$5</f>
        <v>3204.2607600104116</v>
      </c>
      <c r="D4" s="14">
        <v>-285.17352658640021</v>
      </c>
      <c r="E4" s="14">
        <v>0.77798569383423832</v>
      </c>
      <c r="F4" s="14">
        <v>3.8061922519903728</v>
      </c>
      <c r="G4" s="25">
        <v>-0.7447147408300111</v>
      </c>
    </row>
    <row r="5" spans="1:8" x14ac:dyDescent="0.25">
      <c r="B5" s="3" t="s">
        <v>18</v>
      </c>
      <c r="C5" s="14" cm="1">
        <f t="array" ref="C5:G5">'volatility ebay call'!AH$5:AL$5</f>
        <v>-5709.8135717614286</v>
      </c>
      <c r="D5" s="14">
        <v>920.34551242782686</v>
      </c>
      <c r="E5" s="14">
        <v>-3.6638669206882692</v>
      </c>
      <c r="F5" s="14">
        <v>-1.4785412219801601</v>
      </c>
      <c r="G5" s="25">
        <v>2.567028590076657</v>
      </c>
    </row>
    <row r="6" spans="1:8" x14ac:dyDescent="0.25">
      <c r="B6" s="3" t="s">
        <v>19</v>
      </c>
      <c r="C6" s="14" cm="1">
        <f t="array" ref="C6:G6">'volatility amazon call'!AH$5:AL$5</f>
        <v>1500.9348739776483</v>
      </c>
      <c r="D6" s="14">
        <v>2609.3002450963645</v>
      </c>
      <c r="E6" s="14">
        <v>1.6733092216647521E-2</v>
      </c>
      <c r="F6" s="14">
        <v>0.39051908937792318</v>
      </c>
      <c r="G6" s="25">
        <v>0.36253882311913371</v>
      </c>
    </row>
    <row r="7" spans="1:8" x14ac:dyDescent="0.25">
      <c r="A7" s="7">
        <v>45351</v>
      </c>
      <c r="B7" s="22" t="s">
        <v>14</v>
      </c>
      <c r="C7" s="23" cm="1">
        <f t="array" ref="C7:G7">'volatility netflix call'!U$5:Y$5</f>
        <v>-27133.391896679772</v>
      </c>
      <c r="D7" s="23">
        <v>32513.180082882951</v>
      </c>
      <c r="E7" s="23">
        <v>1.3378247226932249</v>
      </c>
      <c r="F7" s="23">
        <v>-0.85051939772965146</v>
      </c>
      <c r="G7" s="24">
        <v>-2.712603196714968</v>
      </c>
      <c r="H7" s="7">
        <v>46023</v>
      </c>
    </row>
    <row r="8" spans="1:8" x14ac:dyDescent="0.25">
      <c r="B8" s="3" t="s">
        <v>16</v>
      </c>
      <c r="C8" s="14" cm="1">
        <f t="array" ref="C8:G8">'volatility meta call'!U$5:Y$5</f>
        <v>1136.2492999854865</v>
      </c>
      <c r="D8" s="14">
        <v>84315.870614928732</v>
      </c>
      <c r="E8" s="14">
        <v>0.40340311347548052</v>
      </c>
      <c r="F8" s="14">
        <v>-1.0000948424035228</v>
      </c>
      <c r="G8" s="25">
        <v>-3.5826421058094735</v>
      </c>
    </row>
    <row r="9" spans="1:8" x14ac:dyDescent="0.25">
      <c r="B9" s="3" t="s">
        <v>17</v>
      </c>
      <c r="C9" s="14" cm="1">
        <f t="array" ref="C9:G9">'volatility alphabet call'!U$5:Y$5</f>
        <v>422.72538357805234</v>
      </c>
      <c r="D9" s="14">
        <v>2075.2026822692496</v>
      </c>
      <c r="E9" s="14">
        <v>-0.49311714455072514</v>
      </c>
      <c r="F9" s="14">
        <v>0.11759934911019795</v>
      </c>
      <c r="G9" s="25">
        <v>0.34062473648422026</v>
      </c>
    </row>
    <row r="10" spans="1:8" x14ac:dyDescent="0.25">
      <c r="B10" s="3" t="s">
        <v>18</v>
      </c>
      <c r="C10" s="14" cm="1">
        <f t="array" ref="C10:G10">'volatility ebay call'!U$5:Y$5</f>
        <v>-5056.2243816391274</v>
      </c>
      <c r="D10" s="14">
        <v>1624.6709538498308</v>
      </c>
      <c r="E10" s="14">
        <v>-3.8514863811927365</v>
      </c>
      <c r="F10" s="14">
        <v>-2.0332515208149089</v>
      </c>
      <c r="G10" s="25">
        <v>-2.2009254539346186</v>
      </c>
    </row>
    <row r="11" spans="1:8" x14ac:dyDescent="0.25">
      <c r="B11" s="3" t="s">
        <v>19</v>
      </c>
      <c r="C11" s="14" cm="1">
        <f t="array" ref="C11:G11">'volatility amazon call'!U$5:Y$5</f>
        <v>832.68165375061039</v>
      </c>
      <c r="D11" s="14">
        <v>1311.6378299134851</v>
      </c>
      <c r="E11" s="14">
        <v>-0.8248013809660798</v>
      </c>
      <c r="F11" s="14">
        <v>-0.86107003356826217</v>
      </c>
      <c r="G11" s="25">
        <v>-0.11418277178083899</v>
      </c>
    </row>
    <row r="12" spans="1:8" x14ac:dyDescent="0.25">
      <c r="A12" s="7">
        <v>45385</v>
      </c>
      <c r="B12" s="22" t="s">
        <v>14</v>
      </c>
      <c r="C12" s="23" cm="1">
        <f t="array" ref="C12:G12">'volatility netflix call'!H$5:L$5</f>
        <v>4284.0149086367337</v>
      </c>
      <c r="D12" s="23">
        <v>10172.266594165425</v>
      </c>
      <c r="E12" s="23">
        <v>0.61992838364044101</v>
      </c>
      <c r="F12" s="23">
        <v>-1.0921499713667617</v>
      </c>
      <c r="G12" s="24">
        <v>-1.9867047296411013</v>
      </c>
      <c r="H12" s="7">
        <v>46174</v>
      </c>
    </row>
    <row r="13" spans="1:8" x14ac:dyDescent="0.25">
      <c r="B13" s="3" t="s">
        <v>16</v>
      </c>
      <c r="C13" s="14" cm="1">
        <f t="array" ref="C13:G13">'volatility meta call'!H$5:L$5</f>
        <v>-8765.4187354651822</v>
      </c>
      <c r="D13" s="14">
        <v>123798.10784452093</v>
      </c>
      <c r="E13" s="14">
        <v>0.63195371544542778</v>
      </c>
      <c r="F13" s="14">
        <v>-0.98814099090174135</v>
      </c>
      <c r="G13" s="25">
        <v>-3.6509379912434916</v>
      </c>
    </row>
    <row r="14" spans="1:8" x14ac:dyDescent="0.25">
      <c r="B14" s="3" t="s">
        <v>17</v>
      </c>
      <c r="C14" s="14" cm="1">
        <f t="array" ref="C14:G14">'volatility alphabet call'!H$5:L$5</f>
        <v>2799.3250543895165</v>
      </c>
      <c r="D14" s="14">
        <v>798.69830721965798</v>
      </c>
      <c r="E14" s="14">
        <v>0.13000942538130836</v>
      </c>
      <c r="F14" s="14">
        <v>-1.8818587230186423</v>
      </c>
      <c r="G14" s="25">
        <v>-0.94546130924332406</v>
      </c>
    </row>
    <row r="15" spans="1:8" x14ac:dyDescent="0.25">
      <c r="B15" s="3" t="s">
        <v>18</v>
      </c>
      <c r="C15" s="14" cm="1">
        <f t="array" ref="C15:G15">'volatility ebay call'!H$5:L$5</f>
        <v>-1225.711368127696</v>
      </c>
      <c r="D15" s="14">
        <v>1965.0591141810951</v>
      </c>
      <c r="E15" s="14">
        <v>-3.0222016571247883</v>
      </c>
      <c r="F15" s="14">
        <v>-1.3473076976040594</v>
      </c>
      <c r="G15" s="25">
        <v>-1.1442556599108269</v>
      </c>
    </row>
    <row r="16" spans="1:8" x14ac:dyDescent="0.25">
      <c r="B16" s="4" t="s">
        <v>19</v>
      </c>
      <c r="C16" s="26" cm="1">
        <f t="array" ref="C16:G16">'volatility amazon call'!H$5:L$5</f>
        <v>2073.7703199628813</v>
      </c>
      <c r="D16" s="26">
        <v>883.6703664332216</v>
      </c>
      <c r="E16" s="26">
        <v>-0.45089637400019217</v>
      </c>
      <c r="F16" s="26">
        <v>-1.6354199503307543</v>
      </c>
      <c r="G16" s="27">
        <v>-3.0604829813676553E-2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2C385-F757-4D9D-8CF0-6934EA8EB645}">
  <sheetPr codeName="Arkusz10">
    <tabColor theme="0" tint="-0.14999847407452621"/>
  </sheetPr>
  <dimension ref="A1:N61"/>
  <sheetViews>
    <sheetView workbookViewId="0">
      <selection activeCell="L52" sqref="L52"/>
    </sheetView>
  </sheetViews>
  <sheetFormatPr defaultRowHeight="15" x14ac:dyDescent="0.25"/>
  <cols>
    <col min="1" max="1" width="12.42578125" bestFit="1" customWidth="1"/>
    <col min="2" max="2" width="18.28515625" bestFit="1" customWidth="1"/>
    <col min="3" max="3" width="10.140625" bestFit="1" customWidth="1"/>
    <col min="6" max="6" width="12.42578125" bestFit="1" customWidth="1"/>
    <col min="7" max="7" width="18.28515625" bestFit="1" customWidth="1"/>
    <col min="8" max="8" width="10.140625" bestFit="1" customWidth="1"/>
    <col min="11" max="11" width="12.42578125" bestFit="1" customWidth="1"/>
    <col min="12" max="12" width="18.28515625" bestFit="1" customWidth="1"/>
    <col min="13" max="13" width="10.140625" bestFit="1" customWidth="1"/>
  </cols>
  <sheetData>
    <row r="1" spans="1:14" x14ac:dyDescent="0.25">
      <c r="A1" s="7">
        <v>45291</v>
      </c>
      <c r="B1" t="s">
        <v>56</v>
      </c>
      <c r="F1" s="7">
        <v>45351</v>
      </c>
      <c r="G1" t="s">
        <v>56</v>
      </c>
      <c r="K1" s="7">
        <v>45385</v>
      </c>
      <c r="L1" t="s">
        <v>56</v>
      </c>
    </row>
    <row r="2" spans="1:14" x14ac:dyDescent="0.25">
      <c r="A2" t="s">
        <v>57</v>
      </c>
      <c r="B2" t="s">
        <v>58</v>
      </c>
      <c r="F2" t="s">
        <v>57</v>
      </c>
      <c r="G2" t="s">
        <v>58</v>
      </c>
      <c r="K2" t="s">
        <v>57</v>
      </c>
      <c r="L2" t="s">
        <v>58</v>
      </c>
    </row>
    <row r="3" spans="1:14" x14ac:dyDescent="0.25">
      <c r="A3" s="15" t="s">
        <v>59</v>
      </c>
      <c r="B3" s="16" t="s">
        <v>60</v>
      </c>
      <c r="C3" s="39" t="s">
        <v>61</v>
      </c>
      <c r="D3" s="40" t="s">
        <v>62</v>
      </c>
      <c r="F3" s="15" t="s">
        <v>59</v>
      </c>
      <c r="G3" s="16" t="s">
        <v>60</v>
      </c>
      <c r="H3" s="39" t="s">
        <v>61</v>
      </c>
      <c r="I3" s="40" t="s">
        <v>62</v>
      </c>
      <c r="K3" s="15" t="s">
        <v>59</v>
      </c>
      <c r="L3" s="16" t="s">
        <v>60</v>
      </c>
      <c r="M3" s="39" t="s">
        <v>61</v>
      </c>
      <c r="N3" s="40" t="s">
        <v>62</v>
      </c>
    </row>
    <row r="4" spans="1:14" x14ac:dyDescent="0.25">
      <c r="A4" s="15" t="s">
        <v>57</v>
      </c>
      <c r="B4" s="17" t="s">
        <v>63</v>
      </c>
      <c r="C4" s="46">
        <v>45291</v>
      </c>
      <c r="D4" s="25">
        <v>1</v>
      </c>
      <c r="F4" s="15" t="s">
        <v>57</v>
      </c>
      <c r="G4" s="17" t="s">
        <v>63</v>
      </c>
      <c r="H4" s="46">
        <v>45351</v>
      </c>
      <c r="I4" s="25">
        <v>1</v>
      </c>
      <c r="K4" s="15" t="s">
        <v>57</v>
      </c>
      <c r="L4" s="17" t="s">
        <v>63</v>
      </c>
      <c r="M4" s="46">
        <v>45385</v>
      </c>
      <c r="N4" s="25">
        <v>1</v>
      </c>
    </row>
    <row r="5" spans="1:14" x14ac:dyDescent="0.25">
      <c r="A5" s="18" t="s">
        <v>64</v>
      </c>
      <c r="B5" s="19" t="s">
        <v>65</v>
      </c>
      <c r="C5" s="46">
        <v>45293</v>
      </c>
      <c r="D5" s="25">
        <v>0.99940424400000005</v>
      </c>
      <c r="F5" s="18" t="s">
        <v>64</v>
      </c>
      <c r="G5" s="19" t="s">
        <v>65</v>
      </c>
      <c r="H5" s="46">
        <v>45352</v>
      </c>
      <c r="I5" s="25">
        <v>0.99985349400000001</v>
      </c>
      <c r="K5" s="18" t="s">
        <v>64</v>
      </c>
      <c r="L5" s="19" t="s">
        <v>65</v>
      </c>
      <c r="M5" s="46">
        <v>45386</v>
      </c>
      <c r="N5" s="25">
        <v>0.99985293799999997</v>
      </c>
    </row>
    <row r="6" spans="1:14" x14ac:dyDescent="0.25">
      <c r="A6" s="18" t="s">
        <v>66</v>
      </c>
      <c r="B6" s="19" t="s">
        <v>67</v>
      </c>
      <c r="C6" s="46">
        <v>45294</v>
      </c>
      <c r="D6" s="25">
        <v>0.99925532699999997</v>
      </c>
      <c r="F6" s="18" t="s">
        <v>66</v>
      </c>
      <c r="G6" s="19" t="s">
        <v>67</v>
      </c>
      <c r="H6" s="46">
        <v>45355</v>
      </c>
      <c r="I6" s="25">
        <v>0.99941125399999997</v>
      </c>
      <c r="K6" s="18" t="s">
        <v>66</v>
      </c>
      <c r="L6" s="19" t="s">
        <v>67</v>
      </c>
      <c r="M6" s="46">
        <v>45387</v>
      </c>
      <c r="N6" s="25">
        <v>0.99970589799999998</v>
      </c>
    </row>
    <row r="7" spans="1:14" x14ac:dyDescent="0.25">
      <c r="A7" s="18" t="s">
        <v>68</v>
      </c>
      <c r="B7" s="19" t="s">
        <v>69</v>
      </c>
      <c r="C7" s="46">
        <v>45295</v>
      </c>
      <c r="D7" s="25">
        <v>0.99910662800000005</v>
      </c>
      <c r="F7" s="18" t="s">
        <v>68</v>
      </c>
      <c r="G7" s="19" t="s">
        <v>69</v>
      </c>
      <c r="H7" s="46">
        <v>45356</v>
      </c>
      <c r="I7" s="25">
        <v>0.999264233</v>
      </c>
      <c r="K7" s="18" t="s">
        <v>68</v>
      </c>
      <c r="L7" s="19" t="s">
        <v>69</v>
      </c>
      <c r="M7" s="46">
        <v>45390</v>
      </c>
      <c r="N7" s="25">
        <v>0.99926583999999996</v>
      </c>
    </row>
    <row r="8" spans="1:14" x14ac:dyDescent="0.25">
      <c r="A8" s="18" t="s">
        <v>70</v>
      </c>
      <c r="B8" s="19" t="s">
        <v>71</v>
      </c>
      <c r="C8" s="46">
        <v>45301</v>
      </c>
      <c r="D8" s="25">
        <v>0.99821500600000002</v>
      </c>
      <c r="F8" s="18" t="s">
        <v>70</v>
      </c>
      <c r="G8" s="19" t="s">
        <v>71</v>
      </c>
      <c r="H8" s="46">
        <v>45362</v>
      </c>
      <c r="I8" s="25">
        <v>0.99838506800000004</v>
      </c>
      <c r="K8" s="18" t="s">
        <v>70</v>
      </c>
      <c r="L8" s="19" t="s">
        <v>71</v>
      </c>
      <c r="M8" s="46">
        <v>45394</v>
      </c>
      <c r="N8" s="25">
        <v>0.99868040400000002</v>
      </c>
    </row>
    <row r="9" spans="1:14" x14ac:dyDescent="0.25">
      <c r="A9" s="18" t="s">
        <v>72</v>
      </c>
      <c r="B9" s="19" t="s">
        <v>73</v>
      </c>
      <c r="C9" s="46">
        <v>45308</v>
      </c>
      <c r="D9" s="25">
        <v>0.99717563899999995</v>
      </c>
      <c r="F9" s="18" t="s">
        <v>72</v>
      </c>
      <c r="G9" s="19" t="s">
        <v>73</v>
      </c>
      <c r="H9" s="46">
        <v>45369</v>
      </c>
      <c r="I9" s="25">
        <v>0.99736242900000005</v>
      </c>
      <c r="K9" s="18" t="s">
        <v>72</v>
      </c>
      <c r="L9" s="19" t="s">
        <v>73</v>
      </c>
      <c r="M9" s="46">
        <v>45401</v>
      </c>
      <c r="N9" s="25">
        <v>0.99765737600000004</v>
      </c>
    </row>
    <row r="10" spans="1:14" x14ac:dyDescent="0.25">
      <c r="A10" s="18" t="s">
        <v>74</v>
      </c>
      <c r="B10" s="19" t="s">
        <v>75</v>
      </c>
      <c r="C10" s="46">
        <v>45327</v>
      </c>
      <c r="D10" s="25">
        <v>0.99435437500000001</v>
      </c>
      <c r="F10" s="18" t="s">
        <v>74</v>
      </c>
      <c r="G10" s="19" t="s">
        <v>75</v>
      </c>
      <c r="H10" s="46">
        <v>45386</v>
      </c>
      <c r="I10" s="25">
        <v>0.99486021099999999</v>
      </c>
      <c r="K10" s="18" t="s">
        <v>74</v>
      </c>
      <c r="L10" s="19" t="s">
        <v>75</v>
      </c>
      <c r="M10" s="46">
        <v>45418</v>
      </c>
      <c r="N10" s="25">
        <v>0.99515836599999996</v>
      </c>
    </row>
    <row r="11" spans="1:14" x14ac:dyDescent="0.25">
      <c r="A11" s="18" t="s">
        <v>76</v>
      </c>
      <c r="B11" s="19" t="s">
        <v>77</v>
      </c>
      <c r="C11" s="46">
        <v>45355</v>
      </c>
      <c r="D11" s="25">
        <v>0.99015969500000001</v>
      </c>
      <c r="F11" s="18" t="s">
        <v>76</v>
      </c>
      <c r="G11" s="19" t="s">
        <v>77</v>
      </c>
      <c r="H11" s="46">
        <v>45418</v>
      </c>
      <c r="I11" s="25">
        <v>0.99001996999999997</v>
      </c>
      <c r="K11" s="18" t="s">
        <v>76</v>
      </c>
      <c r="L11" s="19" t="s">
        <v>77</v>
      </c>
      <c r="M11" s="46">
        <v>45448</v>
      </c>
      <c r="N11" s="25">
        <v>0.99065476600000002</v>
      </c>
    </row>
    <row r="12" spans="1:14" x14ac:dyDescent="0.25">
      <c r="A12" s="18" t="s">
        <v>78</v>
      </c>
      <c r="B12" s="19" t="s">
        <v>79</v>
      </c>
      <c r="C12" s="46">
        <v>45385</v>
      </c>
      <c r="D12" s="25">
        <v>0.98566052299999996</v>
      </c>
      <c r="F12" s="18" t="s">
        <v>78</v>
      </c>
      <c r="G12" s="19" t="s">
        <v>79</v>
      </c>
      <c r="H12" s="46">
        <v>45447</v>
      </c>
      <c r="I12" s="25">
        <v>0.98559179600000002</v>
      </c>
      <c r="K12" s="18" t="s">
        <v>78</v>
      </c>
      <c r="L12" s="19" t="s">
        <v>79</v>
      </c>
      <c r="M12" s="46">
        <v>45478</v>
      </c>
      <c r="N12" s="25">
        <v>0.98611620799999999</v>
      </c>
    </row>
    <row r="13" spans="1:14" x14ac:dyDescent="0.25">
      <c r="A13" s="18" t="s">
        <v>80</v>
      </c>
      <c r="B13" s="19" t="s">
        <v>81</v>
      </c>
      <c r="C13" s="46">
        <v>45476</v>
      </c>
      <c r="D13" s="25">
        <v>0.972537875</v>
      </c>
      <c r="F13" s="18" t="s">
        <v>80</v>
      </c>
      <c r="G13" s="19" t="s">
        <v>81</v>
      </c>
      <c r="H13" s="46">
        <v>45539</v>
      </c>
      <c r="I13" s="25">
        <v>0.97192058800000003</v>
      </c>
      <c r="K13" s="18" t="s">
        <v>80</v>
      </c>
      <c r="L13" s="19" t="s">
        <v>81</v>
      </c>
      <c r="M13" s="46">
        <v>45572</v>
      </c>
      <c r="N13" s="25">
        <v>0.97219297199999999</v>
      </c>
    </row>
    <row r="14" spans="1:14" x14ac:dyDescent="0.25">
      <c r="A14" s="18" t="s">
        <v>82</v>
      </c>
      <c r="B14" s="19" t="s">
        <v>83</v>
      </c>
      <c r="C14" s="46">
        <v>45568</v>
      </c>
      <c r="D14" s="25">
        <v>0.96095938700000005</v>
      </c>
      <c r="F14" s="18" t="s">
        <v>82</v>
      </c>
      <c r="G14" s="19" t="s">
        <v>83</v>
      </c>
      <c r="H14" s="46">
        <v>45630</v>
      </c>
      <c r="I14" s="25">
        <v>0.95956530500000004</v>
      </c>
      <c r="K14" s="18" t="s">
        <v>82</v>
      </c>
      <c r="L14" s="19" t="s">
        <v>83</v>
      </c>
      <c r="M14" s="46">
        <v>45663</v>
      </c>
      <c r="N14" s="25">
        <v>0.95982915599999996</v>
      </c>
    </row>
    <row r="15" spans="1:14" x14ac:dyDescent="0.25">
      <c r="A15" s="18" t="s">
        <v>84</v>
      </c>
      <c r="B15" s="19" t="s">
        <v>85</v>
      </c>
      <c r="C15" s="46">
        <v>45660</v>
      </c>
      <c r="D15" s="25">
        <v>0.950539994</v>
      </c>
      <c r="F15" s="18" t="s">
        <v>84</v>
      </c>
      <c r="G15" s="19" t="s">
        <v>85</v>
      </c>
      <c r="H15" s="46">
        <v>45720</v>
      </c>
      <c r="I15" s="25">
        <v>0.94826300200000002</v>
      </c>
      <c r="K15" s="18" t="s">
        <v>84</v>
      </c>
      <c r="L15" s="19" t="s">
        <v>85</v>
      </c>
      <c r="M15" s="46">
        <v>45754</v>
      </c>
      <c r="N15" s="25">
        <v>0.94828581099999998</v>
      </c>
    </row>
    <row r="16" spans="1:14" x14ac:dyDescent="0.25">
      <c r="A16" s="18" t="s">
        <v>86</v>
      </c>
      <c r="B16" s="19" t="s">
        <v>87</v>
      </c>
      <c r="C16" s="46">
        <v>45750</v>
      </c>
      <c r="D16" s="25">
        <v>0.94124788800000003</v>
      </c>
      <c r="F16" s="18" t="s">
        <v>86</v>
      </c>
      <c r="G16" s="19" t="s">
        <v>87</v>
      </c>
      <c r="H16" s="46">
        <v>45812</v>
      </c>
      <c r="I16" s="25">
        <v>0.93749997299999999</v>
      </c>
      <c r="K16" s="18" t="s">
        <v>86</v>
      </c>
      <c r="L16" s="19" t="s">
        <v>87</v>
      </c>
      <c r="M16" s="46">
        <v>45845</v>
      </c>
      <c r="N16" s="25">
        <v>0.93744649899999999</v>
      </c>
    </row>
    <row r="17" spans="1:14" x14ac:dyDescent="0.25">
      <c r="A17" s="18" t="s">
        <v>88</v>
      </c>
      <c r="B17" s="19" t="s">
        <v>89</v>
      </c>
      <c r="C17" s="46">
        <v>45841</v>
      </c>
      <c r="D17" s="25">
        <v>0.93267935199999996</v>
      </c>
      <c r="F17" s="18" t="s">
        <v>88</v>
      </c>
      <c r="G17" s="19" t="s">
        <v>89</v>
      </c>
      <c r="H17" s="46">
        <v>45904</v>
      </c>
      <c r="I17" s="25">
        <v>0.927469506</v>
      </c>
      <c r="K17" s="18" t="s">
        <v>88</v>
      </c>
      <c r="L17" s="19" t="s">
        <v>89</v>
      </c>
      <c r="M17" s="46">
        <v>45936</v>
      </c>
      <c r="N17" s="25">
        <v>0.92723127999999999</v>
      </c>
    </row>
    <row r="18" spans="1:14" x14ac:dyDescent="0.25">
      <c r="A18" s="18" t="s">
        <v>90</v>
      </c>
      <c r="B18" s="19" t="s">
        <v>91</v>
      </c>
      <c r="C18" s="46">
        <v>45933</v>
      </c>
      <c r="D18" s="25">
        <v>0.92457589600000001</v>
      </c>
      <c r="F18" s="18" t="s">
        <v>90</v>
      </c>
      <c r="G18" s="19" t="s">
        <v>91</v>
      </c>
      <c r="H18" s="46">
        <v>45995</v>
      </c>
      <c r="I18" s="25">
        <v>0.91808297999999999</v>
      </c>
      <c r="K18" s="18" t="s">
        <v>90</v>
      </c>
      <c r="L18" s="19" t="s">
        <v>91</v>
      </c>
      <c r="M18" s="46">
        <v>46027</v>
      </c>
      <c r="N18" s="25">
        <v>0.91750878800000002</v>
      </c>
    </row>
    <row r="19" spans="1:14" x14ac:dyDescent="0.25">
      <c r="A19" s="18" t="s">
        <v>92</v>
      </c>
      <c r="B19" s="19" t="s">
        <v>93</v>
      </c>
      <c r="C19" s="46">
        <v>46027</v>
      </c>
      <c r="D19" s="25">
        <v>0.91667167500000002</v>
      </c>
      <c r="F19" s="18" t="s">
        <v>92</v>
      </c>
      <c r="G19" s="19" t="s">
        <v>93</v>
      </c>
      <c r="H19" s="46">
        <v>46085</v>
      </c>
      <c r="I19" s="25">
        <v>0.90909514999999996</v>
      </c>
      <c r="K19" s="18" t="s">
        <v>92</v>
      </c>
      <c r="L19" s="19" t="s">
        <v>93</v>
      </c>
      <c r="M19" s="46">
        <v>46118</v>
      </c>
      <c r="N19" s="25">
        <v>0.90795527200000004</v>
      </c>
    </row>
    <row r="20" spans="1:14" x14ac:dyDescent="0.25">
      <c r="A20" s="18" t="s">
        <v>94</v>
      </c>
      <c r="B20" s="19" t="s">
        <v>95</v>
      </c>
      <c r="C20" s="46">
        <v>46115</v>
      </c>
      <c r="D20" s="25">
        <v>0.90930504999999995</v>
      </c>
      <c r="F20" s="18" t="s">
        <v>94</v>
      </c>
      <c r="G20" s="19" t="s">
        <v>95</v>
      </c>
      <c r="H20" s="46">
        <v>46177</v>
      </c>
      <c r="I20" s="25">
        <v>0.90012514499999996</v>
      </c>
      <c r="K20" s="18" t="s">
        <v>94</v>
      </c>
      <c r="L20" s="19" t="s">
        <v>95</v>
      </c>
      <c r="M20" s="46">
        <v>46209</v>
      </c>
      <c r="N20" s="25">
        <v>0.89891072500000002</v>
      </c>
    </row>
    <row r="21" spans="1:14" x14ac:dyDescent="0.25">
      <c r="A21" s="18" t="s">
        <v>96</v>
      </c>
      <c r="B21" s="19" t="s">
        <v>97</v>
      </c>
      <c r="C21" s="46">
        <v>46206</v>
      </c>
      <c r="D21" s="25">
        <v>0.90168487600000002</v>
      </c>
      <c r="F21" s="18" t="s">
        <v>96</v>
      </c>
      <c r="G21" s="19" t="s">
        <v>97</v>
      </c>
      <c r="H21" s="46">
        <v>46269</v>
      </c>
      <c r="I21" s="25">
        <v>0.89123047799999999</v>
      </c>
      <c r="K21" s="18" t="s">
        <v>96</v>
      </c>
      <c r="L21" s="19" t="s">
        <v>97</v>
      </c>
      <c r="M21" s="46">
        <v>46300</v>
      </c>
      <c r="N21" s="25">
        <v>0.88987912499999999</v>
      </c>
    </row>
    <row r="22" spans="1:14" x14ac:dyDescent="0.25">
      <c r="A22" s="18" t="s">
        <v>98</v>
      </c>
      <c r="B22" s="19" t="s">
        <v>99</v>
      </c>
      <c r="C22" s="46">
        <v>46300</v>
      </c>
      <c r="D22" s="25">
        <v>0.893918412</v>
      </c>
      <c r="F22" s="18" t="s">
        <v>98</v>
      </c>
      <c r="G22" s="19" t="s">
        <v>99</v>
      </c>
      <c r="H22" s="46">
        <v>46360</v>
      </c>
      <c r="I22" s="25">
        <v>0.88260399099999998</v>
      </c>
      <c r="K22" s="18" t="s">
        <v>98</v>
      </c>
      <c r="L22" s="19" t="s">
        <v>99</v>
      </c>
      <c r="M22" s="46">
        <v>46392</v>
      </c>
      <c r="N22" s="25">
        <v>0.88092539299999995</v>
      </c>
    </row>
    <row r="23" spans="1:14" x14ac:dyDescent="0.25">
      <c r="A23" s="18" t="s">
        <v>100</v>
      </c>
      <c r="B23" s="19" t="s">
        <v>101</v>
      </c>
      <c r="C23" s="46">
        <v>46391</v>
      </c>
      <c r="D23" s="25">
        <v>0.88660660800000002</v>
      </c>
      <c r="F23" s="18" t="s">
        <v>100</v>
      </c>
      <c r="G23" s="19" t="s">
        <v>101</v>
      </c>
      <c r="H23" s="46">
        <v>46450</v>
      </c>
      <c r="I23" s="25">
        <v>0.87433463</v>
      </c>
      <c r="K23" s="18" t="s">
        <v>100</v>
      </c>
      <c r="L23" s="19" t="s">
        <v>101</v>
      </c>
      <c r="M23" s="46">
        <v>46482</v>
      </c>
      <c r="N23" s="25">
        <v>0.87239813399999999</v>
      </c>
    </row>
    <row r="24" spans="1:14" x14ac:dyDescent="0.25">
      <c r="A24" s="18" t="s">
        <v>102</v>
      </c>
      <c r="B24" s="19" t="s">
        <v>103</v>
      </c>
      <c r="C24" s="46">
        <v>46482</v>
      </c>
      <c r="D24" s="25">
        <v>0.87967026599999998</v>
      </c>
      <c r="F24" s="18" t="s">
        <v>102</v>
      </c>
      <c r="G24" s="19" t="s">
        <v>103</v>
      </c>
      <c r="H24" s="46">
        <v>46542</v>
      </c>
      <c r="I24" s="25">
        <v>0.86630713199999998</v>
      </c>
      <c r="K24" s="18" t="s">
        <v>102</v>
      </c>
      <c r="L24" s="19" t="s">
        <v>103</v>
      </c>
      <c r="M24" s="46">
        <v>46574</v>
      </c>
      <c r="N24" s="25">
        <v>0.86404391800000002</v>
      </c>
    </row>
    <row r="25" spans="1:14" x14ac:dyDescent="0.25">
      <c r="A25" s="18" t="s">
        <v>104</v>
      </c>
      <c r="B25" s="19" t="s">
        <v>105</v>
      </c>
      <c r="C25" s="46">
        <v>46574</v>
      </c>
      <c r="D25" s="25">
        <v>0.87293451</v>
      </c>
      <c r="F25" s="18" t="s">
        <v>104</v>
      </c>
      <c r="G25" s="19" t="s">
        <v>105</v>
      </c>
      <c r="H25" s="46">
        <v>46637</v>
      </c>
      <c r="I25" s="25">
        <v>0.85836250999999997</v>
      </c>
      <c r="K25" s="18" t="s">
        <v>104</v>
      </c>
      <c r="L25" s="19" t="s">
        <v>105</v>
      </c>
      <c r="M25" s="46">
        <v>46665</v>
      </c>
      <c r="N25" s="25">
        <v>0.85607049300000004</v>
      </c>
    </row>
    <row r="26" spans="1:14" x14ac:dyDescent="0.25">
      <c r="A26" s="18" t="s">
        <v>106</v>
      </c>
      <c r="B26" s="19" t="s">
        <v>107</v>
      </c>
      <c r="C26" s="46">
        <v>46664</v>
      </c>
      <c r="D26" s="25">
        <v>0.86631086400000001</v>
      </c>
      <c r="F26" s="18" t="s">
        <v>106</v>
      </c>
      <c r="G26" s="19" t="s">
        <v>107</v>
      </c>
      <c r="H26" s="46">
        <v>46727</v>
      </c>
      <c r="I26" s="25">
        <v>0.85087867399999995</v>
      </c>
      <c r="K26" s="18" t="s">
        <v>106</v>
      </c>
      <c r="L26" s="19" t="s">
        <v>107</v>
      </c>
      <c r="M26" s="46">
        <v>46757</v>
      </c>
      <c r="N26" s="25">
        <v>0.84806972999999997</v>
      </c>
    </row>
    <row r="27" spans="1:14" x14ac:dyDescent="0.25">
      <c r="A27" s="18" t="s">
        <v>108</v>
      </c>
      <c r="B27" s="19" t="s">
        <v>109</v>
      </c>
      <c r="C27" s="46">
        <v>46755</v>
      </c>
      <c r="D27" s="25">
        <v>0.85919342399999998</v>
      </c>
      <c r="F27" s="18" t="s">
        <v>108</v>
      </c>
      <c r="G27" s="19" t="s">
        <v>109</v>
      </c>
      <c r="H27" s="46">
        <v>46818</v>
      </c>
      <c r="I27" s="25">
        <v>0.84307752400000002</v>
      </c>
      <c r="K27" s="18" t="s">
        <v>108</v>
      </c>
      <c r="L27" s="19" t="s">
        <v>109</v>
      </c>
      <c r="M27" s="46">
        <v>46848</v>
      </c>
      <c r="N27" s="25">
        <v>0.83998604099999996</v>
      </c>
    </row>
    <row r="28" spans="1:14" x14ac:dyDescent="0.25">
      <c r="A28" s="18" t="s">
        <v>110</v>
      </c>
      <c r="B28" s="19" t="s">
        <v>111</v>
      </c>
      <c r="C28" s="46">
        <v>46846</v>
      </c>
      <c r="D28" s="25">
        <v>0.85170508099999997</v>
      </c>
      <c r="F28" s="18" t="s">
        <v>110</v>
      </c>
      <c r="G28" s="19" t="s">
        <v>111</v>
      </c>
      <c r="H28" s="46">
        <v>46909</v>
      </c>
      <c r="I28" s="25">
        <v>0.83490158699999995</v>
      </c>
      <c r="K28" s="18" t="s">
        <v>110</v>
      </c>
      <c r="L28" s="19" t="s">
        <v>111</v>
      </c>
      <c r="M28" s="46">
        <v>46939</v>
      </c>
      <c r="N28" s="25">
        <v>0.831611463</v>
      </c>
    </row>
    <row r="29" spans="1:14" x14ac:dyDescent="0.25">
      <c r="A29" s="18" t="s">
        <v>112</v>
      </c>
      <c r="B29" s="19" t="s">
        <v>113</v>
      </c>
      <c r="C29" s="46">
        <v>46937</v>
      </c>
      <c r="D29" s="25">
        <v>0.84380101699999999</v>
      </c>
      <c r="F29" s="18" t="s">
        <v>112</v>
      </c>
      <c r="G29" s="19" t="s">
        <v>113</v>
      </c>
      <c r="H29" s="46">
        <v>47001</v>
      </c>
      <c r="I29" s="25">
        <v>0.82642895800000005</v>
      </c>
      <c r="K29" s="18" t="s">
        <v>112</v>
      </c>
      <c r="L29" s="19" t="s">
        <v>113</v>
      </c>
      <c r="M29" s="46">
        <v>47031</v>
      </c>
      <c r="N29" s="25">
        <v>0.82299410500000003</v>
      </c>
    </row>
    <row r="30" spans="1:14" x14ac:dyDescent="0.25">
      <c r="A30" s="18" t="s">
        <v>114</v>
      </c>
      <c r="B30" s="19" t="s">
        <v>115</v>
      </c>
      <c r="C30" s="46">
        <v>47029</v>
      </c>
      <c r="D30" s="25">
        <v>0.83574730100000005</v>
      </c>
      <c r="F30" s="18" t="s">
        <v>114</v>
      </c>
      <c r="G30" s="19" t="s">
        <v>115</v>
      </c>
      <c r="H30" s="46">
        <v>47091</v>
      </c>
      <c r="I30" s="25">
        <v>0.818128733</v>
      </c>
      <c r="K30" s="18" t="s">
        <v>114</v>
      </c>
      <c r="L30" s="19" t="s">
        <v>115</v>
      </c>
      <c r="M30" s="46">
        <v>47123</v>
      </c>
      <c r="N30" s="25">
        <v>0.81439729400000005</v>
      </c>
    </row>
    <row r="31" spans="1:14" x14ac:dyDescent="0.25">
      <c r="A31" s="18" t="s">
        <v>116</v>
      </c>
      <c r="B31" s="19" t="s">
        <v>117</v>
      </c>
      <c r="C31" s="46">
        <v>47121</v>
      </c>
      <c r="D31" s="25">
        <v>0.82791109399999996</v>
      </c>
      <c r="F31" s="18" t="s">
        <v>116</v>
      </c>
      <c r="G31" s="19" t="s">
        <v>117</v>
      </c>
      <c r="H31" s="46">
        <v>47182</v>
      </c>
      <c r="I31" s="25">
        <v>0.80991494500000005</v>
      </c>
      <c r="K31" s="18" t="s">
        <v>116</v>
      </c>
      <c r="L31" s="19" t="s">
        <v>117</v>
      </c>
      <c r="M31" s="46">
        <v>47213</v>
      </c>
      <c r="N31" s="25">
        <v>0.80617319700000001</v>
      </c>
    </row>
    <row r="32" spans="1:14" x14ac:dyDescent="0.25">
      <c r="A32" s="18" t="s">
        <v>118</v>
      </c>
      <c r="B32" s="19" t="s">
        <v>119</v>
      </c>
      <c r="C32" s="46">
        <v>47211</v>
      </c>
      <c r="D32" s="25">
        <v>0.82050579899999998</v>
      </c>
      <c r="F32" s="18" t="s">
        <v>118</v>
      </c>
      <c r="G32" s="19" t="s">
        <v>119</v>
      </c>
      <c r="H32" s="46">
        <v>47273</v>
      </c>
      <c r="I32" s="25">
        <v>0.801907963</v>
      </c>
      <c r="K32" s="18" t="s">
        <v>118</v>
      </c>
      <c r="L32" s="19" t="s">
        <v>119</v>
      </c>
      <c r="M32" s="46">
        <v>47304</v>
      </c>
      <c r="N32" s="25">
        <v>0.79807748999999994</v>
      </c>
    </row>
    <row r="33" spans="1:14" x14ac:dyDescent="0.25">
      <c r="A33" s="18" t="s">
        <v>120</v>
      </c>
      <c r="B33" s="19" t="s">
        <v>121</v>
      </c>
      <c r="C33" s="46">
        <v>47302</v>
      </c>
      <c r="D33" s="25">
        <v>0.81314266899999998</v>
      </c>
      <c r="F33" s="18" t="s">
        <v>120</v>
      </c>
      <c r="G33" s="19" t="s">
        <v>121</v>
      </c>
      <c r="H33" s="46">
        <v>47365</v>
      </c>
      <c r="I33" s="25">
        <v>0.79392726300000005</v>
      </c>
      <c r="K33" s="18" t="s">
        <v>120</v>
      </c>
      <c r="L33" s="19" t="s">
        <v>121</v>
      </c>
      <c r="M33" s="46">
        <v>47396</v>
      </c>
      <c r="N33" s="25">
        <v>0.79003016000000004</v>
      </c>
    </row>
    <row r="34" spans="1:14" x14ac:dyDescent="0.25">
      <c r="A34" s="18" t="s">
        <v>122</v>
      </c>
      <c r="B34" s="19" t="s">
        <v>123</v>
      </c>
      <c r="C34" s="46">
        <v>47394</v>
      </c>
      <c r="D34" s="25">
        <v>0.80582231299999996</v>
      </c>
      <c r="F34" s="18" t="s">
        <v>122</v>
      </c>
      <c r="G34" s="19" t="s">
        <v>123</v>
      </c>
      <c r="H34" s="46">
        <v>47456</v>
      </c>
      <c r="I34" s="25">
        <v>0.78615454900000004</v>
      </c>
      <c r="K34" s="18" t="s">
        <v>122</v>
      </c>
      <c r="L34" s="19" t="s">
        <v>123</v>
      </c>
      <c r="M34" s="46">
        <v>47490</v>
      </c>
      <c r="N34" s="25">
        <v>0.78193713300000001</v>
      </c>
    </row>
    <row r="35" spans="1:14" x14ac:dyDescent="0.25">
      <c r="A35" s="18" t="s">
        <v>124</v>
      </c>
      <c r="B35" s="19" t="s">
        <v>125</v>
      </c>
      <c r="C35" s="46">
        <v>47486</v>
      </c>
      <c r="D35" s="25">
        <v>0.79862276099999996</v>
      </c>
      <c r="F35" s="18" t="s">
        <v>124</v>
      </c>
      <c r="G35" s="19" t="s">
        <v>125</v>
      </c>
      <c r="H35" s="46">
        <v>47546</v>
      </c>
      <c r="I35" s="25">
        <v>0.778593851</v>
      </c>
      <c r="K35" s="18" t="s">
        <v>124</v>
      </c>
      <c r="L35" s="19" t="s">
        <v>125</v>
      </c>
      <c r="M35" s="46">
        <v>47578</v>
      </c>
      <c r="N35" s="25">
        <v>0.77446694500000002</v>
      </c>
    </row>
    <row r="36" spans="1:14" x14ac:dyDescent="0.25">
      <c r="A36" s="18" t="s">
        <v>126</v>
      </c>
      <c r="B36" s="19" t="s">
        <v>127</v>
      </c>
      <c r="C36" s="46">
        <v>47576</v>
      </c>
      <c r="D36" s="25">
        <v>0.79174673200000001</v>
      </c>
      <c r="F36" s="18" t="s">
        <v>126</v>
      </c>
      <c r="G36" s="19" t="s">
        <v>127</v>
      </c>
      <c r="H36" s="46">
        <v>47638</v>
      </c>
      <c r="I36" s="25">
        <v>0.77103637700000005</v>
      </c>
      <c r="K36" s="18" t="s">
        <v>126</v>
      </c>
      <c r="L36" s="19" t="s">
        <v>127</v>
      </c>
      <c r="M36" s="46">
        <v>47669</v>
      </c>
      <c r="N36" s="25">
        <v>0.76688413600000005</v>
      </c>
    </row>
    <row r="37" spans="1:14" x14ac:dyDescent="0.25">
      <c r="A37" s="18" t="s">
        <v>128</v>
      </c>
      <c r="B37" s="19" t="s">
        <v>129</v>
      </c>
      <c r="C37" s="46">
        <v>47667</v>
      </c>
      <c r="D37" s="25">
        <v>0.78494823000000002</v>
      </c>
      <c r="F37" s="18" t="s">
        <v>128</v>
      </c>
      <c r="G37" s="19" t="s">
        <v>129</v>
      </c>
      <c r="H37" s="46">
        <v>47730</v>
      </c>
      <c r="I37" s="25">
        <v>0.76363336000000004</v>
      </c>
      <c r="K37" s="18" t="s">
        <v>128</v>
      </c>
      <c r="L37" s="19" t="s">
        <v>129</v>
      </c>
      <c r="M37" s="46">
        <v>47763</v>
      </c>
      <c r="N37" s="25">
        <v>0.75919565600000005</v>
      </c>
    </row>
    <row r="38" spans="1:14" x14ac:dyDescent="0.25">
      <c r="A38" s="18" t="s">
        <v>130</v>
      </c>
      <c r="B38" s="19" t="s">
        <v>131</v>
      </c>
      <c r="C38" s="46">
        <v>47759</v>
      </c>
      <c r="D38" s="25">
        <v>0.77812767299999996</v>
      </c>
      <c r="F38" s="18" t="s">
        <v>130</v>
      </c>
      <c r="G38" s="19" t="s">
        <v>131</v>
      </c>
      <c r="H38" s="46">
        <v>47821</v>
      </c>
      <c r="I38" s="25">
        <v>0.75638347399999994</v>
      </c>
      <c r="K38" s="18" t="s">
        <v>130</v>
      </c>
      <c r="L38" s="19" t="s">
        <v>131</v>
      </c>
      <c r="M38" s="46">
        <v>47854</v>
      </c>
      <c r="N38" s="25">
        <v>0.75181879900000004</v>
      </c>
    </row>
    <row r="39" spans="1:14" x14ac:dyDescent="0.25">
      <c r="A39" s="18" t="s">
        <v>132</v>
      </c>
      <c r="B39" s="19" t="s">
        <v>133</v>
      </c>
      <c r="C39" s="46">
        <v>47851</v>
      </c>
      <c r="D39" s="25">
        <v>0.77125403100000001</v>
      </c>
      <c r="F39" s="18" t="s">
        <v>132</v>
      </c>
      <c r="G39" s="19" t="s">
        <v>133</v>
      </c>
      <c r="H39" s="46">
        <v>47911</v>
      </c>
      <c r="I39" s="25">
        <v>0.74920734300000003</v>
      </c>
      <c r="K39" s="18" t="s">
        <v>132</v>
      </c>
      <c r="L39" s="19" t="s">
        <v>133</v>
      </c>
      <c r="M39" s="46">
        <v>47945</v>
      </c>
      <c r="N39" s="25">
        <v>0.74443484900000001</v>
      </c>
    </row>
    <row r="40" spans="1:14" x14ac:dyDescent="0.25">
      <c r="A40" s="18" t="s">
        <v>134</v>
      </c>
      <c r="B40" s="19" t="s">
        <v>135</v>
      </c>
      <c r="C40" s="46">
        <v>47941</v>
      </c>
      <c r="D40" s="25">
        <v>0.76444464199999995</v>
      </c>
      <c r="F40" s="18" t="s">
        <v>134</v>
      </c>
      <c r="G40" s="19" t="s">
        <v>135</v>
      </c>
      <c r="H40" s="46">
        <v>48003</v>
      </c>
      <c r="I40" s="25">
        <v>0.74184107300000002</v>
      </c>
      <c r="K40" s="18" t="s">
        <v>134</v>
      </c>
      <c r="L40" s="19" t="s">
        <v>135</v>
      </c>
      <c r="M40" s="46">
        <v>48036</v>
      </c>
      <c r="N40" s="25">
        <v>0.73701575799999997</v>
      </c>
    </row>
    <row r="41" spans="1:14" x14ac:dyDescent="0.25">
      <c r="A41" s="18" t="s">
        <v>136</v>
      </c>
      <c r="B41" s="19" t="s">
        <v>137</v>
      </c>
      <c r="C41" s="46">
        <v>48032</v>
      </c>
      <c r="D41" s="25">
        <v>0.75753045100000005</v>
      </c>
      <c r="F41" s="18" t="s">
        <v>136</v>
      </c>
      <c r="G41" s="19" t="s">
        <v>137</v>
      </c>
      <c r="H41" s="46">
        <v>48095</v>
      </c>
      <c r="I41" s="25">
        <v>0.73448800999999997</v>
      </c>
      <c r="K41" s="18" t="s">
        <v>136</v>
      </c>
      <c r="L41" s="19" t="s">
        <v>137</v>
      </c>
      <c r="M41" s="46">
        <v>48127</v>
      </c>
      <c r="N41" s="25">
        <v>0.72960326499999995</v>
      </c>
    </row>
    <row r="42" spans="1:14" x14ac:dyDescent="0.25">
      <c r="A42" s="18" t="s">
        <v>138</v>
      </c>
      <c r="B42" s="19" t="s">
        <v>139</v>
      </c>
      <c r="C42" s="46">
        <v>48124</v>
      </c>
      <c r="D42" s="25">
        <v>0.75054240100000003</v>
      </c>
      <c r="F42" s="18" t="s">
        <v>138</v>
      </c>
      <c r="G42" s="19" t="s">
        <v>139</v>
      </c>
      <c r="H42" s="46">
        <v>48186</v>
      </c>
      <c r="I42" s="25">
        <v>0.72725232799999995</v>
      </c>
      <c r="K42" s="18" t="s">
        <v>138</v>
      </c>
      <c r="L42" s="19" t="s">
        <v>139</v>
      </c>
      <c r="M42" s="46">
        <v>48218</v>
      </c>
      <c r="N42" s="25">
        <v>0.72223056500000005</v>
      </c>
    </row>
    <row r="43" spans="1:14" x14ac:dyDescent="0.25">
      <c r="A43" s="18" t="s">
        <v>140</v>
      </c>
      <c r="B43" s="19" t="s">
        <v>141</v>
      </c>
      <c r="C43" s="46">
        <v>48218</v>
      </c>
      <c r="D43" s="25">
        <v>0.74343826199999996</v>
      </c>
      <c r="F43" s="18" t="s">
        <v>140</v>
      </c>
      <c r="G43" s="19" t="s">
        <v>141</v>
      </c>
      <c r="H43" s="46">
        <v>48277</v>
      </c>
      <c r="I43" s="25">
        <v>0.720078141</v>
      </c>
      <c r="K43" s="18" t="s">
        <v>140</v>
      </c>
      <c r="L43" s="19" t="s">
        <v>141</v>
      </c>
      <c r="M43" s="46">
        <v>48309</v>
      </c>
      <c r="N43" s="25">
        <v>0.71493085700000003</v>
      </c>
    </row>
    <row r="44" spans="1:14" x14ac:dyDescent="0.25">
      <c r="A44" s="18" t="s">
        <v>142</v>
      </c>
      <c r="B44" s="19" t="s">
        <v>143</v>
      </c>
      <c r="C44" s="46">
        <v>48309</v>
      </c>
      <c r="D44" s="25">
        <v>0.73661335299999997</v>
      </c>
      <c r="F44" s="18" t="s">
        <v>142</v>
      </c>
      <c r="G44" s="19" t="s">
        <v>143</v>
      </c>
      <c r="H44" s="46">
        <v>48369</v>
      </c>
      <c r="I44" s="25">
        <v>0.71292341699999995</v>
      </c>
      <c r="K44" s="18" t="s">
        <v>142</v>
      </c>
      <c r="L44" s="19" t="s">
        <v>143</v>
      </c>
      <c r="M44" s="46">
        <v>48401</v>
      </c>
      <c r="N44" s="25">
        <v>0.70766721399999999</v>
      </c>
    </row>
    <row r="45" spans="1:14" x14ac:dyDescent="0.25">
      <c r="A45" s="18" t="s">
        <v>144</v>
      </c>
      <c r="B45" s="19" t="s">
        <v>145</v>
      </c>
      <c r="C45" s="46">
        <v>48401</v>
      </c>
      <c r="D45" s="25">
        <v>0.72974594100000001</v>
      </c>
      <c r="F45" s="18" t="s">
        <v>144</v>
      </c>
      <c r="G45" s="19" t="s">
        <v>145</v>
      </c>
      <c r="H45" s="46">
        <v>48464</v>
      </c>
      <c r="I45" s="25">
        <v>0.70561369200000001</v>
      </c>
      <c r="K45" s="18" t="s">
        <v>144</v>
      </c>
      <c r="L45" s="19" t="s">
        <v>145</v>
      </c>
      <c r="M45" s="46">
        <v>48492</v>
      </c>
      <c r="N45" s="25">
        <v>0.70056838200000005</v>
      </c>
    </row>
    <row r="46" spans="1:14" x14ac:dyDescent="0.25">
      <c r="A46" s="18" t="s">
        <v>146</v>
      </c>
      <c r="B46" s="19" t="s">
        <v>147</v>
      </c>
      <c r="C46" s="46">
        <v>48491</v>
      </c>
      <c r="D46" s="25">
        <v>0.72303598800000002</v>
      </c>
      <c r="F46" s="18" t="s">
        <v>146</v>
      </c>
      <c r="G46" s="19" t="s">
        <v>147</v>
      </c>
      <c r="H46" s="46">
        <v>48554</v>
      </c>
      <c r="I46" s="25">
        <v>0.698698649</v>
      </c>
      <c r="K46" s="18" t="s">
        <v>146</v>
      </c>
      <c r="L46" s="19" t="s">
        <v>147</v>
      </c>
      <c r="M46" s="46">
        <v>48584</v>
      </c>
      <c r="N46" s="25">
        <v>0.69340493299999995</v>
      </c>
    </row>
    <row r="47" spans="1:14" x14ac:dyDescent="0.25">
      <c r="A47" s="18" t="s">
        <v>148</v>
      </c>
      <c r="B47" s="19" t="s">
        <v>149</v>
      </c>
      <c r="C47" s="46">
        <v>48582</v>
      </c>
      <c r="D47" s="25">
        <v>0.71616121799999999</v>
      </c>
      <c r="F47" s="18" t="s">
        <v>148</v>
      </c>
      <c r="G47" s="19" t="s">
        <v>149</v>
      </c>
      <c r="H47" s="46">
        <v>48642</v>
      </c>
      <c r="I47" s="25">
        <v>0.69188783399999998</v>
      </c>
      <c r="K47" s="18" t="s">
        <v>148</v>
      </c>
      <c r="L47" s="19" t="s">
        <v>149</v>
      </c>
      <c r="M47" s="46">
        <v>48674</v>
      </c>
      <c r="N47" s="25">
        <v>0.68633933599999997</v>
      </c>
    </row>
    <row r="48" spans="1:14" x14ac:dyDescent="0.25">
      <c r="A48" s="18" t="s">
        <v>150</v>
      </c>
      <c r="B48" s="19" t="s">
        <v>151</v>
      </c>
      <c r="C48" s="46">
        <v>48673</v>
      </c>
      <c r="D48" s="25">
        <v>0.70936572899999994</v>
      </c>
      <c r="F48" s="18" t="s">
        <v>150</v>
      </c>
      <c r="G48" s="19" t="s">
        <v>151</v>
      </c>
      <c r="H48" s="46">
        <v>48736</v>
      </c>
      <c r="I48" s="25">
        <v>0.68446533099999995</v>
      </c>
      <c r="K48" s="18" t="s">
        <v>150</v>
      </c>
      <c r="L48" s="19" t="s">
        <v>151</v>
      </c>
      <c r="M48" s="46">
        <v>48765</v>
      </c>
      <c r="N48" s="25">
        <v>0.67903942699999997</v>
      </c>
    </row>
    <row r="49" spans="1:14" x14ac:dyDescent="0.25">
      <c r="A49" s="18" t="s">
        <v>152</v>
      </c>
      <c r="B49" s="19" t="s">
        <v>153</v>
      </c>
      <c r="C49" s="46">
        <v>48765</v>
      </c>
      <c r="D49" s="25">
        <v>0.702376259</v>
      </c>
      <c r="F49" s="18" t="s">
        <v>152</v>
      </c>
      <c r="G49" s="19" t="s">
        <v>153</v>
      </c>
      <c r="H49" s="46">
        <v>48828</v>
      </c>
      <c r="I49" s="25">
        <v>0.67711763700000005</v>
      </c>
      <c r="K49" s="18" t="s">
        <v>152</v>
      </c>
      <c r="L49" s="19" t="s">
        <v>153</v>
      </c>
      <c r="M49" s="46">
        <v>48857</v>
      </c>
      <c r="N49" s="25">
        <v>0.67156644499999996</v>
      </c>
    </row>
    <row r="50" spans="1:14" x14ac:dyDescent="0.25">
      <c r="A50" s="18" t="s">
        <v>154</v>
      </c>
      <c r="B50" s="19" t="s">
        <v>155</v>
      </c>
      <c r="C50" s="46">
        <v>48855</v>
      </c>
      <c r="D50" s="25">
        <v>0.69559859499999999</v>
      </c>
      <c r="F50" s="18" t="s">
        <v>154</v>
      </c>
      <c r="G50" s="19" t="s">
        <v>155</v>
      </c>
      <c r="H50" s="46">
        <v>48918</v>
      </c>
      <c r="I50" s="25">
        <v>0.67000976000000001</v>
      </c>
      <c r="K50" s="18" t="s">
        <v>154</v>
      </c>
      <c r="L50" s="19" t="s">
        <v>155</v>
      </c>
      <c r="M50" s="46">
        <v>48949</v>
      </c>
      <c r="N50" s="25">
        <v>0.66417692500000003</v>
      </c>
    </row>
    <row r="51" spans="1:14" x14ac:dyDescent="0.25">
      <c r="A51" s="18" t="s">
        <v>156</v>
      </c>
      <c r="B51" s="19" t="s">
        <v>157</v>
      </c>
      <c r="C51" s="46">
        <v>48947</v>
      </c>
      <c r="D51" s="25">
        <v>0.688836432</v>
      </c>
      <c r="F51" s="18" t="s">
        <v>156</v>
      </c>
      <c r="G51" s="19" t="s">
        <v>157</v>
      </c>
      <c r="H51" s="46">
        <v>49009</v>
      </c>
      <c r="I51" s="25">
        <v>0.66306222299999995</v>
      </c>
      <c r="K51" s="18" t="s">
        <v>156</v>
      </c>
      <c r="L51" s="19" t="s">
        <v>157</v>
      </c>
      <c r="M51" s="46">
        <v>49039</v>
      </c>
      <c r="N51" s="25">
        <v>0.65719928400000005</v>
      </c>
    </row>
    <row r="52" spans="1:14" x14ac:dyDescent="0.25">
      <c r="A52" s="18" t="s">
        <v>158</v>
      </c>
      <c r="B52" s="19" t="s">
        <v>159</v>
      </c>
      <c r="C52" s="46">
        <v>49312</v>
      </c>
      <c r="D52" s="25">
        <v>0.66352582699999996</v>
      </c>
      <c r="F52" s="18" t="s">
        <v>158</v>
      </c>
      <c r="G52" s="19" t="s">
        <v>159</v>
      </c>
      <c r="H52" s="46">
        <v>49373</v>
      </c>
      <c r="I52" s="25">
        <v>0.63745789500000005</v>
      </c>
      <c r="K52" s="18" t="s">
        <v>158</v>
      </c>
      <c r="L52" s="19" t="s">
        <v>159</v>
      </c>
      <c r="M52" s="46">
        <v>49404</v>
      </c>
      <c r="N52" s="25">
        <v>0.63120480300000004</v>
      </c>
    </row>
    <row r="53" spans="1:14" x14ac:dyDescent="0.25">
      <c r="A53" s="18" t="s">
        <v>160</v>
      </c>
      <c r="B53" s="19" t="s">
        <v>161</v>
      </c>
      <c r="C53" s="46">
        <v>49677</v>
      </c>
      <c r="D53" s="25">
        <v>0.63820476599999998</v>
      </c>
      <c r="F53" s="18" t="s">
        <v>160</v>
      </c>
      <c r="G53" s="19" t="s">
        <v>161</v>
      </c>
      <c r="H53" s="46">
        <v>49738</v>
      </c>
      <c r="I53" s="25">
        <v>0.61126267199999995</v>
      </c>
      <c r="K53" s="18" t="s">
        <v>160</v>
      </c>
      <c r="L53" s="19" t="s">
        <v>161</v>
      </c>
      <c r="M53" s="46">
        <v>49772</v>
      </c>
      <c r="N53" s="25">
        <v>0.603958314</v>
      </c>
    </row>
    <row r="54" spans="1:14" x14ac:dyDescent="0.25">
      <c r="A54" s="18" t="s">
        <v>162</v>
      </c>
      <c r="B54" s="19" t="s">
        <v>163</v>
      </c>
      <c r="C54" s="46">
        <v>50045</v>
      </c>
      <c r="D54" s="25">
        <v>0.61285352800000004</v>
      </c>
      <c r="F54" s="18" t="s">
        <v>162</v>
      </c>
      <c r="G54" s="19" t="s">
        <v>163</v>
      </c>
      <c r="H54" s="46">
        <v>50103</v>
      </c>
      <c r="I54" s="25">
        <v>0.58586203000000003</v>
      </c>
      <c r="K54" s="18" t="s">
        <v>162</v>
      </c>
      <c r="L54" s="19" t="s">
        <v>163</v>
      </c>
      <c r="M54" s="46">
        <v>50136</v>
      </c>
      <c r="N54" s="25">
        <v>0.57837727100000003</v>
      </c>
    </row>
    <row r="55" spans="1:14" x14ac:dyDescent="0.25">
      <c r="A55" s="18" t="s">
        <v>164</v>
      </c>
      <c r="B55" s="19" t="s">
        <v>165</v>
      </c>
      <c r="C55" s="46">
        <v>50409</v>
      </c>
      <c r="D55" s="25">
        <v>0.58972783100000004</v>
      </c>
      <c r="F55" s="18" t="s">
        <v>164</v>
      </c>
      <c r="G55" s="19" t="s">
        <v>165</v>
      </c>
      <c r="H55" s="46">
        <v>50468</v>
      </c>
      <c r="I55" s="25">
        <v>0.56180204300000003</v>
      </c>
      <c r="K55" s="18" t="s">
        <v>164</v>
      </c>
      <c r="L55" s="19" t="s">
        <v>165</v>
      </c>
      <c r="M55" s="46">
        <v>50500</v>
      </c>
      <c r="N55" s="25">
        <v>0.55380141299999996</v>
      </c>
    </row>
    <row r="56" spans="1:14" x14ac:dyDescent="0.25">
      <c r="A56" s="18" t="s">
        <v>166</v>
      </c>
      <c r="B56" s="19" t="s">
        <v>167</v>
      </c>
      <c r="C56" s="46">
        <v>50773</v>
      </c>
      <c r="D56" s="25">
        <v>0.56804832699999996</v>
      </c>
      <c r="F56" s="18" t="s">
        <v>166</v>
      </c>
      <c r="G56" s="19" t="s">
        <v>167</v>
      </c>
      <c r="H56" s="46">
        <v>50833</v>
      </c>
      <c r="I56" s="25">
        <v>0.53952227900000005</v>
      </c>
      <c r="K56" s="18" t="s">
        <v>166</v>
      </c>
      <c r="L56" s="19" t="s">
        <v>167</v>
      </c>
      <c r="M56" s="46">
        <v>50865</v>
      </c>
      <c r="N56" s="25">
        <v>0.53129942699999999</v>
      </c>
    </row>
    <row r="57" spans="1:14" x14ac:dyDescent="0.25">
      <c r="A57" s="18" t="s">
        <v>168</v>
      </c>
      <c r="B57" s="19" t="s">
        <v>169</v>
      </c>
      <c r="C57" s="46">
        <v>52600</v>
      </c>
      <c r="D57" s="25">
        <v>0.47759132500000001</v>
      </c>
      <c r="F57" s="18" t="s">
        <v>168</v>
      </c>
      <c r="G57" s="19" t="s">
        <v>169</v>
      </c>
      <c r="H57" s="46">
        <v>52660</v>
      </c>
      <c r="I57" s="25">
        <v>0.445916957</v>
      </c>
      <c r="K57" s="18" t="s">
        <v>168</v>
      </c>
      <c r="L57" s="19" t="s">
        <v>169</v>
      </c>
      <c r="M57" s="46">
        <v>52692</v>
      </c>
      <c r="N57" s="25">
        <v>0.43681445299999999</v>
      </c>
    </row>
    <row r="58" spans="1:14" x14ac:dyDescent="0.25">
      <c r="A58" s="18" t="s">
        <v>170</v>
      </c>
      <c r="B58" s="19" t="s">
        <v>171</v>
      </c>
      <c r="C58" s="46">
        <v>54427</v>
      </c>
      <c r="D58" s="25">
        <v>0.40672925999999998</v>
      </c>
      <c r="F58" s="18" t="s">
        <v>170</v>
      </c>
      <c r="G58" s="19" t="s">
        <v>171</v>
      </c>
      <c r="H58" s="46">
        <v>54486</v>
      </c>
      <c r="I58" s="25">
        <v>0.37608402800000001</v>
      </c>
      <c r="K58" s="18" t="s">
        <v>170</v>
      </c>
      <c r="L58" s="19" t="s">
        <v>171</v>
      </c>
      <c r="M58" s="46">
        <v>54518</v>
      </c>
      <c r="N58" s="25">
        <v>0.36583241999999999</v>
      </c>
    </row>
    <row r="59" spans="1:14" x14ac:dyDescent="0.25">
      <c r="A59" s="18" t="s">
        <v>172</v>
      </c>
      <c r="B59" s="19" t="s">
        <v>173</v>
      </c>
      <c r="C59" s="46">
        <v>56254</v>
      </c>
      <c r="D59" s="25">
        <v>0.34973670899999998</v>
      </c>
      <c r="F59" s="18" t="s">
        <v>172</v>
      </c>
      <c r="G59" s="19" t="s">
        <v>173</v>
      </c>
      <c r="H59" s="46">
        <v>56312</v>
      </c>
      <c r="I59" s="25">
        <v>0.32147922200000001</v>
      </c>
      <c r="K59" s="18" t="s">
        <v>172</v>
      </c>
      <c r="L59" s="19" t="s">
        <v>173</v>
      </c>
      <c r="M59" s="46">
        <v>56345</v>
      </c>
      <c r="N59" s="25">
        <v>0.310450797</v>
      </c>
    </row>
    <row r="60" spans="1:14" x14ac:dyDescent="0.25">
      <c r="A60" s="18" t="s">
        <v>174</v>
      </c>
      <c r="B60" s="19" t="s">
        <v>175</v>
      </c>
      <c r="C60" s="46">
        <v>59904</v>
      </c>
      <c r="D60" s="25">
        <v>0.28189144300000002</v>
      </c>
      <c r="F60" s="18" t="s">
        <v>174</v>
      </c>
      <c r="G60" s="19" t="s">
        <v>175</v>
      </c>
      <c r="H60" s="46">
        <v>59965</v>
      </c>
      <c r="I60" s="25">
        <v>0.252745263</v>
      </c>
      <c r="K60" s="18" t="s">
        <v>174</v>
      </c>
      <c r="L60" s="19" t="s">
        <v>175</v>
      </c>
      <c r="M60" s="46">
        <v>59999</v>
      </c>
      <c r="N60" s="25">
        <v>0.24208085100000001</v>
      </c>
    </row>
    <row r="61" spans="1:14" x14ac:dyDescent="0.25">
      <c r="A61" s="20" t="s">
        <v>176</v>
      </c>
      <c r="B61" s="21" t="s">
        <v>177</v>
      </c>
      <c r="C61" s="47">
        <v>63557</v>
      </c>
      <c r="D61" s="27">
        <v>0.24325592300000001</v>
      </c>
      <c r="F61" s="20" t="s">
        <v>176</v>
      </c>
      <c r="G61" s="21" t="s">
        <v>177</v>
      </c>
      <c r="H61" s="47">
        <v>63618</v>
      </c>
      <c r="I61" s="27">
        <v>0.21372227499999999</v>
      </c>
      <c r="K61" s="20" t="s">
        <v>176</v>
      </c>
      <c r="L61" s="21" t="s">
        <v>177</v>
      </c>
      <c r="M61" s="47">
        <v>63649</v>
      </c>
      <c r="N61" s="27">
        <v>0.20353581200000001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045EF-14C1-4981-AB86-7D56989BBE7F}">
  <sheetPr codeName="Arkusz12">
    <tabColor theme="0" tint="-0.14999847407452621"/>
  </sheetPr>
  <dimension ref="A1:I834"/>
  <sheetViews>
    <sheetView workbookViewId="0">
      <selection activeCell="L36" sqref="L36"/>
    </sheetView>
  </sheetViews>
  <sheetFormatPr defaultRowHeight="15" x14ac:dyDescent="0.25"/>
  <cols>
    <col min="1" max="1" width="11" style="37" bestFit="1" customWidth="1"/>
    <col min="2" max="3" width="10.140625" bestFit="1" customWidth="1"/>
    <col min="4" max="4" width="11" style="18" bestFit="1" customWidth="1"/>
    <col min="5" max="5" width="12.5703125" bestFit="1" customWidth="1"/>
    <col min="6" max="6" width="10.140625" bestFit="1" customWidth="1"/>
    <col min="7" max="7" width="11" style="18" bestFit="1" customWidth="1"/>
    <col min="8" max="8" width="12.5703125" bestFit="1" customWidth="1"/>
    <col min="9" max="9" width="9.140625" style="19"/>
  </cols>
  <sheetData>
    <row r="1" spans="1:9" x14ac:dyDescent="0.25">
      <c r="A1" s="36" t="s">
        <v>178</v>
      </c>
      <c r="B1" s="38">
        <f>'IR data'!A1</f>
        <v>45291</v>
      </c>
      <c r="C1" s="16"/>
      <c r="D1" s="36" t="s">
        <v>178</v>
      </c>
      <c r="E1" s="38">
        <f>'IR data'!F1</f>
        <v>45351</v>
      </c>
      <c r="F1" s="16"/>
      <c r="G1" s="36" t="s">
        <v>178</v>
      </c>
      <c r="H1" s="38">
        <f>'IR data'!K1</f>
        <v>45385</v>
      </c>
      <c r="I1" s="17"/>
    </row>
    <row r="2" spans="1:9" x14ac:dyDescent="0.25">
      <c r="A2" s="41" t="str">
        <f>'IR data'!C3</f>
        <v>USD Date</v>
      </c>
      <c r="B2" s="42" t="str">
        <f>'IR data'!D3</f>
        <v>Value</v>
      </c>
      <c r="C2" s="42" t="s">
        <v>179</v>
      </c>
      <c r="D2" s="41" t="str">
        <f>A2</f>
        <v>USD Date</v>
      </c>
      <c r="E2" s="42" t="str">
        <f>B2</f>
        <v>Value</v>
      </c>
      <c r="F2" s="42" t="s">
        <v>179</v>
      </c>
      <c r="G2" s="41" t="str">
        <f>D2</f>
        <v>USD Date</v>
      </c>
      <c r="H2" s="42" t="str">
        <f>E2</f>
        <v>Value</v>
      </c>
      <c r="I2" s="43" t="s">
        <v>179</v>
      </c>
    </row>
    <row r="3" spans="1:9" x14ac:dyDescent="0.25">
      <c r="A3" s="45">
        <f>B1</f>
        <v>45291</v>
      </c>
      <c r="B3" s="14" cm="1">
        <f t="array" ref="B3">_xlfn.IFNA(INDEX('IR data'!$D$4:$D$61,MATCH(A3,'IR data'!$C$4:$C$61,0)),((INDEX('IR data'!$D$4:$D$61,MATCH(A3,'IR data'!$C$4:$C$61,1)))-((A3-(INDEX('IR data'!$C$4:$C$61,MATCH(A3,'IR data'!$C$4:$C$61,1))))/((INDEX('IR data'!$C$4:$C$61,MATCH(A3,'IR data'!$C$4:$C$61,1)+1)-INDEX('IR data'!$C$4:$C$61,MATCH(A3,'IR data'!$C$4:$C$61,1))))) * (INDEX('IR data'!$D$4:$D$61,MATCH(A3,'IR data'!$C$4:$C$61,1))-(INDEX('IR data'!$D$4:$D$61,MATCH(A3,'IR data'!$C$4:$C$61,1)+1)))))</f>
        <v>1</v>
      </c>
      <c r="C3" s="14">
        <v>0</v>
      </c>
      <c r="D3" s="45">
        <f>E1</f>
        <v>45351</v>
      </c>
      <c r="E3" s="14" cm="1">
        <f t="array" ref="E3">_xlfn.IFNA(INDEX('IR data'!$I$4:$I$61,MATCH(D3,'IR data'!$H$4:$H$61,0)),((INDEX('IR data'!$I$4:$I$61,MATCH(D3,'IR data'!$H$4:$H$61,1)))-((D3-(INDEX('IR data'!$H$4:$H$61,MATCH(D3,'IR data'!$H$4:$H$61,1))))/((INDEX('IR data'!$H$4:$H$61,MATCH(D3,'IR data'!$H$4:$H$61,1)+1)-INDEX('IR data'!$H$4:$H$61,MATCH(D3,'IR data'!$H$4:$H$61,1))))) * (INDEX('IR data'!$I$4:$I$61,MATCH(D3,'IR data'!$H$4:$H$61,1))-(INDEX('IR data'!$I$4:$I$61,MATCH(D3,'IR data'!$H$4:$H$61,1)+1)))))</f>
        <v>1</v>
      </c>
      <c r="F3" s="14">
        <v>0</v>
      </c>
      <c r="G3" s="45">
        <f>H1</f>
        <v>45385</v>
      </c>
      <c r="H3" s="14" cm="1">
        <f t="array" ref="H3">_xlfn.IFNA(INDEX('IR data'!$N$4:$N$61,MATCH(G3,'IR data'!$M$4:$M$61,0)),((INDEX('IR data'!$N$4:$N$61,MATCH(G3,'IR data'!$M$4:$M$61,1)))-((G3-(INDEX('IR data'!$M$4:$M$61,MATCH(G3,'IR data'!$M$4:$M$61,1))))/((INDEX('IR data'!$M$4:$M$61,MATCH(G3,'IR data'!$M$4:$M$61,1)+1)-INDEX('IR data'!$M$4:$M$61,MATCH(G3,'IR data'!$M$4:$M$61,1))))) * (INDEX('IR data'!$N$4:$N$61,MATCH(G3,'IR data'!$M$4:$M$61,1))-(INDEX('IR data'!$N$4:$N$61,MATCH(G3,'IR data'!$M$4:$M$61,1)+1)))))</f>
        <v>1</v>
      </c>
      <c r="I3" s="25">
        <v>0</v>
      </c>
    </row>
    <row r="4" spans="1:9" x14ac:dyDescent="0.25">
      <c r="A4" s="45">
        <f>A3+1</f>
        <v>45292</v>
      </c>
      <c r="B4" s="14" cm="1">
        <f t="array" ref="B4">_xlfn.IFNA(INDEX('IR data'!$D$4:$D$61,MATCH(A4,'IR data'!$C$4:$C$61,0)),((INDEX('IR data'!$D$4:$D$61,MATCH(A4,'IR data'!$C$4:$C$61,1)))-((A4-(INDEX('IR data'!$C$4:$C$61,MATCH(A4,'IR data'!$C$4:$C$61,1))))/((INDEX('IR data'!$C$4:$C$61,MATCH(A4,'IR data'!$C$4:$C$61,1)+1)-INDEX('IR data'!$C$4:$C$61,MATCH(A4,'IR data'!$C$4:$C$61,1))))) * (INDEX('IR data'!$D$4:$D$61,MATCH(A4,'IR data'!$C$4:$C$61,1))-(INDEX('IR data'!$D$4:$D$61,MATCH(A4,'IR data'!$C$4:$C$61,1)+1)))))</f>
        <v>0.99970212199999997</v>
      </c>
      <c r="C4" s="30">
        <f>-LOG(B4)/YEARFRAC($B$1, A4, 3)</f>
        <v>4.722590579177826E-2</v>
      </c>
      <c r="D4" s="45">
        <f>D3+1</f>
        <v>45352</v>
      </c>
      <c r="E4" s="14" cm="1">
        <f t="array" ref="E4">_xlfn.IFNA(INDEX('IR data'!$I$4:$I$61,MATCH(D4,'IR data'!$H$4:$H$61,0)),((INDEX('IR data'!$I$4:$I$61,MATCH(D4,'IR data'!$H$4:$H$61,1)))-((D4-(INDEX('IR data'!$H$4:$H$61,MATCH(D4,'IR data'!$H$4:$H$61,1))))/((INDEX('IR data'!$H$4:$H$61,MATCH(D4,'IR data'!$H$4:$H$61,1)+1)-INDEX('IR data'!$H$4:$H$61,MATCH(D4,'IR data'!$H$4:$H$61,1))))) * (INDEX('IR data'!$I$4:$I$61,MATCH(D4,'IR data'!$H$4:$H$61,1))-(INDEX('IR data'!$I$4:$I$61,MATCH(D4,'IR data'!$H$4:$H$61,1)+1)))))</f>
        <v>0.99985349400000001</v>
      </c>
      <c r="F4" s="30">
        <f>-LOG(E4)/YEARFRAC($E$1, D4, 3)</f>
        <v>2.3225464164957674E-2</v>
      </c>
      <c r="G4" s="45">
        <f t="shared" ref="G4:G66" si="0">G3+1</f>
        <v>45386</v>
      </c>
      <c r="H4" s="14" cm="1">
        <f t="array" ref="H4">_xlfn.IFNA(INDEX('IR data'!$N$4:$N$61,MATCH(G4,'IR data'!$M$4:$M$61,0)),((INDEX('IR data'!$N$4:$N$61,MATCH(G4,'IR data'!$M$4:$M$61,1)))-((G4-(INDEX('IR data'!$M$4:$M$61,MATCH(G4,'IR data'!$M$4:$M$61,1))))/((INDEX('IR data'!$M$4:$M$61,MATCH(G4,'IR data'!$M$4:$M$61,1)+1)-INDEX('IR data'!$M$4:$M$61,MATCH(G4,'IR data'!$M$4:$M$61,1))))) * (INDEX('IR data'!$N$4:$N$61,MATCH(G4,'IR data'!$M$4:$M$61,1))-(INDEX('IR data'!$N$4:$N$61,MATCH(G4,'IR data'!$M$4:$M$61,1)+1)))))</f>
        <v>0.99985293799999997</v>
      </c>
      <c r="I4" s="44">
        <f>-LOG(H4)/YEARFRAC($H$1, G4, 3)</f>
        <v>2.3313612825934582E-2</v>
      </c>
    </row>
    <row r="5" spans="1:9" x14ac:dyDescent="0.25">
      <c r="A5" s="45">
        <f t="shared" ref="A5:A68" si="1">A4+1</f>
        <v>45293</v>
      </c>
      <c r="B5" s="14" cm="1">
        <f t="array" ref="B5">_xlfn.IFNA(INDEX('IR data'!$D$4:$D$61,MATCH(A5,'IR data'!$C$4:$C$61,0)),((INDEX('IR data'!$D$4:$D$61,MATCH(A5,'IR data'!$C$4:$C$61,1)))-((A5-(INDEX('IR data'!$C$4:$C$61,MATCH(A5,'IR data'!$C$4:$C$61,1))))/((INDEX('IR data'!$C$4:$C$61,MATCH(A5,'IR data'!$C$4:$C$61,1)+1)-INDEX('IR data'!$C$4:$C$61,MATCH(A5,'IR data'!$C$4:$C$61,1))))) * (INDEX('IR data'!$D$4:$D$61,MATCH(A5,'IR data'!$C$4:$C$61,1))-(INDEX('IR data'!$D$4:$D$61,MATCH(A5,'IR data'!$C$4:$C$61,1)+1)))))</f>
        <v>0.99940424400000005</v>
      </c>
      <c r="C5" s="30">
        <f t="shared" ref="C5:C68" si="2">-LOG(B5)/YEARFRAC($B$1, A5, 3)</f>
        <v>4.7232942715273327E-2</v>
      </c>
      <c r="D5" s="45">
        <f t="shared" ref="D5:D68" si="3">D4+1</f>
        <v>45353</v>
      </c>
      <c r="E5" s="14" cm="1">
        <f t="array" ref="E5">_xlfn.IFNA(INDEX('IR data'!$I$4:$I$61,MATCH(D5,'IR data'!$H$4:$H$61,0)),((INDEX('IR data'!$I$4:$I$61,MATCH(D5,'IR data'!$H$4:$H$61,1)))-((D5-(INDEX('IR data'!$H$4:$H$61,MATCH(D5,'IR data'!$H$4:$H$61,1))))/((INDEX('IR data'!$H$4:$H$61,MATCH(D5,'IR data'!$H$4:$H$61,1)+1)-INDEX('IR data'!$H$4:$H$61,MATCH(D5,'IR data'!$H$4:$H$61,1))))) * (INDEX('IR data'!$I$4:$I$61,MATCH(D5,'IR data'!$H$4:$H$61,1))-(INDEX('IR data'!$I$4:$I$61,MATCH(D5,'IR data'!$H$4:$H$61,1)+1)))))</f>
        <v>0.99970608066666666</v>
      </c>
      <c r="F5" s="30">
        <f t="shared" ref="F5:F68" si="4">-LOG(E5)/YEARFRAC($E$1, D5, 3)</f>
        <v>2.3299101083806402E-2</v>
      </c>
      <c r="G5" s="45">
        <f t="shared" si="0"/>
        <v>45387</v>
      </c>
      <c r="H5" s="14" cm="1">
        <f t="array" ref="H5">_xlfn.IFNA(INDEX('IR data'!$N$4:$N$61,MATCH(G5,'IR data'!$M$4:$M$61,0)),((INDEX('IR data'!$N$4:$N$61,MATCH(G5,'IR data'!$M$4:$M$61,1)))-((G5-(INDEX('IR data'!$M$4:$M$61,MATCH(G5,'IR data'!$M$4:$M$61,1))))/((INDEX('IR data'!$M$4:$M$61,MATCH(G5,'IR data'!$M$4:$M$61,1)+1)-INDEX('IR data'!$M$4:$M$61,MATCH(G5,'IR data'!$M$4:$M$61,1))))) * (INDEX('IR data'!$N$4:$N$61,MATCH(G5,'IR data'!$M$4:$M$61,1))-(INDEX('IR data'!$N$4:$N$61,MATCH(G5,'IR data'!$M$4:$M$61,1)+1)))))</f>
        <v>0.99970589799999998</v>
      </c>
      <c r="I5" s="44">
        <f t="shared" ref="I5:I68" si="5">-LOG(H5)/YEARFRAC($H$1, G5, 3)</f>
        <v>2.3313583272103797E-2</v>
      </c>
    </row>
    <row r="6" spans="1:9" x14ac:dyDescent="0.25">
      <c r="A6" s="45">
        <f t="shared" si="1"/>
        <v>45294</v>
      </c>
      <c r="B6" s="14" cm="1">
        <f t="array" ref="B6">_xlfn.IFNA(INDEX('IR data'!$D$4:$D$61,MATCH(A6,'IR data'!$C$4:$C$61,0)),((INDEX('IR data'!$D$4:$D$61,MATCH(A6,'IR data'!$C$4:$C$61,1)))-((A6-(INDEX('IR data'!$C$4:$C$61,MATCH(A6,'IR data'!$C$4:$C$61,1))))/((INDEX('IR data'!$C$4:$C$61,MATCH(A6,'IR data'!$C$4:$C$61,1)+1)-INDEX('IR data'!$C$4:$C$61,MATCH(A6,'IR data'!$C$4:$C$61,1))))) * (INDEX('IR data'!$D$4:$D$61,MATCH(A6,'IR data'!$C$4:$C$61,1))-(INDEX('IR data'!$D$4:$D$61,MATCH(A6,'IR data'!$C$4:$C$61,1)+1)))))</f>
        <v>0.99925532699999997</v>
      </c>
      <c r="C6" s="30">
        <f t="shared" si="2"/>
        <v>3.9362555193598027E-2</v>
      </c>
      <c r="D6" s="45">
        <f t="shared" si="3"/>
        <v>45354</v>
      </c>
      <c r="E6" s="14" cm="1">
        <f t="array" ref="E6">_xlfn.IFNA(INDEX('IR data'!$I$4:$I$61,MATCH(D6,'IR data'!$H$4:$H$61,0)),((INDEX('IR data'!$I$4:$I$61,MATCH(D6,'IR data'!$H$4:$H$61,1)))-((D6-(INDEX('IR data'!$H$4:$H$61,MATCH(D6,'IR data'!$H$4:$H$61,1))))/((INDEX('IR data'!$H$4:$H$61,MATCH(D6,'IR data'!$H$4:$H$61,1)+1)-INDEX('IR data'!$H$4:$H$61,MATCH(D6,'IR data'!$H$4:$H$61,1))))) * (INDEX('IR data'!$I$4:$I$61,MATCH(D6,'IR data'!$H$4:$H$61,1))-(INDEX('IR data'!$I$4:$I$61,MATCH(D6,'IR data'!$H$4:$H$61,1)+1)))))</f>
        <v>0.99955866733333332</v>
      </c>
      <c r="F6" s="30">
        <f t="shared" si="4"/>
        <v>2.3324795630200845E-2</v>
      </c>
      <c r="G6" s="45">
        <f t="shared" si="0"/>
        <v>45388</v>
      </c>
      <c r="H6" s="14" cm="1">
        <f t="array" ref="H6">_xlfn.IFNA(INDEX('IR data'!$N$4:$N$61,MATCH(G6,'IR data'!$M$4:$M$61,0)),((INDEX('IR data'!$N$4:$N$61,MATCH(G6,'IR data'!$M$4:$M$61,1)))-((G6-(INDEX('IR data'!$M$4:$M$61,MATCH(G6,'IR data'!$M$4:$M$61,1))))/((INDEX('IR data'!$M$4:$M$61,MATCH(G6,'IR data'!$M$4:$M$61,1)+1)-INDEX('IR data'!$M$4:$M$61,MATCH(G6,'IR data'!$M$4:$M$61,1))))) * (INDEX('IR data'!$N$4:$N$61,MATCH(G6,'IR data'!$M$4:$M$61,1))-(INDEX('IR data'!$N$4:$N$61,MATCH(G6,'IR data'!$M$4:$M$61,1)+1)))))</f>
        <v>0.99955921199999997</v>
      </c>
      <c r="I6" s="44">
        <f t="shared" si="5"/>
        <v>2.3296003200785936E-2</v>
      </c>
    </row>
    <row r="7" spans="1:9" x14ac:dyDescent="0.25">
      <c r="A7" s="45">
        <f t="shared" si="1"/>
        <v>45295</v>
      </c>
      <c r="B7" s="14" cm="1">
        <f t="array" ref="B7">_xlfn.IFNA(INDEX('IR data'!$D$4:$D$61,MATCH(A7,'IR data'!$C$4:$C$61,0)),((INDEX('IR data'!$D$4:$D$61,MATCH(A7,'IR data'!$C$4:$C$61,1)))-((A7-(INDEX('IR data'!$C$4:$C$61,MATCH(A7,'IR data'!$C$4:$C$61,1))))/((INDEX('IR data'!$C$4:$C$61,MATCH(A7,'IR data'!$C$4:$C$61,1)+1)-INDEX('IR data'!$C$4:$C$61,MATCH(A7,'IR data'!$C$4:$C$61,1))))) * (INDEX('IR data'!$D$4:$D$61,MATCH(A7,'IR data'!$C$4:$C$61,1))-(INDEX('IR data'!$D$4:$D$61,MATCH(A7,'IR data'!$C$4:$C$61,1)+1)))))</f>
        <v>0.99910662800000005</v>
      </c>
      <c r="C7" s="30">
        <f t="shared" si="2"/>
        <v>3.5419594646020063E-2</v>
      </c>
      <c r="D7" s="45">
        <f t="shared" si="3"/>
        <v>45355</v>
      </c>
      <c r="E7" s="14" cm="1">
        <f t="array" ref="E7">_xlfn.IFNA(INDEX('IR data'!$I$4:$I$61,MATCH(D7,'IR data'!$H$4:$H$61,0)),((INDEX('IR data'!$I$4:$I$61,MATCH(D7,'IR data'!$H$4:$H$61,1)))-((D7-(INDEX('IR data'!$H$4:$H$61,MATCH(D7,'IR data'!$H$4:$H$61,1))))/((INDEX('IR data'!$H$4:$H$61,MATCH(D7,'IR data'!$H$4:$H$61,1)+1)-INDEX('IR data'!$H$4:$H$61,MATCH(D7,'IR data'!$H$4:$H$61,1))))) * (INDEX('IR data'!$I$4:$I$61,MATCH(D7,'IR data'!$H$4:$H$61,1))-(INDEX('IR data'!$I$4:$I$61,MATCH(D7,'IR data'!$H$4:$H$61,1)+1)))))</f>
        <v>0.99941125399999997</v>
      </c>
      <c r="F7" s="30">
        <f t="shared" si="4"/>
        <v>2.333850483765889E-2</v>
      </c>
      <c r="G7" s="45">
        <f t="shared" si="0"/>
        <v>45389</v>
      </c>
      <c r="H7" s="14" cm="1">
        <f t="array" ref="H7">_xlfn.IFNA(INDEX('IR data'!$N$4:$N$61,MATCH(G7,'IR data'!$M$4:$M$61,0)),((INDEX('IR data'!$N$4:$N$61,MATCH(G7,'IR data'!$M$4:$M$61,1)))-((G7-(INDEX('IR data'!$M$4:$M$61,MATCH(G7,'IR data'!$M$4:$M$61,1))))/((INDEX('IR data'!$M$4:$M$61,MATCH(G7,'IR data'!$M$4:$M$61,1)+1)-INDEX('IR data'!$M$4:$M$61,MATCH(G7,'IR data'!$M$4:$M$61,1))))) * (INDEX('IR data'!$N$4:$N$61,MATCH(G7,'IR data'!$M$4:$M$61,1))-(INDEX('IR data'!$N$4:$N$61,MATCH(G7,'IR data'!$M$4:$M$61,1)+1)))))</f>
        <v>0.99941252599999997</v>
      </c>
      <c r="I7" s="44">
        <f t="shared" si="5"/>
        <v>2.3288066613920747E-2</v>
      </c>
    </row>
    <row r="8" spans="1:9" x14ac:dyDescent="0.25">
      <c r="A8" s="45">
        <f t="shared" si="1"/>
        <v>45296</v>
      </c>
      <c r="B8" s="14" cm="1">
        <f t="array" ref="B8">_xlfn.IFNA(INDEX('IR data'!$D$4:$D$61,MATCH(A8,'IR data'!$C$4:$C$61,0)),((INDEX('IR data'!$D$4:$D$61,MATCH(A8,'IR data'!$C$4:$C$61,1)))-((A8-(INDEX('IR data'!$C$4:$C$61,MATCH(A8,'IR data'!$C$4:$C$61,1))))/((INDEX('IR data'!$C$4:$C$61,MATCH(A8,'IR data'!$C$4:$C$61,1)+1)-INDEX('IR data'!$C$4:$C$61,MATCH(A8,'IR data'!$C$4:$C$61,1))))) * (INDEX('IR data'!$D$4:$D$61,MATCH(A8,'IR data'!$C$4:$C$61,1))-(INDEX('IR data'!$D$4:$D$61,MATCH(A8,'IR data'!$C$4:$C$61,1)+1)))))</f>
        <v>0.99895802433333336</v>
      </c>
      <c r="C8" s="30">
        <f t="shared" si="2"/>
        <v>3.3051495027399534E-2</v>
      </c>
      <c r="D8" s="45">
        <f t="shared" si="3"/>
        <v>45356</v>
      </c>
      <c r="E8" s="14" cm="1">
        <f t="array" ref="E8">_xlfn.IFNA(INDEX('IR data'!$I$4:$I$61,MATCH(D8,'IR data'!$H$4:$H$61,0)),((INDEX('IR data'!$I$4:$I$61,MATCH(D8,'IR data'!$H$4:$H$61,1)))-((D8-(INDEX('IR data'!$H$4:$H$61,MATCH(D8,'IR data'!$H$4:$H$61,1))))/((INDEX('IR data'!$H$4:$H$61,MATCH(D8,'IR data'!$H$4:$H$61,1)+1)-INDEX('IR data'!$H$4:$H$61,MATCH(D8,'IR data'!$H$4:$H$61,1))))) * (INDEX('IR data'!$I$4:$I$61,MATCH(D8,'IR data'!$H$4:$H$61,1))-(INDEX('IR data'!$I$4:$I$61,MATCH(D8,'IR data'!$H$4:$H$61,1)+1)))))</f>
        <v>0.999264233</v>
      </c>
      <c r="F8" s="30">
        <f t="shared" si="4"/>
        <v>2.3334972613344961E-2</v>
      </c>
      <c r="G8" s="45">
        <f t="shared" si="0"/>
        <v>45390</v>
      </c>
      <c r="H8" s="14" cm="1">
        <f t="array" ref="H8">_xlfn.IFNA(INDEX('IR data'!$N$4:$N$61,MATCH(G8,'IR data'!$M$4:$M$61,0)),((INDEX('IR data'!$N$4:$N$61,MATCH(G8,'IR data'!$M$4:$M$61,1)))-((G8-(INDEX('IR data'!$M$4:$M$61,MATCH(G8,'IR data'!$M$4:$M$61,1))))/((INDEX('IR data'!$M$4:$M$61,MATCH(G8,'IR data'!$M$4:$M$61,1)+1)-INDEX('IR data'!$M$4:$M$61,MATCH(G8,'IR data'!$M$4:$M$61,1))))) * (INDEX('IR data'!$N$4:$N$61,MATCH(G8,'IR data'!$M$4:$M$61,1))-(INDEX('IR data'!$N$4:$N$61,MATCH(G8,'IR data'!$M$4:$M$61,1)+1)))))</f>
        <v>0.99926583999999996</v>
      </c>
      <c r="I8" s="44">
        <f t="shared" si="5"/>
        <v>2.3283987621271474E-2</v>
      </c>
    </row>
    <row r="9" spans="1:9" x14ac:dyDescent="0.25">
      <c r="A9" s="45">
        <f t="shared" si="1"/>
        <v>45297</v>
      </c>
      <c r="B9" s="14" cm="1">
        <f t="array" ref="B9">_xlfn.IFNA(INDEX('IR data'!$D$4:$D$61,MATCH(A9,'IR data'!$C$4:$C$61,0)),((INDEX('IR data'!$D$4:$D$61,MATCH(A9,'IR data'!$C$4:$C$61,1)))-((A9-(INDEX('IR data'!$C$4:$C$61,MATCH(A9,'IR data'!$C$4:$C$61,1))))/((INDEX('IR data'!$C$4:$C$61,MATCH(A9,'IR data'!$C$4:$C$61,1)+1)-INDEX('IR data'!$C$4:$C$61,MATCH(A9,'IR data'!$C$4:$C$61,1))))) * (INDEX('IR data'!$D$4:$D$61,MATCH(A9,'IR data'!$C$4:$C$61,1))-(INDEX('IR data'!$D$4:$D$61,MATCH(A9,'IR data'!$C$4:$C$61,1)+1)))))</f>
        <v>0.99880942066666667</v>
      </c>
      <c r="C9" s="30">
        <f t="shared" si="2"/>
        <v>3.1473346590978869E-2</v>
      </c>
      <c r="D9" s="45">
        <f t="shared" si="3"/>
        <v>45357</v>
      </c>
      <c r="E9" s="14" cm="1">
        <f t="array" ref="E9">_xlfn.IFNA(INDEX('IR data'!$I$4:$I$61,MATCH(D9,'IR data'!$H$4:$H$61,0)),((INDEX('IR data'!$I$4:$I$61,MATCH(D9,'IR data'!$H$4:$H$61,1)))-((D9-(INDEX('IR data'!$H$4:$H$61,MATCH(D9,'IR data'!$H$4:$H$61,1))))/((INDEX('IR data'!$H$4:$H$61,MATCH(D9,'IR data'!$H$4:$H$61,1)+1)-INDEX('IR data'!$H$4:$H$61,MATCH(D9,'IR data'!$H$4:$H$61,1))))) * (INDEX('IR data'!$I$4:$I$61,MATCH(D9,'IR data'!$H$4:$H$61,1))-(INDEX('IR data'!$I$4:$I$61,MATCH(D9,'IR data'!$H$4:$H$61,1)+1)))))</f>
        <v>0.99911770550000001</v>
      </c>
      <c r="F9" s="30">
        <f t="shared" si="4"/>
        <v>2.3320140122254824E-2</v>
      </c>
      <c r="G9" s="45">
        <f t="shared" si="0"/>
        <v>45391</v>
      </c>
      <c r="H9" s="14" cm="1">
        <f t="array" ref="H9">_xlfn.IFNA(INDEX('IR data'!$N$4:$N$61,MATCH(G9,'IR data'!$M$4:$M$61,0)),((INDEX('IR data'!$N$4:$N$61,MATCH(G9,'IR data'!$M$4:$M$61,1)))-((G9-(INDEX('IR data'!$M$4:$M$61,MATCH(G9,'IR data'!$M$4:$M$61,1))))/((INDEX('IR data'!$M$4:$M$61,MATCH(G9,'IR data'!$M$4:$M$61,1)+1)-INDEX('IR data'!$M$4:$M$61,MATCH(G9,'IR data'!$M$4:$M$61,1))))) * (INDEX('IR data'!$N$4:$N$61,MATCH(G9,'IR data'!$M$4:$M$61,1))-(INDEX('IR data'!$N$4:$N$61,MATCH(G9,'IR data'!$M$4:$M$61,1)+1)))))</f>
        <v>0.99911948099999992</v>
      </c>
      <c r="I9" s="44">
        <f t="shared" si="5"/>
        <v>2.3273190774751002E-2</v>
      </c>
    </row>
    <row r="10" spans="1:9" x14ac:dyDescent="0.25">
      <c r="A10" s="45">
        <f t="shared" si="1"/>
        <v>45298</v>
      </c>
      <c r="B10" s="14" cm="1">
        <f t="array" ref="B10">_xlfn.IFNA(INDEX('IR data'!$D$4:$D$61,MATCH(A10,'IR data'!$C$4:$C$61,0)),((INDEX('IR data'!$D$4:$D$61,MATCH(A10,'IR data'!$C$4:$C$61,1)))-((A10-(INDEX('IR data'!$C$4:$C$61,MATCH(A10,'IR data'!$C$4:$C$61,1))))/((INDEX('IR data'!$C$4:$C$61,MATCH(A10,'IR data'!$C$4:$C$61,1)+1)-INDEX('IR data'!$C$4:$C$61,MATCH(A10,'IR data'!$C$4:$C$61,1))))) * (INDEX('IR data'!$D$4:$D$61,MATCH(A10,'IR data'!$C$4:$C$61,1))-(INDEX('IR data'!$D$4:$D$61,MATCH(A10,'IR data'!$C$4:$C$61,1)+1)))))</f>
        <v>0.99866081699999998</v>
      </c>
      <c r="C10" s="30">
        <f t="shared" si="2"/>
        <v>3.0346598979226803E-2</v>
      </c>
      <c r="D10" s="45">
        <f t="shared" si="3"/>
        <v>45358</v>
      </c>
      <c r="E10" s="14" cm="1">
        <f t="array" ref="E10">_xlfn.IFNA(INDEX('IR data'!$I$4:$I$61,MATCH(D10,'IR data'!$H$4:$H$61,0)),((INDEX('IR data'!$I$4:$I$61,MATCH(D10,'IR data'!$H$4:$H$61,1)))-((D10-(INDEX('IR data'!$H$4:$H$61,MATCH(D10,'IR data'!$H$4:$H$61,1))))/((INDEX('IR data'!$H$4:$H$61,MATCH(D10,'IR data'!$H$4:$H$61,1)+1)-INDEX('IR data'!$H$4:$H$61,MATCH(D10,'IR data'!$H$4:$H$61,1))))) * (INDEX('IR data'!$I$4:$I$61,MATCH(D10,'IR data'!$H$4:$H$61,1))-(INDEX('IR data'!$I$4:$I$61,MATCH(D10,'IR data'!$H$4:$H$61,1)+1)))))</f>
        <v>0.99897117800000002</v>
      </c>
      <c r="F10" s="30">
        <f t="shared" si="4"/>
        <v>2.3310032547607083E-2</v>
      </c>
      <c r="G10" s="45">
        <f t="shared" si="0"/>
        <v>45392</v>
      </c>
      <c r="H10" s="14" cm="1">
        <f t="array" ref="H10">_xlfn.IFNA(INDEX('IR data'!$N$4:$N$61,MATCH(G10,'IR data'!$M$4:$M$61,0)),((INDEX('IR data'!$N$4:$N$61,MATCH(G10,'IR data'!$M$4:$M$61,1)))-((G10-(INDEX('IR data'!$M$4:$M$61,MATCH(G10,'IR data'!$M$4:$M$61,1))))/((INDEX('IR data'!$M$4:$M$61,MATCH(G10,'IR data'!$M$4:$M$61,1)+1)-INDEX('IR data'!$M$4:$M$61,MATCH(G10,'IR data'!$M$4:$M$61,1))))) * (INDEX('IR data'!$N$4:$N$61,MATCH(G10,'IR data'!$M$4:$M$61,1))-(INDEX('IR data'!$N$4:$N$61,MATCH(G10,'IR data'!$M$4:$M$61,1)+1)))))</f>
        <v>0.99897312199999999</v>
      </c>
      <c r="I10" s="44">
        <f t="shared" si="5"/>
        <v>2.3265964682083567E-2</v>
      </c>
    </row>
    <row r="11" spans="1:9" x14ac:dyDescent="0.25">
      <c r="A11" s="45">
        <f t="shared" si="1"/>
        <v>45299</v>
      </c>
      <c r="B11" s="14" cm="1">
        <f t="array" ref="B11">_xlfn.IFNA(INDEX('IR data'!$D$4:$D$61,MATCH(A11,'IR data'!$C$4:$C$61,0)),((INDEX('IR data'!$D$4:$D$61,MATCH(A11,'IR data'!$C$4:$C$61,1)))-((A11-(INDEX('IR data'!$C$4:$C$61,MATCH(A11,'IR data'!$C$4:$C$61,1))))/((INDEX('IR data'!$C$4:$C$61,MATCH(A11,'IR data'!$C$4:$C$61,1)+1)-INDEX('IR data'!$C$4:$C$61,MATCH(A11,'IR data'!$C$4:$C$61,1))))) * (INDEX('IR data'!$D$4:$D$61,MATCH(A11,'IR data'!$C$4:$C$61,1))-(INDEX('IR data'!$D$4:$D$61,MATCH(A11,'IR data'!$C$4:$C$61,1)+1)))))</f>
        <v>0.9985122133333334</v>
      </c>
      <c r="C11" s="30">
        <f t="shared" si="2"/>
        <v>2.9501977013433794E-2</v>
      </c>
      <c r="D11" s="45">
        <f t="shared" si="3"/>
        <v>45359</v>
      </c>
      <c r="E11" s="14" cm="1">
        <f t="array" ref="E11">_xlfn.IFNA(INDEX('IR data'!$I$4:$I$61,MATCH(D11,'IR data'!$H$4:$H$61,0)),((INDEX('IR data'!$I$4:$I$61,MATCH(D11,'IR data'!$H$4:$H$61,1)))-((D11-(INDEX('IR data'!$H$4:$H$61,MATCH(D11,'IR data'!$H$4:$H$61,1))))/((INDEX('IR data'!$H$4:$H$61,MATCH(D11,'IR data'!$H$4:$H$61,1)+1)-INDEX('IR data'!$H$4:$H$61,MATCH(D11,'IR data'!$H$4:$H$61,1))))) * (INDEX('IR data'!$I$4:$I$61,MATCH(D11,'IR data'!$H$4:$H$61,1))-(INDEX('IR data'!$I$4:$I$61,MATCH(D11,'IR data'!$H$4:$H$61,1)+1)))))</f>
        <v>0.99882465050000002</v>
      </c>
      <c r="F11" s="30">
        <f t="shared" si="4"/>
        <v>2.3302878170767566E-2</v>
      </c>
      <c r="G11" s="45">
        <f t="shared" si="0"/>
        <v>45393</v>
      </c>
      <c r="H11" s="14" cm="1">
        <f t="array" ref="H11">_xlfn.IFNA(INDEX('IR data'!$N$4:$N$61,MATCH(G11,'IR data'!$M$4:$M$61,0)),((INDEX('IR data'!$N$4:$N$61,MATCH(G11,'IR data'!$M$4:$M$61,1)))-((G11-(INDEX('IR data'!$M$4:$M$61,MATCH(G11,'IR data'!$M$4:$M$61,1))))/((INDEX('IR data'!$M$4:$M$61,MATCH(G11,'IR data'!$M$4:$M$61,1)+1)-INDEX('IR data'!$M$4:$M$61,MATCH(G11,'IR data'!$M$4:$M$61,1))))) * (INDEX('IR data'!$N$4:$N$61,MATCH(G11,'IR data'!$M$4:$M$61,1))-(INDEX('IR data'!$N$4:$N$61,MATCH(G11,'IR data'!$M$4:$M$61,1)+1)))))</f>
        <v>0.99882676300000006</v>
      </c>
      <c r="I11" s="44">
        <f t="shared" si="5"/>
        <v>2.3260970435176664E-2</v>
      </c>
    </row>
    <row r="12" spans="1:9" x14ac:dyDescent="0.25">
      <c r="A12" s="45">
        <f t="shared" si="1"/>
        <v>45300</v>
      </c>
      <c r="B12" s="14" cm="1">
        <f t="array" ref="B12">_xlfn.IFNA(INDEX('IR data'!$D$4:$D$61,MATCH(A12,'IR data'!$C$4:$C$61,0)),((INDEX('IR data'!$D$4:$D$61,MATCH(A12,'IR data'!$C$4:$C$61,1)))-((A12-(INDEX('IR data'!$C$4:$C$61,MATCH(A12,'IR data'!$C$4:$C$61,1))))/((INDEX('IR data'!$C$4:$C$61,MATCH(A12,'IR data'!$C$4:$C$61,1)+1)-INDEX('IR data'!$C$4:$C$61,MATCH(A12,'IR data'!$C$4:$C$61,1))))) * (INDEX('IR data'!$D$4:$D$61,MATCH(A12,'IR data'!$C$4:$C$61,1))-(INDEX('IR data'!$D$4:$D$61,MATCH(A12,'IR data'!$C$4:$C$61,1)+1)))))</f>
        <v>0.99836360966666671</v>
      </c>
      <c r="C12" s="30">
        <f t="shared" si="2"/>
        <v>2.8845438927707766E-2</v>
      </c>
      <c r="D12" s="45">
        <f t="shared" si="3"/>
        <v>45360</v>
      </c>
      <c r="E12" s="14" cm="1">
        <f t="array" ref="E12">_xlfn.IFNA(INDEX('IR data'!$I$4:$I$61,MATCH(D12,'IR data'!$H$4:$H$61,0)),((INDEX('IR data'!$I$4:$I$61,MATCH(D12,'IR data'!$H$4:$H$61,1)))-((D12-(INDEX('IR data'!$H$4:$H$61,MATCH(D12,'IR data'!$H$4:$H$61,1))))/((INDEX('IR data'!$H$4:$H$61,MATCH(D12,'IR data'!$H$4:$H$61,1)+1)-INDEX('IR data'!$H$4:$H$61,MATCH(D12,'IR data'!$H$4:$H$61,1))))) * (INDEX('IR data'!$I$4:$I$61,MATCH(D12,'IR data'!$H$4:$H$61,1))-(INDEX('IR data'!$I$4:$I$61,MATCH(D12,'IR data'!$H$4:$H$61,1)+1)))))</f>
        <v>0.99867812300000003</v>
      </c>
      <c r="F12" s="30">
        <f t="shared" si="4"/>
        <v>2.329769270365508E-2</v>
      </c>
      <c r="G12" s="45">
        <f t="shared" si="0"/>
        <v>45394</v>
      </c>
      <c r="H12" s="14" cm="1">
        <f t="array" ref="H12">_xlfn.IFNA(INDEX('IR data'!$N$4:$N$61,MATCH(G12,'IR data'!$M$4:$M$61,0)),((INDEX('IR data'!$N$4:$N$61,MATCH(G12,'IR data'!$M$4:$M$61,1)))-((G12-(INDEX('IR data'!$M$4:$M$61,MATCH(G12,'IR data'!$M$4:$M$61,1))))/((INDEX('IR data'!$M$4:$M$61,MATCH(G12,'IR data'!$M$4:$M$61,1)+1)-INDEX('IR data'!$M$4:$M$61,MATCH(G12,'IR data'!$M$4:$M$61,1))))) * (INDEX('IR data'!$N$4:$N$61,MATCH(G12,'IR data'!$M$4:$M$61,1))-(INDEX('IR data'!$N$4:$N$61,MATCH(G12,'IR data'!$M$4:$M$61,1)+1)))))</f>
        <v>0.99868040400000002</v>
      </c>
      <c r="I12" s="44">
        <f t="shared" si="5"/>
        <v>2.325746419624981E-2</v>
      </c>
    </row>
    <row r="13" spans="1:9" x14ac:dyDescent="0.25">
      <c r="A13" s="45">
        <f t="shared" si="1"/>
        <v>45301</v>
      </c>
      <c r="B13" s="14" cm="1">
        <f t="array" ref="B13">_xlfn.IFNA(INDEX('IR data'!$D$4:$D$61,MATCH(A13,'IR data'!$C$4:$C$61,0)),((INDEX('IR data'!$D$4:$D$61,MATCH(A13,'IR data'!$C$4:$C$61,1)))-((A13-(INDEX('IR data'!$C$4:$C$61,MATCH(A13,'IR data'!$C$4:$C$61,1))))/((INDEX('IR data'!$C$4:$C$61,MATCH(A13,'IR data'!$C$4:$C$61,1)+1)-INDEX('IR data'!$C$4:$C$61,MATCH(A13,'IR data'!$C$4:$C$61,1))))) * (INDEX('IR data'!$D$4:$D$61,MATCH(A13,'IR data'!$C$4:$C$61,1))-(INDEX('IR data'!$D$4:$D$61,MATCH(A13,'IR data'!$C$4:$C$61,1)+1)))))</f>
        <v>0.99821500600000002</v>
      </c>
      <c r="C13" s="30">
        <f t="shared" si="2"/>
        <v>2.8320559662554836E-2</v>
      </c>
      <c r="D13" s="45">
        <f t="shared" si="3"/>
        <v>45361</v>
      </c>
      <c r="E13" s="14" cm="1">
        <f t="array" ref="E13">_xlfn.IFNA(INDEX('IR data'!$I$4:$I$61,MATCH(D13,'IR data'!$H$4:$H$61,0)),((INDEX('IR data'!$I$4:$I$61,MATCH(D13,'IR data'!$H$4:$H$61,1)))-((D13-(INDEX('IR data'!$H$4:$H$61,MATCH(D13,'IR data'!$H$4:$H$61,1))))/((INDEX('IR data'!$H$4:$H$61,MATCH(D13,'IR data'!$H$4:$H$61,1)+1)-INDEX('IR data'!$H$4:$H$61,MATCH(D13,'IR data'!$H$4:$H$61,1))))) * (INDEX('IR data'!$I$4:$I$61,MATCH(D13,'IR data'!$H$4:$H$61,1))-(INDEX('IR data'!$I$4:$I$61,MATCH(D13,'IR data'!$H$4:$H$61,1)+1)))))</f>
        <v>0.99853159550000004</v>
      </c>
      <c r="F13" s="30">
        <f t="shared" si="4"/>
        <v>2.3293885573464963E-2</v>
      </c>
      <c r="G13" s="45">
        <f t="shared" si="0"/>
        <v>45395</v>
      </c>
      <c r="H13" s="14" cm="1">
        <f t="array" ref="H13">_xlfn.IFNA(INDEX('IR data'!$N$4:$N$61,MATCH(G13,'IR data'!$M$4:$M$61,0)),((INDEX('IR data'!$N$4:$N$61,MATCH(G13,'IR data'!$M$4:$M$61,1)))-((G13-(INDEX('IR data'!$M$4:$M$61,MATCH(G13,'IR data'!$M$4:$M$61,1))))/((INDEX('IR data'!$M$4:$M$61,MATCH(G13,'IR data'!$M$4:$M$61,1)+1)-INDEX('IR data'!$M$4:$M$61,MATCH(G13,'IR data'!$M$4:$M$61,1))))) * (INDEX('IR data'!$N$4:$N$61,MATCH(G13,'IR data'!$M$4:$M$61,1))-(INDEX('IR data'!$N$4:$N$61,MATCH(G13,'IR data'!$M$4:$M$61,1)+1)))))</f>
        <v>0.99853425714285715</v>
      </c>
      <c r="I13" s="44">
        <f t="shared" si="5"/>
        <v>2.3251631890793312E-2</v>
      </c>
    </row>
    <row r="14" spans="1:9" x14ac:dyDescent="0.25">
      <c r="A14" s="45">
        <f t="shared" si="1"/>
        <v>45302</v>
      </c>
      <c r="B14" s="14" cm="1">
        <f t="array" ref="B14">_xlfn.IFNA(INDEX('IR data'!$D$4:$D$61,MATCH(A14,'IR data'!$C$4:$C$61,0)),((INDEX('IR data'!$D$4:$D$61,MATCH(A14,'IR data'!$C$4:$C$61,1)))-((A14-(INDEX('IR data'!$C$4:$C$61,MATCH(A14,'IR data'!$C$4:$C$61,1))))/((INDEX('IR data'!$C$4:$C$61,MATCH(A14,'IR data'!$C$4:$C$61,1)+1)-INDEX('IR data'!$C$4:$C$61,MATCH(A14,'IR data'!$C$4:$C$61,1))))) * (INDEX('IR data'!$D$4:$D$61,MATCH(A14,'IR data'!$C$4:$C$61,1))-(INDEX('IR data'!$D$4:$D$61,MATCH(A14,'IR data'!$C$4:$C$61,1)+1)))))</f>
        <v>0.99806652500000004</v>
      </c>
      <c r="C14" s="30">
        <f t="shared" si="2"/>
        <v>2.7889661227277804E-2</v>
      </c>
      <c r="D14" s="45">
        <f t="shared" si="3"/>
        <v>45362</v>
      </c>
      <c r="E14" s="14" cm="1">
        <f t="array" ref="E14">_xlfn.IFNA(INDEX('IR data'!$I$4:$I$61,MATCH(D14,'IR data'!$H$4:$H$61,0)),((INDEX('IR data'!$I$4:$I$61,MATCH(D14,'IR data'!$H$4:$H$61,1)))-((D14-(INDEX('IR data'!$H$4:$H$61,MATCH(D14,'IR data'!$H$4:$H$61,1))))/((INDEX('IR data'!$H$4:$H$61,MATCH(D14,'IR data'!$H$4:$H$61,1)+1)-INDEX('IR data'!$H$4:$H$61,MATCH(D14,'IR data'!$H$4:$H$61,1))))) * (INDEX('IR data'!$I$4:$I$61,MATCH(D14,'IR data'!$H$4:$H$61,1))-(INDEX('IR data'!$I$4:$I$61,MATCH(D14,'IR data'!$H$4:$H$61,1)+1)))))</f>
        <v>0.99838506800000004</v>
      </c>
      <c r="F14" s="30">
        <f t="shared" si="4"/>
        <v>2.329108096117977E-2</v>
      </c>
      <c r="G14" s="45">
        <f t="shared" si="0"/>
        <v>45396</v>
      </c>
      <c r="H14" s="14" cm="1">
        <f t="array" ref="H14">_xlfn.IFNA(INDEX('IR data'!$N$4:$N$61,MATCH(G14,'IR data'!$M$4:$M$61,0)),((INDEX('IR data'!$N$4:$N$61,MATCH(G14,'IR data'!$M$4:$M$61,1)))-((G14-(INDEX('IR data'!$M$4:$M$61,MATCH(G14,'IR data'!$M$4:$M$61,1))))/((INDEX('IR data'!$M$4:$M$61,MATCH(G14,'IR data'!$M$4:$M$61,1)+1)-INDEX('IR data'!$M$4:$M$61,MATCH(G14,'IR data'!$M$4:$M$61,1))))) * (INDEX('IR data'!$N$4:$N$61,MATCH(G14,'IR data'!$M$4:$M$61,1))-(INDEX('IR data'!$N$4:$N$61,MATCH(G14,'IR data'!$M$4:$M$61,1)+1)))))</f>
        <v>0.99838811028571428</v>
      </c>
      <c r="I14" s="44">
        <f t="shared" si="5"/>
        <v>2.3247168705142318E-2</v>
      </c>
    </row>
    <row r="15" spans="1:9" x14ac:dyDescent="0.25">
      <c r="A15" s="45">
        <f t="shared" si="1"/>
        <v>45303</v>
      </c>
      <c r="B15" s="14" cm="1">
        <f t="array" ref="B15">_xlfn.IFNA(INDEX('IR data'!$D$4:$D$61,MATCH(A15,'IR data'!$C$4:$C$61,0)),((INDEX('IR data'!$D$4:$D$61,MATCH(A15,'IR data'!$C$4:$C$61,1)))-((A15-(INDEX('IR data'!$C$4:$C$61,MATCH(A15,'IR data'!$C$4:$C$61,1))))/((INDEX('IR data'!$C$4:$C$61,MATCH(A15,'IR data'!$C$4:$C$61,1)+1)-INDEX('IR data'!$C$4:$C$61,MATCH(A15,'IR data'!$C$4:$C$61,1))))) * (INDEX('IR data'!$D$4:$D$61,MATCH(A15,'IR data'!$C$4:$C$61,1))-(INDEX('IR data'!$D$4:$D$61,MATCH(A15,'IR data'!$C$4:$C$61,1)+1)))))</f>
        <v>0.99791804399999995</v>
      </c>
      <c r="C15" s="30">
        <f t="shared" si="2"/>
        <v>2.7530871558399821E-2</v>
      </c>
      <c r="D15" s="45">
        <f t="shared" si="3"/>
        <v>45363</v>
      </c>
      <c r="E15" s="14" cm="1">
        <f t="array" ref="E15">_xlfn.IFNA(INDEX('IR data'!$I$4:$I$61,MATCH(D15,'IR data'!$H$4:$H$61,0)),((INDEX('IR data'!$I$4:$I$61,MATCH(D15,'IR data'!$H$4:$H$61,1)))-((D15-(INDEX('IR data'!$H$4:$H$61,MATCH(D15,'IR data'!$H$4:$H$61,1))))/((INDEX('IR data'!$H$4:$H$61,MATCH(D15,'IR data'!$H$4:$H$61,1)+1)-INDEX('IR data'!$H$4:$H$61,MATCH(D15,'IR data'!$H$4:$H$61,1))))) * (INDEX('IR data'!$I$4:$I$61,MATCH(D15,'IR data'!$H$4:$H$61,1))-(INDEX('IR data'!$I$4:$I$61,MATCH(D15,'IR data'!$H$4:$H$61,1)+1)))))</f>
        <v>0.99823897671428574</v>
      </c>
      <c r="F15" s="30">
        <f t="shared" si="4"/>
        <v>2.3283255854795241E-2</v>
      </c>
      <c r="G15" s="45">
        <f t="shared" si="0"/>
        <v>45397</v>
      </c>
      <c r="H15" s="14" cm="1">
        <f t="array" ref="H15">_xlfn.IFNA(INDEX('IR data'!$N$4:$N$61,MATCH(G15,'IR data'!$M$4:$M$61,0)),((INDEX('IR data'!$N$4:$N$61,MATCH(G15,'IR data'!$M$4:$M$61,1)))-((G15-(INDEX('IR data'!$M$4:$M$61,MATCH(G15,'IR data'!$M$4:$M$61,1))))/((INDEX('IR data'!$M$4:$M$61,MATCH(G15,'IR data'!$M$4:$M$61,1)+1)-INDEX('IR data'!$M$4:$M$61,MATCH(G15,'IR data'!$M$4:$M$61,1))))) * (INDEX('IR data'!$N$4:$N$61,MATCH(G15,'IR data'!$M$4:$M$61,1))-(INDEX('IR data'!$N$4:$N$61,MATCH(G15,'IR data'!$M$4:$M$61,1)+1)))))</f>
        <v>0.99824196342857141</v>
      </c>
      <c r="I15" s="44">
        <f t="shared" si="5"/>
        <v>2.3243732442197039E-2</v>
      </c>
    </row>
    <row r="16" spans="1:9" x14ac:dyDescent="0.25">
      <c r="A16" s="45">
        <f t="shared" si="1"/>
        <v>45304</v>
      </c>
      <c r="B16" s="14" cm="1">
        <f t="array" ref="B16">_xlfn.IFNA(INDEX('IR data'!$D$4:$D$61,MATCH(A16,'IR data'!$C$4:$C$61,0)),((INDEX('IR data'!$D$4:$D$61,MATCH(A16,'IR data'!$C$4:$C$61,1)))-((A16-(INDEX('IR data'!$C$4:$C$61,MATCH(A16,'IR data'!$C$4:$C$61,1))))/((INDEX('IR data'!$C$4:$C$61,MATCH(A16,'IR data'!$C$4:$C$61,1)+1)-INDEX('IR data'!$C$4:$C$61,MATCH(A16,'IR data'!$C$4:$C$61,1))))) * (INDEX('IR data'!$D$4:$D$61,MATCH(A16,'IR data'!$C$4:$C$61,1))-(INDEX('IR data'!$D$4:$D$61,MATCH(A16,'IR data'!$C$4:$C$61,1)+1)))))</f>
        <v>0.99776956299999997</v>
      </c>
      <c r="C16" s="30">
        <f t="shared" si="2"/>
        <v>2.7227550251679219E-2</v>
      </c>
      <c r="D16" s="45">
        <f t="shared" si="3"/>
        <v>45364</v>
      </c>
      <c r="E16" s="14" cm="1">
        <f t="array" ref="E16">_xlfn.IFNA(INDEX('IR data'!$I$4:$I$61,MATCH(D16,'IR data'!$H$4:$H$61,0)),((INDEX('IR data'!$I$4:$I$61,MATCH(D16,'IR data'!$H$4:$H$61,1)))-((D16-(INDEX('IR data'!$H$4:$H$61,MATCH(D16,'IR data'!$H$4:$H$61,1))))/((INDEX('IR data'!$H$4:$H$61,MATCH(D16,'IR data'!$H$4:$H$61,1)+1)-INDEX('IR data'!$H$4:$H$61,MATCH(D16,'IR data'!$H$4:$H$61,1))))) * (INDEX('IR data'!$I$4:$I$61,MATCH(D16,'IR data'!$H$4:$H$61,1))-(INDEX('IR data'!$I$4:$I$61,MATCH(D16,'IR data'!$H$4:$H$61,1)+1)))))</f>
        <v>0.99809288542857144</v>
      </c>
      <c r="F16" s="30">
        <f t="shared" si="4"/>
        <v>2.3276895774987146E-2</v>
      </c>
      <c r="G16" s="45">
        <f t="shared" si="0"/>
        <v>45398</v>
      </c>
      <c r="H16" s="14" cm="1">
        <f t="array" ref="H16">_xlfn.IFNA(INDEX('IR data'!$N$4:$N$61,MATCH(G16,'IR data'!$M$4:$M$61,0)),((INDEX('IR data'!$N$4:$N$61,MATCH(G16,'IR data'!$M$4:$M$61,1)))-((G16-(INDEX('IR data'!$M$4:$M$61,MATCH(G16,'IR data'!$M$4:$M$61,1))))/((INDEX('IR data'!$M$4:$M$61,MATCH(G16,'IR data'!$M$4:$M$61,1)+1)-INDEX('IR data'!$M$4:$M$61,MATCH(G16,'IR data'!$M$4:$M$61,1))))) * (INDEX('IR data'!$N$4:$N$61,MATCH(G16,'IR data'!$M$4:$M$61,1))-(INDEX('IR data'!$N$4:$N$61,MATCH(G16,'IR data'!$M$4:$M$61,1)+1)))))</f>
        <v>0.99809581657142865</v>
      </c>
      <c r="I16" s="44">
        <f t="shared" si="5"/>
        <v>2.3241086196305234E-2</v>
      </c>
    </row>
    <row r="17" spans="1:9" x14ac:dyDescent="0.25">
      <c r="A17" s="45">
        <f t="shared" si="1"/>
        <v>45305</v>
      </c>
      <c r="B17" s="14" cm="1">
        <f t="array" ref="B17">_xlfn.IFNA(INDEX('IR data'!$D$4:$D$61,MATCH(A17,'IR data'!$C$4:$C$61,0)),((INDEX('IR data'!$D$4:$D$61,MATCH(A17,'IR data'!$C$4:$C$61,1)))-((A17-(INDEX('IR data'!$C$4:$C$61,MATCH(A17,'IR data'!$C$4:$C$61,1))))/((INDEX('IR data'!$C$4:$C$61,MATCH(A17,'IR data'!$C$4:$C$61,1)+1)-INDEX('IR data'!$C$4:$C$61,MATCH(A17,'IR data'!$C$4:$C$61,1))))) * (INDEX('IR data'!$D$4:$D$61,MATCH(A17,'IR data'!$C$4:$C$61,1))-(INDEX('IR data'!$D$4:$D$61,MATCH(A17,'IR data'!$C$4:$C$61,1)+1)))))</f>
        <v>0.99762108199999999</v>
      </c>
      <c r="C17" s="30">
        <f t="shared" si="2"/>
        <v>2.6967811304123325E-2</v>
      </c>
      <c r="D17" s="45">
        <f t="shared" si="3"/>
        <v>45365</v>
      </c>
      <c r="E17" s="14" cm="1">
        <f t="array" ref="E17">_xlfn.IFNA(INDEX('IR data'!$I$4:$I$61,MATCH(D17,'IR data'!$H$4:$H$61,0)),((INDEX('IR data'!$I$4:$I$61,MATCH(D17,'IR data'!$H$4:$H$61,1)))-((D17-(INDEX('IR data'!$H$4:$H$61,MATCH(D17,'IR data'!$H$4:$H$61,1))))/((INDEX('IR data'!$H$4:$H$61,MATCH(D17,'IR data'!$H$4:$H$61,1)+1)-INDEX('IR data'!$H$4:$H$61,MATCH(D17,'IR data'!$H$4:$H$61,1))))) * (INDEX('IR data'!$I$4:$I$61,MATCH(D17,'IR data'!$H$4:$H$61,1))-(INDEX('IR data'!$I$4:$I$61,MATCH(D17,'IR data'!$H$4:$H$61,1)+1)))))</f>
        <v>0.99794679414285714</v>
      </c>
      <c r="F17" s="30">
        <f t="shared" si="4"/>
        <v>2.3271686858486736E-2</v>
      </c>
      <c r="G17" s="45">
        <f t="shared" si="0"/>
        <v>45399</v>
      </c>
      <c r="H17" s="14" cm="1">
        <f t="array" ref="H17">_xlfn.IFNA(INDEX('IR data'!$N$4:$N$61,MATCH(G17,'IR data'!$M$4:$M$61,0)),((INDEX('IR data'!$N$4:$N$61,MATCH(G17,'IR data'!$M$4:$M$61,1)))-((G17-(INDEX('IR data'!$M$4:$M$61,MATCH(G17,'IR data'!$M$4:$M$61,1))))/((INDEX('IR data'!$M$4:$M$61,MATCH(G17,'IR data'!$M$4:$M$61,1)+1)-INDEX('IR data'!$M$4:$M$61,MATCH(G17,'IR data'!$M$4:$M$61,1))))) * (INDEX('IR data'!$N$4:$N$61,MATCH(G17,'IR data'!$M$4:$M$61,1))-(INDEX('IR data'!$N$4:$N$61,MATCH(G17,'IR data'!$M$4:$M$61,1)+1)))))</f>
        <v>0.99794966971428578</v>
      </c>
      <c r="I17" s="44">
        <f t="shared" si="5"/>
        <v>2.3239060749178871E-2</v>
      </c>
    </row>
    <row r="18" spans="1:9" x14ac:dyDescent="0.25">
      <c r="A18" s="45">
        <f t="shared" si="1"/>
        <v>45306</v>
      </c>
      <c r="B18" s="14" cm="1">
        <f t="array" ref="B18">_xlfn.IFNA(INDEX('IR data'!$D$4:$D$61,MATCH(A18,'IR data'!$C$4:$C$61,0)),((INDEX('IR data'!$D$4:$D$61,MATCH(A18,'IR data'!$C$4:$C$61,1)))-((A18-(INDEX('IR data'!$C$4:$C$61,MATCH(A18,'IR data'!$C$4:$C$61,1))))/((INDEX('IR data'!$C$4:$C$61,MATCH(A18,'IR data'!$C$4:$C$61,1)+1)-INDEX('IR data'!$C$4:$C$61,MATCH(A18,'IR data'!$C$4:$C$61,1))))) * (INDEX('IR data'!$D$4:$D$61,MATCH(A18,'IR data'!$C$4:$C$61,1))-(INDEX('IR data'!$D$4:$D$61,MATCH(A18,'IR data'!$C$4:$C$61,1)+1)))))</f>
        <v>0.99747260100000001</v>
      </c>
      <c r="C18" s="30">
        <f t="shared" si="2"/>
        <v>2.6742938313567426E-2</v>
      </c>
      <c r="D18" s="45">
        <f t="shared" si="3"/>
        <v>45366</v>
      </c>
      <c r="E18" s="14" cm="1">
        <f t="array" ref="E18">_xlfn.IFNA(INDEX('IR data'!$I$4:$I$61,MATCH(D18,'IR data'!$H$4:$H$61,0)),((INDEX('IR data'!$I$4:$I$61,MATCH(D18,'IR data'!$H$4:$H$61,1)))-((D18-(INDEX('IR data'!$H$4:$H$61,MATCH(D18,'IR data'!$H$4:$H$61,1))))/((INDEX('IR data'!$H$4:$H$61,MATCH(D18,'IR data'!$H$4:$H$61,1)+1)-INDEX('IR data'!$H$4:$H$61,MATCH(D18,'IR data'!$H$4:$H$61,1))))) * (INDEX('IR data'!$I$4:$I$61,MATCH(D18,'IR data'!$H$4:$H$61,1))-(INDEX('IR data'!$I$4:$I$61,MATCH(D18,'IR data'!$H$4:$H$61,1)+1)))))</f>
        <v>0.99780070285714295</v>
      </c>
      <c r="F18" s="30">
        <f t="shared" si="4"/>
        <v>2.3267398938924863E-2</v>
      </c>
      <c r="G18" s="45">
        <f t="shared" si="0"/>
        <v>45400</v>
      </c>
      <c r="H18" s="14" cm="1">
        <f t="array" ref="H18">_xlfn.IFNA(INDEX('IR data'!$N$4:$N$61,MATCH(G18,'IR data'!$M$4:$M$61,0)),((INDEX('IR data'!$N$4:$N$61,MATCH(G18,'IR data'!$M$4:$M$61,1)))-((G18-(INDEX('IR data'!$M$4:$M$61,MATCH(G18,'IR data'!$M$4:$M$61,1))))/((INDEX('IR data'!$M$4:$M$61,MATCH(G18,'IR data'!$M$4:$M$61,1)+1)-INDEX('IR data'!$M$4:$M$61,MATCH(G18,'IR data'!$M$4:$M$61,1))))) * (INDEX('IR data'!$N$4:$N$61,MATCH(G18,'IR data'!$M$4:$M$61,1))-(INDEX('IR data'!$N$4:$N$61,MATCH(G18,'IR data'!$M$4:$M$61,1)+1)))))</f>
        <v>0.99780352285714291</v>
      </c>
      <c r="I18" s="44">
        <f t="shared" si="5"/>
        <v>2.3237532007432352E-2</v>
      </c>
    </row>
    <row r="19" spans="1:9" x14ac:dyDescent="0.25">
      <c r="A19" s="45">
        <f t="shared" si="1"/>
        <v>45307</v>
      </c>
      <c r="B19" s="14" cm="1">
        <f t="array" ref="B19">_xlfn.IFNA(INDEX('IR data'!$D$4:$D$61,MATCH(A19,'IR data'!$C$4:$C$61,0)),((INDEX('IR data'!$D$4:$D$61,MATCH(A19,'IR data'!$C$4:$C$61,1)))-((A19-(INDEX('IR data'!$C$4:$C$61,MATCH(A19,'IR data'!$C$4:$C$61,1))))/((INDEX('IR data'!$C$4:$C$61,MATCH(A19,'IR data'!$C$4:$C$61,1)+1)-INDEX('IR data'!$C$4:$C$61,MATCH(A19,'IR data'!$C$4:$C$61,1))))) * (INDEX('IR data'!$D$4:$D$61,MATCH(A19,'IR data'!$C$4:$C$61,1))-(INDEX('IR data'!$D$4:$D$61,MATCH(A19,'IR data'!$C$4:$C$61,1)+1)))))</f>
        <v>0.99732411999999993</v>
      </c>
      <c r="C19" s="30">
        <f t="shared" si="2"/>
        <v>2.6546393978418254E-2</v>
      </c>
      <c r="D19" s="45">
        <f t="shared" si="3"/>
        <v>45367</v>
      </c>
      <c r="E19" s="14" cm="1">
        <f t="array" ref="E19">_xlfn.IFNA(INDEX('IR data'!$I$4:$I$61,MATCH(D19,'IR data'!$H$4:$H$61,0)),((INDEX('IR data'!$I$4:$I$61,MATCH(D19,'IR data'!$H$4:$H$61,1)))-((D19-(INDEX('IR data'!$H$4:$H$61,MATCH(D19,'IR data'!$H$4:$H$61,1))))/((INDEX('IR data'!$H$4:$H$61,MATCH(D19,'IR data'!$H$4:$H$61,1)+1)-INDEX('IR data'!$H$4:$H$61,MATCH(D19,'IR data'!$H$4:$H$61,1))))) * (INDEX('IR data'!$I$4:$I$61,MATCH(D19,'IR data'!$H$4:$H$61,1))-(INDEX('IR data'!$I$4:$I$61,MATCH(D19,'IR data'!$H$4:$H$61,1)+1)))))</f>
        <v>0.99765461157142865</v>
      </c>
      <c r="F19" s="30">
        <f t="shared" si="4"/>
        <v>2.3263859391555262E-2</v>
      </c>
      <c r="G19" s="45">
        <f t="shared" si="0"/>
        <v>45401</v>
      </c>
      <c r="H19" s="14" cm="1">
        <f t="array" ref="H19">_xlfn.IFNA(INDEX('IR data'!$N$4:$N$61,MATCH(G19,'IR data'!$M$4:$M$61,0)),((INDEX('IR data'!$N$4:$N$61,MATCH(G19,'IR data'!$M$4:$M$61,1)))-((G19-(INDEX('IR data'!$M$4:$M$61,MATCH(G19,'IR data'!$M$4:$M$61,1))))/((INDEX('IR data'!$M$4:$M$61,MATCH(G19,'IR data'!$M$4:$M$61,1)+1)-INDEX('IR data'!$M$4:$M$61,MATCH(G19,'IR data'!$M$4:$M$61,1))))) * (INDEX('IR data'!$N$4:$N$61,MATCH(G19,'IR data'!$M$4:$M$61,1))-(INDEX('IR data'!$N$4:$N$61,MATCH(G19,'IR data'!$M$4:$M$61,1)+1)))))</f>
        <v>0.99765737600000004</v>
      </c>
      <c r="I19" s="44">
        <f t="shared" si="5"/>
        <v>2.3236406901054912E-2</v>
      </c>
    </row>
    <row r="20" spans="1:9" x14ac:dyDescent="0.25">
      <c r="A20" s="45">
        <f t="shared" si="1"/>
        <v>45308</v>
      </c>
      <c r="B20" s="14" cm="1">
        <f t="array" ref="B20">_xlfn.IFNA(INDEX('IR data'!$D$4:$D$61,MATCH(A20,'IR data'!$C$4:$C$61,0)),((INDEX('IR data'!$D$4:$D$61,MATCH(A20,'IR data'!$C$4:$C$61,1)))-((A20-(INDEX('IR data'!$C$4:$C$61,MATCH(A20,'IR data'!$C$4:$C$61,1))))/((INDEX('IR data'!$C$4:$C$61,MATCH(A20,'IR data'!$C$4:$C$61,1)+1)-INDEX('IR data'!$C$4:$C$61,MATCH(A20,'IR data'!$C$4:$C$61,1))))) * (INDEX('IR data'!$D$4:$D$61,MATCH(A20,'IR data'!$C$4:$C$61,1))-(INDEX('IR data'!$D$4:$D$61,MATCH(A20,'IR data'!$C$4:$C$61,1)+1)))))</f>
        <v>0.99717563899999995</v>
      </c>
      <c r="C20" s="30">
        <f t="shared" si="2"/>
        <v>2.6373179185717091E-2</v>
      </c>
      <c r="D20" s="45">
        <f t="shared" si="3"/>
        <v>45368</v>
      </c>
      <c r="E20" s="14" cm="1">
        <f t="array" ref="E20">_xlfn.IFNA(INDEX('IR data'!$I$4:$I$61,MATCH(D20,'IR data'!$H$4:$H$61,0)),((INDEX('IR data'!$I$4:$I$61,MATCH(D20,'IR data'!$H$4:$H$61,1)))-((D20-(INDEX('IR data'!$H$4:$H$61,MATCH(D20,'IR data'!$H$4:$H$61,1))))/((INDEX('IR data'!$H$4:$H$61,MATCH(D20,'IR data'!$H$4:$H$61,1)+1)-INDEX('IR data'!$H$4:$H$61,MATCH(D20,'IR data'!$H$4:$H$61,1))))) * (INDEX('IR data'!$I$4:$I$61,MATCH(D20,'IR data'!$H$4:$H$61,1))-(INDEX('IR data'!$I$4:$I$61,MATCH(D20,'IR data'!$H$4:$H$61,1)+1)))))</f>
        <v>0.99750852028571435</v>
      </c>
      <c r="F20" s="30">
        <f t="shared" si="4"/>
        <v>2.326093620924163E-2</v>
      </c>
      <c r="G20" s="45">
        <f t="shared" si="0"/>
        <v>45402</v>
      </c>
      <c r="H20" s="14" cm="1">
        <f t="array" ref="H20">_xlfn.IFNA(INDEX('IR data'!$N$4:$N$61,MATCH(G20,'IR data'!$M$4:$M$61,0)),((INDEX('IR data'!$N$4:$N$61,MATCH(G20,'IR data'!$M$4:$M$61,1)))-((G20-(INDEX('IR data'!$M$4:$M$61,MATCH(G20,'IR data'!$M$4:$M$61,1))))/((INDEX('IR data'!$M$4:$M$61,MATCH(G20,'IR data'!$M$4:$M$61,1)+1)-INDEX('IR data'!$M$4:$M$61,MATCH(G20,'IR data'!$M$4:$M$61,1))))) * (INDEX('IR data'!$N$4:$N$61,MATCH(G20,'IR data'!$M$4:$M$61,1))-(INDEX('IR data'!$N$4:$N$61,MATCH(G20,'IR data'!$M$4:$M$61,1)+1)))))</f>
        <v>0.99751037541176479</v>
      </c>
      <c r="I20" s="44">
        <f t="shared" si="5"/>
        <v>2.324359478908718E-2</v>
      </c>
    </row>
    <row r="21" spans="1:9" x14ac:dyDescent="0.25">
      <c r="A21" s="45">
        <f t="shared" si="1"/>
        <v>45309</v>
      </c>
      <c r="B21" s="14" cm="1">
        <f t="array" ref="B21">_xlfn.IFNA(INDEX('IR data'!$D$4:$D$61,MATCH(A21,'IR data'!$C$4:$C$61,0)),((INDEX('IR data'!$D$4:$D$61,MATCH(A21,'IR data'!$C$4:$C$61,1)))-((A21-(INDEX('IR data'!$C$4:$C$61,MATCH(A21,'IR data'!$C$4:$C$61,1))))/((INDEX('IR data'!$C$4:$C$61,MATCH(A21,'IR data'!$C$4:$C$61,1)+1)-INDEX('IR data'!$C$4:$C$61,MATCH(A21,'IR data'!$C$4:$C$61,1))))) * (INDEX('IR data'!$D$4:$D$61,MATCH(A21,'IR data'!$C$4:$C$61,1))-(INDEX('IR data'!$D$4:$D$61,MATCH(A21,'IR data'!$C$4:$C$61,1)+1)))))</f>
        <v>0.99702715142105258</v>
      </c>
      <c r="C21" s="30">
        <f t="shared" si="2"/>
        <v>2.6219463846956018E-2</v>
      </c>
      <c r="D21" s="45">
        <f t="shared" si="3"/>
        <v>45369</v>
      </c>
      <c r="E21" s="14" cm="1">
        <f t="array" ref="E21">_xlfn.IFNA(INDEX('IR data'!$I$4:$I$61,MATCH(D21,'IR data'!$H$4:$H$61,0)),((INDEX('IR data'!$I$4:$I$61,MATCH(D21,'IR data'!$H$4:$H$61,1)))-((D21-(INDEX('IR data'!$H$4:$H$61,MATCH(D21,'IR data'!$H$4:$H$61,1))))/((INDEX('IR data'!$H$4:$H$61,MATCH(D21,'IR data'!$H$4:$H$61,1)+1)-INDEX('IR data'!$H$4:$H$61,MATCH(D21,'IR data'!$H$4:$H$61,1))))) * (INDEX('IR data'!$I$4:$I$61,MATCH(D21,'IR data'!$H$4:$H$61,1))-(INDEX('IR data'!$I$4:$I$61,MATCH(D21,'IR data'!$H$4:$H$61,1)+1)))))</f>
        <v>0.99736242900000005</v>
      </c>
      <c r="F21" s="30">
        <f t="shared" si="4"/>
        <v>2.325852671979212E-2</v>
      </c>
      <c r="G21" s="45">
        <f t="shared" si="0"/>
        <v>45403</v>
      </c>
      <c r="H21" s="14" cm="1">
        <f t="array" ref="H21">_xlfn.IFNA(INDEX('IR data'!$N$4:$N$61,MATCH(G21,'IR data'!$M$4:$M$61,0)),((INDEX('IR data'!$N$4:$N$61,MATCH(G21,'IR data'!$M$4:$M$61,1)))-((G21-(INDEX('IR data'!$M$4:$M$61,MATCH(G21,'IR data'!$M$4:$M$61,1))))/((INDEX('IR data'!$M$4:$M$61,MATCH(G21,'IR data'!$M$4:$M$61,1)+1)-INDEX('IR data'!$M$4:$M$61,MATCH(G21,'IR data'!$M$4:$M$61,1))))) * (INDEX('IR data'!$N$4:$N$61,MATCH(G21,'IR data'!$M$4:$M$61,1))-(INDEX('IR data'!$N$4:$N$61,MATCH(G21,'IR data'!$M$4:$M$61,1)+1)))))</f>
        <v>0.99736337482352944</v>
      </c>
      <c r="I21" s="44">
        <f t="shared" si="5"/>
        <v>2.3250175275771827E-2</v>
      </c>
    </row>
    <row r="22" spans="1:9" x14ac:dyDescent="0.25">
      <c r="A22" s="45">
        <f t="shared" si="1"/>
        <v>45310</v>
      </c>
      <c r="B22" s="14" cm="1">
        <f t="array" ref="B22">_xlfn.IFNA(INDEX('IR data'!$D$4:$D$61,MATCH(A22,'IR data'!$C$4:$C$61,0)),((INDEX('IR data'!$D$4:$D$61,MATCH(A22,'IR data'!$C$4:$C$61,1)))-((A22-(INDEX('IR data'!$C$4:$C$61,MATCH(A22,'IR data'!$C$4:$C$61,1))))/((INDEX('IR data'!$C$4:$C$61,MATCH(A22,'IR data'!$C$4:$C$61,1)+1)-INDEX('IR data'!$C$4:$C$61,MATCH(A22,'IR data'!$C$4:$C$61,1))))) * (INDEX('IR data'!$D$4:$D$61,MATCH(A22,'IR data'!$C$4:$C$61,1))-(INDEX('IR data'!$D$4:$D$61,MATCH(A22,'IR data'!$C$4:$C$61,1)+1)))))</f>
        <v>0.99687866384210522</v>
      </c>
      <c r="C22" s="30">
        <f t="shared" si="2"/>
        <v>2.6082114120498729E-2</v>
      </c>
      <c r="D22" s="45">
        <f t="shared" si="3"/>
        <v>45370</v>
      </c>
      <c r="E22" s="14" cm="1">
        <f t="array" ref="E22">_xlfn.IFNA(INDEX('IR data'!$I$4:$I$61,MATCH(D22,'IR data'!$H$4:$H$61,0)),((INDEX('IR data'!$I$4:$I$61,MATCH(D22,'IR data'!$H$4:$H$61,1)))-((D22-(INDEX('IR data'!$H$4:$H$61,MATCH(D22,'IR data'!$H$4:$H$61,1))))/((INDEX('IR data'!$H$4:$H$61,MATCH(D22,'IR data'!$H$4:$H$61,1)+1)-INDEX('IR data'!$H$4:$H$61,MATCH(D22,'IR data'!$H$4:$H$61,1))))) * (INDEX('IR data'!$I$4:$I$61,MATCH(D22,'IR data'!$H$4:$H$61,1))-(INDEX('IR data'!$I$4:$I$61,MATCH(D22,'IR data'!$H$4:$H$61,1)+1)))))</f>
        <v>0.99721523970588244</v>
      </c>
      <c r="F22" s="30">
        <f t="shared" si="4"/>
        <v>2.3265736154993697E-2</v>
      </c>
      <c r="G22" s="45">
        <f t="shared" si="0"/>
        <v>45404</v>
      </c>
      <c r="H22" s="14" cm="1">
        <f t="array" ref="H22">_xlfn.IFNA(INDEX('IR data'!$N$4:$N$61,MATCH(G22,'IR data'!$M$4:$M$61,0)),((INDEX('IR data'!$N$4:$N$61,MATCH(G22,'IR data'!$M$4:$M$61,1)))-((G22-(INDEX('IR data'!$M$4:$M$61,MATCH(G22,'IR data'!$M$4:$M$61,1))))/((INDEX('IR data'!$M$4:$M$61,MATCH(G22,'IR data'!$M$4:$M$61,1)+1)-INDEX('IR data'!$M$4:$M$61,MATCH(G22,'IR data'!$M$4:$M$61,1))))) * (INDEX('IR data'!$N$4:$N$61,MATCH(G22,'IR data'!$M$4:$M$61,1))-(INDEX('IR data'!$N$4:$N$61,MATCH(G22,'IR data'!$M$4:$M$61,1)+1)))))</f>
        <v>0.99721637423529419</v>
      </c>
      <c r="I22" s="44">
        <f t="shared" si="5"/>
        <v>2.3256244319996847E-2</v>
      </c>
    </row>
    <row r="23" spans="1:9" x14ac:dyDescent="0.25">
      <c r="A23" s="45">
        <f t="shared" si="1"/>
        <v>45311</v>
      </c>
      <c r="B23" s="14" cm="1">
        <f t="array" ref="B23">_xlfn.IFNA(INDEX('IR data'!$D$4:$D$61,MATCH(A23,'IR data'!$C$4:$C$61,0)),((INDEX('IR data'!$D$4:$D$61,MATCH(A23,'IR data'!$C$4:$C$61,1)))-((A23-(INDEX('IR data'!$C$4:$C$61,MATCH(A23,'IR data'!$C$4:$C$61,1))))/((INDEX('IR data'!$C$4:$C$61,MATCH(A23,'IR data'!$C$4:$C$61,1)+1)-INDEX('IR data'!$C$4:$C$61,MATCH(A23,'IR data'!$C$4:$C$61,1))))) * (INDEX('IR data'!$D$4:$D$61,MATCH(A23,'IR data'!$C$4:$C$61,1))-(INDEX('IR data'!$D$4:$D$61,MATCH(A23,'IR data'!$C$4:$C$61,1)+1)))))</f>
        <v>0.99673017626315785</v>
      </c>
      <c r="C23" s="30">
        <f t="shared" si="2"/>
        <v>2.5958675216874613E-2</v>
      </c>
      <c r="D23" s="45">
        <f t="shared" si="3"/>
        <v>45371</v>
      </c>
      <c r="E23" s="14" cm="1">
        <f t="array" ref="E23">_xlfn.IFNA(INDEX('IR data'!$I$4:$I$61,MATCH(D23,'IR data'!$H$4:$H$61,0)),((INDEX('IR data'!$I$4:$I$61,MATCH(D23,'IR data'!$H$4:$H$61,1)))-((D23-(INDEX('IR data'!$H$4:$H$61,MATCH(D23,'IR data'!$H$4:$H$61,1))))/((INDEX('IR data'!$H$4:$H$61,MATCH(D23,'IR data'!$H$4:$H$61,1)+1)-INDEX('IR data'!$H$4:$H$61,MATCH(D23,'IR data'!$H$4:$H$61,1))))) * (INDEX('IR data'!$I$4:$I$61,MATCH(D23,'IR data'!$H$4:$H$61,1))-(INDEX('IR data'!$I$4:$I$61,MATCH(D23,'IR data'!$H$4:$H$61,1)+1)))))</f>
        <v>0.99706805041176472</v>
      </c>
      <c r="F23" s="30">
        <f t="shared" si="4"/>
        <v>2.3272397318634976E-2</v>
      </c>
      <c r="G23" s="45">
        <f t="shared" si="0"/>
        <v>45405</v>
      </c>
      <c r="H23" s="14" cm="1">
        <f t="array" ref="H23">_xlfn.IFNA(INDEX('IR data'!$N$4:$N$61,MATCH(G23,'IR data'!$M$4:$M$61,0)),((INDEX('IR data'!$N$4:$N$61,MATCH(G23,'IR data'!$M$4:$M$61,1)))-((G23-(INDEX('IR data'!$M$4:$M$61,MATCH(G23,'IR data'!$M$4:$M$61,1))))/((INDEX('IR data'!$M$4:$M$61,MATCH(G23,'IR data'!$M$4:$M$61,1)+1)-INDEX('IR data'!$M$4:$M$61,MATCH(G23,'IR data'!$M$4:$M$61,1))))) * (INDEX('IR data'!$N$4:$N$61,MATCH(G23,'IR data'!$M$4:$M$61,1))-(INDEX('IR data'!$N$4:$N$61,MATCH(G23,'IR data'!$M$4:$M$61,1)+1)))))</f>
        <v>0.99706937364705883</v>
      </c>
      <c r="I23" s="44">
        <f t="shared" si="5"/>
        <v>2.3261878688898653E-2</v>
      </c>
    </row>
    <row r="24" spans="1:9" x14ac:dyDescent="0.25">
      <c r="A24" s="45">
        <f t="shared" si="1"/>
        <v>45312</v>
      </c>
      <c r="B24" s="14" cm="1">
        <f t="array" ref="B24">_xlfn.IFNA(INDEX('IR data'!$D$4:$D$61,MATCH(A24,'IR data'!$C$4:$C$61,0)),((INDEX('IR data'!$D$4:$D$61,MATCH(A24,'IR data'!$C$4:$C$61,1)))-((A24-(INDEX('IR data'!$C$4:$C$61,MATCH(A24,'IR data'!$C$4:$C$61,1))))/((INDEX('IR data'!$C$4:$C$61,MATCH(A24,'IR data'!$C$4:$C$61,1)+1)-INDEX('IR data'!$C$4:$C$61,MATCH(A24,'IR data'!$C$4:$C$61,1))))) * (INDEX('IR data'!$D$4:$D$61,MATCH(A24,'IR data'!$C$4:$C$61,1))-(INDEX('IR data'!$D$4:$D$61,MATCH(A24,'IR data'!$C$4:$C$61,1)+1)))))</f>
        <v>0.99658168868421049</v>
      </c>
      <c r="C24" s="30">
        <f t="shared" si="2"/>
        <v>2.584715992558213E-2</v>
      </c>
      <c r="D24" s="45">
        <f t="shared" si="3"/>
        <v>45372</v>
      </c>
      <c r="E24" s="14" cm="1">
        <f t="array" ref="E24">_xlfn.IFNA(INDEX('IR data'!$I$4:$I$61,MATCH(D24,'IR data'!$H$4:$H$61,0)),((INDEX('IR data'!$I$4:$I$61,MATCH(D24,'IR data'!$H$4:$H$61,1)))-((D24-(INDEX('IR data'!$H$4:$H$61,MATCH(D24,'IR data'!$H$4:$H$61,1))))/((INDEX('IR data'!$H$4:$H$61,MATCH(D24,'IR data'!$H$4:$H$61,1)+1)-INDEX('IR data'!$H$4:$H$61,MATCH(D24,'IR data'!$H$4:$H$61,1))))) * (INDEX('IR data'!$I$4:$I$61,MATCH(D24,'IR data'!$H$4:$H$61,1))-(INDEX('IR data'!$I$4:$I$61,MATCH(D24,'IR data'!$H$4:$H$61,1)+1)))))</f>
        <v>0.99692086111764711</v>
      </c>
      <c r="F24" s="30">
        <f t="shared" si="4"/>
        <v>2.3278588583779226E-2</v>
      </c>
      <c r="G24" s="45">
        <f t="shared" si="0"/>
        <v>45406</v>
      </c>
      <c r="H24" s="14" cm="1">
        <f t="array" ref="H24">_xlfn.IFNA(INDEX('IR data'!$N$4:$N$61,MATCH(G24,'IR data'!$M$4:$M$61,0)),((INDEX('IR data'!$N$4:$N$61,MATCH(G24,'IR data'!$M$4:$M$61,1)))-((G24-(INDEX('IR data'!$M$4:$M$61,MATCH(G24,'IR data'!$M$4:$M$61,1))))/((INDEX('IR data'!$M$4:$M$61,MATCH(G24,'IR data'!$M$4:$M$61,1)+1)-INDEX('IR data'!$M$4:$M$61,MATCH(G24,'IR data'!$M$4:$M$61,1))))) * (INDEX('IR data'!$N$4:$N$61,MATCH(G24,'IR data'!$M$4:$M$61,1))-(INDEX('IR data'!$N$4:$N$61,MATCH(G24,'IR data'!$M$4:$M$61,1)+1)))))</f>
        <v>0.99692237305882359</v>
      </c>
      <c r="I24" s="44">
        <f t="shared" si="5"/>
        <v>2.3267140527319929E-2</v>
      </c>
    </row>
    <row r="25" spans="1:9" x14ac:dyDescent="0.25">
      <c r="A25" s="45">
        <f t="shared" si="1"/>
        <v>45313</v>
      </c>
      <c r="B25" s="14" cm="1">
        <f t="array" ref="B25">_xlfn.IFNA(INDEX('IR data'!$D$4:$D$61,MATCH(A25,'IR data'!$C$4:$C$61,0)),((INDEX('IR data'!$D$4:$D$61,MATCH(A25,'IR data'!$C$4:$C$61,1)))-((A25-(INDEX('IR data'!$C$4:$C$61,MATCH(A25,'IR data'!$C$4:$C$61,1))))/((INDEX('IR data'!$C$4:$C$61,MATCH(A25,'IR data'!$C$4:$C$61,1)+1)-INDEX('IR data'!$C$4:$C$61,MATCH(A25,'IR data'!$C$4:$C$61,1))))) * (INDEX('IR data'!$D$4:$D$61,MATCH(A25,'IR data'!$C$4:$C$61,1))-(INDEX('IR data'!$D$4:$D$61,MATCH(A25,'IR data'!$C$4:$C$61,1)+1)))))</f>
        <v>0.99643320110526312</v>
      </c>
      <c r="C25" s="30">
        <f t="shared" si="2"/>
        <v>2.574594234714132E-2</v>
      </c>
      <c r="D25" s="45">
        <f t="shared" si="3"/>
        <v>45373</v>
      </c>
      <c r="E25" s="14" cm="1">
        <f t="array" ref="E25">_xlfn.IFNA(INDEX('IR data'!$I$4:$I$61,MATCH(D25,'IR data'!$H$4:$H$61,0)),((INDEX('IR data'!$I$4:$I$61,MATCH(D25,'IR data'!$H$4:$H$61,1)))-((D25-(INDEX('IR data'!$H$4:$H$61,MATCH(D25,'IR data'!$H$4:$H$61,1))))/((INDEX('IR data'!$H$4:$H$61,MATCH(D25,'IR data'!$H$4:$H$61,1)+1)-INDEX('IR data'!$H$4:$H$61,MATCH(D25,'IR data'!$H$4:$H$61,1))))) * (INDEX('IR data'!$I$4:$I$61,MATCH(D25,'IR data'!$H$4:$H$61,1))-(INDEX('IR data'!$I$4:$I$61,MATCH(D25,'IR data'!$H$4:$H$61,1)+1)))))</f>
        <v>0.99677367182352949</v>
      </c>
      <c r="F25" s="30">
        <f t="shared" si="4"/>
        <v>2.32843740738648E-2</v>
      </c>
      <c r="G25" s="45">
        <f t="shared" si="0"/>
        <v>45407</v>
      </c>
      <c r="H25" s="14" cm="1">
        <f t="array" ref="H25">_xlfn.IFNA(INDEX('IR data'!$N$4:$N$61,MATCH(G25,'IR data'!$M$4:$M$61,0)),((INDEX('IR data'!$N$4:$N$61,MATCH(G25,'IR data'!$M$4:$M$61,1)))-((G25-(INDEX('IR data'!$M$4:$M$61,MATCH(G25,'IR data'!$M$4:$M$61,1))))/((INDEX('IR data'!$M$4:$M$61,MATCH(G25,'IR data'!$M$4:$M$61,1)+1)-INDEX('IR data'!$M$4:$M$61,MATCH(G25,'IR data'!$M$4:$M$61,1))))) * (INDEX('IR data'!$N$4:$N$61,MATCH(G25,'IR data'!$M$4:$M$61,1))-(INDEX('IR data'!$N$4:$N$61,MATCH(G25,'IR data'!$M$4:$M$61,1)+1)))))</f>
        <v>0.99677537247058823</v>
      </c>
      <c r="I25" s="44">
        <f t="shared" si="5"/>
        <v>2.327208068106474E-2</v>
      </c>
    </row>
    <row r="26" spans="1:9" x14ac:dyDescent="0.25">
      <c r="A26" s="45">
        <f t="shared" si="1"/>
        <v>45314</v>
      </c>
      <c r="B26" s="14" cm="1">
        <f t="array" ref="B26">_xlfn.IFNA(INDEX('IR data'!$D$4:$D$61,MATCH(A26,'IR data'!$C$4:$C$61,0)),((INDEX('IR data'!$D$4:$D$61,MATCH(A26,'IR data'!$C$4:$C$61,1)))-((A26-(INDEX('IR data'!$C$4:$C$61,MATCH(A26,'IR data'!$C$4:$C$61,1))))/((INDEX('IR data'!$C$4:$C$61,MATCH(A26,'IR data'!$C$4:$C$61,1)+1)-INDEX('IR data'!$C$4:$C$61,MATCH(A26,'IR data'!$C$4:$C$61,1))))) * (INDEX('IR data'!$D$4:$D$61,MATCH(A26,'IR data'!$C$4:$C$61,1))-(INDEX('IR data'!$D$4:$D$61,MATCH(A26,'IR data'!$C$4:$C$61,1)+1)))))</f>
        <v>0.99628471352631576</v>
      </c>
      <c r="C26" s="30">
        <f t="shared" si="2"/>
        <v>2.5653679347219547E-2</v>
      </c>
      <c r="D26" s="45">
        <f t="shared" si="3"/>
        <v>45374</v>
      </c>
      <c r="E26" s="14" cm="1">
        <f t="array" ref="E26">_xlfn.IFNA(INDEX('IR data'!$I$4:$I$61,MATCH(D26,'IR data'!$H$4:$H$61,0)),((INDEX('IR data'!$I$4:$I$61,MATCH(D26,'IR data'!$H$4:$H$61,1)))-((D26-(INDEX('IR data'!$H$4:$H$61,MATCH(D26,'IR data'!$H$4:$H$61,1))))/((INDEX('IR data'!$H$4:$H$61,MATCH(D26,'IR data'!$H$4:$H$61,1)+1)-INDEX('IR data'!$H$4:$H$61,MATCH(D26,'IR data'!$H$4:$H$61,1))))) * (INDEX('IR data'!$I$4:$I$61,MATCH(D26,'IR data'!$H$4:$H$61,1))-(INDEX('IR data'!$I$4:$I$61,MATCH(D26,'IR data'!$H$4:$H$61,1)+1)))))</f>
        <v>0.99662648252941177</v>
      </c>
      <c r="F26" s="30">
        <f t="shared" si="4"/>
        <v>2.3289806760447378E-2</v>
      </c>
      <c r="G26" s="45">
        <f t="shared" si="0"/>
        <v>45408</v>
      </c>
      <c r="H26" s="14" cm="1">
        <f t="array" ref="H26">_xlfn.IFNA(INDEX('IR data'!$N$4:$N$61,MATCH(G26,'IR data'!$M$4:$M$61,0)),((INDEX('IR data'!$N$4:$N$61,MATCH(G26,'IR data'!$M$4:$M$61,1)))-((G26-(INDEX('IR data'!$M$4:$M$61,MATCH(G26,'IR data'!$M$4:$M$61,1))))/((INDEX('IR data'!$M$4:$M$61,MATCH(G26,'IR data'!$M$4:$M$61,1)+1)-INDEX('IR data'!$M$4:$M$61,MATCH(G26,'IR data'!$M$4:$M$61,1))))) * (INDEX('IR data'!$N$4:$N$61,MATCH(G26,'IR data'!$M$4:$M$61,1))-(INDEX('IR data'!$N$4:$N$61,MATCH(G26,'IR data'!$M$4:$M$61,1)+1)))))</f>
        <v>0.99662837188235298</v>
      </c>
      <c r="I26" s="44">
        <f t="shared" si="5"/>
        <v>2.327674115320506E-2</v>
      </c>
    </row>
    <row r="27" spans="1:9" x14ac:dyDescent="0.25">
      <c r="A27" s="45">
        <f t="shared" si="1"/>
        <v>45315</v>
      </c>
      <c r="B27" s="14" cm="1">
        <f t="array" ref="B27">_xlfn.IFNA(INDEX('IR data'!$D$4:$D$61,MATCH(A27,'IR data'!$C$4:$C$61,0)),((INDEX('IR data'!$D$4:$D$61,MATCH(A27,'IR data'!$C$4:$C$61,1)))-((A27-(INDEX('IR data'!$C$4:$C$61,MATCH(A27,'IR data'!$C$4:$C$61,1))))/((INDEX('IR data'!$C$4:$C$61,MATCH(A27,'IR data'!$C$4:$C$61,1)+1)-INDEX('IR data'!$C$4:$C$61,MATCH(A27,'IR data'!$C$4:$C$61,1))))) * (INDEX('IR data'!$D$4:$D$61,MATCH(A27,'IR data'!$C$4:$C$61,1))-(INDEX('IR data'!$D$4:$D$61,MATCH(A27,'IR data'!$C$4:$C$61,1)+1)))))</f>
        <v>0.99613622594736839</v>
      </c>
      <c r="C27" s="30">
        <f t="shared" si="2"/>
        <v>2.556925164722583E-2</v>
      </c>
      <c r="D27" s="45">
        <f t="shared" si="3"/>
        <v>45375</v>
      </c>
      <c r="E27" s="14" cm="1">
        <f t="array" ref="E27">_xlfn.IFNA(INDEX('IR data'!$I$4:$I$61,MATCH(D27,'IR data'!$H$4:$H$61,0)),((INDEX('IR data'!$I$4:$I$61,MATCH(D27,'IR data'!$H$4:$H$61,1)))-((D27-(INDEX('IR data'!$H$4:$H$61,MATCH(D27,'IR data'!$H$4:$H$61,1))))/((INDEX('IR data'!$H$4:$H$61,MATCH(D27,'IR data'!$H$4:$H$61,1)+1)-INDEX('IR data'!$H$4:$H$61,MATCH(D27,'IR data'!$H$4:$H$61,1))))) * (INDEX('IR data'!$I$4:$I$61,MATCH(D27,'IR data'!$H$4:$H$61,1))-(INDEX('IR data'!$I$4:$I$61,MATCH(D27,'IR data'!$H$4:$H$61,1)+1)))))</f>
        <v>0.99647929323529416</v>
      </c>
      <c r="F27" s="30">
        <f t="shared" si="4"/>
        <v>2.3294930786506657E-2</v>
      </c>
      <c r="G27" s="45">
        <f t="shared" si="0"/>
        <v>45409</v>
      </c>
      <c r="H27" s="14" cm="1">
        <f t="array" ref="H27">_xlfn.IFNA(INDEX('IR data'!$N$4:$N$61,MATCH(G27,'IR data'!$M$4:$M$61,0)),((INDEX('IR data'!$N$4:$N$61,MATCH(G27,'IR data'!$M$4:$M$61,1)))-((G27-(INDEX('IR data'!$M$4:$M$61,MATCH(G27,'IR data'!$M$4:$M$61,1))))/((INDEX('IR data'!$M$4:$M$61,MATCH(G27,'IR data'!$M$4:$M$61,1)+1)-INDEX('IR data'!$M$4:$M$61,MATCH(G27,'IR data'!$M$4:$M$61,1))))) * (INDEX('IR data'!$N$4:$N$61,MATCH(G27,'IR data'!$M$4:$M$61,1))-(INDEX('IR data'!$N$4:$N$61,MATCH(G27,'IR data'!$M$4:$M$61,1)+1)))))</f>
        <v>0.99648137129411762</v>
      </c>
      <c r="I27" s="44">
        <f t="shared" si="5"/>
        <v>2.328115694632258E-2</v>
      </c>
    </row>
    <row r="28" spans="1:9" x14ac:dyDescent="0.25">
      <c r="A28" s="45">
        <f t="shared" si="1"/>
        <v>45316</v>
      </c>
      <c r="B28" s="14" cm="1">
        <f t="array" ref="B28">_xlfn.IFNA(INDEX('IR data'!$D$4:$D$61,MATCH(A28,'IR data'!$C$4:$C$61,0)),((INDEX('IR data'!$D$4:$D$61,MATCH(A28,'IR data'!$C$4:$C$61,1)))-((A28-(INDEX('IR data'!$C$4:$C$61,MATCH(A28,'IR data'!$C$4:$C$61,1))))/((INDEX('IR data'!$C$4:$C$61,MATCH(A28,'IR data'!$C$4:$C$61,1)+1)-INDEX('IR data'!$C$4:$C$61,MATCH(A28,'IR data'!$C$4:$C$61,1))))) * (INDEX('IR data'!$D$4:$D$61,MATCH(A28,'IR data'!$C$4:$C$61,1))-(INDEX('IR data'!$D$4:$D$61,MATCH(A28,'IR data'!$C$4:$C$61,1)+1)))))</f>
        <v>0.99598773836842103</v>
      </c>
      <c r="C28" s="30">
        <f t="shared" si="2"/>
        <v>2.5491719053162509E-2</v>
      </c>
      <c r="D28" s="45">
        <f t="shared" si="3"/>
        <v>45376</v>
      </c>
      <c r="E28" s="14" cm="1">
        <f t="array" ref="E28">_xlfn.IFNA(INDEX('IR data'!$I$4:$I$61,MATCH(D28,'IR data'!$H$4:$H$61,0)),((INDEX('IR data'!$I$4:$I$61,MATCH(D28,'IR data'!$H$4:$H$61,1)))-((D28-(INDEX('IR data'!$H$4:$H$61,MATCH(D28,'IR data'!$H$4:$H$61,1))))/((INDEX('IR data'!$H$4:$H$61,MATCH(D28,'IR data'!$H$4:$H$61,1)+1)-INDEX('IR data'!$H$4:$H$61,MATCH(D28,'IR data'!$H$4:$H$61,1))))) * (INDEX('IR data'!$I$4:$I$61,MATCH(D28,'IR data'!$H$4:$H$61,1))-(INDEX('IR data'!$I$4:$I$61,MATCH(D28,'IR data'!$H$4:$H$61,1)+1)))))</f>
        <v>0.99633210394117655</v>
      </c>
      <c r="F28" s="30">
        <f t="shared" si="4"/>
        <v>2.3299783232165805E-2</v>
      </c>
      <c r="G28" s="45">
        <f t="shared" si="0"/>
        <v>45410</v>
      </c>
      <c r="H28" s="14" cm="1">
        <f t="array" ref="H28">_xlfn.IFNA(INDEX('IR data'!$N$4:$N$61,MATCH(G28,'IR data'!$M$4:$M$61,0)),((INDEX('IR data'!$N$4:$N$61,MATCH(G28,'IR data'!$M$4:$M$61,1)))-((G28-(INDEX('IR data'!$M$4:$M$61,MATCH(G28,'IR data'!$M$4:$M$61,1))))/((INDEX('IR data'!$M$4:$M$61,MATCH(G28,'IR data'!$M$4:$M$61,1)+1)-INDEX('IR data'!$M$4:$M$61,MATCH(G28,'IR data'!$M$4:$M$61,1))))) * (INDEX('IR data'!$N$4:$N$61,MATCH(G28,'IR data'!$M$4:$M$61,1))-(INDEX('IR data'!$N$4:$N$61,MATCH(G28,'IR data'!$M$4:$M$61,1)+1)))))</f>
        <v>0.99633437070588238</v>
      </c>
      <c r="I28" s="44">
        <f t="shared" si="5"/>
        <v>2.3285357462601075E-2</v>
      </c>
    </row>
    <row r="29" spans="1:9" x14ac:dyDescent="0.25">
      <c r="A29" s="45">
        <f t="shared" si="1"/>
        <v>45317</v>
      </c>
      <c r="B29" s="14" cm="1">
        <f t="array" ref="B29">_xlfn.IFNA(INDEX('IR data'!$D$4:$D$61,MATCH(A29,'IR data'!$C$4:$C$61,0)),((INDEX('IR data'!$D$4:$D$61,MATCH(A29,'IR data'!$C$4:$C$61,1)))-((A29-(INDEX('IR data'!$C$4:$C$61,MATCH(A29,'IR data'!$C$4:$C$61,1))))/((INDEX('IR data'!$C$4:$C$61,MATCH(A29,'IR data'!$C$4:$C$61,1)+1)-INDEX('IR data'!$C$4:$C$61,MATCH(A29,'IR data'!$C$4:$C$61,1))))) * (INDEX('IR data'!$D$4:$D$61,MATCH(A29,'IR data'!$C$4:$C$61,1))-(INDEX('IR data'!$D$4:$D$61,MATCH(A29,'IR data'!$C$4:$C$61,1)+1)))))</f>
        <v>0.99583925078947366</v>
      </c>
      <c r="C29" s="30">
        <f t="shared" si="2"/>
        <v>2.5420286016280391E-2</v>
      </c>
      <c r="D29" s="45">
        <f t="shared" si="3"/>
        <v>45377</v>
      </c>
      <c r="E29" s="14" cm="1">
        <f t="array" ref="E29">_xlfn.IFNA(INDEX('IR data'!$I$4:$I$61,MATCH(D29,'IR data'!$H$4:$H$61,0)),((INDEX('IR data'!$I$4:$I$61,MATCH(D29,'IR data'!$H$4:$H$61,1)))-((D29-(INDEX('IR data'!$H$4:$H$61,MATCH(D29,'IR data'!$H$4:$H$61,1))))/((INDEX('IR data'!$H$4:$H$61,MATCH(D29,'IR data'!$H$4:$H$61,1)+1)-INDEX('IR data'!$H$4:$H$61,MATCH(D29,'IR data'!$H$4:$H$61,1))))) * (INDEX('IR data'!$I$4:$I$61,MATCH(D29,'IR data'!$H$4:$H$61,1))-(INDEX('IR data'!$I$4:$I$61,MATCH(D29,'IR data'!$H$4:$H$61,1)+1)))))</f>
        <v>0.99618491464705883</v>
      </c>
      <c r="F29" s="30">
        <f t="shared" si="4"/>
        <v>2.3304395472931064E-2</v>
      </c>
      <c r="G29" s="45">
        <f t="shared" si="0"/>
        <v>45411</v>
      </c>
      <c r="H29" s="14" cm="1">
        <f t="array" ref="H29">_xlfn.IFNA(INDEX('IR data'!$N$4:$N$61,MATCH(G29,'IR data'!$M$4:$M$61,0)),((INDEX('IR data'!$N$4:$N$61,MATCH(G29,'IR data'!$M$4:$M$61,1)))-((G29-(INDEX('IR data'!$M$4:$M$61,MATCH(G29,'IR data'!$M$4:$M$61,1))))/((INDEX('IR data'!$M$4:$M$61,MATCH(G29,'IR data'!$M$4:$M$61,1)+1)-INDEX('IR data'!$M$4:$M$61,MATCH(G29,'IR data'!$M$4:$M$61,1))))) * (INDEX('IR data'!$N$4:$N$61,MATCH(G29,'IR data'!$M$4:$M$61,1))-(INDEX('IR data'!$N$4:$N$61,MATCH(G29,'IR data'!$M$4:$M$61,1)+1)))))</f>
        <v>0.99618737011764702</v>
      </c>
      <c r="I29" s="44">
        <f t="shared" si="5"/>
        <v>2.3289367580831506E-2</v>
      </c>
    </row>
    <row r="30" spans="1:9" x14ac:dyDescent="0.25">
      <c r="A30" s="45">
        <f t="shared" si="1"/>
        <v>45318</v>
      </c>
      <c r="B30" s="14" cm="1">
        <f t="array" ref="B30">_xlfn.IFNA(INDEX('IR data'!$D$4:$D$61,MATCH(A30,'IR data'!$C$4:$C$61,0)),((INDEX('IR data'!$D$4:$D$61,MATCH(A30,'IR data'!$C$4:$C$61,1)))-((A30-(INDEX('IR data'!$C$4:$C$61,MATCH(A30,'IR data'!$C$4:$C$61,1))))/((INDEX('IR data'!$C$4:$C$61,MATCH(A30,'IR data'!$C$4:$C$61,1)+1)-INDEX('IR data'!$C$4:$C$61,MATCH(A30,'IR data'!$C$4:$C$61,1))))) * (INDEX('IR data'!$D$4:$D$61,MATCH(A30,'IR data'!$C$4:$C$61,1))-(INDEX('IR data'!$D$4:$D$61,MATCH(A30,'IR data'!$C$4:$C$61,1)+1)))))</f>
        <v>0.9956907632105263</v>
      </c>
      <c r="C30" s="30">
        <f t="shared" si="2"/>
        <v>2.5354274846921654E-2</v>
      </c>
      <c r="D30" s="45">
        <f t="shared" si="3"/>
        <v>45378</v>
      </c>
      <c r="E30" s="14" cm="1">
        <f t="array" ref="E30">_xlfn.IFNA(INDEX('IR data'!$I$4:$I$61,MATCH(D30,'IR data'!$H$4:$H$61,0)),((INDEX('IR data'!$I$4:$I$61,MATCH(D30,'IR data'!$H$4:$H$61,1)))-((D30-(INDEX('IR data'!$H$4:$H$61,MATCH(D30,'IR data'!$H$4:$H$61,1))))/((INDEX('IR data'!$H$4:$H$61,MATCH(D30,'IR data'!$H$4:$H$61,1)+1)-INDEX('IR data'!$H$4:$H$61,MATCH(D30,'IR data'!$H$4:$H$61,1))))) * (INDEX('IR data'!$I$4:$I$61,MATCH(D30,'IR data'!$H$4:$H$61,1))-(INDEX('IR data'!$I$4:$I$61,MATCH(D30,'IR data'!$H$4:$H$61,1)+1)))))</f>
        <v>0.99603772535294122</v>
      </c>
      <c r="F30" s="30">
        <f t="shared" si="4"/>
        <v>2.3308794236100352E-2</v>
      </c>
      <c r="G30" s="45">
        <f t="shared" si="0"/>
        <v>45412</v>
      </c>
      <c r="H30" s="14" cm="1">
        <f t="array" ref="H30">_xlfn.IFNA(INDEX('IR data'!$N$4:$N$61,MATCH(G30,'IR data'!$M$4:$M$61,0)),((INDEX('IR data'!$N$4:$N$61,MATCH(G30,'IR data'!$M$4:$M$61,1)))-((G30-(INDEX('IR data'!$M$4:$M$61,MATCH(G30,'IR data'!$M$4:$M$61,1))))/((INDEX('IR data'!$M$4:$M$61,MATCH(G30,'IR data'!$M$4:$M$61,1)+1)-INDEX('IR data'!$M$4:$M$61,MATCH(G30,'IR data'!$M$4:$M$61,1))))) * (INDEX('IR data'!$N$4:$N$61,MATCH(G30,'IR data'!$M$4:$M$61,1))-(INDEX('IR data'!$N$4:$N$61,MATCH(G30,'IR data'!$M$4:$M$61,1)+1)))))</f>
        <v>0.99604036952941177</v>
      </c>
      <c r="I30" s="44">
        <f t="shared" si="5"/>
        <v>2.3293208494072071E-2</v>
      </c>
    </row>
    <row r="31" spans="1:9" x14ac:dyDescent="0.25">
      <c r="A31" s="45">
        <f t="shared" si="1"/>
        <v>45319</v>
      </c>
      <c r="B31" s="14" cm="1">
        <f t="array" ref="B31">_xlfn.IFNA(INDEX('IR data'!$D$4:$D$61,MATCH(A31,'IR data'!$C$4:$C$61,0)),((INDEX('IR data'!$D$4:$D$61,MATCH(A31,'IR data'!$C$4:$C$61,1)))-((A31-(INDEX('IR data'!$C$4:$C$61,MATCH(A31,'IR data'!$C$4:$C$61,1))))/((INDEX('IR data'!$C$4:$C$61,MATCH(A31,'IR data'!$C$4:$C$61,1)+1)-INDEX('IR data'!$C$4:$C$61,MATCH(A31,'IR data'!$C$4:$C$61,1))))) * (INDEX('IR data'!$D$4:$D$61,MATCH(A31,'IR data'!$C$4:$C$61,1))-(INDEX('IR data'!$D$4:$D$61,MATCH(A31,'IR data'!$C$4:$C$61,1)+1)))))</f>
        <v>0.99554227563157893</v>
      </c>
      <c r="C31" s="30">
        <f t="shared" si="2"/>
        <v>2.5293104668253519E-2</v>
      </c>
      <c r="D31" s="45">
        <f t="shared" si="3"/>
        <v>45379</v>
      </c>
      <c r="E31" s="14" cm="1">
        <f t="array" ref="E31">_xlfn.IFNA(INDEX('IR data'!$I$4:$I$61,MATCH(D31,'IR data'!$H$4:$H$61,0)),((INDEX('IR data'!$I$4:$I$61,MATCH(D31,'IR data'!$H$4:$H$61,1)))-((D31-(INDEX('IR data'!$H$4:$H$61,MATCH(D31,'IR data'!$H$4:$H$61,1))))/((INDEX('IR data'!$H$4:$H$61,MATCH(D31,'IR data'!$H$4:$H$61,1)+1)-INDEX('IR data'!$H$4:$H$61,MATCH(D31,'IR data'!$H$4:$H$61,1))))) * (INDEX('IR data'!$I$4:$I$61,MATCH(D31,'IR data'!$H$4:$H$61,1))-(INDEX('IR data'!$I$4:$I$61,MATCH(D31,'IR data'!$H$4:$H$61,1)+1)))))</f>
        <v>0.99589053605882349</v>
      </c>
      <c r="F31" s="30">
        <f t="shared" si="4"/>
        <v>2.3313002430804874E-2</v>
      </c>
      <c r="G31" s="45">
        <f t="shared" si="0"/>
        <v>45413</v>
      </c>
      <c r="H31" s="14" cm="1">
        <f t="array" ref="H31">_xlfn.IFNA(INDEX('IR data'!$N$4:$N$61,MATCH(G31,'IR data'!$M$4:$M$61,0)),((INDEX('IR data'!$N$4:$N$61,MATCH(G31,'IR data'!$M$4:$M$61,1)))-((G31-(INDEX('IR data'!$M$4:$M$61,MATCH(G31,'IR data'!$M$4:$M$61,1))))/((INDEX('IR data'!$M$4:$M$61,MATCH(G31,'IR data'!$M$4:$M$61,1)+1)-INDEX('IR data'!$M$4:$M$61,MATCH(G31,'IR data'!$M$4:$M$61,1))))) * (INDEX('IR data'!$N$4:$N$61,MATCH(G31,'IR data'!$M$4:$M$61,1))-(INDEX('IR data'!$N$4:$N$61,MATCH(G31,'IR data'!$M$4:$M$61,1)+1)))))</f>
        <v>0.99589336894117642</v>
      </c>
      <c r="I31" s="44">
        <f t="shared" si="5"/>
        <v>2.3296898367819875E-2</v>
      </c>
    </row>
    <row r="32" spans="1:9" x14ac:dyDescent="0.25">
      <c r="A32" s="45">
        <f t="shared" si="1"/>
        <v>45320</v>
      </c>
      <c r="B32" s="14" cm="1">
        <f t="array" ref="B32">_xlfn.IFNA(INDEX('IR data'!$D$4:$D$61,MATCH(A32,'IR data'!$C$4:$C$61,0)),((INDEX('IR data'!$D$4:$D$61,MATCH(A32,'IR data'!$C$4:$C$61,1)))-((A32-(INDEX('IR data'!$C$4:$C$61,MATCH(A32,'IR data'!$C$4:$C$61,1))))/((INDEX('IR data'!$C$4:$C$61,MATCH(A32,'IR data'!$C$4:$C$61,1)+1)-INDEX('IR data'!$C$4:$C$61,MATCH(A32,'IR data'!$C$4:$C$61,1))))) * (INDEX('IR data'!$D$4:$D$61,MATCH(A32,'IR data'!$C$4:$C$61,1))-(INDEX('IR data'!$D$4:$D$61,MATCH(A32,'IR data'!$C$4:$C$61,1)+1)))))</f>
        <v>0.99539378805263157</v>
      </c>
      <c r="C32" s="30">
        <f t="shared" si="2"/>
        <v>2.5236274724401882E-2</v>
      </c>
      <c r="D32" s="45">
        <f t="shared" si="3"/>
        <v>45380</v>
      </c>
      <c r="E32" s="14" cm="1">
        <f t="array" ref="E32">_xlfn.IFNA(INDEX('IR data'!$I$4:$I$61,MATCH(D32,'IR data'!$H$4:$H$61,0)),((INDEX('IR data'!$I$4:$I$61,MATCH(D32,'IR data'!$H$4:$H$61,1)))-((D32-(INDEX('IR data'!$H$4:$H$61,MATCH(D32,'IR data'!$H$4:$H$61,1))))/((INDEX('IR data'!$H$4:$H$61,MATCH(D32,'IR data'!$H$4:$H$61,1)+1)-INDEX('IR data'!$H$4:$H$61,MATCH(D32,'IR data'!$H$4:$H$61,1))))) * (INDEX('IR data'!$I$4:$I$61,MATCH(D32,'IR data'!$H$4:$H$61,1))-(INDEX('IR data'!$I$4:$I$61,MATCH(D32,'IR data'!$H$4:$H$61,1)+1)))))</f>
        <v>0.99574334676470588</v>
      </c>
      <c r="F32" s="30">
        <f t="shared" si="4"/>
        <v>2.3317039806308889E-2</v>
      </c>
      <c r="G32" s="45">
        <f t="shared" si="0"/>
        <v>45414</v>
      </c>
      <c r="H32" s="14" cm="1">
        <f t="array" ref="H32">_xlfn.IFNA(INDEX('IR data'!$N$4:$N$61,MATCH(G32,'IR data'!$M$4:$M$61,0)),((INDEX('IR data'!$N$4:$N$61,MATCH(G32,'IR data'!$M$4:$M$61,1)))-((G32-(INDEX('IR data'!$M$4:$M$61,MATCH(G32,'IR data'!$M$4:$M$61,1))))/((INDEX('IR data'!$M$4:$M$61,MATCH(G32,'IR data'!$M$4:$M$61,1)+1)-INDEX('IR data'!$M$4:$M$61,MATCH(G32,'IR data'!$M$4:$M$61,1))))) * (INDEX('IR data'!$N$4:$N$61,MATCH(G32,'IR data'!$M$4:$M$61,1))-(INDEX('IR data'!$N$4:$N$61,MATCH(G32,'IR data'!$M$4:$M$61,1)+1)))))</f>
        <v>0.99574636835294117</v>
      </c>
      <c r="I32" s="44">
        <f t="shared" si="5"/>
        <v>2.3300452861999329E-2</v>
      </c>
    </row>
    <row r="33" spans="1:9" x14ac:dyDescent="0.25">
      <c r="A33" s="45">
        <f t="shared" si="1"/>
        <v>45321</v>
      </c>
      <c r="B33" s="14" cm="1">
        <f t="array" ref="B33">_xlfn.IFNA(INDEX('IR data'!$D$4:$D$61,MATCH(A33,'IR data'!$C$4:$C$61,0)),((INDEX('IR data'!$D$4:$D$61,MATCH(A33,'IR data'!$C$4:$C$61,1)))-((A33-(INDEX('IR data'!$C$4:$C$61,MATCH(A33,'IR data'!$C$4:$C$61,1))))/((INDEX('IR data'!$C$4:$C$61,MATCH(A33,'IR data'!$C$4:$C$61,1)+1)-INDEX('IR data'!$C$4:$C$61,MATCH(A33,'IR data'!$C$4:$C$61,1))))) * (INDEX('IR data'!$D$4:$D$61,MATCH(A33,'IR data'!$C$4:$C$61,1))-(INDEX('IR data'!$D$4:$D$61,MATCH(A33,'IR data'!$C$4:$C$61,1)+1)))))</f>
        <v>0.9952453004736842</v>
      </c>
      <c r="C33" s="30">
        <f t="shared" si="2"/>
        <v>2.5183351026958217E-2</v>
      </c>
      <c r="D33" s="45">
        <f t="shared" si="3"/>
        <v>45381</v>
      </c>
      <c r="E33" s="14" cm="1">
        <f t="array" ref="E33">_xlfn.IFNA(INDEX('IR data'!$I$4:$I$61,MATCH(D33,'IR data'!$H$4:$H$61,0)),((INDEX('IR data'!$I$4:$I$61,MATCH(D33,'IR data'!$H$4:$H$61,1)))-((D33-(INDEX('IR data'!$H$4:$H$61,MATCH(D33,'IR data'!$H$4:$H$61,1))))/((INDEX('IR data'!$H$4:$H$61,MATCH(D33,'IR data'!$H$4:$H$61,1)+1)-INDEX('IR data'!$H$4:$H$61,MATCH(D33,'IR data'!$H$4:$H$61,1))))) * (INDEX('IR data'!$I$4:$I$61,MATCH(D33,'IR data'!$H$4:$H$61,1))-(INDEX('IR data'!$I$4:$I$61,MATCH(D33,'IR data'!$H$4:$H$61,1)+1)))))</f>
        <v>0.99559615747058827</v>
      </c>
      <c r="F33" s="30">
        <f t="shared" si="4"/>
        <v>2.3320923478658297E-2</v>
      </c>
      <c r="G33" s="45">
        <f t="shared" si="0"/>
        <v>45415</v>
      </c>
      <c r="H33" s="14" cm="1">
        <f t="array" ref="H33">_xlfn.IFNA(INDEX('IR data'!$N$4:$N$61,MATCH(G33,'IR data'!$M$4:$M$61,0)),((INDEX('IR data'!$N$4:$N$61,MATCH(G33,'IR data'!$M$4:$M$61,1)))-((G33-(INDEX('IR data'!$M$4:$M$61,MATCH(G33,'IR data'!$M$4:$M$61,1))))/((INDEX('IR data'!$M$4:$M$61,MATCH(G33,'IR data'!$M$4:$M$61,1)+1)-INDEX('IR data'!$M$4:$M$61,MATCH(G33,'IR data'!$M$4:$M$61,1))))) * (INDEX('IR data'!$N$4:$N$61,MATCH(G33,'IR data'!$M$4:$M$61,1))-(INDEX('IR data'!$N$4:$N$61,MATCH(G33,'IR data'!$M$4:$M$61,1)+1)))))</f>
        <v>0.99559936776470581</v>
      </c>
      <c r="I33" s="44">
        <f t="shared" si="5"/>
        <v>2.3303885548562334E-2</v>
      </c>
    </row>
    <row r="34" spans="1:9" x14ac:dyDescent="0.25">
      <c r="A34" s="45">
        <f t="shared" si="1"/>
        <v>45322</v>
      </c>
      <c r="B34" s="14" cm="1">
        <f t="array" ref="B34">_xlfn.IFNA(INDEX('IR data'!$D$4:$D$61,MATCH(A34,'IR data'!$C$4:$C$61,0)),((INDEX('IR data'!$D$4:$D$61,MATCH(A34,'IR data'!$C$4:$C$61,1)))-((A34-(INDEX('IR data'!$C$4:$C$61,MATCH(A34,'IR data'!$C$4:$C$61,1))))/((INDEX('IR data'!$C$4:$C$61,MATCH(A34,'IR data'!$C$4:$C$61,1)+1)-INDEX('IR data'!$C$4:$C$61,MATCH(A34,'IR data'!$C$4:$C$61,1))))) * (INDEX('IR data'!$D$4:$D$61,MATCH(A34,'IR data'!$C$4:$C$61,1))-(INDEX('IR data'!$D$4:$D$61,MATCH(A34,'IR data'!$C$4:$C$61,1)+1)))))</f>
        <v>0.99509681289473684</v>
      </c>
      <c r="C34" s="30">
        <f t="shared" si="2"/>
        <v>2.5133955586033499E-2</v>
      </c>
      <c r="D34" s="45">
        <f t="shared" si="3"/>
        <v>45382</v>
      </c>
      <c r="E34" s="14" cm="1">
        <f t="array" ref="E34">_xlfn.IFNA(INDEX('IR data'!$I$4:$I$61,MATCH(D34,'IR data'!$H$4:$H$61,0)),((INDEX('IR data'!$I$4:$I$61,MATCH(D34,'IR data'!$H$4:$H$61,1)))-((D34-(INDEX('IR data'!$H$4:$H$61,MATCH(D34,'IR data'!$H$4:$H$61,1))))/((INDEX('IR data'!$H$4:$H$61,MATCH(D34,'IR data'!$H$4:$H$61,1)+1)-INDEX('IR data'!$H$4:$H$61,MATCH(D34,'IR data'!$H$4:$H$61,1))))) * (INDEX('IR data'!$I$4:$I$61,MATCH(D34,'IR data'!$H$4:$H$61,1))-(INDEX('IR data'!$I$4:$I$61,MATCH(D34,'IR data'!$H$4:$H$61,1)+1)))))</f>
        <v>0.99544896817647055</v>
      </c>
      <c r="F34" s="30">
        <f t="shared" si="4"/>
        <v>2.3324668355391601E-2</v>
      </c>
      <c r="G34" s="45">
        <f t="shared" si="0"/>
        <v>45416</v>
      </c>
      <c r="H34" s="14" cm="1">
        <f t="array" ref="H34">_xlfn.IFNA(INDEX('IR data'!$N$4:$N$61,MATCH(G34,'IR data'!$M$4:$M$61,0)),((INDEX('IR data'!$N$4:$N$61,MATCH(G34,'IR data'!$M$4:$M$61,1)))-((G34-(INDEX('IR data'!$M$4:$M$61,MATCH(G34,'IR data'!$M$4:$M$61,1))))/((INDEX('IR data'!$M$4:$M$61,MATCH(G34,'IR data'!$M$4:$M$61,1)+1)-INDEX('IR data'!$M$4:$M$61,MATCH(G34,'IR data'!$M$4:$M$61,1))))) * (INDEX('IR data'!$N$4:$N$61,MATCH(G34,'IR data'!$M$4:$M$61,1))-(INDEX('IR data'!$N$4:$N$61,MATCH(G34,'IR data'!$M$4:$M$61,1)+1)))))</f>
        <v>0.99545236717647057</v>
      </c>
      <c r="I34" s="44">
        <f t="shared" si="5"/>
        <v>2.3307208248253469E-2</v>
      </c>
    </row>
    <row r="35" spans="1:9" x14ac:dyDescent="0.25">
      <c r="A35" s="45">
        <f t="shared" si="1"/>
        <v>45323</v>
      </c>
      <c r="B35" s="14" cm="1">
        <f t="array" ref="B35">_xlfn.IFNA(INDEX('IR data'!$D$4:$D$61,MATCH(A35,'IR data'!$C$4:$C$61,0)),((INDEX('IR data'!$D$4:$D$61,MATCH(A35,'IR data'!$C$4:$C$61,1)))-((A35-(INDEX('IR data'!$C$4:$C$61,MATCH(A35,'IR data'!$C$4:$C$61,1))))/((INDEX('IR data'!$C$4:$C$61,MATCH(A35,'IR data'!$C$4:$C$61,1)+1)-INDEX('IR data'!$C$4:$C$61,MATCH(A35,'IR data'!$C$4:$C$61,1))))) * (INDEX('IR data'!$D$4:$D$61,MATCH(A35,'IR data'!$C$4:$C$61,1))-(INDEX('IR data'!$D$4:$D$61,MATCH(A35,'IR data'!$C$4:$C$61,1)+1)))))</f>
        <v>0.99494832531578947</v>
      </c>
      <c r="C35" s="30">
        <f t="shared" si="2"/>
        <v>2.5087757660489568E-2</v>
      </c>
      <c r="D35" s="45">
        <f t="shared" si="3"/>
        <v>45383</v>
      </c>
      <c r="E35" s="14" cm="1">
        <f t="array" ref="E35">_xlfn.IFNA(INDEX('IR data'!$I$4:$I$61,MATCH(D35,'IR data'!$H$4:$H$61,0)),((INDEX('IR data'!$I$4:$I$61,MATCH(D35,'IR data'!$H$4:$H$61,1)))-((D35-(INDEX('IR data'!$H$4:$H$61,MATCH(D35,'IR data'!$H$4:$H$61,1))))/((INDEX('IR data'!$H$4:$H$61,MATCH(D35,'IR data'!$H$4:$H$61,1)+1)-INDEX('IR data'!$H$4:$H$61,MATCH(D35,'IR data'!$H$4:$H$61,1))))) * (INDEX('IR data'!$I$4:$I$61,MATCH(D35,'IR data'!$H$4:$H$61,1))-(INDEX('IR data'!$I$4:$I$61,MATCH(D35,'IR data'!$H$4:$H$61,1)+1)))))</f>
        <v>0.99530177888235294</v>
      </c>
      <c r="F35" s="30">
        <f t="shared" si="4"/>
        <v>2.3328287480617532E-2</v>
      </c>
      <c r="G35" s="45">
        <f t="shared" si="0"/>
        <v>45417</v>
      </c>
      <c r="H35" s="14" cm="1">
        <f t="array" ref="H35">_xlfn.IFNA(INDEX('IR data'!$N$4:$N$61,MATCH(G35,'IR data'!$M$4:$M$61,0)),((INDEX('IR data'!$N$4:$N$61,MATCH(G35,'IR data'!$M$4:$M$61,1)))-((G35-(INDEX('IR data'!$M$4:$M$61,MATCH(G35,'IR data'!$M$4:$M$61,1))))/((INDEX('IR data'!$M$4:$M$61,MATCH(G35,'IR data'!$M$4:$M$61,1)+1)-INDEX('IR data'!$M$4:$M$61,MATCH(G35,'IR data'!$M$4:$M$61,1))))) * (INDEX('IR data'!$N$4:$N$61,MATCH(G35,'IR data'!$M$4:$M$61,1))-(INDEX('IR data'!$N$4:$N$61,MATCH(G35,'IR data'!$M$4:$M$61,1)+1)))))</f>
        <v>0.99530536658823521</v>
      </c>
      <c r="I35" s="44">
        <f t="shared" si="5"/>
        <v>2.3310431304240594E-2</v>
      </c>
    </row>
    <row r="36" spans="1:9" x14ac:dyDescent="0.25">
      <c r="A36" s="45">
        <f t="shared" si="1"/>
        <v>45324</v>
      </c>
      <c r="B36" s="14" cm="1">
        <f t="array" ref="B36">_xlfn.IFNA(INDEX('IR data'!$D$4:$D$61,MATCH(A36,'IR data'!$C$4:$C$61,0)),((INDEX('IR data'!$D$4:$D$61,MATCH(A36,'IR data'!$C$4:$C$61,1)))-((A36-(INDEX('IR data'!$C$4:$C$61,MATCH(A36,'IR data'!$C$4:$C$61,1))))/((INDEX('IR data'!$C$4:$C$61,MATCH(A36,'IR data'!$C$4:$C$61,1)+1)-INDEX('IR data'!$C$4:$C$61,MATCH(A36,'IR data'!$C$4:$C$61,1))))) * (INDEX('IR data'!$D$4:$D$61,MATCH(A36,'IR data'!$C$4:$C$61,1))-(INDEX('IR data'!$D$4:$D$61,MATCH(A36,'IR data'!$C$4:$C$61,1)+1)))))</f>
        <v>0.99479983773684211</v>
      </c>
      <c r="C36" s="30">
        <f t="shared" si="2"/>
        <v>2.5044466599037488E-2</v>
      </c>
      <c r="D36" s="45">
        <f t="shared" si="3"/>
        <v>45384</v>
      </c>
      <c r="E36" s="14" cm="1">
        <f t="array" ref="E36">_xlfn.IFNA(INDEX('IR data'!$I$4:$I$61,MATCH(D36,'IR data'!$H$4:$H$61,0)),((INDEX('IR data'!$I$4:$I$61,MATCH(D36,'IR data'!$H$4:$H$61,1)))-((D36-(INDEX('IR data'!$H$4:$H$61,MATCH(D36,'IR data'!$H$4:$H$61,1))))/((INDEX('IR data'!$H$4:$H$61,MATCH(D36,'IR data'!$H$4:$H$61,1)+1)-INDEX('IR data'!$H$4:$H$61,MATCH(D36,'IR data'!$H$4:$H$61,1))))) * (INDEX('IR data'!$I$4:$I$61,MATCH(D36,'IR data'!$H$4:$H$61,1))-(INDEX('IR data'!$I$4:$I$61,MATCH(D36,'IR data'!$H$4:$H$61,1)+1)))))</f>
        <v>0.99515458958823533</v>
      </c>
      <c r="F36" s="30">
        <f t="shared" si="4"/>
        <v>2.3331792317356121E-2</v>
      </c>
      <c r="G36" s="45">
        <f t="shared" si="0"/>
        <v>45418</v>
      </c>
      <c r="H36" s="14" cm="1">
        <f t="array" ref="H36">_xlfn.IFNA(INDEX('IR data'!$N$4:$N$61,MATCH(G36,'IR data'!$M$4:$M$61,0)),((INDEX('IR data'!$N$4:$N$61,MATCH(G36,'IR data'!$M$4:$M$61,1)))-((G36-(INDEX('IR data'!$M$4:$M$61,MATCH(G36,'IR data'!$M$4:$M$61,1))))/((INDEX('IR data'!$M$4:$M$61,MATCH(G36,'IR data'!$M$4:$M$61,1)+1)-INDEX('IR data'!$M$4:$M$61,MATCH(G36,'IR data'!$M$4:$M$61,1))))) * (INDEX('IR data'!$N$4:$N$61,MATCH(G36,'IR data'!$M$4:$M$61,1))-(INDEX('IR data'!$N$4:$N$61,MATCH(G36,'IR data'!$M$4:$M$61,1)+1)))))</f>
        <v>0.99515836599999996</v>
      </c>
      <c r="I36" s="44">
        <f t="shared" si="5"/>
        <v>2.3313563805985808E-2</v>
      </c>
    </row>
    <row r="37" spans="1:9" x14ac:dyDescent="0.25">
      <c r="A37" s="45">
        <f t="shared" si="1"/>
        <v>45325</v>
      </c>
      <c r="B37" s="14" cm="1">
        <f t="array" ref="B37">_xlfn.IFNA(INDEX('IR data'!$D$4:$D$61,MATCH(A37,'IR data'!$C$4:$C$61,0)),((INDEX('IR data'!$D$4:$D$61,MATCH(A37,'IR data'!$C$4:$C$61,1)))-((A37-(INDEX('IR data'!$C$4:$C$61,MATCH(A37,'IR data'!$C$4:$C$61,1))))/((INDEX('IR data'!$C$4:$C$61,MATCH(A37,'IR data'!$C$4:$C$61,1)+1)-INDEX('IR data'!$C$4:$C$61,MATCH(A37,'IR data'!$C$4:$C$61,1))))) * (INDEX('IR data'!$D$4:$D$61,MATCH(A37,'IR data'!$C$4:$C$61,1))-(INDEX('IR data'!$D$4:$D$61,MATCH(A37,'IR data'!$C$4:$C$61,1)+1)))))</f>
        <v>0.99465135015789474</v>
      </c>
      <c r="C37" s="30">
        <f t="shared" si="2"/>
        <v>2.500382594467148E-2</v>
      </c>
      <c r="D37" s="45">
        <f t="shared" si="3"/>
        <v>45385</v>
      </c>
      <c r="E37" s="14" cm="1">
        <f t="array" ref="E37">_xlfn.IFNA(INDEX('IR data'!$I$4:$I$61,MATCH(D37,'IR data'!$H$4:$H$61,0)),((INDEX('IR data'!$I$4:$I$61,MATCH(D37,'IR data'!$H$4:$H$61,1)))-((D37-(INDEX('IR data'!$H$4:$H$61,MATCH(D37,'IR data'!$H$4:$H$61,1))))/((INDEX('IR data'!$H$4:$H$61,MATCH(D37,'IR data'!$H$4:$H$61,1)+1)-INDEX('IR data'!$H$4:$H$61,MATCH(D37,'IR data'!$H$4:$H$61,1))))) * (INDEX('IR data'!$I$4:$I$61,MATCH(D37,'IR data'!$H$4:$H$61,1))-(INDEX('IR data'!$I$4:$I$61,MATCH(D37,'IR data'!$H$4:$H$61,1)+1)))))</f>
        <v>0.99500740029411761</v>
      </c>
      <c r="F37" s="30">
        <f t="shared" si="4"/>
        <v>2.3335192980050184E-2</v>
      </c>
      <c r="G37" s="45">
        <f t="shared" si="0"/>
        <v>45419</v>
      </c>
      <c r="H37" s="14" cm="1">
        <f t="array" ref="H37">_xlfn.IFNA(INDEX('IR data'!$N$4:$N$61,MATCH(G37,'IR data'!$M$4:$M$61,0)),((INDEX('IR data'!$N$4:$N$61,MATCH(G37,'IR data'!$M$4:$M$61,1)))-((G37-(INDEX('IR data'!$M$4:$M$61,MATCH(G37,'IR data'!$M$4:$M$61,1))))/((INDEX('IR data'!$M$4:$M$61,MATCH(G37,'IR data'!$M$4:$M$61,1)+1)-INDEX('IR data'!$M$4:$M$61,MATCH(G37,'IR data'!$M$4:$M$61,1))))) * (INDEX('IR data'!$N$4:$N$61,MATCH(G37,'IR data'!$M$4:$M$61,1))-(INDEX('IR data'!$N$4:$N$61,MATCH(G37,'IR data'!$M$4:$M$61,1)+1)))))</f>
        <v>0.99500824599999993</v>
      </c>
      <c r="I37" s="44">
        <f t="shared" si="5"/>
        <v>2.3331230280781906E-2</v>
      </c>
    </row>
    <row r="38" spans="1:9" x14ac:dyDescent="0.25">
      <c r="A38" s="45">
        <f t="shared" si="1"/>
        <v>45326</v>
      </c>
      <c r="B38" s="14" cm="1">
        <f t="array" ref="B38">_xlfn.IFNA(INDEX('IR data'!$D$4:$D$61,MATCH(A38,'IR data'!$C$4:$C$61,0)),((INDEX('IR data'!$D$4:$D$61,MATCH(A38,'IR data'!$C$4:$C$61,1)))-((A38-(INDEX('IR data'!$C$4:$C$61,MATCH(A38,'IR data'!$C$4:$C$61,1))))/((INDEX('IR data'!$C$4:$C$61,MATCH(A38,'IR data'!$C$4:$C$61,1)+1)-INDEX('IR data'!$C$4:$C$61,MATCH(A38,'IR data'!$C$4:$C$61,1))))) * (INDEX('IR data'!$D$4:$D$61,MATCH(A38,'IR data'!$C$4:$C$61,1))-(INDEX('IR data'!$D$4:$D$61,MATCH(A38,'IR data'!$C$4:$C$61,1)+1)))))</f>
        <v>0.99450286257894738</v>
      </c>
      <c r="C38" s="30">
        <f t="shared" si="2"/>
        <v>2.4965608549771354E-2</v>
      </c>
      <c r="D38" s="45">
        <f t="shared" si="3"/>
        <v>45386</v>
      </c>
      <c r="E38" s="14" cm="1">
        <f t="array" ref="E38">_xlfn.IFNA(INDEX('IR data'!$I$4:$I$61,MATCH(D38,'IR data'!$H$4:$H$61,0)),((INDEX('IR data'!$I$4:$I$61,MATCH(D38,'IR data'!$H$4:$H$61,1)))-((D38-(INDEX('IR data'!$H$4:$H$61,MATCH(D38,'IR data'!$H$4:$H$61,1))))/((INDEX('IR data'!$H$4:$H$61,MATCH(D38,'IR data'!$H$4:$H$61,1)+1)-INDEX('IR data'!$H$4:$H$61,MATCH(D38,'IR data'!$H$4:$H$61,1))))) * (INDEX('IR data'!$I$4:$I$61,MATCH(D38,'IR data'!$H$4:$H$61,1))-(INDEX('IR data'!$I$4:$I$61,MATCH(D38,'IR data'!$H$4:$H$61,1)+1)))))</f>
        <v>0.99486021099999999</v>
      </c>
      <c r="F38" s="30">
        <f t="shared" si="4"/>
        <v>2.3338498427217708E-2</v>
      </c>
      <c r="G38" s="45">
        <f t="shared" si="0"/>
        <v>45420</v>
      </c>
      <c r="H38" s="14" cm="1">
        <f t="array" ref="H38">_xlfn.IFNA(INDEX('IR data'!$N$4:$N$61,MATCH(G38,'IR data'!$M$4:$M$61,0)),((INDEX('IR data'!$N$4:$N$61,MATCH(G38,'IR data'!$M$4:$M$61,1)))-((G38-(INDEX('IR data'!$M$4:$M$61,MATCH(G38,'IR data'!$M$4:$M$61,1))))/((INDEX('IR data'!$M$4:$M$61,MATCH(G38,'IR data'!$M$4:$M$61,1)+1)-INDEX('IR data'!$M$4:$M$61,MATCH(G38,'IR data'!$M$4:$M$61,1))))) * (INDEX('IR data'!$N$4:$N$61,MATCH(G38,'IR data'!$M$4:$M$61,1))-(INDEX('IR data'!$N$4:$N$61,MATCH(G38,'IR data'!$M$4:$M$61,1)+1)))))</f>
        <v>0.99485812600000001</v>
      </c>
      <c r="I38" s="44">
        <f t="shared" si="5"/>
        <v>2.3347990336612758E-2</v>
      </c>
    </row>
    <row r="39" spans="1:9" x14ac:dyDescent="0.25">
      <c r="A39" s="45">
        <f t="shared" si="1"/>
        <v>45327</v>
      </c>
      <c r="B39" s="14" cm="1">
        <f t="array" ref="B39">_xlfn.IFNA(INDEX('IR data'!$D$4:$D$61,MATCH(A39,'IR data'!$C$4:$C$61,0)),((INDEX('IR data'!$D$4:$D$61,MATCH(A39,'IR data'!$C$4:$C$61,1)))-((A39-(INDEX('IR data'!$C$4:$C$61,MATCH(A39,'IR data'!$C$4:$C$61,1))))/((INDEX('IR data'!$C$4:$C$61,MATCH(A39,'IR data'!$C$4:$C$61,1)+1)-INDEX('IR data'!$C$4:$C$61,MATCH(A39,'IR data'!$C$4:$C$61,1))))) * (INDEX('IR data'!$D$4:$D$61,MATCH(A39,'IR data'!$C$4:$C$61,1))-(INDEX('IR data'!$D$4:$D$61,MATCH(A39,'IR data'!$C$4:$C$61,1)+1)))))</f>
        <v>0.99435437500000001</v>
      </c>
      <c r="C39" s="30">
        <f t="shared" si="2"/>
        <v>2.4929612505354481E-2</v>
      </c>
      <c r="D39" s="45">
        <f t="shared" si="3"/>
        <v>45387</v>
      </c>
      <c r="E39" s="14" cm="1">
        <f t="array" ref="E39">_xlfn.IFNA(INDEX('IR data'!$I$4:$I$61,MATCH(D39,'IR data'!$H$4:$H$61,0)),((INDEX('IR data'!$I$4:$I$61,MATCH(D39,'IR data'!$H$4:$H$61,1)))-((D39-(INDEX('IR data'!$H$4:$H$61,MATCH(D39,'IR data'!$H$4:$H$61,1))))/((INDEX('IR data'!$H$4:$H$61,MATCH(D39,'IR data'!$H$4:$H$61,1)+1)-INDEX('IR data'!$H$4:$H$61,MATCH(D39,'IR data'!$H$4:$H$61,1))))) * (INDEX('IR data'!$I$4:$I$61,MATCH(D39,'IR data'!$H$4:$H$61,1))-(INDEX('IR data'!$I$4:$I$61,MATCH(D39,'IR data'!$H$4:$H$61,1)+1)))))</f>
        <v>0.99470895346874999</v>
      </c>
      <c r="F39" s="30">
        <f t="shared" si="4"/>
        <v>2.3359725390663437E-2</v>
      </c>
      <c r="G39" s="45">
        <f t="shared" si="0"/>
        <v>45421</v>
      </c>
      <c r="H39" s="14" cm="1">
        <f t="array" ref="H39">_xlfn.IFNA(INDEX('IR data'!$N$4:$N$61,MATCH(G39,'IR data'!$M$4:$M$61,0)),((INDEX('IR data'!$N$4:$N$61,MATCH(G39,'IR data'!$M$4:$M$61,1)))-((G39-(INDEX('IR data'!$M$4:$M$61,MATCH(G39,'IR data'!$M$4:$M$61,1))))/((INDEX('IR data'!$M$4:$M$61,MATCH(G39,'IR data'!$M$4:$M$61,1)+1)-INDEX('IR data'!$M$4:$M$61,MATCH(G39,'IR data'!$M$4:$M$61,1))))) * (INDEX('IR data'!$N$4:$N$61,MATCH(G39,'IR data'!$M$4:$M$61,1))-(INDEX('IR data'!$N$4:$N$61,MATCH(G39,'IR data'!$M$4:$M$61,1)+1)))))</f>
        <v>0.99470800599999998</v>
      </c>
      <c r="I39" s="44">
        <f t="shared" si="5"/>
        <v>2.3363919538644022E-2</v>
      </c>
    </row>
    <row r="40" spans="1:9" x14ac:dyDescent="0.25">
      <c r="A40" s="45">
        <f t="shared" si="1"/>
        <v>45328</v>
      </c>
      <c r="B40" s="14" cm="1">
        <f t="array" ref="B40">_xlfn.IFNA(INDEX('IR data'!$D$4:$D$61,MATCH(A40,'IR data'!$C$4:$C$61,0)),((INDEX('IR data'!$D$4:$D$61,MATCH(A40,'IR data'!$C$4:$C$61,1)))-((A40-(INDEX('IR data'!$C$4:$C$61,MATCH(A40,'IR data'!$C$4:$C$61,1))))/((INDEX('IR data'!$C$4:$C$61,MATCH(A40,'IR data'!$C$4:$C$61,1)+1)-INDEX('IR data'!$C$4:$C$61,MATCH(A40,'IR data'!$C$4:$C$61,1))))) * (INDEX('IR data'!$D$4:$D$61,MATCH(A40,'IR data'!$C$4:$C$61,1))-(INDEX('IR data'!$D$4:$D$61,MATCH(A40,'IR data'!$C$4:$C$61,1)+1)))))</f>
        <v>0.99420456499999998</v>
      </c>
      <c r="C40" s="30">
        <f t="shared" si="2"/>
        <v>2.4901356343448412E-2</v>
      </c>
      <c r="D40" s="45">
        <f t="shared" si="3"/>
        <v>45388</v>
      </c>
      <c r="E40" s="14" cm="1">
        <f t="array" ref="E40">_xlfn.IFNA(INDEX('IR data'!$I$4:$I$61,MATCH(D40,'IR data'!$H$4:$H$61,0)),((INDEX('IR data'!$I$4:$I$61,MATCH(D40,'IR data'!$H$4:$H$61,1)))-((D40-(INDEX('IR data'!$H$4:$H$61,MATCH(D40,'IR data'!$H$4:$H$61,1))))/((INDEX('IR data'!$H$4:$H$61,MATCH(D40,'IR data'!$H$4:$H$61,1)+1)-INDEX('IR data'!$H$4:$H$61,MATCH(D40,'IR data'!$H$4:$H$61,1))))) * (INDEX('IR data'!$I$4:$I$61,MATCH(D40,'IR data'!$H$4:$H$61,1))-(INDEX('IR data'!$I$4:$I$61,MATCH(D40,'IR data'!$H$4:$H$61,1)+1)))))</f>
        <v>0.99455769593749999</v>
      </c>
      <c r="F40" s="30">
        <f t="shared" si="4"/>
        <v>2.3379904015035095E-2</v>
      </c>
      <c r="G40" s="45">
        <f t="shared" si="0"/>
        <v>45422</v>
      </c>
      <c r="H40" s="14" cm="1">
        <f t="array" ref="H40">_xlfn.IFNA(INDEX('IR data'!$N$4:$N$61,MATCH(G40,'IR data'!$M$4:$M$61,0)),((INDEX('IR data'!$N$4:$N$61,MATCH(G40,'IR data'!$M$4:$M$61,1)))-((G40-(INDEX('IR data'!$M$4:$M$61,MATCH(G40,'IR data'!$M$4:$M$61,1))))/((INDEX('IR data'!$M$4:$M$61,MATCH(G40,'IR data'!$M$4:$M$61,1)+1)-INDEX('IR data'!$M$4:$M$61,MATCH(G40,'IR data'!$M$4:$M$61,1))))) * (INDEX('IR data'!$N$4:$N$61,MATCH(G40,'IR data'!$M$4:$M$61,1))-(INDEX('IR data'!$N$4:$N$61,MATCH(G40,'IR data'!$M$4:$M$61,1)+1)))))</f>
        <v>0.99455788599999995</v>
      </c>
      <c r="I40" s="44">
        <f t="shared" si="5"/>
        <v>2.3379085282846174E-2</v>
      </c>
    </row>
    <row r="41" spans="1:9" x14ac:dyDescent="0.25">
      <c r="A41" s="45">
        <f t="shared" si="1"/>
        <v>45329</v>
      </c>
      <c r="B41" s="14" cm="1">
        <f t="array" ref="B41">_xlfn.IFNA(INDEX('IR data'!$D$4:$D$61,MATCH(A41,'IR data'!$C$4:$C$61,0)),((INDEX('IR data'!$D$4:$D$61,MATCH(A41,'IR data'!$C$4:$C$61,1)))-((A41-(INDEX('IR data'!$C$4:$C$61,MATCH(A41,'IR data'!$C$4:$C$61,1))))/((INDEX('IR data'!$C$4:$C$61,MATCH(A41,'IR data'!$C$4:$C$61,1)+1)-INDEX('IR data'!$C$4:$C$61,MATCH(A41,'IR data'!$C$4:$C$61,1))))) * (INDEX('IR data'!$D$4:$D$61,MATCH(A41,'IR data'!$C$4:$C$61,1))-(INDEX('IR data'!$D$4:$D$61,MATCH(A41,'IR data'!$C$4:$C$61,1)+1)))))</f>
        <v>0.99405475500000007</v>
      </c>
      <c r="C41" s="30">
        <f t="shared" si="2"/>
        <v>2.4874682064031577E-2</v>
      </c>
      <c r="D41" s="45">
        <f t="shared" si="3"/>
        <v>45389</v>
      </c>
      <c r="E41" s="14" cm="1">
        <f t="array" ref="E41">_xlfn.IFNA(INDEX('IR data'!$I$4:$I$61,MATCH(D41,'IR data'!$H$4:$H$61,0)),((INDEX('IR data'!$I$4:$I$61,MATCH(D41,'IR data'!$H$4:$H$61,1)))-((D41-(INDEX('IR data'!$H$4:$H$61,MATCH(D41,'IR data'!$H$4:$H$61,1))))/((INDEX('IR data'!$H$4:$H$61,MATCH(D41,'IR data'!$H$4:$H$61,1)+1)-INDEX('IR data'!$H$4:$H$61,MATCH(D41,'IR data'!$H$4:$H$61,1))))) * (INDEX('IR data'!$I$4:$I$61,MATCH(D41,'IR data'!$H$4:$H$61,1))-(INDEX('IR data'!$I$4:$I$61,MATCH(D41,'IR data'!$H$4:$H$61,1)+1)))))</f>
        <v>0.99440643840624998</v>
      </c>
      <c r="F41" s="30">
        <f t="shared" si="4"/>
        <v>2.3399117093285512E-2</v>
      </c>
      <c r="G41" s="45">
        <f t="shared" si="0"/>
        <v>45423</v>
      </c>
      <c r="H41" s="14" cm="1">
        <f t="array" ref="H41">_xlfn.IFNA(INDEX('IR data'!$N$4:$N$61,MATCH(G41,'IR data'!$M$4:$M$61,0)),((INDEX('IR data'!$N$4:$N$61,MATCH(G41,'IR data'!$M$4:$M$61,1)))-((G41-(INDEX('IR data'!$M$4:$M$61,MATCH(G41,'IR data'!$M$4:$M$61,1))))/((INDEX('IR data'!$M$4:$M$61,MATCH(G41,'IR data'!$M$4:$M$61,1)+1)-INDEX('IR data'!$M$4:$M$61,MATCH(G41,'IR data'!$M$4:$M$61,1))))) * (INDEX('IR data'!$N$4:$N$61,MATCH(G41,'IR data'!$M$4:$M$61,1))-(INDEX('IR data'!$N$4:$N$61,MATCH(G41,'IR data'!$M$4:$M$61,1)+1)))))</f>
        <v>0.99440776599999992</v>
      </c>
      <c r="I41" s="44">
        <f t="shared" si="5"/>
        <v>2.3393547870890454E-2</v>
      </c>
    </row>
    <row r="42" spans="1:9" x14ac:dyDescent="0.25">
      <c r="A42" s="45">
        <f t="shared" si="1"/>
        <v>45330</v>
      </c>
      <c r="B42" s="14" cm="1">
        <f t="array" ref="B42">_xlfn.IFNA(INDEX('IR data'!$D$4:$D$61,MATCH(A42,'IR data'!$C$4:$C$61,0)),((INDEX('IR data'!$D$4:$D$61,MATCH(A42,'IR data'!$C$4:$C$61,1)))-((A42-(INDEX('IR data'!$C$4:$C$61,MATCH(A42,'IR data'!$C$4:$C$61,1))))/((INDEX('IR data'!$C$4:$C$61,MATCH(A42,'IR data'!$C$4:$C$61,1)+1)-INDEX('IR data'!$C$4:$C$61,MATCH(A42,'IR data'!$C$4:$C$61,1))))) * (INDEX('IR data'!$D$4:$D$61,MATCH(A42,'IR data'!$C$4:$C$61,1))-(INDEX('IR data'!$D$4:$D$61,MATCH(A42,'IR data'!$C$4:$C$61,1)+1)))))</f>
        <v>0.99390494500000004</v>
      </c>
      <c r="C42" s="30">
        <f t="shared" si="2"/>
        <v>2.4849468011655114E-2</v>
      </c>
      <c r="D42" s="45">
        <f t="shared" si="3"/>
        <v>45390</v>
      </c>
      <c r="E42" s="14" cm="1">
        <f t="array" ref="E42">_xlfn.IFNA(INDEX('IR data'!$I$4:$I$61,MATCH(D42,'IR data'!$H$4:$H$61,0)),((INDEX('IR data'!$I$4:$I$61,MATCH(D42,'IR data'!$H$4:$H$61,1)))-((D42-(INDEX('IR data'!$H$4:$H$61,MATCH(D42,'IR data'!$H$4:$H$61,1))))/((INDEX('IR data'!$H$4:$H$61,MATCH(D42,'IR data'!$H$4:$H$61,1)+1)-INDEX('IR data'!$H$4:$H$61,MATCH(D42,'IR data'!$H$4:$H$61,1))))) * (INDEX('IR data'!$I$4:$I$61,MATCH(D42,'IR data'!$H$4:$H$61,1))-(INDEX('IR data'!$I$4:$I$61,MATCH(D42,'IR data'!$H$4:$H$61,1)+1)))))</f>
        <v>0.99425518087499998</v>
      </c>
      <c r="F42" s="30">
        <f t="shared" si="4"/>
        <v>2.3417438926795663E-2</v>
      </c>
      <c r="G42" s="45">
        <f t="shared" si="0"/>
        <v>45424</v>
      </c>
      <c r="H42" s="14" cm="1">
        <f t="array" ref="H42">_xlfn.IFNA(INDEX('IR data'!$N$4:$N$61,MATCH(G42,'IR data'!$M$4:$M$61,0)),((INDEX('IR data'!$N$4:$N$61,MATCH(G42,'IR data'!$M$4:$M$61,1)))-((G42-(INDEX('IR data'!$M$4:$M$61,MATCH(G42,'IR data'!$M$4:$M$61,1))))/((INDEX('IR data'!$M$4:$M$61,MATCH(G42,'IR data'!$M$4:$M$61,1)+1)-INDEX('IR data'!$M$4:$M$61,MATCH(G42,'IR data'!$M$4:$M$61,1))))) * (INDEX('IR data'!$N$4:$N$61,MATCH(G42,'IR data'!$M$4:$M$61,1))-(INDEX('IR data'!$N$4:$N$61,MATCH(G42,'IR data'!$M$4:$M$61,1)+1)))))</f>
        <v>0.99425764599999999</v>
      </c>
      <c r="I42" s="44">
        <f t="shared" si="5"/>
        <v>2.3407361419673506E-2</v>
      </c>
    </row>
    <row r="43" spans="1:9" x14ac:dyDescent="0.25">
      <c r="A43" s="45">
        <f t="shared" si="1"/>
        <v>45331</v>
      </c>
      <c r="B43" s="14" cm="1">
        <f t="array" ref="B43">_xlfn.IFNA(INDEX('IR data'!$D$4:$D$61,MATCH(A43,'IR data'!$C$4:$C$61,0)),((INDEX('IR data'!$D$4:$D$61,MATCH(A43,'IR data'!$C$4:$C$61,1)))-((A43-(INDEX('IR data'!$C$4:$C$61,MATCH(A43,'IR data'!$C$4:$C$61,1))))/((INDEX('IR data'!$C$4:$C$61,MATCH(A43,'IR data'!$C$4:$C$61,1)+1)-INDEX('IR data'!$C$4:$C$61,MATCH(A43,'IR data'!$C$4:$C$61,1))))) * (INDEX('IR data'!$D$4:$D$61,MATCH(A43,'IR data'!$C$4:$C$61,1))-(INDEX('IR data'!$D$4:$D$61,MATCH(A43,'IR data'!$C$4:$C$61,1)+1)))))</f>
        <v>0.99375513500000001</v>
      </c>
      <c r="C43" s="30">
        <f t="shared" si="2"/>
        <v>2.4825604696425998E-2</v>
      </c>
      <c r="D43" s="45">
        <f t="shared" si="3"/>
        <v>45391</v>
      </c>
      <c r="E43" s="14" cm="1">
        <f t="array" ref="E43">_xlfn.IFNA(INDEX('IR data'!$I$4:$I$61,MATCH(D43,'IR data'!$H$4:$H$61,0)),((INDEX('IR data'!$I$4:$I$61,MATCH(D43,'IR data'!$H$4:$H$61,1)))-((D43-(INDEX('IR data'!$H$4:$H$61,MATCH(D43,'IR data'!$H$4:$H$61,1))))/((INDEX('IR data'!$H$4:$H$61,MATCH(D43,'IR data'!$H$4:$H$61,1)+1)-INDEX('IR data'!$H$4:$H$61,MATCH(D43,'IR data'!$H$4:$H$61,1))))) * (INDEX('IR data'!$I$4:$I$61,MATCH(D43,'IR data'!$H$4:$H$61,1))-(INDEX('IR data'!$I$4:$I$61,MATCH(D43,'IR data'!$H$4:$H$61,1)+1)))))</f>
        <v>0.99410392334374997</v>
      </c>
      <c r="F43" s="30">
        <f t="shared" si="4"/>
        <v>2.3434936386821162E-2</v>
      </c>
      <c r="G43" s="45">
        <f t="shared" si="0"/>
        <v>45425</v>
      </c>
      <c r="H43" s="14" cm="1">
        <f t="array" ref="H43">_xlfn.IFNA(INDEX('IR data'!$N$4:$N$61,MATCH(G43,'IR data'!$M$4:$M$61,0)),((INDEX('IR data'!$N$4:$N$61,MATCH(G43,'IR data'!$M$4:$M$61,1)))-((G43-(INDEX('IR data'!$M$4:$M$61,MATCH(G43,'IR data'!$M$4:$M$61,1))))/((INDEX('IR data'!$M$4:$M$61,MATCH(G43,'IR data'!$M$4:$M$61,1)+1)-INDEX('IR data'!$M$4:$M$61,MATCH(G43,'IR data'!$M$4:$M$61,1))))) * (INDEX('IR data'!$N$4:$N$61,MATCH(G43,'IR data'!$M$4:$M$61,1))-(INDEX('IR data'!$N$4:$N$61,MATCH(G43,'IR data'!$M$4:$M$61,1)+1)))))</f>
        <v>0.99410752599999996</v>
      </c>
      <c r="I43" s="44">
        <f t="shared" si="5"/>
        <v>2.3420574634415995E-2</v>
      </c>
    </row>
    <row r="44" spans="1:9" x14ac:dyDescent="0.25">
      <c r="A44" s="45">
        <f t="shared" si="1"/>
        <v>45332</v>
      </c>
      <c r="B44" s="14" cm="1">
        <f t="array" ref="B44">_xlfn.IFNA(INDEX('IR data'!$D$4:$D$61,MATCH(A44,'IR data'!$C$4:$C$61,0)),((INDEX('IR data'!$D$4:$D$61,MATCH(A44,'IR data'!$C$4:$C$61,1)))-((A44-(INDEX('IR data'!$C$4:$C$61,MATCH(A44,'IR data'!$C$4:$C$61,1))))/((INDEX('IR data'!$C$4:$C$61,MATCH(A44,'IR data'!$C$4:$C$61,1)+1)-INDEX('IR data'!$C$4:$C$61,MATCH(A44,'IR data'!$C$4:$C$61,1))))) * (INDEX('IR data'!$D$4:$D$61,MATCH(A44,'IR data'!$C$4:$C$61,1))-(INDEX('IR data'!$D$4:$D$61,MATCH(A44,'IR data'!$C$4:$C$61,1)+1)))))</f>
        <v>0.99360532499999998</v>
      </c>
      <c r="C44" s="30">
        <f t="shared" si="2"/>
        <v>2.4802993310404385E-2</v>
      </c>
      <c r="D44" s="45">
        <f t="shared" si="3"/>
        <v>45392</v>
      </c>
      <c r="E44" s="14" cm="1">
        <f t="array" ref="E44">_xlfn.IFNA(INDEX('IR data'!$I$4:$I$61,MATCH(D44,'IR data'!$H$4:$H$61,0)),((INDEX('IR data'!$I$4:$I$61,MATCH(D44,'IR data'!$H$4:$H$61,1)))-((D44-(INDEX('IR data'!$H$4:$H$61,MATCH(D44,'IR data'!$H$4:$H$61,1))))/((INDEX('IR data'!$H$4:$H$61,MATCH(D44,'IR data'!$H$4:$H$61,1)+1)-INDEX('IR data'!$H$4:$H$61,MATCH(D44,'IR data'!$H$4:$H$61,1))))) * (INDEX('IR data'!$I$4:$I$61,MATCH(D44,'IR data'!$H$4:$H$61,1))-(INDEX('IR data'!$I$4:$I$61,MATCH(D44,'IR data'!$H$4:$H$61,1)+1)))))</f>
        <v>0.99395266581249997</v>
      </c>
      <c r="F44" s="30">
        <f t="shared" si="4"/>
        <v>2.3451669820605092E-2</v>
      </c>
      <c r="G44" s="45">
        <f t="shared" si="0"/>
        <v>45426</v>
      </c>
      <c r="H44" s="14" cm="1">
        <f t="array" ref="H44">_xlfn.IFNA(INDEX('IR data'!$N$4:$N$61,MATCH(G44,'IR data'!$M$4:$M$61,0)),((INDEX('IR data'!$N$4:$N$61,MATCH(G44,'IR data'!$M$4:$M$61,1)))-((G44-(INDEX('IR data'!$M$4:$M$61,MATCH(G44,'IR data'!$M$4:$M$61,1))))/((INDEX('IR data'!$M$4:$M$61,MATCH(G44,'IR data'!$M$4:$M$61,1)+1)-INDEX('IR data'!$M$4:$M$61,MATCH(G44,'IR data'!$M$4:$M$61,1))))) * (INDEX('IR data'!$N$4:$N$61,MATCH(G44,'IR data'!$M$4:$M$61,1))-(INDEX('IR data'!$N$4:$N$61,MATCH(G44,'IR data'!$M$4:$M$61,1)+1)))))</f>
        <v>0.99395740599999993</v>
      </c>
      <c r="I44" s="44">
        <f t="shared" si="5"/>
        <v>2.3433231468620492E-2</v>
      </c>
    </row>
    <row r="45" spans="1:9" x14ac:dyDescent="0.25">
      <c r="A45" s="45">
        <f t="shared" si="1"/>
        <v>45333</v>
      </c>
      <c r="B45" s="14" cm="1">
        <f t="array" ref="B45">_xlfn.IFNA(INDEX('IR data'!$D$4:$D$61,MATCH(A45,'IR data'!$C$4:$C$61,0)),((INDEX('IR data'!$D$4:$D$61,MATCH(A45,'IR data'!$C$4:$C$61,1)))-((A45-(INDEX('IR data'!$C$4:$C$61,MATCH(A45,'IR data'!$C$4:$C$61,1))))/((INDEX('IR data'!$C$4:$C$61,MATCH(A45,'IR data'!$C$4:$C$61,1)+1)-INDEX('IR data'!$C$4:$C$61,MATCH(A45,'IR data'!$C$4:$C$61,1))))) * (INDEX('IR data'!$D$4:$D$61,MATCH(A45,'IR data'!$C$4:$C$61,1))-(INDEX('IR data'!$D$4:$D$61,MATCH(A45,'IR data'!$C$4:$C$61,1)+1)))))</f>
        <v>0.99345551499999996</v>
      </c>
      <c r="C45" s="30">
        <f t="shared" si="2"/>
        <v>2.4781544455942113E-2</v>
      </c>
      <c r="D45" s="45">
        <f t="shared" si="3"/>
        <v>45393</v>
      </c>
      <c r="E45" s="14" cm="1">
        <f t="array" ref="E45">_xlfn.IFNA(INDEX('IR data'!$I$4:$I$61,MATCH(D45,'IR data'!$H$4:$H$61,0)),((INDEX('IR data'!$I$4:$I$61,MATCH(D45,'IR data'!$H$4:$H$61,1)))-((D45-(INDEX('IR data'!$H$4:$H$61,MATCH(D45,'IR data'!$H$4:$H$61,1))))/((INDEX('IR data'!$H$4:$H$61,MATCH(D45,'IR data'!$H$4:$H$61,1)+1)-INDEX('IR data'!$H$4:$H$61,MATCH(D45,'IR data'!$H$4:$H$61,1))))) * (INDEX('IR data'!$I$4:$I$61,MATCH(D45,'IR data'!$H$4:$H$61,1))-(INDEX('IR data'!$I$4:$I$61,MATCH(D45,'IR data'!$H$4:$H$61,1)+1)))))</f>
        <v>0.99380140828124996</v>
      </c>
      <c r="F45" s="30">
        <f t="shared" si="4"/>
        <v>2.3467693828046199E-2</v>
      </c>
      <c r="G45" s="45">
        <f t="shared" si="0"/>
        <v>45427</v>
      </c>
      <c r="H45" s="14" cm="1">
        <f t="array" ref="H45">_xlfn.IFNA(INDEX('IR data'!$N$4:$N$61,MATCH(G45,'IR data'!$M$4:$M$61,0)),((INDEX('IR data'!$N$4:$N$61,MATCH(G45,'IR data'!$M$4:$M$61,1)))-((G45-(INDEX('IR data'!$M$4:$M$61,MATCH(G45,'IR data'!$M$4:$M$61,1))))/((INDEX('IR data'!$M$4:$M$61,MATCH(G45,'IR data'!$M$4:$M$61,1)+1)-INDEX('IR data'!$M$4:$M$61,MATCH(G45,'IR data'!$M$4:$M$61,1))))) * (INDEX('IR data'!$N$4:$N$61,MATCH(G45,'IR data'!$M$4:$M$61,1))-(INDEX('IR data'!$N$4:$N$61,MATCH(G45,'IR data'!$M$4:$M$61,1)+1)))))</f>
        <v>0.99380728600000001</v>
      </c>
      <c r="I45" s="44">
        <f t="shared" si="5"/>
        <v>2.344537168975349E-2</v>
      </c>
    </row>
    <row r="46" spans="1:9" x14ac:dyDescent="0.25">
      <c r="A46" s="45">
        <f t="shared" si="1"/>
        <v>45334</v>
      </c>
      <c r="B46" s="14" cm="1">
        <f t="array" ref="B46">_xlfn.IFNA(INDEX('IR data'!$D$4:$D$61,MATCH(A46,'IR data'!$C$4:$C$61,0)),((INDEX('IR data'!$D$4:$D$61,MATCH(A46,'IR data'!$C$4:$C$61,1)))-((A46-(INDEX('IR data'!$C$4:$C$61,MATCH(A46,'IR data'!$C$4:$C$61,1))))/((INDEX('IR data'!$C$4:$C$61,MATCH(A46,'IR data'!$C$4:$C$61,1)+1)-INDEX('IR data'!$C$4:$C$61,MATCH(A46,'IR data'!$C$4:$C$61,1))))) * (INDEX('IR data'!$D$4:$D$61,MATCH(A46,'IR data'!$C$4:$C$61,1))-(INDEX('IR data'!$D$4:$D$61,MATCH(A46,'IR data'!$C$4:$C$61,1)+1)))))</f>
        <v>0.99330570500000004</v>
      </c>
      <c r="C46" s="30">
        <f t="shared" si="2"/>
        <v>2.4761177051462333E-2</v>
      </c>
      <c r="D46" s="45">
        <f t="shared" si="3"/>
        <v>45394</v>
      </c>
      <c r="E46" s="14" cm="1">
        <f t="array" ref="E46">_xlfn.IFNA(INDEX('IR data'!$I$4:$I$61,MATCH(D46,'IR data'!$H$4:$H$61,0)),((INDEX('IR data'!$I$4:$I$61,MATCH(D46,'IR data'!$H$4:$H$61,1)))-((D46-(INDEX('IR data'!$H$4:$H$61,MATCH(D46,'IR data'!$H$4:$H$61,1))))/((INDEX('IR data'!$H$4:$H$61,MATCH(D46,'IR data'!$H$4:$H$61,1)+1)-INDEX('IR data'!$H$4:$H$61,MATCH(D46,'IR data'!$H$4:$H$61,1))))) * (INDEX('IR data'!$I$4:$I$61,MATCH(D46,'IR data'!$H$4:$H$61,1))-(INDEX('IR data'!$I$4:$I$61,MATCH(D46,'IR data'!$H$4:$H$61,1)+1)))))</f>
        <v>0.99365015074999996</v>
      </c>
      <c r="F46" s="30">
        <f t="shared" si="4"/>
        <v>2.348305792999475E-2</v>
      </c>
      <c r="G46" s="45">
        <f t="shared" si="0"/>
        <v>45428</v>
      </c>
      <c r="H46" s="14" cm="1">
        <f t="array" ref="H46">_xlfn.IFNA(INDEX('IR data'!$N$4:$N$61,MATCH(G46,'IR data'!$M$4:$M$61,0)),((INDEX('IR data'!$N$4:$N$61,MATCH(G46,'IR data'!$M$4:$M$61,1)))-((G46-(INDEX('IR data'!$M$4:$M$61,MATCH(G46,'IR data'!$M$4:$M$61,1))))/((INDEX('IR data'!$M$4:$M$61,MATCH(G46,'IR data'!$M$4:$M$61,1)+1)-INDEX('IR data'!$M$4:$M$61,MATCH(G46,'IR data'!$M$4:$M$61,1))))) * (INDEX('IR data'!$N$4:$N$61,MATCH(G46,'IR data'!$M$4:$M$61,1))-(INDEX('IR data'!$N$4:$N$61,MATCH(G46,'IR data'!$M$4:$M$61,1)+1)))))</f>
        <v>0.99365716599999998</v>
      </c>
      <c r="I46" s="44">
        <f t="shared" si="5"/>
        <v>2.3457031365995015E-2</v>
      </c>
    </row>
    <row r="47" spans="1:9" x14ac:dyDescent="0.25">
      <c r="A47" s="45">
        <f t="shared" si="1"/>
        <v>45335</v>
      </c>
      <c r="B47" s="14" cm="1">
        <f t="array" ref="B47">_xlfn.IFNA(INDEX('IR data'!$D$4:$D$61,MATCH(A47,'IR data'!$C$4:$C$61,0)),((INDEX('IR data'!$D$4:$D$61,MATCH(A47,'IR data'!$C$4:$C$61,1)))-((A47-(INDEX('IR data'!$C$4:$C$61,MATCH(A47,'IR data'!$C$4:$C$61,1))))/((INDEX('IR data'!$C$4:$C$61,MATCH(A47,'IR data'!$C$4:$C$61,1)+1)-INDEX('IR data'!$C$4:$C$61,MATCH(A47,'IR data'!$C$4:$C$61,1))))) * (INDEX('IR data'!$D$4:$D$61,MATCH(A47,'IR data'!$C$4:$C$61,1))-(INDEX('IR data'!$D$4:$D$61,MATCH(A47,'IR data'!$C$4:$C$61,1)+1)))))</f>
        <v>0.99315589500000001</v>
      </c>
      <c r="C47" s="30">
        <f t="shared" si="2"/>
        <v>2.4741817386453025E-2</v>
      </c>
      <c r="D47" s="45">
        <f t="shared" si="3"/>
        <v>45395</v>
      </c>
      <c r="E47" s="14" cm="1">
        <f t="array" ref="E47">_xlfn.IFNA(INDEX('IR data'!$I$4:$I$61,MATCH(D47,'IR data'!$H$4:$H$61,0)),((INDEX('IR data'!$I$4:$I$61,MATCH(D47,'IR data'!$H$4:$H$61,1)))-((D47-(INDEX('IR data'!$H$4:$H$61,MATCH(D47,'IR data'!$H$4:$H$61,1))))/((INDEX('IR data'!$H$4:$H$61,MATCH(D47,'IR data'!$H$4:$H$61,1)+1)-INDEX('IR data'!$H$4:$H$61,MATCH(D47,'IR data'!$H$4:$H$61,1))))) * (INDEX('IR data'!$I$4:$I$61,MATCH(D47,'IR data'!$H$4:$H$61,1))-(INDEX('IR data'!$I$4:$I$61,MATCH(D47,'IR data'!$H$4:$H$61,1)+1)))))</f>
        <v>0.99349889321874996</v>
      </c>
      <c r="F47" s="30">
        <f t="shared" si="4"/>
        <v>2.3497807145417115E-2</v>
      </c>
      <c r="G47" s="45">
        <f t="shared" si="0"/>
        <v>45429</v>
      </c>
      <c r="H47" s="14" cm="1">
        <f t="array" ref="H47">_xlfn.IFNA(INDEX('IR data'!$N$4:$N$61,MATCH(G47,'IR data'!$M$4:$M$61,0)),((INDEX('IR data'!$N$4:$N$61,MATCH(G47,'IR data'!$M$4:$M$61,1)))-((G47-(INDEX('IR data'!$M$4:$M$61,MATCH(G47,'IR data'!$M$4:$M$61,1))))/((INDEX('IR data'!$M$4:$M$61,MATCH(G47,'IR data'!$M$4:$M$61,1)+1)-INDEX('IR data'!$M$4:$M$61,MATCH(G47,'IR data'!$M$4:$M$61,1))))) * (INDEX('IR data'!$N$4:$N$61,MATCH(G47,'IR data'!$M$4:$M$61,1))-(INDEX('IR data'!$N$4:$N$61,MATCH(G47,'IR data'!$M$4:$M$61,1)+1)))))</f>
        <v>0.99350704599999995</v>
      </c>
      <c r="I47" s="44">
        <f t="shared" si="5"/>
        <v>2.3468243286609677E-2</v>
      </c>
    </row>
    <row r="48" spans="1:9" x14ac:dyDescent="0.25">
      <c r="A48" s="45">
        <f t="shared" si="1"/>
        <v>45336</v>
      </c>
      <c r="B48" s="14" cm="1">
        <f t="array" ref="B48">_xlfn.IFNA(INDEX('IR data'!$D$4:$D$61,MATCH(A48,'IR data'!$C$4:$C$61,0)),((INDEX('IR data'!$D$4:$D$61,MATCH(A48,'IR data'!$C$4:$C$61,1)))-((A48-(INDEX('IR data'!$C$4:$C$61,MATCH(A48,'IR data'!$C$4:$C$61,1))))/((INDEX('IR data'!$C$4:$C$61,MATCH(A48,'IR data'!$C$4:$C$61,1)+1)-INDEX('IR data'!$C$4:$C$61,MATCH(A48,'IR data'!$C$4:$C$61,1))))) * (INDEX('IR data'!$D$4:$D$61,MATCH(A48,'IR data'!$C$4:$C$61,1))-(INDEX('IR data'!$D$4:$D$61,MATCH(A48,'IR data'!$C$4:$C$61,1)+1)))))</f>
        <v>0.99300608499999998</v>
      </c>
      <c r="C48" s="30">
        <f t="shared" si="2"/>
        <v>2.4723398302457438E-2</v>
      </c>
      <c r="D48" s="45">
        <f t="shared" si="3"/>
        <v>45396</v>
      </c>
      <c r="E48" s="14" cm="1">
        <f t="array" ref="E48">_xlfn.IFNA(INDEX('IR data'!$I$4:$I$61,MATCH(D48,'IR data'!$H$4:$H$61,0)),((INDEX('IR data'!$I$4:$I$61,MATCH(D48,'IR data'!$H$4:$H$61,1)))-((D48-(INDEX('IR data'!$H$4:$H$61,MATCH(D48,'IR data'!$H$4:$H$61,1))))/((INDEX('IR data'!$H$4:$H$61,MATCH(D48,'IR data'!$H$4:$H$61,1)+1)-INDEX('IR data'!$H$4:$H$61,MATCH(D48,'IR data'!$H$4:$H$61,1))))) * (INDEX('IR data'!$I$4:$I$61,MATCH(D48,'IR data'!$H$4:$H$61,1))-(INDEX('IR data'!$I$4:$I$61,MATCH(D48,'IR data'!$H$4:$H$61,1)+1)))))</f>
        <v>0.99334763568749995</v>
      </c>
      <c r="F48" s="30">
        <f t="shared" si="4"/>
        <v>2.3511982491605139E-2</v>
      </c>
      <c r="G48" s="45">
        <f t="shared" si="0"/>
        <v>45430</v>
      </c>
      <c r="H48" s="14" cm="1">
        <f t="array" ref="H48">_xlfn.IFNA(INDEX('IR data'!$N$4:$N$61,MATCH(G48,'IR data'!$M$4:$M$61,0)),((INDEX('IR data'!$N$4:$N$61,MATCH(G48,'IR data'!$M$4:$M$61,1)))-((G48-(INDEX('IR data'!$M$4:$M$61,MATCH(G48,'IR data'!$M$4:$M$61,1))))/((INDEX('IR data'!$M$4:$M$61,MATCH(G48,'IR data'!$M$4:$M$61,1)+1)-INDEX('IR data'!$M$4:$M$61,MATCH(G48,'IR data'!$M$4:$M$61,1))))) * (INDEX('IR data'!$N$4:$N$61,MATCH(G48,'IR data'!$M$4:$M$61,1))-(INDEX('IR data'!$N$4:$N$61,MATCH(G48,'IR data'!$M$4:$M$61,1)+1)))))</f>
        <v>0.99335692600000003</v>
      </c>
      <c r="I48" s="44">
        <f t="shared" si="5"/>
        <v>2.3479037326271806E-2</v>
      </c>
    </row>
    <row r="49" spans="1:9" x14ac:dyDescent="0.25">
      <c r="A49" s="45">
        <f t="shared" si="1"/>
        <v>45337</v>
      </c>
      <c r="B49" s="14" cm="1">
        <f t="array" ref="B49">_xlfn.IFNA(INDEX('IR data'!$D$4:$D$61,MATCH(A49,'IR data'!$C$4:$C$61,0)),((INDEX('IR data'!$D$4:$D$61,MATCH(A49,'IR data'!$C$4:$C$61,1)))-((A49-(INDEX('IR data'!$C$4:$C$61,MATCH(A49,'IR data'!$C$4:$C$61,1))))/((INDEX('IR data'!$C$4:$C$61,MATCH(A49,'IR data'!$C$4:$C$61,1)+1)-INDEX('IR data'!$C$4:$C$61,MATCH(A49,'IR data'!$C$4:$C$61,1))))) * (INDEX('IR data'!$D$4:$D$61,MATCH(A49,'IR data'!$C$4:$C$61,1))-(INDEX('IR data'!$D$4:$D$61,MATCH(A49,'IR data'!$C$4:$C$61,1)+1)))))</f>
        <v>0.99285627500000007</v>
      </c>
      <c r="C49" s="30">
        <f t="shared" si="2"/>
        <v>2.470585848089531E-2</v>
      </c>
      <c r="D49" s="45">
        <f t="shared" si="3"/>
        <v>45397</v>
      </c>
      <c r="E49" s="14" cm="1">
        <f t="array" ref="E49">_xlfn.IFNA(INDEX('IR data'!$I$4:$I$61,MATCH(D49,'IR data'!$H$4:$H$61,0)),((INDEX('IR data'!$I$4:$I$61,MATCH(D49,'IR data'!$H$4:$H$61,1)))-((D49-(INDEX('IR data'!$H$4:$H$61,MATCH(D49,'IR data'!$H$4:$H$61,1))))/((INDEX('IR data'!$H$4:$H$61,MATCH(D49,'IR data'!$H$4:$H$61,1)+1)-INDEX('IR data'!$H$4:$H$61,MATCH(D49,'IR data'!$H$4:$H$61,1))))) * (INDEX('IR data'!$I$4:$I$61,MATCH(D49,'IR data'!$H$4:$H$61,1))-(INDEX('IR data'!$I$4:$I$61,MATCH(D49,'IR data'!$H$4:$H$61,1)+1)))))</f>
        <v>0.99319637815624995</v>
      </c>
      <c r="F49" s="30">
        <f t="shared" si="4"/>
        <v>2.3525621419140715E-2</v>
      </c>
      <c r="G49" s="45">
        <f t="shared" si="0"/>
        <v>45431</v>
      </c>
      <c r="H49" s="14" cm="1">
        <f t="array" ref="H49">_xlfn.IFNA(INDEX('IR data'!$N$4:$N$61,MATCH(G49,'IR data'!$M$4:$M$61,0)),((INDEX('IR data'!$N$4:$N$61,MATCH(G49,'IR data'!$M$4:$M$61,1)))-((G49-(INDEX('IR data'!$M$4:$M$61,MATCH(G49,'IR data'!$M$4:$M$61,1))))/((INDEX('IR data'!$M$4:$M$61,MATCH(G49,'IR data'!$M$4:$M$61,1)+1)-INDEX('IR data'!$M$4:$M$61,MATCH(G49,'IR data'!$M$4:$M$61,1))))) * (INDEX('IR data'!$N$4:$N$61,MATCH(G49,'IR data'!$M$4:$M$61,1))-(INDEX('IR data'!$N$4:$N$61,MATCH(G49,'IR data'!$M$4:$M$61,1)+1)))))</f>
        <v>0.993206806</v>
      </c>
      <c r="I49" s="44">
        <f t="shared" si="5"/>
        <v>2.3489440761869887E-2</v>
      </c>
    </row>
    <row r="50" spans="1:9" x14ac:dyDescent="0.25">
      <c r="A50" s="45">
        <f t="shared" si="1"/>
        <v>45338</v>
      </c>
      <c r="B50" s="14" cm="1">
        <f t="array" ref="B50">_xlfn.IFNA(INDEX('IR data'!$D$4:$D$61,MATCH(A50,'IR data'!$C$4:$C$61,0)),((INDEX('IR data'!$D$4:$D$61,MATCH(A50,'IR data'!$C$4:$C$61,1)))-((A50-(INDEX('IR data'!$C$4:$C$61,MATCH(A50,'IR data'!$C$4:$C$61,1))))/((INDEX('IR data'!$C$4:$C$61,MATCH(A50,'IR data'!$C$4:$C$61,1)+1)-INDEX('IR data'!$C$4:$C$61,MATCH(A50,'IR data'!$C$4:$C$61,1))))) * (INDEX('IR data'!$D$4:$D$61,MATCH(A50,'IR data'!$C$4:$C$61,1))-(INDEX('IR data'!$D$4:$D$61,MATCH(A50,'IR data'!$C$4:$C$61,1)+1)))))</f>
        <v>0.99270646500000004</v>
      </c>
      <c r="C50" s="30">
        <f t="shared" si="2"/>
        <v>2.4689141821800601E-2</v>
      </c>
      <c r="D50" s="45">
        <f t="shared" si="3"/>
        <v>45398</v>
      </c>
      <c r="E50" s="14" cm="1">
        <f t="array" ref="E50">_xlfn.IFNA(INDEX('IR data'!$I$4:$I$61,MATCH(D50,'IR data'!$H$4:$H$61,0)),((INDEX('IR data'!$I$4:$I$61,MATCH(D50,'IR data'!$H$4:$H$61,1)))-((D50-(INDEX('IR data'!$H$4:$H$61,MATCH(D50,'IR data'!$H$4:$H$61,1))))/((INDEX('IR data'!$H$4:$H$61,MATCH(D50,'IR data'!$H$4:$H$61,1)+1)-INDEX('IR data'!$H$4:$H$61,MATCH(D50,'IR data'!$H$4:$H$61,1))))) * (INDEX('IR data'!$I$4:$I$61,MATCH(D50,'IR data'!$H$4:$H$61,1))-(INDEX('IR data'!$I$4:$I$61,MATCH(D50,'IR data'!$H$4:$H$61,1)+1)))))</f>
        <v>0.99304512062499994</v>
      </c>
      <c r="F50" s="30">
        <f t="shared" si="4"/>
        <v>2.3538758191333078E-2</v>
      </c>
      <c r="G50" s="45">
        <f t="shared" si="0"/>
        <v>45432</v>
      </c>
      <c r="H50" s="14" cm="1">
        <f t="array" ref="H50">_xlfn.IFNA(INDEX('IR data'!$N$4:$N$61,MATCH(G50,'IR data'!$M$4:$M$61,0)),((INDEX('IR data'!$N$4:$N$61,MATCH(G50,'IR data'!$M$4:$M$61,1)))-((G50-(INDEX('IR data'!$M$4:$M$61,MATCH(G50,'IR data'!$M$4:$M$61,1))))/((INDEX('IR data'!$M$4:$M$61,MATCH(G50,'IR data'!$M$4:$M$61,1)+1)-INDEX('IR data'!$M$4:$M$61,MATCH(G50,'IR data'!$M$4:$M$61,1))))) * (INDEX('IR data'!$N$4:$N$61,MATCH(G50,'IR data'!$M$4:$M$61,1))-(INDEX('IR data'!$N$4:$N$61,MATCH(G50,'IR data'!$M$4:$M$61,1)+1)))))</f>
        <v>0.99305668599999997</v>
      </c>
      <c r="I50" s="44">
        <f t="shared" si="5"/>
        <v>2.3499478548864531E-2</v>
      </c>
    </row>
    <row r="51" spans="1:9" x14ac:dyDescent="0.25">
      <c r="A51" s="45">
        <f t="shared" si="1"/>
        <v>45339</v>
      </c>
      <c r="B51" s="14" cm="1">
        <f t="array" ref="B51">_xlfn.IFNA(INDEX('IR data'!$D$4:$D$61,MATCH(A51,'IR data'!$C$4:$C$61,0)),((INDEX('IR data'!$D$4:$D$61,MATCH(A51,'IR data'!$C$4:$C$61,1)))-((A51-(INDEX('IR data'!$C$4:$C$61,MATCH(A51,'IR data'!$C$4:$C$61,1))))/((INDEX('IR data'!$C$4:$C$61,MATCH(A51,'IR data'!$C$4:$C$61,1)+1)-INDEX('IR data'!$C$4:$C$61,MATCH(A51,'IR data'!$C$4:$C$61,1))))) * (INDEX('IR data'!$D$4:$D$61,MATCH(A51,'IR data'!$C$4:$C$61,1))-(INDEX('IR data'!$D$4:$D$61,MATCH(A51,'IR data'!$C$4:$C$61,1)+1)))))</f>
        <v>0.99255665500000001</v>
      </c>
      <c r="C51" s="30">
        <f t="shared" si="2"/>
        <v>2.4673196900213586E-2</v>
      </c>
      <c r="D51" s="45">
        <f t="shared" si="3"/>
        <v>45399</v>
      </c>
      <c r="E51" s="14" cm="1">
        <f t="array" ref="E51">_xlfn.IFNA(INDEX('IR data'!$I$4:$I$61,MATCH(D51,'IR data'!$H$4:$H$61,0)),((INDEX('IR data'!$I$4:$I$61,MATCH(D51,'IR data'!$H$4:$H$61,1)))-((D51-(INDEX('IR data'!$H$4:$H$61,MATCH(D51,'IR data'!$H$4:$H$61,1))))/((INDEX('IR data'!$H$4:$H$61,MATCH(D51,'IR data'!$H$4:$H$61,1)+1)-INDEX('IR data'!$H$4:$H$61,MATCH(D51,'IR data'!$H$4:$H$61,1))))) * (INDEX('IR data'!$I$4:$I$61,MATCH(D51,'IR data'!$H$4:$H$61,1))-(INDEX('IR data'!$I$4:$I$61,MATCH(D51,'IR data'!$H$4:$H$61,1)+1)))))</f>
        <v>0.99289386309374994</v>
      </c>
      <c r="F51" s="30">
        <f t="shared" si="4"/>
        <v>2.3551424216226333E-2</v>
      </c>
      <c r="G51" s="45">
        <f t="shared" si="0"/>
        <v>45433</v>
      </c>
      <c r="H51" s="14" cm="1">
        <f t="array" ref="H51">_xlfn.IFNA(INDEX('IR data'!$N$4:$N$61,MATCH(G51,'IR data'!$M$4:$M$61,0)),((INDEX('IR data'!$N$4:$N$61,MATCH(G51,'IR data'!$M$4:$M$61,1)))-((G51-(INDEX('IR data'!$M$4:$M$61,MATCH(G51,'IR data'!$M$4:$M$61,1))))/((INDEX('IR data'!$M$4:$M$61,MATCH(G51,'IR data'!$M$4:$M$61,1)+1)-INDEX('IR data'!$M$4:$M$61,MATCH(G51,'IR data'!$M$4:$M$61,1))))) * (INDEX('IR data'!$N$4:$N$61,MATCH(G51,'IR data'!$M$4:$M$61,1))-(INDEX('IR data'!$N$4:$N$61,MATCH(G51,'IR data'!$M$4:$M$61,1)+1)))))</f>
        <v>0.99290656600000005</v>
      </c>
      <c r="I51" s="44">
        <f t="shared" si="5"/>
        <v>2.3509173563104956E-2</v>
      </c>
    </row>
    <row r="52" spans="1:9" x14ac:dyDescent="0.25">
      <c r="A52" s="45">
        <f t="shared" si="1"/>
        <v>45340</v>
      </c>
      <c r="B52" s="14" cm="1">
        <f t="array" ref="B52">_xlfn.IFNA(INDEX('IR data'!$D$4:$D$61,MATCH(A52,'IR data'!$C$4:$C$61,0)),((INDEX('IR data'!$D$4:$D$61,MATCH(A52,'IR data'!$C$4:$C$61,1)))-((A52-(INDEX('IR data'!$C$4:$C$61,MATCH(A52,'IR data'!$C$4:$C$61,1))))/((INDEX('IR data'!$C$4:$C$61,MATCH(A52,'IR data'!$C$4:$C$61,1)+1)-INDEX('IR data'!$C$4:$C$61,MATCH(A52,'IR data'!$C$4:$C$61,1))))) * (INDEX('IR data'!$D$4:$D$61,MATCH(A52,'IR data'!$C$4:$C$61,1))-(INDEX('IR data'!$D$4:$D$61,MATCH(A52,'IR data'!$C$4:$C$61,1)+1)))))</f>
        <v>0.99240684499999998</v>
      </c>
      <c r="C52" s="30">
        <f t="shared" si="2"/>
        <v>2.4657976489140858E-2</v>
      </c>
      <c r="D52" s="45">
        <f t="shared" si="3"/>
        <v>45400</v>
      </c>
      <c r="E52" s="14" cm="1">
        <f t="array" ref="E52">_xlfn.IFNA(INDEX('IR data'!$I$4:$I$61,MATCH(D52,'IR data'!$H$4:$H$61,0)),((INDEX('IR data'!$I$4:$I$61,MATCH(D52,'IR data'!$H$4:$H$61,1)))-((D52-(INDEX('IR data'!$H$4:$H$61,MATCH(D52,'IR data'!$H$4:$H$61,1))))/((INDEX('IR data'!$H$4:$H$61,MATCH(D52,'IR data'!$H$4:$H$61,1)+1)-INDEX('IR data'!$H$4:$H$61,MATCH(D52,'IR data'!$H$4:$H$61,1))))) * (INDEX('IR data'!$I$4:$I$61,MATCH(D52,'IR data'!$H$4:$H$61,1))-(INDEX('IR data'!$I$4:$I$61,MATCH(D52,'IR data'!$H$4:$H$61,1)+1)))))</f>
        <v>0.99274260556249994</v>
      </c>
      <c r="F52" s="30">
        <f t="shared" si="4"/>
        <v>2.3563648337953071E-2</v>
      </c>
      <c r="G52" s="45">
        <f t="shared" si="0"/>
        <v>45434</v>
      </c>
      <c r="H52" s="14" cm="1">
        <f t="array" ref="H52">_xlfn.IFNA(INDEX('IR data'!$N$4:$N$61,MATCH(G52,'IR data'!$M$4:$M$61,0)),((INDEX('IR data'!$N$4:$N$61,MATCH(G52,'IR data'!$M$4:$M$61,1)))-((G52-(INDEX('IR data'!$M$4:$M$61,MATCH(G52,'IR data'!$M$4:$M$61,1))))/((INDEX('IR data'!$M$4:$M$61,MATCH(G52,'IR data'!$M$4:$M$61,1)+1)-INDEX('IR data'!$M$4:$M$61,MATCH(G52,'IR data'!$M$4:$M$61,1))))) * (INDEX('IR data'!$N$4:$N$61,MATCH(G52,'IR data'!$M$4:$M$61,1))-(INDEX('IR data'!$N$4:$N$61,MATCH(G52,'IR data'!$M$4:$M$61,1)+1)))))</f>
        <v>0.99275644600000001</v>
      </c>
      <c r="I52" s="44">
        <f t="shared" si="5"/>
        <v>2.3518546813035338E-2</v>
      </c>
    </row>
    <row r="53" spans="1:9" x14ac:dyDescent="0.25">
      <c r="A53" s="45">
        <f t="shared" si="1"/>
        <v>45341</v>
      </c>
      <c r="B53" s="14" cm="1">
        <f t="array" ref="B53">_xlfn.IFNA(INDEX('IR data'!$D$4:$D$61,MATCH(A53,'IR data'!$C$4:$C$61,0)),((INDEX('IR data'!$D$4:$D$61,MATCH(A53,'IR data'!$C$4:$C$61,1)))-((A53-(INDEX('IR data'!$C$4:$C$61,MATCH(A53,'IR data'!$C$4:$C$61,1))))/((INDEX('IR data'!$C$4:$C$61,MATCH(A53,'IR data'!$C$4:$C$61,1)+1)-INDEX('IR data'!$C$4:$C$61,MATCH(A53,'IR data'!$C$4:$C$61,1))))) * (INDEX('IR data'!$D$4:$D$61,MATCH(A53,'IR data'!$C$4:$C$61,1))-(INDEX('IR data'!$D$4:$D$61,MATCH(A53,'IR data'!$C$4:$C$61,1)+1)))))</f>
        <v>0.99225703499999995</v>
      </c>
      <c r="C53" s="30">
        <f t="shared" si="2"/>
        <v>2.4643437139758369E-2</v>
      </c>
      <c r="D53" s="45">
        <f t="shared" si="3"/>
        <v>45401</v>
      </c>
      <c r="E53" s="14" cm="1">
        <f t="array" ref="E53">_xlfn.IFNA(INDEX('IR data'!$I$4:$I$61,MATCH(D53,'IR data'!$H$4:$H$61,0)),((INDEX('IR data'!$I$4:$I$61,MATCH(D53,'IR data'!$H$4:$H$61,1)))-((D53-(INDEX('IR data'!$H$4:$H$61,MATCH(D53,'IR data'!$H$4:$H$61,1))))/((INDEX('IR data'!$H$4:$H$61,MATCH(D53,'IR data'!$H$4:$H$61,1)+1)-INDEX('IR data'!$H$4:$H$61,MATCH(D53,'IR data'!$H$4:$H$61,1))))) * (INDEX('IR data'!$I$4:$I$61,MATCH(D53,'IR data'!$H$4:$H$61,1))-(INDEX('IR data'!$I$4:$I$61,MATCH(D53,'IR data'!$H$4:$H$61,1)+1)))))</f>
        <v>0.99259134803124993</v>
      </c>
      <c r="F53" s="30">
        <f t="shared" si="4"/>
        <v>2.3575457093125529E-2</v>
      </c>
      <c r="G53" s="45">
        <f t="shared" si="0"/>
        <v>45435</v>
      </c>
      <c r="H53" s="14" cm="1">
        <f t="array" ref="H53">_xlfn.IFNA(INDEX('IR data'!$N$4:$N$61,MATCH(G53,'IR data'!$M$4:$M$61,0)),((INDEX('IR data'!$N$4:$N$61,MATCH(G53,'IR data'!$M$4:$M$61,1)))-((G53-(INDEX('IR data'!$M$4:$M$61,MATCH(G53,'IR data'!$M$4:$M$61,1))))/((INDEX('IR data'!$M$4:$M$61,MATCH(G53,'IR data'!$M$4:$M$61,1)+1)-INDEX('IR data'!$M$4:$M$61,MATCH(G53,'IR data'!$M$4:$M$61,1))))) * (INDEX('IR data'!$N$4:$N$61,MATCH(G53,'IR data'!$M$4:$M$61,1))-(INDEX('IR data'!$N$4:$N$61,MATCH(G53,'IR data'!$M$4:$M$61,1)+1)))))</f>
        <v>0.99260632599999998</v>
      </c>
      <c r="I53" s="44">
        <f t="shared" si="5"/>
        <v>2.3527617626433205E-2</v>
      </c>
    </row>
    <row r="54" spans="1:9" x14ac:dyDescent="0.25">
      <c r="A54" s="45">
        <f t="shared" si="1"/>
        <v>45342</v>
      </c>
      <c r="B54" s="14" cm="1">
        <f t="array" ref="B54">_xlfn.IFNA(INDEX('IR data'!$D$4:$D$61,MATCH(A54,'IR data'!$C$4:$C$61,0)),((INDEX('IR data'!$D$4:$D$61,MATCH(A54,'IR data'!$C$4:$C$61,1)))-((A54-(INDEX('IR data'!$C$4:$C$61,MATCH(A54,'IR data'!$C$4:$C$61,1))))/((INDEX('IR data'!$C$4:$C$61,MATCH(A54,'IR data'!$C$4:$C$61,1)+1)-INDEX('IR data'!$C$4:$C$61,MATCH(A54,'IR data'!$C$4:$C$61,1))))) * (INDEX('IR data'!$D$4:$D$61,MATCH(A54,'IR data'!$C$4:$C$61,1))-(INDEX('IR data'!$D$4:$D$61,MATCH(A54,'IR data'!$C$4:$C$61,1)+1)))))</f>
        <v>0.99210722500000004</v>
      </c>
      <c r="C54" s="30">
        <f t="shared" si="2"/>
        <v>2.4629538811002303E-2</v>
      </c>
      <c r="D54" s="45">
        <f t="shared" si="3"/>
        <v>45402</v>
      </c>
      <c r="E54" s="14" cm="1">
        <f t="array" ref="E54">_xlfn.IFNA(INDEX('IR data'!$I$4:$I$61,MATCH(D54,'IR data'!$H$4:$H$61,0)),((INDEX('IR data'!$I$4:$I$61,MATCH(D54,'IR data'!$H$4:$H$61,1)))-((D54-(INDEX('IR data'!$H$4:$H$61,MATCH(D54,'IR data'!$H$4:$H$61,1))))/((INDEX('IR data'!$H$4:$H$61,MATCH(D54,'IR data'!$H$4:$H$61,1)+1)-INDEX('IR data'!$H$4:$H$61,MATCH(D54,'IR data'!$H$4:$H$61,1))))) * (INDEX('IR data'!$I$4:$I$61,MATCH(D54,'IR data'!$H$4:$H$61,1))-(INDEX('IR data'!$I$4:$I$61,MATCH(D54,'IR data'!$H$4:$H$61,1)+1)))))</f>
        <v>0.99244009049999993</v>
      </c>
      <c r="F54" s="30">
        <f t="shared" si="4"/>
        <v>2.3586874937063056E-2</v>
      </c>
      <c r="G54" s="45">
        <f t="shared" si="0"/>
        <v>45436</v>
      </c>
      <c r="H54" s="14" cm="1">
        <f t="array" ref="H54">_xlfn.IFNA(INDEX('IR data'!$N$4:$N$61,MATCH(G54,'IR data'!$M$4:$M$61,0)),((INDEX('IR data'!$N$4:$N$61,MATCH(G54,'IR data'!$M$4:$M$61,1)))-((G54-(INDEX('IR data'!$M$4:$M$61,MATCH(G54,'IR data'!$M$4:$M$61,1))))/((INDEX('IR data'!$M$4:$M$61,MATCH(G54,'IR data'!$M$4:$M$61,1)+1)-INDEX('IR data'!$M$4:$M$61,MATCH(G54,'IR data'!$M$4:$M$61,1))))) * (INDEX('IR data'!$N$4:$N$61,MATCH(G54,'IR data'!$M$4:$M$61,1))-(INDEX('IR data'!$N$4:$N$61,MATCH(G54,'IR data'!$M$4:$M$61,1)+1)))))</f>
        <v>0.99245620599999995</v>
      </c>
      <c r="I54" s="44">
        <f t="shared" si="5"/>
        <v>2.3536403815182055E-2</v>
      </c>
    </row>
    <row r="55" spans="1:9" x14ac:dyDescent="0.25">
      <c r="A55" s="45">
        <f t="shared" si="1"/>
        <v>45343</v>
      </c>
      <c r="B55" s="14" cm="1">
        <f t="array" ref="B55">_xlfn.IFNA(INDEX('IR data'!$D$4:$D$61,MATCH(A55,'IR data'!$C$4:$C$61,0)),((INDEX('IR data'!$D$4:$D$61,MATCH(A55,'IR data'!$C$4:$C$61,1)))-((A55-(INDEX('IR data'!$C$4:$C$61,MATCH(A55,'IR data'!$C$4:$C$61,1))))/((INDEX('IR data'!$C$4:$C$61,MATCH(A55,'IR data'!$C$4:$C$61,1)+1)-INDEX('IR data'!$C$4:$C$61,MATCH(A55,'IR data'!$C$4:$C$61,1))))) * (INDEX('IR data'!$D$4:$D$61,MATCH(A55,'IR data'!$C$4:$C$61,1))-(INDEX('IR data'!$D$4:$D$61,MATCH(A55,'IR data'!$C$4:$C$61,1)+1)))))</f>
        <v>0.99195741500000001</v>
      </c>
      <c r="C55" s="30">
        <f t="shared" si="2"/>
        <v>2.4616244541901214E-2</v>
      </c>
      <c r="D55" s="45">
        <f t="shared" si="3"/>
        <v>45403</v>
      </c>
      <c r="E55" s="14" cm="1">
        <f t="array" ref="E55">_xlfn.IFNA(INDEX('IR data'!$I$4:$I$61,MATCH(D55,'IR data'!$H$4:$H$61,0)),((INDEX('IR data'!$I$4:$I$61,MATCH(D55,'IR data'!$H$4:$H$61,1)))-((D55-(INDEX('IR data'!$H$4:$H$61,MATCH(D55,'IR data'!$H$4:$H$61,1))))/((INDEX('IR data'!$H$4:$H$61,MATCH(D55,'IR data'!$H$4:$H$61,1)+1)-INDEX('IR data'!$H$4:$H$61,MATCH(D55,'IR data'!$H$4:$H$61,1))))) * (INDEX('IR data'!$I$4:$I$61,MATCH(D55,'IR data'!$H$4:$H$61,1))-(INDEX('IR data'!$I$4:$I$61,MATCH(D55,'IR data'!$H$4:$H$61,1)+1)))))</f>
        <v>0.99228883296875003</v>
      </c>
      <c r="F55" s="30">
        <f t="shared" si="4"/>
        <v>2.3597924443916132E-2</v>
      </c>
      <c r="G55" s="45">
        <f t="shared" si="0"/>
        <v>45437</v>
      </c>
      <c r="H55" s="14" cm="1">
        <f t="array" ref="H55">_xlfn.IFNA(INDEX('IR data'!$N$4:$N$61,MATCH(G55,'IR data'!$M$4:$M$61,0)),((INDEX('IR data'!$N$4:$N$61,MATCH(G55,'IR data'!$M$4:$M$61,1)))-((G55-(INDEX('IR data'!$M$4:$M$61,MATCH(G55,'IR data'!$M$4:$M$61,1))))/((INDEX('IR data'!$M$4:$M$61,MATCH(G55,'IR data'!$M$4:$M$61,1)+1)-INDEX('IR data'!$M$4:$M$61,MATCH(G55,'IR data'!$M$4:$M$61,1))))) * (INDEX('IR data'!$N$4:$N$61,MATCH(G55,'IR data'!$M$4:$M$61,1))-(INDEX('IR data'!$N$4:$N$61,MATCH(G55,'IR data'!$M$4:$M$61,1)+1)))))</f>
        <v>0.99230608600000003</v>
      </c>
      <c r="I55" s="44">
        <f t="shared" si="5"/>
        <v>2.3544921821029741E-2</v>
      </c>
    </row>
    <row r="56" spans="1:9" x14ac:dyDescent="0.25">
      <c r="A56" s="45">
        <f t="shared" si="1"/>
        <v>45344</v>
      </c>
      <c r="B56" s="14" cm="1">
        <f t="array" ref="B56">_xlfn.IFNA(INDEX('IR data'!$D$4:$D$61,MATCH(A56,'IR data'!$C$4:$C$61,0)),((INDEX('IR data'!$D$4:$D$61,MATCH(A56,'IR data'!$C$4:$C$61,1)))-((A56-(INDEX('IR data'!$C$4:$C$61,MATCH(A56,'IR data'!$C$4:$C$61,1))))/((INDEX('IR data'!$C$4:$C$61,MATCH(A56,'IR data'!$C$4:$C$61,1)+1)-INDEX('IR data'!$C$4:$C$61,MATCH(A56,'IR data'!$C$4:$C$61,1))))) * (INDEX('IR data'!$D$4:$D$61,MATCH(A56,'IR data'!$C$4:$C$61,1))-(INDEX('IR data'!$D$4:$D$61,MATCH(A56,'IR data'!$C$4:$C$61,1)+1)))))</f>
        <v>0.99180760499999998</v>
      </c>
      <c r="C56" s="30">
        <f t="shared" si="2"/>
        <v>2.4603520160999252E-2</v>
      </c>
      <c r="D56" s="45">
        <f t="shared" si="3"/>
        <v>45404</v>
      </c>
      <c r="E56" s="14" cm="1">
        <f t="array" ref="E56">_xlfn.IFNA(INDEX('IR data'!$I$4:$I$61,MATCH(D56,'IR data'!$H$4:$H$61,0)),((INDEX('IR data'!$I$4:$I$61,MATCH(D56,'IR data'!$H$4:$H$61,1)))-((D56-(INDEX('IR data'!$H$4:$H$61,MATCH(D56,'IR data'!$H$4:$H$61,1))))/((INDEX('IR data'!$H$4:$H$61,MATCH(D56,'IR data'!$H$4:$H$61,1)+1)-INDEX('IR data'!$H$4:$H$61,MATCH(D56,'IR data'!$H$4:$H$61,1))))) * (INDEX('IR data'!$I$4:$I$61,MATCH(D56,'IR data'!$H$4:$H$61,1))-(INDEX('IR data'!$I$4:$I$61,MATCH(D56,'IR data'!$H$4:$H$61,1)+1)))))</f>
        <v>0.99213757543750003</v>
      </c>
      <c r="F56" s="30">
        <f t="shared" si="4"/>
        <v>2.360862648413644E-2</v>
      </c>
      <c r="G56" s="45">
        <f t="shared" si="0"/>
        <v>45438</v>
      </c>
      <c r="H56" s="14" cm="1">
        <f t="array" ref="H56">_xlfn.IFNA(INDEX('IR data'!$N$4:$N$61,MATCH(G56,'IR data'!$M$4:$M$61,0)),((INDEX('IR data'!$N$4:$N$61,MATCH(G56,'IR data'!$M$4:$M$61,1)))-((G56-(INDEX('IR data'!$M$4:$M$61,MATCH(G56,'IR data'!$M$4:$M$61,1))))/((INDEX('IR data'!$M$4:$M$61,MATCH(G56,'IR data'!$M$4:$M$61,1)+1)-INDEX('IR data'!$M$4:$M$61,MATCH(G56,'IR data'!$M$4:$M$61,1))))) * (INDEX('IR data'!$N$4:$N$61,MATCH(G56,'IR data'!$M$4:$M$61,1))-(INDEX('IR data'!$N$4:$N$61,MATCH(G56,'IR data'!$M$4:$M$61,1)+1)))))</f>
        <v>0.992155966</v>
      </c>
      <c r="I56" s="44">
        <f t="shared" si="5"/>
        <v>2.3553186844847876E-2</v>
      </c>
    </row>
    <row r="57" spans="1:9" x14ac:dyDescent="0.25">
      <c r="A57" s="45">
        <f t="shared" si="1"/>
        <v>45345</v>
      </c>
      <c r="B57" s="14" cm="1">
        <f t="array" ref="B57">_xlfn.IFNA(INDEX('IR data'!$D$4:$D$61,MATCH(A57,'IR data'!$C$4:$C$61,0)),((INDEX('IR data'!$D$4:$D$61,MATCH(A57,'IR data'!$C$4:$C$61,1)))-((A57-(INDEX('IR data'!$C$4:$C$61,MATCH(A57,'IR data'!$C$4:$C$61,1))))/((INDEX('IR data'!$C$4:$C$61,MATCH(A57,'IR data'!$C$4:$C$61,1)+1)-INDEX('IR data'!$C$4:$C$61,MATCH(A57,'IR data'!$C$4:$C$61,1))))) * (INDEX('IR data'!$D$4:$D$61,MATCH(A57,'IR data'!$C$4:$C$61,1))-(INDEX('IR data'!$D$4:$D$61,MATCH(A57,'IR data'!$C$4:$C$61,1)+1)))))</f>
        <v>0.99165779500000006</v>
      </c>
      <c r="C57" s="30">
        <f t="shared" si="2"/>
        <v>2.4591334028068679E-2</v>
      </c>
      <c r="D57" s="45">
        <f t="shared" si="3"/>
        <v>45405</v>
      </c>
      <c r="E57" s="14" cm="1">
        <f t="array" ref="E57">_xlfn.IFNA(INDEX('IR data'!$I$4:$I$61,MATCH(D57,'IR data'!$H$4:$H$61,0)),((INDEX('IR data'!$I$4:$I$61,MATCH(D57,'IR data'!$H$4:$H$61,1)))-((D57-(INDEX('IR data'!$H$4:$H$61,MATCH(D57,'IR data'!$H$4:$H$61,1))))/((INDEX('IR data'!$H$4:$H$61,MATCH(D57,'IR data'!$H$4:$H$61,1)+1)-INDEX('IR data'!$H$4:$H$61,MATCH(D57,'IR data'!$H$4:$H$61,1))))) * (INDEX('IR data'!$I$4:$I$61,MATCH(D57,'IR data'!$H$4:$H$61,1))-(INDEX('IR data'!$I$4:$I$61,MATCH(D57,'IR data'!$H$4:$H$61,1)+1)))))</f>
        <v>0.99198631790625003</v>
      </c>
      <c r="F57" s="30">
        <f t="shared" si="4"/>
        <v>2.3619000382224802E-2</v>
      </c>
      <c r="G57" s="45">
        <f t="shared" si="0"/>
        <v>45439</v>
      </c>
      <c r="H57" s="14" cm="1">
        <f t="array" ref="H57">_xlfn.IFNA(INDEX('IR data'!$N$4:$N$61,MATCH(G57,'IR data'!$M$4:$M$61,0)),((INDEX('IR data'!$N$4:$N$61,MATCH(G57,'IR data'!$M$4:$M$61,1)))-((G57-(INDEX('IR data'!$M$4:$M$61,MATCH(G57,'IR data'!$M$4:$M$61,1))))/((INDEX('IR data'!$M$4:$M$61,MATCH(G57,'IR data'!$M$4:$M$61,1)+1)-INDEX('IR data'!$M$4:$M$61,MATCH(G57,'IR data'!$M$4:$M$61,1))))) * (INDEX('IR data'!$N$4:$N$61,MATCH(G57,'IR data'!$M$4:$M$61,1))-(INDEX('IR data'!$N$4:$N$61,MATCH(G57,'IR data'!$M$4:$M$61,1)+1)))))</f>
        <v>0.99200584599999997</v>
      </c>
      <c r="I57" s="44">
        <f t="shared" si="5"/>
        <v>2.3561212961525819E-2</v>
      </c>
    </row>
    <row r="58" spans="1:9" x14ac:dyDescent="0.25">
      <c r="A58" s="45">
        <f t="shared" si="1"/>
        <v>45346</v>
      </c>
      <c r="B58" s="14" cm="1">
        <f t="array" ref="B58">_xlfn.IFNA(INDEX('IR data'!$D$4:$D$61,MATCH(A58,'IR data'!$C$4:$C$61,0)),((INDEX('IR data'!$D$4:$D$61,MATCH(A58,'IR data'!$C$4:$C$61,1)))-((A58-(INDEX('IR data'!$C$4:$C$61,MATCH(A58,'IR data'!$C$4:$C$61,1))))/((INDEX('IR data'!$C$4:$C$61,MATCH(A58,'IR data'!$C$4:$C$61,1)+1)-INDEX('IR data'!$C$4:$C$61,MATCH(A58,'IR data'!$C$4:$C$61,1))))) * (INDEX('IR data'!$D$4:$D$61,MATCH(A58,'IR data'!$C$4:$C$61,1))-(INDEX('IR data'!$D$4:$D$61,MATCH(A58,'IR data'!$C$4:$C$61,1)+1)))))</f>
        <v>0.99150798500000004</v>
      </c>
      <c r="C58" s="30">
        <f t="shared" si="2"/>
        <v>2.4579656803999209E-2</v>
      </c>
      <c r="D58" s="45">
        <f t="shared" si="3"/>
        <v>45406</v>
      </c>
      <c r="E58" s="14" cm="1">
        <f t="array" ref="E58">_xlfn.IFNA(INDEX('IR data'!$I$4:$I$61,MATCH(D58,'IR data'!$H$4:$H$61,0)),((INDEX('IR data'!$I$4:$I$61,MATCH(D58,'IR data'!$H$4:$H$61,1)))-((D58-(INDEX('IR data'!$H$4:$H$61,MATCH(D58,'IR data'!$H$4:$H$61,1))))/((INDEX('IR data'!$H$4:$H$61,MATCH(D58,'IR data'!$H$4:$H$61,1)+1)-INDEX('IR data'!$H$4:$H$61,MATCH(D58,'IR data'!$H$4:$H$61,1))))) * (INDEX('IR data'!$I$4:$I$61,MATCH(D58,'IR data'!$H$4:$H$61,1))-(INDEX('IR data'!$I$4:$I$61,MATCH(D58,'IR data'!$H$4:$H$61,1)+1)))))</f>
        <v>0.99183506037500002</v>
      </c>
      <c r="F58" s="30">
        <f t="shared" si="4"/>
        <v>2.3629064057273476E-2</v>
      </c>
      <c r="G58" s="45">
        <f t="shared" si="0"/>
        <v>45440</v>
      </c>
      <c r="H58" s="14" cm="1">
        <f t="array" ref="H58">_xlfn.IFNA(INDEX('IR data'!$N$4:$N$61,MATCH(G58,'IR data'!$M$4:$M$61,0)),((INDEX('IR data'!$N$4:$N$61,MATCH(G58,'IR data'!$M$4:$M$61,1)))-((G58-(INDEX('IR data'!$M$4:$M$61,MATCH(G58,'IR data'!$M$4:$M$61,1))))/((INDEX('IR data'!$M$4:$M$61,MATCH(G58,'IR data'!$M$4:$M$61,1)+1)-INDEX('IR data'!$M$4:$M$61,MATCH(G58,'IR data'!$M$4:$M$61,1))))) * (INDEX('IR data'!$N$4:$N$61,MATCH(G58,'IR data'!$M$4:$M$61,1))-(INDEX('IR data'!$N$4:$N$61,MATCH(G58,'IR data'!$M$4:$M$61,1)+1)))))</f>
        <v>0.99185572600000005</v>
      </c>
      <c r="I58" s="44">
        <f t="shared" si="5"/>
        <v>2.3569013222333682E-2</v>
      </c>
    </row>
    <row r="59" spans="1:9" x14ac:dyDescent="0.25">
      <c r="A59" s="45">
        <f t="shared" si="1"/>
        <v>45347</v>
      </c>
      <c r="B59" s="14" cm="1">
        <f t="array" ref="B59">_xlfn.IFNA(INDEX('IR data'!$D$4:$D$61,MATCH(A59,'IR data'!$C$4:$C$61,0)),((INDEX('IR data'!$D$4:$D$61,MATCH(A59,'IR data'!$C$4:$C$61,1)))-((A59-(INDEX('IR data'!$C$4:$C$61,MATCH(A59,'IR data'!$C$4:$C$61,1))))/((INDEX('IR data'!$C$4:$C$61,MATCH(A59,'IR data'!$C$4:$C$61,1)+1)-INDEX('IR data'!$C$4:$C$61,MATCH(A59,'IR data'!$C$4:$C$61,1))))) * (INDEX('IR data'!$D$4:$D$61,MATCH(A59,'IR data'!$C$4:$C$61,1))-(INDEX('IR data'!$D$4:$D$61,MATCH(A59,'IR data'!$C$4:$C$61,1)+1)))))</f>
        <v>0.99135817500000001</v>
      </c>
      <c r="C59" s="30">
        <f t="shared" si="2"/>
        <v>2.4568461245339172E-2</v>
      </c>
      <c r="D59" s="45">
        <f t="shared" si="3"/>
        <v>45407</v>
      </c>
      <c r="E59" s="14" cm="1">
        <f t="array" ref="E59">_xlfn.IFNA(INDEX('IR data'!$I$4:$I$61,MATCH(D59,'IR data'!$H$4:$H$61,0)),((INDEX('IR data'!$I$4:$I$61,MATCH(D59,'IR data'!$H$4:$H$61,1)))-((D59-(INDEX('IR data'!$H$4:$H$61,MATCH(D59,'IR data'!$H$4:$H$61,1))))/((INDEX('IR data'!$H$4:$H$61,MATCH(D59,'IR data'!$H$4:$H$61,1)+1)-INDEX('IR data'!$H$4:$H$61,MATCH(D59,'IR data'!$H$4:$H$61,1))))) * (INDEX('IR data'!$I$4:$I$61,MATCH(D59,'IR data'!$H$4:$H$61,1))-(INDEX('IR data'!$I$4:$I$61,MATCH(D59,'IR data'!$H$4:$H$61,1)+1)))))</f>
        <v>0.99168380284375002</v>
      </c>
      <c r="F59" s="30">
        <f t="shared" si="4"/>
        <v>2.363883414844872E-2</v>
      </c>
      <c r="G59" s="45">
        <f t="shared" si="0"/>
        <v>45441</v>
      </c>
      <c r="H59" s="14" cm="1">
        <f t="array" ref="H59">_xlfn.IFNA(INDEX('IR data'!$N$4:$N$61,MATCH(G59,'IR data'!$M$4:$M$61,0)),((INDEX('IR data'!$N$4:$N$61,MATCH(G59,'IR data'!$M$4:$M$61,1)))-((G59-(INDEX('IR data'!$M$4:$M$61,MATCH(G59,'IR data'!$M$4:$M$61,1))))/((INDEX('IR data'!$M$4:$M$61,MATCH(G59,'IR data'!$M$4:$M$61,1)+1)-INDEX('IR data'!$M$4:$M$61,MATCH(G59,'IR data'!$M$4:$M$61,1))))) * (INDEX('IR data'!$N$4:$N$61,MATCH(G59,'IR data'!$M$4:$M$61,1))-(INDEX('IR data'!$N$4:$N$61,MATCH(G59,'IR data'!$M$4:$M$61,1)+1)))))</f>
        <v>0.99170560600000002</v>
      </c>
      <c r="I59" s="44">
        <f t="shared" si="5"/>
        <v>2.3576599746317855E-2</v>
      </c>
    </row>
    <row r="60" spans="1:9" x14ac:dyDescent="0.25">
      <c r="A60" s="45">
        <f t="shared" si="1"/>
        <v>45348</v>
      </c>
      <c r="B60" s="14" cm="1">
        <f t="array" ref="B60">_xlfn.IFNA(INDEX('IR data'!$D$4:$D$61,MATCH(A60,'IR data'!$C$4:$C$61,0)),((INDEX('IR data'!$D$4:$D$61,MATCH(A60,'IR data'!$C$4:$C$61,1)))-((A60-(INDEX('IR data'!$C$4:$C$61,MATCH(A60,'IR data'!$C$4:$C$61,1))))/((INDEX('IR data'!$C$4:$C$61,MATCH(A60,'IR data'!$C$4:$C$61,1)+1)-INDEX('IR data'!$C$4:$C$61,MATCH(A60,'IR data'!$C$4:$C$61,1))))) * (INDEX('IR data'!$D$4:$D$61,MATCH(A60,'IR data'!$C$4:$C$61,1))-(INDEX('IR data'!$D$4:$D$61,MATCH(A60,'IR data'!$C$4:$C$61,1)+1)))))</f>
        <v>0.99120836499999998</v>
      </c>
      <c r="C60" s="30">
        <f t="shared" si="2"/>
        <v>2.4557722020467097E-2</v>
      </c>
      <c r="D60" s="45">
        <f t="shared" si="3"/>
        <v>45408</v>
      </c>
      <c r="E60" s="14" cm="1">
        <f t="array" ref="E60">_xlfn.IFNA(INDEX('IR data'!$I$4:$I$61,MATCH(D60,'IR data'!$H$4:$H$61,0)),((INDEX('IR data'!$I$4:$I$61,MATCH(D60,'IR data'!$H$4:$H$61,1)))-((D60-(INDEX('IR data'!$H$4:$H$61,MATCH(D60,'IR data'!$H$4:$H$61,1))))/((INDEX('IR data'!$H$4:$H$61,MATCH(D60,'IR data'!$H$4:$H$61,1)+1)-INDEX('IR data'!$H$4:$H$61,MATCH(D60,'IR data'!$H$4:$H$61,1))))) * (INDEX('IR data'!$I$4:$I$61,MATCH(D60,'IR data'!$H$4:$H$61,1))-(INDEX('IR data'!$I$4:$I$61,MATCH(D60,'IR data'!$H$4:$H$61,1)+1)))))</f>
        <v>0.99153254531250001</v>
      </c>
      <c r="F60" s="30">
        <f t="shared" si="4"/>
        <v>2.3648326127265053E-2</v>
      </c>
      <c r="G60" s="45">
        <f t="shared" si="0"/>
        <v>45442</v>
      </c>
      <c r="H60" s="14" cm="1">
        <f t="array" ref="H60">_xlfn.IFNA(INDEX('IR data'!$N$4:$N$61,MATCH(G60,'IR data'!$M$4:$M$61,0)),((INDEX('IR data'!$N$4:$N$61,MATCH(G60,'IR data'!$M$4:$M$61,1)))-((G60-(INDEX('IR data'!$M$4:$M$61,MATCH(G60,'IR data'!$M$4:$M$61,1))))/((INDEX('IR data'!$M$4:$M$61,MATCH(G60,'IR data'!$M$4:$M$61,1)+1)-INDEX('IR data'!$M$4:$M$61,MATCH(G60,'IR data'!$M$4:$M$61,1))))) * (INDEX('IR data'!$N$4:$N$61,MATCH(G60,'IR data'!$M$4:$M$61,1))-(INDEX('IR data'!$N$4:$N$61,MATCH(G60,'IR data'!$M$4:$M$61,1)+1)))))</f>
        <v>0.99155548599999999</v>
      </c>
      <c r="I60" s="44">
        <f t="shared" si="5"/>
        <v>2.3583983802073157E-2</v>
      </c>
    </row>
    <row r="61" spans="1:9" x14ac:dyDescent="0.25">
      <c r="A61" s="45">
        <f t="shared" si="1"/>
        <v>45349</v>
      </c>
      <c r="B61" s="14" cm="1">
        <f t="array" ref="B61">_xlfn.IFNA(INDEX('IR data'!$D$4:$D$61,MATCH(A61,'IR data'!$C$4:$C$61,0)),((INDEX('IR data'!$D$4:$D$61,MATCH(A61,'IR data'!$C$4:$C$61,1)))-((A61-(INDEX('IR data'!$C$4:$C$61,MATCH(A61,'IR data'!$C$4:$C$61,1))))/((INDEX('IR data'!$C$4:$C$61,MATCH(A61,'IR data'!$C$4:$C$61,1)+1)-INDEX('IR data'!$C$4:$C$61,MATCH(A61,'IR data'!$C$4:$C$61,1))))) * (INDEX('IR data'!$D$4:$D$61,MATCH(A61,'IR data'!$C$4:$C$61,1))-(INDEX('IR data'!$D$4:$D$61,MATCH(A61,'IR data'!$C$4:$C$61,1)+1)))))</f>
        <v>0.99105855499999995</v>
      </c>
      <c r="C61" s="30">
        <f t="shared" si="2"/>
        <v>2.4547415544778413E-2</v>
      </c>
      <c r="D61" s="45">
        <f t="shared" si="3"/>
        <v>45409</v>
      </c>
      <c r="E61" s="14" cm="1">
        <f t="array" ref="E61">_xlfn.IFNA(INDEX('IR data'!$I$4:$I$61,MATCH(D61,'IR data'!$H$4:$H$61,0)),((INDEX('IR data'!$I$4:$I$61,MATCH(D61,'IR data'!$H$4:$H$61,1)))-((D61-(INDEX('IR data'!$H$4:$H$61,MATCH(D61,'IR data'!$H$4:$H$61,1))))/((INDEX('IR data'!$H$4:$H$61,MATCH(D61,'IR data'!$H$4:$H$61,1)+1)-INDEX('IR data'!$H$4:$H$61,MATCH(D61,'IR data'!$H$4:$H$61,1))))) * (INDEX('IR data'!$I$4:$I$61,MATCH(D61,'IR data'!$H$4:$H$61,1))-(INDEX('IR data'!$I$4:$I$61,MATCH(D61,'IR data'!$H$4:$H$61,1)+1)))))</f>
        <v>0.99138128778125001</v>
      </c>
      <c r="F61" s="30">
        <f t="shared" si="4"/>
        <v>2.3657554398244841E-2</v>
      </c>
      <c r="G61" s="45">
        <f t="shared" si="0"/>
        <v>45443</v>
      </c>
      <c r="H61" s="14" cm="1">
        <f t="array" ref="H61">_xlfn.IFNA(INDEX('IR data'!$N$4:$N$61,MATCH(G61,'IR data'!$M$4:$M$61,0)),((INDEX('IR data'!$N$4:$N$61,MATCH(G61,'IR data'!$M$4:$M$61,1)))-((G61-(INDEX('IR data'!$M$4:$M$61,MATCH(G61,'IR data'!$M$4:$M$61,1))))/((INDEX('IR data'!$M$4:$M$61,MATCH(G61,'IR data'!$M$4:$M$61,1)+1)-INDEX('IR data'!$M$4:$M$61,MATCH(G61,'IR data'!$M$4:$M$61,1))))) * (INDEX('IR data'!$N$4:$N$61,MATCH(G61,'IR data'!$M$4:$M$61,1))-(INDEX('IR data'!$N$4:$N$61,MATCH(G61,'IR data'!$M$4:$M$61,1)+1)))))</f>
        <v>0.99140536599999995</v>
      </c>
      <c r="I61" s="44">
        <f t="shared" si="5"/>
        <v>2.3591175881058846E-2</v>
      </c>
    </row>
    <row r="62" spans="1:9" x14ac:dyDescent="0.25">
      <c r="A62" s="45">
        <f t="shared" si="1"/>
        <v>45350</v>
      </c>
      <c r="B62" s="14" cm="1">
        <f t="array" ref="B62">_xlfn.IFNA(INDEX('IR data'!$D$4:$D$61,MATCH(A62,'IR data'!$C$4:$C$61,0)),((INDEX('IR data'!$D$4:$D$61,MATCH(A62,'IR data'!$C$4:$C$61,1)))-((A62-(INDEX('IR data'!$C$4:$C$61,MATCH(A62,'IR data'!$C$4:$C$61,1))))/((INDEX('IR data'!$C$4:$C$61,MATCH(A62,'IR data'!$C$4:$C$61,1)+1)-INDEX('IR data'!$C$4:$C$61,MATCH(A62,'IR data'!$C$4:$C$61,1))))) * (INDEX('IR data'!$D$4:$D$61,MATCH(A62,'IR data'!$C$4:$C$61,1))-(INDEX('IR data'!$D$4:$D$61,MATCH(A62,'IR data'!$C$4:$C$61,1)+1)))))</f>
        <v>0.99090874500000004</v>
      </c>
      <c r="C62" s="30">
        <f t="shared" si="2"/>
        <v>2.4537519832632929E-2</v>
      </c>
      <c r="D62" s="45">
        <f t="shared" si="3"/>
        <v>45410</v>
      </c>
      <c r="E62" s="14" cm="1">
        <f t="array" ref="E62">_xlfn.IFNA(INDEX('IR data'!$I$4:$I$61,MATCH(D62,'IR data'!$H$4:$H$61,0)),((INDEX('IR data'!$I$4:$I$61,MATCH(D62,'IR data'!$H$4:$H$61,1)))-((D62-(INDEX('IR data'!$H$4:$H$61,MATCH(D62,'IR data'!$H$4:$H$61,1))))/((INDEX('IR data'!$H$4:$H$61,MATCH(D62,'IR data'!$H$4:$H$61,1)+1)-INDEX('IR data'!$H$4:$H$61,MATCH(D62,'IR data'!$H$4:$H$61,1))))) * (INDEX('IR data'!$I$4:$I$61,MATCH(D62,'IR data'!$H$4:$H$61,1))-(INDEX('IR data'!$I$4:$I$61,MATCH(D62,'IR data'!$H$4:$H$61,1)+1)))))</f>
        <v>0.99123003025</v>
      </c>
      <c r="F62" s="30">
        <f t="shared" si="4"/>
        <v>2.3666532389341414E-2</v>
      </c>
      <c r="G62" s="45">
        <f t="shared" si="0"/>
        <v>45444</v>
      </c>
      <c r="H62" s="14" cm="1">
        <f t="array" ref="H62">_xlfn.IFNA(INDEX('IR data'!$N$4:$N$61,MATCH(G62,'IR data'!$M$4:$M$61,0)),((INDEX('IR data'!$N$4:$N$61,MATCH(G62,'IR data'!$M$4:$M$61,1)))-((G62-(INDEX('IR data'!$M$4:$M$61,MATCH(G62,'IR data'!$M$4:$M$61,1))))/((INDEX('IR data'!$M$4:$M$61,MATCH(G62,'IR data'!$M$4:$M$61,1)+1)-INDEX('IR data'!$M$4:$M$61,MATCH(G62,'IR data'!$M$4:$M$61,1))))) * (INDEX('IR data'!$N$4:$N$61,MATCH(G62,'IR data'!$M$4:$M$61,1))-(INDEX('IR data'!$N$4:$N$61,MATCH(G62,'IR data'!$M$4:$M$61,1)+1)))))</f>
        <v>0.99125524600000003</v>
      </c>
      <c r="I62" s="44">
        <f t="shared" si="5"/>
        <v>2.3598185763456979E-2</v>
      </c>
    </row>
    <row r="63" spans="1:9" x14ac:dyDescent="0.25">
      <c r="A63" s="45">
        <f t="shared" si="1"/>
        <v>45351</v>
      </c>
      <c r="B63" s="14" cm="1">
        <f t="array" ref="B63">_xlfn.IFNA(INDEX('IR data'!$D$4:$D$61,MATCH(A63,'IR data'!$C$4:$C$61,0)),((INDEX('IR data'!$D$4:$D$61,MATCH(A63,'IR data'!$C$4:$C$61,1)))-((A63-(INDEX('IR data'!$C$4:$C$61,MATCH(A63,'IR data'!$C$4:$C$61,1))))/((INDEX('IR data'!$C$4:$C$61,MATCH(A63,'IR data'!$C$4:$C$61,1)+1)-INDEX('IR data'!$C$4:$C$61,MATCH(A63,'IR data'!$C$4:$C$61,1))))) * (INDEX('IR data'!$D$4:$D$61,MATCH(A63,'IR data'!$C$4:$C$61,1))-(INDEX('IR data'!$D$4:$D$61,MATCH(A63,'IR data'!$C$4:$C$61,1)+1)))))</f>
        <v>0.99075893500000001</v>
      </c>
      <c r="C63" s="30">
        <f t="shared" si="2"/>
        <v>2.4528014364108949E-2</v>
      </c>
      <c r="D63" s="45">
        <f t="shared" si="3"/>
        <v>45411</v>
      </c>
      <c r="E63" s="14" cm="1">
        <f t="array" ref="E63">_xlfn.IFNA(INDEX('IR data'!$I$4:$I$61,MATCH(D63,'IR data'!$H$4:$H$61,0)),((INDEX('IR data'!$I$4:$I$61,MATCH(D63,'IR data'!$H$4:$H$61,1)))-((D63-(INDEX('IR data'!$H$4:$H$61,MATCH(D63,'IR data'!$H$4:$H$61,1))))/((INDEX('IR data'!$H$4:$H$61,MATCH(D63,'IR data'!$H$4:$H$61,1)+1)-INDEX('IR data'!$H$4:$H$61,MATCH(D63,'IR data'!$H$4:$H$61,1))))) * (INDEX('IR data'!$I$4:$I$61,MATCH(D63,'IR data'!$H$4:$H$61,1))-(INDEX('IR data'!$I$4:$I$61,MATCH(D63,'IR data'!$H$4:$H$61,1)+1)))))</f>
        <v>0.99107877271875</v>
      </c>
      <c r="F63" s="30">
        <f t="shared" si="4"/>
        <v>2.367527263331979E-2</v>
      </c>
      <c r="G63" s="45">
        <f t="shared" si="0"/>
        <v>45445</v>
      </c>
      <c r="H63" s="14" cm="1">
        <f t="array" ref="H63">_xlfn.IFNA(INDEX('IR data'!$N$4:$N$61,MATCH(G63,'IR data'!$M$4:$M$61,0)),((INDEX('IR data'!$N$4:$N$61,MATCH(G63,'IR data'!$M$4:$M$61,1)))-((G63-(INDEX('IR data'!$M$4:$M$61,MATCH(G63,'IR data'!$M$4:$M$61,1))))/((INDEX('IR data'!$M$4:$M$61,MATCH(G63,'IR data'!$M$4:$M$61,1)+1)-INDEX('IR data'!$M$4:$M$61,MATCH(G63,'IR data'!$M$4:$M$61,1))))) * (INDEX('IR data'!$N$4:$N$61,MATCH(G63,'IR data'!$M$4:$M$61,1))-(INDEX('IR data'!$N$4:$N$61,MATCH(G63,'IR data'!$M$4:$M$61,1)+1)))))</f>
        <v>0.991105126</v>
      </c>
      <c r="I63" s="44">
        <f t="shared" si="5"/>
        <v>2.3605022577446698E-2</v>
      </c>
    </row>
    <row r="64" spans="1:9" x14ac:dyDescent="0.25">
      <c r="A64" s="45">
        <f t="shared" si="1"/>
        <v>45352</v>
      </c>
      <c r="B64" s="14" cm="1">
        <f t="array" ref="B64">_xlfn.IFNA(INDEX('IR data'!$D$4:$D$61,MATCH(A64,'IR data'!$C$4:$C$61,0)),((INDEX('IR data'!$D$4:$D$61,MATCH(A64,'IR data'!$C$4:$C$61,1)))-((A64-(INDEX('IR data'!$C$4:$C$61,MATCH(A64,'IR data'!$C$4:$C$61,1))))/((INDEX('IR data'!$C$4:$C$61,MATCH(A64,'IR data'!$C$4:$C$61,1)+1)-INDEX('IR data'!$C$4:$C$61,MATCH(A64,'IR data'!$C$4:$C$61,1))))) * (INDEX('IR data'!$D$4:$D$61,MATCH(A64,'IR data'!$C$4:$C$61,1))-(INDEX('IR data'!$D$4:$D$61,MATCH(A64,'IR data'!$C$4:$C$61,1)+1)))))</f>
        <v>0.99060912499999998</v>
      </c>
      <c r="C64" s="30">
        <f t="shared" si="2"/>
        <v>2.4518879964860681E-2</v>
      </c>
      <c r="D64" s="45">
        <f t="shared" si="3"/>
        <v>45412</v>
      </c>
      <c r="E64" s="14" cm="1">
        <f t="array" ref="E64">_xlfn.IFNA(INDEX('IR data'!$I$4:$I$61,MATCH(D64,'IR data'!$H$4:$H$61,0)),((INDEX('IR data'!$I$4:$I$61,MATCH(D64,'IR data'!$H$4:$H$61,1)))-((D64-(INDEX('IR data'!$H$4:$H$61,MATCH(D64,'IR data'!$H$4:$H$61,1))))/((INDEX('IR data'!$H$4:$H$61,MATCH(D64,'IR data'!$H$4:$H$61,1)+1)-INDEX('IR data'!$H$4:$H$61,MATCH(D64,'IR data'!$H$4:$H$61,1))))) * (INDEX('IR data'!$I$4:$I$61,MATCH(D64,'IR data'!$H$4:$H$61,1))-(INDEX('IR data'!$I$4:$I$61,MATCH(D64,'IR data'!$H$4:$H$61,1)+1)))))</f>
        <v>0.9909275151875</v>
      </c>
      <c r="F64" s="30">
        <f t="shared" si="4"/>
        <v>2.3683786841132783E-2</v>
      </c>
      <c r="G64" s="45">
        <f t="shared" si="0"/>
        <v>45446</v>
      </c>
      <c r="H64" s="14" cm="1">
        <f t="array" ref="H64">_xlfn.IFNA(INDEX('IR data'!$N$4:$N$61,MATCH(G64,'IR data'!$M$4:$M$61,0)),((INDEX('IR data'!$N$4:$N$61,MATCH(G64,'IR data'!$M$4:$M$61,1)))-((G64-(INDEX('IR data'!$M$4:$M$61,MATCH(G64,'IR data'!$M$4:$M$61,1))))/((INDEX('IR data'!$M$4:$M$61,MATCH(G64,'IR data'!$M$4:$M$61,1)+1)-INDEX('IR data'!$M$4:$M$61,MATCH(G64,'IR data'!$M$4:$M$61,1))))) * (INDEX('IR data'!$N$4:$N$61,MATCH(G64,'IR data'!$M$4:$M$61,1))-(INDEX('IR data'!$N$4:$N$61,MATCH(G64,'IR data'!$M$4:$M$61,1)+1)))))</f>
        <v>0.99095500599999997</v>
      </c>
      <c r="I64" s="44">
        <f t="shared" si="5"/>
        <v>2.3611694852645342E-2</v>
      </c>
    </row>
    <row r="65" spans="1:9" x14ac:dyDescent="0.25">
      <c r="A65" s="45">
        <f t="shared" si="1"/>
        <v>45353</v>
      </c>
      <c r="B65" s="14" cm="1">
        <f t="array" ref="B65">_xlfn.IFNA(INDEX('IR data'!$D$4:$D$61,MATCH(A65,'IR data'!$C$4:$C$61,0)),((INDEX('IR data'!$D$4:$D$61,MATCH(A65,'IR data'!$C$4:$C$61,1)))-((A65-(INDEX('IR data'!$C$4:$C$61,MATCH(A65,'IR data'!$C$4:$C$61,1))))/((INDEX('IR data'!$C$4:$C$61,MATCH(A65,'IR data'!$C$4:$C$61,1)+1)-INDEX('IR data'!$C$4:$C$61,MATCH(A65,'IR data'!$C$4:$C$61,1))))) * (INDEX('IR data'!$D$4:$D$61,MATCH(A65,'IR data'!$C$4:$C$61,1))-(INDEX('IR data'!$D$4:$D$61,MATCH(A65,'IR data'!$C$4:$C$61,1)+1)))))</f>
        <v>0.99045931500000006</v>
      </c>
      <c r="C65" s="30">
        <f t="shared" si="2"/>
        <v>2.4510098697604944E-2</v>
      </c>
      <c r="D65" s="45">
        <f t="shared" si="3"/>
        <v>45413</v>
      </c>
      <c r="E65" s="14" cm="1">
        <f t="array" ref="E65">_xlfn.IFNA(INDEX('IR data'!$I$4:$I$61,MATCH(D65,'IR data'!$H$4:$H$61,0)),((INDEX('IR data'!$I$4:$I$61,MATCH(D65,'IR data'!$H$4:$H$61,1)))-((D65-(INDEX('IR data'!$H$4:$H$61,MATCH(D65,'IR data'!$H$4:$H$61,1))))/((INDEX('IR data'!$H$4:$H$61,MATCH(D65,'IR data'!$H$4:$H$61,1)+1)-INDEX('IR data'!$H$4:$H$61,MATCH(D65,'IR data'!$H$4:$H$61,1))))) * (INDEX('IR data'!$I$4:$I$61,MATCH(D65,'IR data'!$H$4:$H$61,1))-(INDEX('IR data'!$I$4:$I$61,MATCH(D65,'IR data'!$H$4:$H$61,1)+1)))))</f>
        <v>0.99077625765624999</v>
      </c>
      <c r="F65" s="30">
        <f t="shared" si="4"/>
        <v>2.3692085968196202E-2</v>
      </c>
      <c r="G65" s="45">
        <f t="shared" si="0"/>
        <v>45447</v>
      </c>
      <c r="H65" s="14" cm="1">
        <f t="array" ref="H65">_xlfn.IFNA(INDEX('IR data'!$N$4:$N$61,MATCH(G65,'IR data'!$M$4:$M$61,0)),((INDEX('IR data'!$N$4:$N$61,MATCH(G65,'IR data'!$M$4:$M$61,1)))-((G65-(INDEX('IR data'!$M$4:$M$61,MATCH(G65,'IR data'!$M$4:$M$61,1))))/((INDEX('IR data'!$M$4:$M$61,MATCH(G65,'IR data'!$M$4:$M$61,1)+1)-INDEX('IR data'!$M$4:$M$61,MATCH(G65,'IR data'!$M$4:$M$61,1))))) * (INDEX('IR data'!$N$4:$N$61,MATCH(G65,'IR data'!$M$4:$M$61,1))-(INDEX('IR data'!$N$4:$N$61,MATCH(G65,'IR data'!$M$4:$M$61,1)+1)))))</f>
        <v>0.99080488600000005</v>
      </c>
      <c r="I65" s="44">
        <f t="shared" si="5"/>
        <v>2.3618210568380451E-2</v>
      </c>
    </row>
    <row r="66" spans="1:9" x14ac:dyDescent="0.25">
      <c r="A66" s="45">
        <f t="shared" si="1"/>
        <v>45354</v>
      </c>
      <c r="B66" s="14" cm="1">
        <f t="array" ref="B66">_xlfn.IFNA(INDEX('IR data'!$D$4:$D$61,MATCH(A66,'IR data'!$C$4:$C$61,0)),((INDEX('IR data'!$D$4:$D$61,MATCH(A66,'IR data'!$C$4:$C$61,1)))-((A66-(INDEX('IR data'!$C$4:$C$61,MATCH(A66,'IR data'!$C$4:$C$61,1))))/((INDEX('IR data'!$C$4:$C$61,MATCH(A66,'IR data'!$C$4:$C$61,1)+1)-INDEX('IR data'!$C$4:$C$61,MATCH(A66,'IR data'!$C$4:$C$61,1))))) * (INDEX('IR data'!$D$4:$D$61,MATCH(A66,'IR data'!$C$4:$C$61,1))-(INDEX('IR data'!$D$4:$D$61,MATCH(A66,'IR data'!$C$4:$C$61,1)+1)))))</f>
        <v>0.99030950500000003</v>
      </c>
      <c r="C66" s="30">
        <f t="shared" si="2"/>
        <v>2.4501653763942387E-2</v>
      </c>
      <c r="D66" s="45">
        <f t="shared" si="3"/>
        <v>45414</v>
      </c>
      <c r="E66" s="14" cm="1">
        <f t="array" ref="E66">_xlfn.IFNA(INDEX('IR data'!$I$4:$I$61,MATCH(D66,'IR data'!$H$4:$H$61,0)),((INDEX('IR data'!$I$4:$I$61,MATCH(D66,'IR data'!$H$4:$H$61,1)))-((D66-(INDEX('IR data'!$H$4:$H$61,MATCH(D66,'IR data'!$H$4:$H$61,1))))/((INDEX('IR data'!$H$4:$H$61,MATCH(D66,'IR data'!$H$4:$H$61,1)+1)-INDEX('IR data'!$H$4:$H$61,MATCH(D66,'IR data'!$H$4:$H$61,1))))) * (INDEX('IR data'!$I$4:$I$61,MATCH(D66,'IR data'!$H$4:$H$61,1))-(INDEX('IR data'!$I$4:$I$61,MATCH(D66,'IR data'!$H$4:$H$61,1)+1)))))</f>
        <v>0.99062500012499999</v>
      </c>
      <c r="F66" s="30">
        <f t="shared" si="4"/>
        <v>2.3700180274352084E-2</v>
      </c>
      <c r="G66" s="45">
        <f t="shared" si="0"/>
        <v>45448</v>
      </c>
      <c r="H66" s="14" cm="1">
        <f t="array" ref="H66">_xlfn.IFNA(INDEX('IR data'!$N$4:$N$61,MATCH(G66,'IR data'!$M$4:$M$61,0)),((INDEX('IR data'!$N$4:$N$61,MATCH(G66,'IR data'!$M$4:$M$61,1)))-((G66-(INDEX('IR data'!$M$4:$M$61,MATCH(G66,'IR data'!$M$4:$M$61,1))))/((INDEX('IR data'!$M$4:$M$61,MATCH(G66,'IR data'!$M$4:$M$61,1)+1)-INDEX('IR data'!$M$4:$M$61,MATCH(G66,'IR data'!$M$4:$M$61,1))))) * (INDEX('IR data'!$N$4:$N$61,MATCH(G66,'IR data'!$M$4:$M$61,1))-(INDEX('IR data'!$N$4:$N$61,MATCH(G66,'IR data'!$M$4:$M$61,1)+1)))))</f>
        <v>0.99065476600000002</v>
      </c>
      <c r="I66" s="44">
        <f t="shared" si="5"/>
        <v>2.3624577197364365E-2</v>
      </c>
    </row>
    <row r="67" spans="1:9" x14ac:dyDescent="0.25">
      <c r="A67" s="45">
        <f t="shared" si="1"/>
        <v>45355</v>
      </c>
      <c r="B67" s="14" cm="1">
        <f t="array" ref="B67">_xlfn.IFNA(INDEX('IR data'!$D$4:$D$61,MATCH(A67,'IR data'!$C$4:$C$61,0)),((INDEX('IR data'!$D$4:$D$61,MATCH(A67,'IR data'!$C$4:$C$61,1)))-((A67-(INDEX('IR data'!$C$4:$C$61,MATCH(A67,'IR data'!$C$4:$C$61,1))))/((INDEX('IR data'!$C$4:$C$61,MATCH(A67,'IR data'!$C$4:$C$61,1)+1)-INDEX('IR data'!$C$4:$C$61,MATCH(A67,'IR data'!$C$4:$C$61,1))))) * (INDEX('IR data'!$D$4:$D$61,MATCH(A67,'IR data'!$C$4:$C$61,1))-(INDEX('IR data'!$D$4:$D$61,MATCH(A67,'IR data'!$C$4:$C$61,1)+1)))))</f>
        <v>0.99015969500000001</v>
      </c>
      <c r="C67" s="30">
        <f t="shared" si="2"/>
        <v>2.4493529415380591E-2</v>
      </c>
      <c r="D67" s="45">
        <f t="shared" si="3"/>
        <v>45415</v>
      </c>
      <c r="E67" s="14" cm="1">
        <f t="array" ref="E67">_xlfn.IFNA(INDEX('IR data'!$I$4:$I$61,MATCH(D67,'IR data'!$H$4:$H$61,0)),((INDEX('IR data'!$I$4:$I$61,MATCH(D67,'IR data'!$H$4:$H$61,1)))-((D67-(INDEX('IR data'!$H$4:$H$61,MATCH(D67,'IR data'!$H$4:$H$61,1))))/((INDEX('IR data'!$H$4:$H$61,MATCH(D67,'IR data'!$H$4:$H$61,1)+1)-INDEX('IR data'!$H$4:$H$61,MATCH(D67,'IR data'!$H$4:$H$61,1))))) * (INDEX('IR data'!$I$4:$I$61,MATCH(D67,'IR data'!$H$4:$H$61,1))-(INDEX('IR data'!$I$4:$I$61,MATCH(D67,'IR data'!$H$4:$H$61,1)+1)))))</f>
        <v>0.99047374259374998</v>
      </c>
      <c r="F67" s="30">
        <f t="shared" si="4"/>
        <v>2.3708079378210407E-2</v>
      </c>
      <c r="G67" s="45">
        <f t="shared" ref="G67:G130" si="6">G66+1</f>
        <v>45449</v>
      </c>
      <c r="H67" s="14" cm="1">
        <f t="array" ref="H67">_xlfn.IFNA(INDEX('IR data'!$N$4:$N$61,MATCH(G67,'IR data'!$M$4:$M$61,0)),((INDEX('IR data'!$N$4:$N$61,MATCH(G67,'IR data'!$M$4:$M$61,1)))-((G67-(INDEX('IR data'!$M$4:$M$61,MATCH(G67,'IR data'!$M$4:$M$61,1))))/((INDEX('IR data'!$M$4:$M$61,MATCH(G67,'IR data'!$M$4:$M$61,1)+1)-INDEX('IR data'!$M$4:$M$61,MATCH(G67,'IR data'!$M$4:$M$61,1))))) * (INDEX('IR data'!$N$4:$N$61,MATCH(G67,'IR data'!$M$4:$M$61,1))-(INDEX('IR data'!$N$4:$N$61,MATCH(G67,'IR data'!$M$4:$M$61,1)+1)))))</f>
        <v>0.99050348073333339</v>
      </c>
      <c r="I67" s="44">
        <f t="shared" si="5"/>
        <v>2.3633715589047567E-2</v>
      </c>
    </row>
    <row r="68" spans="1:9" x14ac:dyDescent="0.25">
      <c r="A68" s="45">
        <f t="shared" si="1"/>
        <v>45356</v>
      </c>
      <c r="B68" s="14" cm="1">
        <f t="array" ref="B68">_xlfn.IFNA(INDEX('IR data'!$D$4:$D$61,MATCH(A68,'IR data'!$C$4:$C$61,0)),((INDEX('IR data'!$D$4:$D$61,MATCH(A68,'IR data'!$C$4:$C$61,1)))-((A68-(INDEX('IR data'!$C$4:$C$61,MATCH(A68,'IR data'!$C$4:$C$61,1))))/((INDEX('IR data'!$C$4:$C$61,MATCH(A68,'IR data'!$C$4:$C$61,1)+1)-INDEX('IR data'!$C$4:$C$61,MATCH(A68,'IR data'!$C$4:$C$61,1))))) * (INDEX('IR data'!$D$4:$D$61,MATCH(A68,'IR data'!$C$4:$C$61,1))-(INDEX('IR data'!$D$4:$D$61,MATCH(A68,'IR data'!$C$4:$C$61,1)+1)))))</f>
        <v>0.99000972259999998</v>
      </c>
      <c r="C68" s="30">
        <f t="shared" si="2"/>
        <v>2.4486110918956611E-2</v>
      </c>
      <c r="D68" s="45">
        <f t="shared" si="3"/>
        <v>45416</v>
      </c>
      <c r="E68" s="14" cm="1">
        <f t="array" ref="E68">_xlfn.IFNA(INDEX('IR data'!$I$4:$I$61,MATCH(D68,'IR data'!$H$4:$H$61,0)),((INDEX('IR data'!$I$4:$I$61,MATCH(D68,'IR data'!$H$4:$H$61,1)))-((D68-(INDEX('IR data'!$H$4:$H$61,MATCH(D68,'IR data'!$H$4:$H$61,1))))/((INDEX('IR data'!$H$4:$H$61,MATCH(D68,'IR data'!$H$4:$H$61,1)+1)-INDEX('IR data'!$H$4:$H$61,MATCH(D68,'IR data'!$H$4:$H$61,1))))) * (INDEX('IR data'!$I$4:$I$61,MATCH(D68,'IR data'!$H$4:$H$61,1))-(INDEX('IR data'!$I$4:$I$61,MATCH(D68,'IR data'!$H$4:$H$61,1)+1)))))</f>
        <v>0.99032248506249998</v>
      </c>
      <c r="F68" s="30">
        <f t="shared" si="4"/>
        <v>2.3715792306474654E-2</v>
      </c>
      <c r="G68" s="45">
        <f t="shared" si="6"/>
        <v>45450</v>
      </c>
      <c r="H68" s="14" cm="1">
        <f t="array" ref="H68">_xlfn.IFNA(INDEX('IR data'!$N$4:$N$61,MATCH(G68,'IR data'!$M$4:$M$61,0)),((INDEX('IR data'!$N$4:$N$61,MATCH(G68,'IR data'!$M$4:$M$61,1)))-((G68-(INDEX('IR data'!$M$4:$M$61,MATCH(G68,'IR data'!$M$4:$M$61,1))))/((INDEX('IR data'!$M$4:$M$61,MATCH(G68,'IR data'!$M$4:$M$61,1)+1)-INDEX('IR data'!$M$4:$M$61,MATCH(G68,'IR data'!$M$4:$M$61,1))))) * (INDEX('IR data'!$N$4:$N$61,MATCH(G68,'IR data'!$M$4:$M$61,1))-(INDEX('IR data'!$N$4:$N$61,MATCH(G68,'IR data'!$M$4:$M$61,1)+1)))))</f>
        <v>0.99035219546666664</v>
      </c>
      <c r="I68" s="44">
        <f t="shared" si="5"/>
        <v>2.364262969064691E-2</v>
      </c>
    </row>
    <row r="69" spans="1:9" x14ac:dyDescent="0.25">
      <c r="A69" s="45">
        <f t="shared" ref="A69:A132" si="7">A68+1</f>
        <v>45357</v>
      </c>
      <c r="B69" s="14" cm="1">
        <f t="array" ref="B69">_xlfn.IFNA(INDEX('IR data'!$D$4:$D$61,MATCH(A69,'IR data'!$C$4:$C$61,0)),((INDEX('IR data'!$D$4:$D$61,MATCH(A69,'IR data'!$C$4:$C$61,1)))-((A69-(INDEX('IR data'!$C$4:$C$61,MATCH(A69,'IR data'!$C$4:$C$61,1))))/((INDEX('IR data'!$C$4:$C$61,MATCH(A69,'IR data'!$C$4:$C$61,1)+1)-INDEX('IR data'!$C$4:$C$61,MATCH(A69,'IR data'!$C$4:$C$61,1))))) * (INDEX('IR data'!$D$4:$D$61,MATCH(A69,'IR data'!$C$4:$C$61,1))-(INDEX('IR data'!$D$4:$D$61,MATCH(A69,'IR data'!$C$4:$C$61,1)+1)))))</f>
        <v>0.98985975020000005</v>
      </c>
      <c r="C69" s="30">
        <f t="shared" ref="C69:C132" si="8">-LOG(B69)/YEARFRAC($B$1, A69, 3)</f>
        <v>2.4478972341367665E-2</v>
      </c>
      <c r="D69" s="45">
        <f t="shared" ref="D69:D132" si="9">D68+1</f>
        <v>45417</v>
      </c>
      <c r="E69" s="14" cm="1">
        <f t="array" ref="E69">_xlfn.IFNA(INDEX('IR data'!$I$4:$I$61,MATCH(D69,'IR data'!$H$4:$H$61,0)),((INDEX('IR data'!$I$4:$I$61,MATCH(D69,'IR data'!$H$4:$H$61,1)))-((D69-(INDEX('IR data'!$H$4:$H$61,MATCH(D69,'IR data'!$H$4:$H$61,1))))/((INDEX('IR data'!$H$4:$H$61,MATCH(D69,'IR data'!$H$4:$H$61,1)+1)-INDEX('IR data'!$H$4:$H$61,MATCH(D69,'IR data'!$H$4:$H$61,1))))) * (INDEX('IR data'!$I$4:$I$61,MATCH(D69,'IR data'!$H$4:$H$61,1))-(INDEX('IR data'!$I$4:$I$61,MATCH(D69,'IR data'!$H$4:$H$61,1)+1)))))</f>
        <v>0.99017122753124998</v>
      </c>
      <c r="F69" s="30">
        <f t="shared" ref="F69:F132" si="10">-LOG(E69)/YEARFRAC($E$1, D69, 3)</f>
        <v>2.3723327538783198E-2</v>
      </c>
      <c r="G69" s="45">
        <f t="shared" si="6"/>
        <v>45451</v>
      </c>
      <c r="H69" s="14" cm="1">
        <f t="array" ref="H69">_xlfn.IFNA(INDEX('IR data'!$N$4:$N$61,MATCH(G69,'IR data'!$M$4:$M$61,0)),((INDEX('IR data'!$N$4:$N$61,MATCH(G69,'IR data'!$M$4:$M$61,1)))-((G69-(INDEX('IR data'!$M$4:$M$61,MATCH(G69,'IR data'!$M$4:$M$61,1))))/((INDEX('IR data'!$M$4:$M$61,MATCH(G69,'IR data'!$M$4:$M$61,1)+1)-INDEX('IR data'!$M$4:$M$61,MATCH(G69,'IR data'!$M$4:$M$61,1))))) * (INDEX('IR data'!$N$4:$N$61,MATCH(G69,'IR data'!$M$4:$M$61,1))-(INDEX('IR data'!$N$4:$N$61,MATCH(G69,'IR data'!$M$4:$M$61,1)+1)))))</f>
        <v>0.99020091020000001</v>
      </c>
      <c r="I69" s="44">
        <f t="shared" ref="I69:I132" si="11">-LOG(H69)/YEARFRAC($H$1, G69, 3)</f>
        <v>2.3651329714284897E-2</v>
      </c>
    </row>
    <row r="70" spans="1:9" x14ac:dyDescent="0.25">
      <c r="A70" s="45">
        <f t="shared" si="7"/>
        <v>45358</v>
      </c>
      <c r="B70" s="14" cm="1">
        <f t="array" ref="B70">_xlfn.IFNA(INDEX('IR data'!$D$4:$D$61,MATCH(A70,'IR data'!$C$4:$C$61,0)),((INDEX('IR data'!$D$4:$D$61,MATCH(A70,'IR data'!$C$4:$C$61,1)))-((A70-(INDEX('IR data'!$C$4:$C$61,MATCH(A70,'IR data'!$C$4:$C$61,1))))/((INDEX('IR data'!$C$4:$C$61,MATCH(A70,'IR data'!$C$4:$C$61,1)+1)-INDEX('IR data'!$C$4:$C$61,MATCH(A70,'IR data'!$C$4:$C$61,1))))) * (INDEX('IR data'!$D$4:$D$61,MATCH(A70,'IR data'!$C$4:$C$61,1))-(INDEX('IR data'!$D$4:$D$61,MATCH(A70,'IR data'!$C$4:$C$61,1)+1)))))</f>
        <v>0.98970977780000002</v>
      </c>
      <c r="C70" s="30">
        <f t="shared" si="8"/>
        <v>2.4472101165388175E-2</v>
      </c>
      <c r="D70" s="45">
        <f t="shared" si="9"/>
        <v>45418</v>
      </c>
      <c r="E70" s="14" cm="1">
        <f t="array" ref="E70">_xlfn.IFNA(INDEX('IR data'!$I$4:$I$61,MATCH(D70,'IR data'!$H$4:$H$61,0)),((INDEX('IR data'!$I$4:$I$61,MATCH(D70,'IR data'!$H$4:$H$61,1)))-((D70-(INDEX('IR data'!$H$4:$H$61,MATCH(D70,'IR data'!$H$4:$H$61,1))))/((INDEX('IR data'!$H$4:$H$61,MATCH(D70,'IR data'!$H$4:$H$61,1)+1)-INDEX('IR data'!$H$4:$H$61,MATCH(D70,'IR data'!$H$4:$H$61,1))))) * (INDEX('IR data'!$I$4:$I$61,MATCH(D70,'IR data'!$H$4:$H$61,1))-(INDEX('IR data'!$I$4:$I$61,MATCH(D70,'IR data'!$H$4:$H$61,1)+1)))))</f>
        <v>0.99001996999999997</v>
      </c>
      <c r="F70" s="30">
        <f t="shared" si="10"/>
        <v>2.3730693048535079E-2</v>
      </c>
      <c r="G70" s="45">
        <f t="shared" si="6"/>
        <v>45452</v>
      </c>
      <c r="H70" s="14" cm="1">
        <f t="array" ref="H70">_xlfn.IFNA(INDEX('IR data'!$N$4:$N$61,MATCH(G70,'IR data'!$M$4:$M$61,0)),((INDEX('IR data'!$N$4:$N$61,MATCH(G70,'IR data'!$M$4:$M$61,1)))-((G70-(INDEX('IR data'!$M$4:$M$61,MATCH(G70,'IR data'!$M$4:$M$61,1))))/((INDEX('IR data'!$M$4:$M$61,MATCH(G70,'IR data'!$M$4:$M$61,1)+1)-INDEX('IR data'!$M$4:$M$61,MATCH(G70,'IR data'!$M$4:$M$61,1))))) * (INDEX('IR data'!$N$4:$N$61,MATCH(G70,'IR data'!$M$4:$M$61,1))-(INDEX('IR data'!$N$4:$N$61,MATCH(G70,'IR data'!$M$4:$M$61,1)+1)))))</f>
        <v>0.99004962493333337</v>
      </c>
      <c r="I70" s="44">
        <f t="shared" si="11"/>
        <v>2.3659825262413638E-2</v>
      </c>
    </row>
    <row r="71" spans="1:9" x14ac:dyDescent="0.25">
      <c r="A71" s="45">
        <f t="shared" si="7"/>
        <v>45359</v>
      </c>
      <c r="B71" s="14" cm="1">
        <f t="array" ref="B71">_xlfn.IFNA(INDEX('IR data'!$D$4:$D$61,MATCH(A71,'IR data'!$C$4:$C$61,0)),((INDEX('IR data'!$D$4:$D$61,MATCH(A71,'IR data'!$C$4:$C$61,1)))-((A71-(INDEX('IR data'!$C$4:$C$61,MATCH(A71,'IR data'!$C$4:$C$61,1))))/((INDEX('IR data'!$C$4:$C$61,MATCH(A71,'IR data'!$C$4:$C$61,1)+1)-INDEX('IR data'!$C$4:$C$61,MATCH(A71,'IR data'!$C$4:$C$61,1))))) * (INDEX('IR data'!$D$4:$D$61,MATCH(A71,'IR data'!$C$4:$C$61,1))-(INDEX('IR data'!$D$4:$D$61,MATCH(A71,'IR data'!$C$4:$C$61,1)+1)))))</f>
        <v>0.98955980539999999</v>
      </c>
      <c r="C71" s="30">
        <f t="shared" si="8"/>
        <v>2.4465485610106509E-2</v>
      </c>
      <c r="D71" s="45">
        <f t="shared" si="9"/>
        <v>45419</v>
      </c>
      <c r="E71" s="14" cm="1">
        <f t="array" ref="E71">_xlfn.IFNA(INDEX('IR data'!$I$4:$I$61,MATCH(D71,'IR data'!$H$4:$H$61,0)),((INDEX('IR data'!$I$4:$I$61,MATCH(D71,'IR data'!$H$4:$H$61,1)))-((D71-(INDEX('IR data'!$H$4:$H$61,MATCH(D71,'IR data'!$H$4:$H$61,1))))/((INDEX('IR data'!$H$4:$H$61,MATCH(D71,'IR data'!$H$4:$H$61,1)+1)-INDEX('IR data'!$H$4:$H$61,MATCH(D71,'IR data'!$H$4:$H$61,1))))) * (INDEX('IR data'!$I$4:$I$61,MATCH(D71,'IR data'!$H$4:$H$61,1))-(INDEX('IR data'!$I$4:$I$61,MATCH(D71,'IR data'!$H$4:$H$61,1)+1)))))</f>
        <v>0.98986727434482757</v>
      </c>
      <c r="F71" s="30">
        <f t="shared" si="10"/>
        <v>2.3741283122494034E-2</v>
      </c>
      <c r="G71" s="45">
        <f t="shared" si="6"/>
        <v>45453</v>
      </c>
      <c r="H71" s="14" cm="1">
        <f t="array" ref="H71">_xlfn.IFNA(INDEX('IR data'!$N$4:$N$61,MATCH(G71,'IR data'!$M$4:$M$61,0)),((INDEX('IR data'!$N$4:$N$61,MATCH(G71,'IR data'!$M$4:$M$61,1)))-((G71-(INDEX('IR data'!$M$4:$M$61,MATCH(G71,'IR data'!$M$4:$M$61,1))))/((INDEX('IR data'!$M$4:$M$61,MATCH(G71,'IR data'!$M$4:$M$61,1)+1)-INDEX('IR data'!$M$4:$M$61,MATCH(G71,'IR data'!$M$4:$M$61,1))))) * (INDEX('IR data'!$N$4:$N$61,MATCH(G71,'IR data'!$M$4:$M$61,1))-(INDEX('IR data'!$N$4:$N$61,MATCH(G71,'IR data'!$M$4:$M$61,1)+1)))))</f>
        <v>0.98989833966666674</v>
      </c>
      <c r="I71" s="44">
        <f t="shared" si="11"/>
        <v>2.3668125372642443E-2</v>
      </c>
    </row>
    <row r="72" spans="1:9" x14ac:dyDescent="0.25">
      <c r="A72" s="45">
        <f t="shared" si="7"/>
        <v>45360</v>
      </c>
      <c r="B72" s="14" cm="1">
        <f t="array" ref="B72">_xlfn.IFNA(INDEX('IR data'!$D$4:$D$61,MATCH(A72,'IR data'!$C$4:$C$61,0)),((INDEX('IR data'!$D$4:$D$61,MATCH(A72,'IR data'!$C$4:$C$61,1)))-((A72-(INDEX('IR data'!$C$4:$C$61,MATCH(A72,'IR data'!$C$4:$C$61,1))))/((INDEX('IR data'!$C$4:$C$61,MATCH(A72,'IR data'!$C$4:$C$61,1)+1)-INDEX('IR data'!$C$4:$C$61,MATCH(A72,'IR data'!$C$4:$C$61,1))))) * (INDEX('IR data'!$D$4:$D$61,MATCH(A72,'IR data'!$C$4:$C$61,1))-(INDEX('IR data'!$D$4:$D$61,MATCH(A72,'IR data'!$C$4:$C$61,1)+1)))))</f>
        <v>0.98940983299999996</v>
      </c>
      <c r="C72" s="30">
        <f t="shared" si="8"/>
        <v>2.4459114577569989E-2</v>
      </c>
      <c r="D72" s="45">
        <f t="shared" si="9"/>
        <v>45420</v>
      </c>
      <c r="E72" s="14" cm="1">
        <f t="array" ref="E72">_xlfn.IFNA(INDEX('IR data'!$I$4:$I$61,MATCH(D72,'IR data'!$H$4:$H$61,0)),((INDEX('IR data'!$I$4:$I$61,MATCH(D72,'IR data'!$H$4:$H$61,1)))-((D72-(INDEX('IR data'!$H$4:$H$61,MATCH(D72,'IR data'!$H$4:$H$61,1))))/((INDEX('IR data'!$H$4:$H$61,MATCH(D72,'IR data'!$H$4:$H$61,1)+1)-INDEX('IR data'!$H$4:$H$61,MATCH(D72,'IR data'!$H$4:$H$61,1))))) * (INDEX('IR data'!$I$4:$I$61,MATCH(D72,'IR data'!$H$4:$H$61,1))-(INDEX('IR data'!$I$4:$I$61,MATCH(D72,'IR data'!$H$4:$H$61,1)+1)))))</f>
        <v>0.98971457868965518</v>
      </c>
      <c r="F72" s="30">
        <f t="shared" si="10"/>
        <v>2.375162090507393E-2</v>
      </c>
      <c r="G72" s="45">
        <f t="shared" si="6"/>
        <v>45454</v>
      </c>
      <c r="H72" s="14" cm="1">
        <f t="array" ref="H72">_xlfn.IFNA(INDEX('IR data'!$N$4:$N$61,MATCH(G72,'IR data'!$M$4:$M$61,0)),((INDEX('IR data'!$N$4:$N$61,MATCH(G72,'IR data'!$M$4:$M$61,1)))-((G72-(INDEX('IR data'!$M$4:$M$61,MATCH(G72,'IR data'!$M$4:$M$61,1))))/((INDEX('IR data'!$M$4:$M$61,MATCH(G72,'IR data'!$M$4:$M$61,1)+1)-INDEX('IR data'!$M$4:$M$61,MATCH(G72,'IR data'!$M$4:$M$61,1))))) * (INDEX('IR data'!$N$4:$N$61,MATCH(G72,'IR data'!$M$4:$M$61,1))-(INDEX('IR data'!$N$4:$N$61,MATCH(G72,'IR data'!$M$4:$M$61,1)+1)))))</f>
        <v>0.98974705439999999</v>
      </c>
      <c r="I72" s="44">
        <f t="shared" si="11"/>
        <v>2.367623855866904E-2</v>
      </c>
    </row>
    <row r="73" spans="1:9" x14ac:dyDescent="0.25">
      <c r="A73" s="45">
        <f t="shared" si="7"/>
        <v>45361</v>
      </c>
      <c r="B73" s="14" cm="1">
        <f t="array" ref="B73">_xlfn.IFNA(INDEX('IR data'!$D$4:$D$61,MATCH(A73,'IR data'!$C$4:$C$61,0)),((INDEX('IR data'!$D$4:$D$61,MATCH(A73,'IR data'!$C$4:$C$61,1)))-((A73-(INDEX('IR data'!$C$4:$C$61,MATCH(A73,'IR data'!$C$4:$C$61,1))))/((INDEX('IR data'!$C$4:$C$61,MATCH(A73,'IR data'!$C$4:$C$61,1)+1)-INDEX('IR data'!$C$4:$C$61,MATCH(A73,'IR data'!$C$4:$C$61,1))))) * (INDEX('IR data'!$D$4:$D$61,MATCH(A73,'IR data'!$C$4:$C$61,1))-(INDEX('IR data'!$D$4:$D$61,MATCH(A73,'IR data'!$C$4:$C$61,1)+1)))))</f>
        <v>0.98925986060000004</v>
      </c>
      <c r="C73" s="30">
        <f t="shared" si="8"/>
        <v>2.4452977604001558E-2</v>
      </c>
      <c r="D73" s="45">
        <f t="shared" si="9"/>
        <v>45421</v>
      </c>
      <c r="E73" s="14" cm="1">
        <f t="array" ref="E73">_xlfn.IFNA(INDEX('IR data'!$I$4:$I$61,MATCH(D73,'IR data'!$H$4:$H$61,0)),((INDEX('IR data'!$I$4:$I$61,MATCH(D73,'IR data'!$H$4:$H$61,1)))-((D73-(INDEX('IR data'!$H$4:$H$61,MATCH(D73,'IR data'!$H$4:$H$61,1))))/((INDEX('IR data'!$H$4:$H$61,MATCH(D73,'IR data'!$H$4:$H$61,1)+1)-INDEX('IR data'!$H$4:$H$61,MATCH(D73,'IR data'!$H$4:$H$61,1))))) * (INDEX('IR data'!$I$4:$I$61,MATCH(D73,'IR data'!$H$4:$H$61,1))-(INDEX('IR data'!$I$4:$I$61,MATCH(D73,'IR data'!$H$4:$H$61,1)+1)))))</f>
        <v>0.98956188303448278</v>
      </c>
      <c r="F73" s="30">
        <f t="shared" si="10"/>
        <v>2.3761717225391152E-2</v>
      </c>
      <c r="G73" s="45">
        <f t="shared" si="6"/>
        <v>45455</v>
      </c>
      <c r="H73" s="14" cm="1">
        <f t="array" ref="H73">_xlfn.IFNA(INDEX('IR data'!$N$4:$N$61,MATCH(G73,'IR data'!$M$4:$M$61,0)),((INDEX('IR data'!$N$4:$N$61,MATCH(G73,'IR data'!$M$4:$M$61,1)))-((G73-(INDEX('IR data'!$M$4:$M$61,MATCH(G73,'IR data'!$M$4:$M$61,1))))/((INDEX('IR data'!$M$4:$M$61,MATCH(G73,'IR data'!$M$4:$M$61,1)+1)-INDEX('IR data'!$M$4:$M$61,MATCH(G73,'IR data'!$M$4:$M$61,1))))) * (INDEX('IR data'!$N$4:$N$61,MATCH(G73,'IR data'!$M$4:$M$61,1))-(INDEX('IR data'!$N$4:$N$61,MATCH(G73,'IR data'!$M$4:$M$61,1)+1)))))</f>
        <v>0.98959576913333336</v>
      </c>
      <c r="I73" s="44">
        <f t="shared" si="11"/>
        <v>2.3684172847700777E-2</v>
      </c>
    </row>
    <row r="74" spans="1:9" x14ac:dyDescent="0.25">
      <c r="A74" s="45">
        <f t="shared" si="7"/>
        <v>45362</v>
      </c>
      <c r="B74" s="14" cm="1">
        <f t="array" ref="B74">_xlfn.IFNA(INDEX('IR data'!$D$4:$D$61,MATCH(A74,'IR data'!$C$4:$C$61,0)),((INDEX('IR data'!$D$4:$D$61,MATCH(A74,'IR data'!$C$4:$C$61,1)))-((A74-(INDEX('IR data'!$C$4:$C$61,MATCH(A74,'IR data'!$C$4:$C$61,1))))/((INDEX('IR data'!$C$4:$C$61,MATCH(A74,'IR data'!$C$4:$C$61,1)+1)-INDEX('IR data'!$C$4:$C$61,MATCH(A74,'IR data'!$C$4:$C$61,1))))) * (INDEX('IR data'!$D$4:$D$61,MATCH(A74,'IR data'!$C$4:$C$61,1))-(INDEX('IR data'!$D$4:$D$61,MATCH(A74,'IR data'!$C$4:$C$61,1)+1)))))</f>
        <v>0.98910988820000001</v>
      </c>
      <c r="C74" s="30">
        <f t="shared" si="8"/>
        <v>2.4447064815140546E-2</v>
      </c>
      <c r="D74" s="45">
        <f t="shared" si="9"/>
        <v>45422</v>
      </c>
      <c r="E74" s="14" cm="1">
        <f t="array" ref="E74">_xlfn.IFNA(INDEX('IR data'!$I$4:$I$61,MATCH(D74,'IR data'!$H$4:$H$61,0)),((INDEX('IR data'!$I$4:$I$61,MATCH(D74,'IR data'!$H$4:$H$61,1)))-((D74-(INDEX('IR data'!$H$4:$H$61,MATCH(D74,'IR data'!$H$4:$H$61,1))))/((INDEX('IR data'!$H$4:$H$61,MATCH(D74,'IR data'!$H$4:$H$61,1)+1)-INDEX('IR data'!$H$4:$H$61,MATCH(D74,'IR data'!$H$4:$H$61,1))))) * (INDEX('IR data'!$I$4:$I$61,MATCH(D74,'IR data'!$H$4:$H$61,1))-(INDEX('IR data'!$I$4:$I$61,MATCH(D74,'IR data'!$H$4:$H$61,1)+1)))))</f>
        <v>0.98940918737931027</v>
      </c>
      <c r="F74" s="30">
        <f t="shared" si="10"/>
        <v>2.3771582302478864E-2</v>
      </c>
      <c r="G74" s="45">
        <f t="shared" si="6"/>
        <v>45456</v>
      </c>
      <c r="H74" s="14" cm="1">
        <f t="array" ref="H74">_xlfn.IFNA(INDEX('IR data'!$N$4:$N$61,MATCH(G74,'IR data'!$M$4:$M$61,0)),((INDEX('IR data'!$N$4:$N$61,MATCH(G74,'IR data'!$M$4:$M$61,1)))-((G74-(INDEX('IR data'!$M$4:$M$61,MATCH(G74,'IR data'!$M$4:$M$61,1))))/((INDEX('IR data'!$M$4:$M$61,MATCH(G74,'IR data'!$M$4:$M$61,1)+1)-INDEX('IR data'!$M$4:$M$61,MATCH(G74,'IR data'!$M$4:$M$61,1))))) * (INDEX('IR data'!$N$4:$N$61,MATCH(G74,'IR data'!$M$4:$M$61,1))-(INDEX('IR data'!$N$4:$N$61,MATCH(G74,'IR data'!$M$4:$M$61,1)+1)))))</f>
        <v>0.98944448386666672</v>
      </c>
      <c r="I74" s="44">
        <f t="shared" si="11"/>
        <v>2.3691935814716042E-2</v>
      </c>
    </row>
    <row r="75" spans="1:9" x14ac:dyDescent="0.25">
      <c r="A75" s="45">
        <f t="shared" si="7"/>
        <v>45363</v>
      </c>
      <c r="B75" s="14" cm="1">
        <f t="array" ref="B75">_xlfn.IFNA(INDEX('IR data'!$D$4:$D$61,MATCH(A75,'IR data'!$C$4:$C$61,0)),((INDEX('IR data'!$D$4:$D$61,MATCH(A75,'IR data'!$C$4:$C$61,1)))-((A75-(INDEX('IR data'!$C$4:$C$61,MATCH(A75,'IR data'!$C$4:$C$61,1))))/((INDEX('IR data'!$C$4:$C$61,MATCH(A75,'IR data'!$C$4:$C$61,1)+1)-INDEX('IR data'!$C$4:$C$61,MATCH(A75,'IR data'!$C$4:$C$61,1))))) * (INDEX('IR data'!$D$4:$D$61,MATCH(A75,'IR data'!$C$4:$C$61,1))-(INDEX('IR data'!$D$4:$D$61,MATCH(A75,'IR data'!$C$4:$C$61,1)+1)))))</f>
        <v>0.98895991579999998</v>
      </c>
      <c r="C75" s="30">
        <f t="shared" si="8"/>
        <v>2.444136688530258E-2</v>
      </c>
      <c r="D75" s="45">
        <f t="shared" si="9"/>
        <v>45423</v>
      </c>
      <c r="E75" s="14" cm="1">
        <f t="array" ref="E75">_xlfn.IFNA(INDEX('IR data'!$I$4:$I$61,MATCH(D75,'IR data'!$H$4:$H$61,0)),((INDEX('IR data'!$I$4:$I$61,MATCH(D75,'IR data'!$H$4:$H$61,1)))-((D75-(INDEX('IR data'!$H$4:$H$61,MATCH(D75,'IR data'!$H$4:$H$61,1))))/((INDEX('IR data'!$H$4:$H$61,MATCH(D75,'IR data'!$H$4:$H$61,1)+1)-INDEX('IR data'!$H$4:$H$61,MATCH(D75,'IR data'!$H$4:$H$61,1))))) * (INDEX('IR data'!$I$4:$I$61,MATCH(D75,'IR data'!$H$4:$H$61,1))-(INDEX('IR data'!$I$4:$I$61,MATCH(D75,'IR data'!$H$4:$H$61,1)+1)))))</f>
        <v>0.98925649172413788</v>
      </c>
      <c r="F75" s="30">
        <f t="shared" si="10"/>
        <v>2.3781225787652936E-2</v>
      </c>
      <c r="G75" s="45">
        <f t="shared" si="6"/>
        <v>45457</v>
      </c>
      <c r="H75" s="14" cm="1">
        <f t="array" ref="H75">_xlfn.IFNA(INDEX('IR data'!$N$4:$N$61,MATCH(G75,'IR data'!$M$4:$M$61,0)),((INDEX('IR data'!$N$4:$N$61,MATCH(G75,'IR data'!$M$4:$M$61,1)))-((G75-(INDEX('IR data'!$M$4:$M$61,MATCH(G75,'IR data'!$M$4:$M$61,1))))/((INDEX('IR data'!$M$4:$M$61,MATCH(G75,'IR data'!$M$4:$M$61,1)+1)-INDEX('IR data'!$M$4:$M$61,MATCH(G75,'IR data'!$M$4:$M$61,1))))) * (INDEX('IR data'!$N$4:$N$61,MATCH(G75,'IR data'!$M$4:$M$61,1))-(INDEX('IR data'!$N$4:$N$61,MATCH(G75,'IR data'!$M$4:$M$61,1)+1)))))</f>
        <v>0.98929319859999998</v>
      </c>
      <c r="I75" s="44">
        <f t="shared" si="11"/>
        <v>2.3699534613868305E-2</v>
      </c>
    </row>
    <row r="76" spans="1:9" x14ac:dyDescent="0.25">
      <c r="A76" s="45">
        <f t="shared" si="7"/>
        <v>45364</v>
      </c>
      <c r="B76" s="14" cm="1">
        <f t="array" ref="B76">_xlfn.IFNA(INDEX('IR data'!$D$4:$D$61,MATCH(A76,'IR data'!$C$4:$C$61,0)),((INDEX('IR data'!$D$4:$D$61,MATCH(A76,'IR data'!$C$4:$C$61,1)))-((A76-(INDEX('IR data'!$C$4:$C$61,MATCH(A76,'IR data'!$C$4:$C$61,1))))/((INDEX('IR data'!$C$4:$C$61,MATCH(A76,'IR data'!$C$4:$C$61,1)+1)-INDEX('IR data'!$C$4:$C$61,MATCH(A76,'IR data'!$C$4:$C$61,1))))) * (INDEX('IR data'!$D$4:$D$61,MATCH(A76,'IR data'!$C$4:$C$61,1))-(INDEX('IR data'!$D$4:$D$61,MATCH(A76,'IR data'!$C$4:$C$61,1)+1)))))</f>
        <v>0.98880994339999995</v>
      </c>
      <c r="C76" s="30">
        <f t="shared" si="8"/>
        <v>2.4435874999806782E-2</v>
      </c>
      <c r="D76" s="45">
        <f t="shared" si="9"/>
        <v>45424</v>
      </c>
      <c r="E76" s="14" cm="1">
        <f t="array" ref="E76">_xlfn.IFNA(INDEX('IR data'!$I$4:$I$61,MATCH(D76,'IR data'!$H$4:$H$61,0)),((INDEX('IR data'!$I$4:$I$61,MATCH(D76,'IR data'!$H$4:$H$61,1)))-((D76-(INDEX('IR data'!$H$4:$H$61,MATCH(D76,'IR data'!$H$4:$H$61,1))))/((INDEX('IR data'!$H$4:$H$61,MATCH(D76,'IR data'!$H$4:$H$61,1)+1)-INDEX('IR data'!$H$4:$H$61,MATCH(D76,'IR data'!$H$4:$H$61,1))))) * (INDEX('IR data'!$I$4:$I$61,MATCH(D76,'IR data'!$H$4:$H$61,1))-(INDEX('IR data'!$I$4:$I$61,MATCH(D76,'IR data'!$H$4:$H$61,1)+1)))))</f>
        <v>0.98910379606896548</v>
      </c>
      <c r="F76" s="30">
        <f t="shared" si="10"/>
        <v>2.3790656803398095E-2</v>
      </c>
      <c r="G76" s="45">
        <f t="shared" si="6"/>
        <v>45458</v>
      </c>
      <c r="H76" s="14" cm="1">
        <f t="array" ref="H76">_xlfn.IFNA(INDEX('IR data'!$N$4:$N$61,MATCH(G76,'IR data'!$M$4:$M$61,0)),((INDEX('IR data'!$N$4:$N$61,MATCH(G76,'IR data'!$M$4:$M$61,1)))-((G76-(INDEX('IR data'!$M$4:$M$61,MATCH(G76,'IR data'!$M$4:$M$61,1))))/((INDEX('IR data'!$M$4:$M$61,MATCH(G76,'IR data'!$M$4:$M$61,1)+1)-INDEX('IR data'!$M$4:$M$61,MATCH(G76,'IR data'!$M$4:$M$61,1))))) * (INDEX('IR data'!$N$4:$N$61,MATCH(G76,'IR data'!$M$4:$M$61,1))-(INDEX('IR data'!$N$4:$N$61,MATCH(G76,'IR data'!$M$4:$M$61,1)+1)))))</f>
        <v>0.98914191333333334</v>
      </c>
      <c r="I76" s="44">
        <f t="shared" si="11"/>
        <v>2.3706976007309012E-2</v>
      </c>
    </row>
    <row r="77" spans="1:9" x14ac:dyDescent="0.25">
      <c r="A77" s="45">
        <f t="shared" si="7"/>
        <v>45365</v>
      </c>
      <c r="B77" s="14" cm="1">
        <f t="array" ref="B77">_xlfn.IFNA(INDEX('IR data'!$D$4:$D$61,MATCH(A77,'IR data'!$C$4:$C$61,0)),((INDEX('IR data'!$D$4:$D$61,MATCH(A77,'IR data'!$C$4:$C$61,1)))-((A77-(INDEX('IR data'!$C$4:$C$61,MATCH(A77,'IR data'!$C$4:$C$61,1))))/((INDEX('IR data'!$C$4:$C$61,MATCH(A77,'IR data'!$C$4:$C$61,1)+1)-INDEX('IR data'!$C$4:$C$61,MATCH(A77,'IR data'!$C$4:$C$61,1))))) * (INDEX('IR data'!$D$4:$D$61,MATCH(A77,'IR data'!$C$4:$C$61,1))-(INDEX('IR data'!$D$4:$D$61,MATCH(A77,'IR data'!$C$4:$C$61,1)+1)))))</f>
        <v>0.98865997100000003</v>
      </c>
      <c r="C77" s="30">
        <f t="shared" si="8"/>
        <v>2.4430580820448106E-2</v>
      </c>
      <c r="D77" s="45">
        <f t="shared" si="9"/>
        <v>45425</v>
      </c>
      <c r="E77" s="14" cm="1">
        <f t="array" ref="E77">_xlfn.IFNA(INDEX('IR data'!$I$4:$I$61,MATCH(D77,'IR data'!$H$4:$H$61,0)),((INDEX('IR data'!$I$4:$I$61,MATCH(D77,'IR data'!$H$4:$H$61,1)))-((D77-(INDEX('IR data'!$H$4:$H$61,MATCH(D77,'IR data'!$H$4:$H$61,1))))/((INDEX('IR data'!$H$4:$H$61,MATCH(D77,'IR data'!$H$4:$H$61,1)+1)-INDEX('IR data'!$H$4:$H$61,MATCH(D77,'IR data'!$H$4:$H$61,1))))) * (INDEX('IR data'!$I$4:$I$61,MATCH(D77,'IR data'!$H$4:$H$61,1))-(INDEX('IR data'!$I$4:$I$61,MATCH(D77,'IR data'!$H$4:$H$61,1)+1)))))</f>
        <v>0.98895110041379308</v>
      </c>
      <c r="F77" s="30">
        <f t="shared" si="10"/>
        <v>2.3799883979098879E-2</v>
      </c>
      <c r="G77" s="45">
        <f t="shared" si="6"/>
        <v>45459</v>
      </c>
      <c r="H77" s="14" cm="1">
        <f t="array" ref="H77">_xlfn.IFNA(INDEX('IR data'!$N$4:$N$61,MATCH(G77,'IR data'!$M$4:$M$61,0)),((INDEX('IR data'!$N$4:$N$61,MATCH(G77,'IR data'!$M$4:$M$61,1)))-((G77-(INDEX('IR data'!$M$4:$M$61,MATCH(G77,'IR data'!$M$4:$M$61,1))))/((INDEX('IR data'!$M$4:$M$61,MATCH(G77,'IR data'!$M$4:$M$61,1)+1)-INDEX('IR data'!$M$4:$M$61,MATCH(G77,'IR data'!$M$4:$M$61,1))))) * (INDEX('IR data'!$N$4:$N$61,MATCH(G77,'IR data'!$M$4:$M$61,1))-(INDEX('IR data'!$N$4:$N$61,MATCH(G77,'IR data'!$M$4:$M$61,1)+1)))))</f>
        <v>0.98899062806666671</v>
      </c>
      <c r="I77" s="44">
        <f t="shared" si="11"/>
        <v>2.3714266391675662E-2</v>
      </c>
    </row>
    <row r="78" spans="1:9" x14ac:dyDescent="0.25">
      <c r="A78" s="45">
        <f t="shared" si="7"/>
        <v>45366</v>
      </c>
      <c r="B78" s="14" cm="1">
        <f t="array" ref="B78">_xlfn.IFNA(INDEX('IR data'!$D$4:$D$61,MATCH(A78,'IR data'!$C$4:$C$61,0)),((INDEX('IR data'!$D$4:$D$61,MATCH(A78,'IR data'!$C$4:$C$61,1)))-((A78-(INDEX('IR data'!$C$4:$C$61,MATCH(A78,'IR data'!$C$4:$C$61,1))))/((INDEX('IR data'!$C$4:$C$61,MATCH(A78,'IR data'!$C$4:$C$61,1)+1)-INDEX('IR data'!$C$4:$C$61,MATCH(A78,'IR data'!$C$4:$C$61,1))))) * (INDEX('IR data'!$D$4:$D$61,MATCH(A78,'IR data'!$C$4:$C$61,1))-(INDEX('IR data'!$D$4:$D$61,MATCH(A78,'IR data'!$C$4:$C$61,1)+1)))))</f>
        <v>0.98850999859999999</v>
      </c>
      <c r="C78" s="30">
        <f t="shared" si="8"/>
        <v>2.4425476453733174E-2</v>
      </c>
      <c r="D78" s="45">
        <f t="shared" si="9"/>
        <v>45426</v>
      </c>
      <c r="E78" s="14" cm="1">
        <f t="array" ref="E78">_xlfn.IFNA(INDEX('IR data'!$I$4:$I$61,MATCH(D78,'IR data'!$H$4:$H$61,0)),((INDEX('IR data'!$I$4:$I$61,MATCH(D78,'IR data'!$H$4:$H$61,1)))-((D78-(INDEX('IR data'!$H$4:$H$61,MATCH(D78,'IR data'!$H$4:$H$61,1))))/((INDEX('IR data'!$H$4:$H$61,MATCH(D78,'IR data'!$H$4:$H$61,1)+1)-INDEX('IR data'!$H$4:$H$61,MATCH(D78,'IR data'!$H$4:$H$61,1))))) * (INDEX('IR data'!$I$4:$I$61,MATCH(D78,'IR data'!$H$4:$H$61,1))-(INDEX('IR data'!$I$4:$I$61,MATCH(D78,'IR data'!$H$4:$H$61,1)+1)))))</f>
        <v>0.98879840475862069</v>
      </c>
      <c r="F78" s="30">
        <f t="shared" si="10"/>
        <v>2.3808915483913159E-2</v>
      </c>
      <c r="G78" s="45">
        <f t="shared" si="6"/>
        <v>45460</v>
      </c>
      <c r="H78" s="14" cm="1">
        <f t="array" ref="H78">_xlfn.IFNA(INDEX('IR data'!$N$4:$N$61,MATCH(G78,'IR data'!$M$4:$M$61,0)),((INDEX('IR data'!$N$4:$N$61,MATCH(G78,'IR data'!$M$4:$M$61,1)))-((G78-(INDEX('IR data'!$M$4:$M$61,MATCH(G78,'IR data'!$M$4:$M$61,1))))/((INDEX('IR data'!$M$4:$M$61,MATCH(G78,'IR data'!$M$4:$M$61,1)+1)-INDEX('IR data'!$M$4:$M$61,MATCH(G78,'IR data'!$M$4:$M$61,1))))) * (INDEX('IR data'!$N$4:$N$61,MATCH(G78,'IR data'!$M$4:$M$61,1))-(INDEX('IR data'!$N$4:$N$61,MATCH(G78,'IR data'!$M$4:$M$61,1)+1)))))</f>
        <v>0.98883934279999997</v>
      </c>
      <c r="I78" s="44">
        <f t="shared" si="11"/>
        <v>2.3721411822458696E-2</v>
      </c>
    </row>
    <row r="79" spans="1:9" x14ac:dyDescent="0.25">
      <c r="A79" s="45">
        <f t="shared" si="7"/>
        <v>45367</v>
      </c>
      <c r="B79" s="14" cm="1">
        <f t="array" ref="B79">_xlfn.IFNA(INDEX('IR data'!$D$4:$D$61,MATCH(A79,'IR data'!$C$4:$C$61,0)),((INDEX('IR data'!$D$4:$D$61,MATCH(A79,'IR data'!$C$4:$C$61,1)))-((A79-(INDEX('IR data'!$C$4:$C$61,MATCH(A79,'IR data'!$C$4:$C$61,1))))/((INDEX('IR data'!$C$4:$C$61,MATCH(A79,'IR data'!$C$4:$C$61,1)+1)-INDEX('IR data'!$C$4:$C$61,MATCH(A79,'IR data'!$C$4:$C$61,1))))) * (INDEX('IR data'!$D$4:$D$61,MATCH(A79,'IR data'!$C$4:$C$61,1))-(INDEX('IR data'!$D$4:$D$61,MATCH(A79,'IR data'!$C$4:$C$61,1)+1)))))</f>
        <v>0.98836002619999996</v>
      </c>
      <c r="C79" s="30">
        <f t="shared" si="8"/>
        <v>2.4420554421621558E-2</v>
      </c>
      <c r="D79" s="45">
        <f t="shared" si="9"/>
        <v>45427</v>
      </c>
      <c r="E79" s="14" cm="1">
        <f t="array" ref="E79">_xlfn.IFNA(INDEX('IR data'!$I$4:$I$61,MATCH(D79,'IR data'!$H$4:$H$61,0)),((INDEX('IR data'!$I$4:$I$61,MATCH(D79,'IR data'!$H$4:$H$61,1)))-((D79-(INDEX('IR data'!$H$4:$H$61,MATCH(D79,'IR data'!$H$4:$H$61,1))))/((INDEX('IR data'!$H$4:$H$61,MATCH(D79,'IR data'!$H$4:$H$61,1)+1)-INDEX('IR data'!$H$4:$H$61,MATCH(D79,'IR data'!$H$4:$H$61,1))))) * (INDEX('IR data'!$I$4:$I$61,MATCH(D79,'IR data'!$H$4:$H$61,1))-(INDEX('IR data'!$I$4:$I$61,MATCH(D79,'IR data'!$H$4:$H$61,1)+1)))))</f>
        <v>0.98864570910344829</v>
      </c>
      <c r="F79" s="30">
        <f t="shared" si="10"/>
        <v>2.3817759057050258E-2</v>
      </c>
      <c r="G79" s="45">
        <f t="shared" si="6"/>
        <v>45461</v>
      </c>
      <c r="H79" s="14" cm="1">
        <f t="array" ref="H79">_xlfn.IFNA(INDEX('IR data'!$N$4:$N$61,MATCH(G79,'IR data'!$M$4:$M$61,0)),((INDEX('IR data'!$N$4:$N$61,MATCH(G79,'IR data'!$M$4:$M$61,1)))-((G79-(INDEX('IR data'!$M$4:$M$61,MATCH(G79,'IR data'!$M$4:$M$61,1))))/((INDEX('IR data'!$M$4:$M$61,MATCH(G79,'IR data'!$M$4:$M$61,1)+1)-INDEX('IR data'!$M$4:$M$61,MATCH(G79,'IR data'!$M$4:$M$61,1))))) * (INDEX('IR data'!$N$4:$N$61,MATCH(G79,'IR data'!$M$4:$M$61,1))-(INDEX('IR data'!$N$4:$N$61,MATCH(G79,'IR data'!$M$4:$M$61,1)+1)))))</f>
        <v>0.98868805753333333</v>
      </c>
      <c r="I79" s="44">
        <f t="shared" si="11"/>
        <v>2.3728418036444668E-2</v>
      </c>
    </row>
    <row r="80" spans="1:9" x14ac:dyDescent="0.25">
      <c r="A80" s="45">
        <f t="shared" si="7"/>
        <v>45368</v>
      </c>
      <c r="B80" s="14" cm="1">
        <f t="array" ref="B80">_xlfn.IFNA(INDEX('IR data'!$D$4:$D$61,MATCH(A80,'IR data'!$C$4:$C$61,0)),((INDEX('IR data'!$D$4:$D$61,MATCH(A80,'IR data'!$C$4:$C$61,1)))-((A80-(INDEX('IR data'!$C$4:$C$61,MATCH(A80,'IR data'!$C$4:$C$61,1))))/((INDEX('IR data'!$C$4:$C$61,MATCH(A80,'IR data'!$C$4:$C$61,1)+1)-INDEX('IR data'!$C$4:$C$61,MATCH(A80,'IR data'!$C$4:$C$61,1))))) * (INDEX('IR data'!$D$4:$D$61,MATCH(A80,'IR data'!$C$4:$C$61,1))-(INDEX('IR data'!$D$4:$D$61,MATCH(A80,'IR data'!$C$4:$C$61,1)+1)))))</f>
        <v>0.98821005379999993</v>
      </c>
      <c r="C80" s="30">
        <f t="shared" si="8"/>
        <v>2.4415807634549241E-2</v>
      </c>
      <c r="D80" s="45">
        <f t="shared" si="9"/>
        <v>45428</v>
      </c>
      <c r="E80" s="14" cm="1">
        <f t="array" ref="E80">_xlfn.IFNA(INDEX('IR data'!$I$4:$I$61,MATCH(D80,'IR data'!$H$4:$H$61,0)),((INDEX('IR data'!$I$4:$I$61,MATCH(D80,'IR data'!$H$4:$H$61,1)))-((D80-(INDEX('IR data'!$H$4:$H$61,MATCH(D80,'IR data'!$H$4:$H$61,1))))/((INDEX('IR data'!$H$4:$H$61,MATCH(D80,'IR data'!$H$4:$H$61,1)+1)-INDEX('IR data'!$H$4:$H$61,MATCH(D80,'IR data'!$H$4:$H$61,1))))) * (INDEX('IR data'!$I$4:$I$61,MATCH(D80,'IR data'!$H$4:$H$61,1))-(INDEX('IR data'!$I$4:$I$61,MATCH(D80,'IR data'!$H$4:$H$61,1)+1)))))</f>
        <v>0.98849301344827589</v>
      </c>
      <c r="F80" s="30">
        <f t="shared" si="10"/>
        <v>2.3826422035689673E-2</v>
      </c>
      <c r="G80" s="45">
        <f t="shared" si="6"/>
        <v>45462</v>
      </c>
      <c r="H80" s="14" cm="1">
        <f t="array" ref="H80">_xlfn.IFNA(INDEX('IR data'!$N$4:$N$61,MATCH(G80,'IR data'!$M$4:$M$61,0)),((INDEX('IR data'!$N$4:$N$61,MATCH(G80,'IR data'!$M$4:$M$61,1)))-((G80-(INDEX('IR data'!$M$4:$M$61,MATCH(G80,'IR data'!$M$4:$M$61,1))))/((INDEX('IR data'!$M$4:$M$61,MATCH(G80,'IR data'!$M$4:$M$61,1)+1)-INDEX('IR data'!$M$4:$M$61,MATCH(G80,'IR data'!$M$4:$M$61,1))))) * (INDEX('IR data'!$N$4:$N$61,MATCH(G80,'IR data'!$M$4:$M$61,1))-(INDEX('IR data'!$N$4:$N$61,MATCH(G80,'IR data'!$M$4:$M$61,1)+1)))))</f>
        <v>0.9885367722666667</v>
      </c>
      <c r="I80" s="44">
        <f t="shared" si="11"/>
        <v>2.3735290472412733E-2</v>
      </c>
    </row>
    <row r="81" spans="1:9" x14ac:dyDescent="0.25">
      <c r="A81" s="45">
        <f t="shared" si="7"/>
        <v>45369</v>
      </c>
      <c r="B81" s="14" cm="1">
        <f t="array" ref="B81">_xlfn.IFNA(INDEX('IR data'!$D$4:$D$61,MATCH(A81,'IR data'!$C$4:$C$61,0)),((INDEX('IR data'!$D$4:$D$61,MATCH(A81,'IR data'!$C$4:$C$61,1)))-((A81-(INDEX('IR data'!$C$4:$C$61,MATCH(A81,'IR data'!$C$4:$C$61,1))))/((INDEX('IR data'!$C$4:$C$61,MATCH(A81,'IR data'!$C$4:$C$61,1)+1)-INDEX('IR data'!$C$4:$C$61,MATCH(A81,'IR data'!$C$4:$C$61,1))))) * (INDEX('IR data'!$D$4:$D$61,MATCH(A81,'IR data'!$C$4:$C$61,1))-(INDEX('IR data'!$D$4:$D$61,MATCH(A81,'IR data'!$C$4:$C$61,1)+1)))))</f>
        <v>0.98806008140000001</v>
      </c>
      <c r="C81" s="30">
        <f t="shared" si="8"/>
        <v>2.4411229366525823E-2</v>
      </c>
      <c r="D81" s="45">
        <f t="shared" si="9"/>
        <v>45429</v>
      </c>
      <c r="E81" s="14" cm="1">
        <f t="array" ref="E81">_xlfn.IFNA(INDEX('IR data'!$I$4:$I$61,MATCH(D81,'IR data'!$H$4:$H$61,0)),((INDEX('IR data'!$I$4:$I$61,MATCH(D81,'IR data'!$H$4:$H$61,1)))-((D81-(INDEX('IR data'!$H$4:$H$61,MATCH(D81,'IR data'!$H$4:$H$61,1))))/((INDEX('IR data'!$H$4:$H$61,MATCH(D81,'IR data'!$H$4:$H$61,1)+1)-INDEX('IR data'!$H$4:$H$61,MATCH(D81,'IR data'!$H$4:$H$61,1))))) * (INDEX('IR data'!$I$4:$I$61,MATCH(D81,'IR data'!$H$4:$H$61,1))-(INDEX('IR data'!$I$4:$I$61,MATCH(D81,'IR data'!$H$4:$H$61,1)+1)))))</f>
        <v>0.98834031779310338</v>
      </c>
      <c r="F81" s="30">
        <f t="shared" si="10"/>
        <v>2.383491138075244E-2</v>
      </c>
      <c r="G81" s="45">
        <f t="shared" si="6"/>
        <v>45463</v>
      </c>
      <c r="H81" s="14" cm="1">
        <f t="array" ref="H81">_xlfn.IFNA(INDEX('IR data'!$N$4:$N$61,MATCH(G81,'IR data'!$M$4:$M$61,0)),((INDEX('IR data'!$N$4:$N$61,MATCH(G81,'IR data'!$M$4:$M$61,1)))-((G81-(INDEX('IR data'!$M$4:$M$61,MATCH(G81,'IR data'!$M$4:$M$61,1))))/((INDEX('IR data'!$M$4:$M$61,MATCH(G81,'IR data'!$M$4:$M$61,1)+1)-INDEX('IR data'!$M$4:$M$61,MATCH(G81,'IR data'!$M$4:$M$61,1))))) * (INDEX('IR data'!$N$4:$N$61,MATCH(G81,'IR data'!$M$4:$M$61,1))-(INDEX('IR data'!$N$4:$N$61,MATCH(G81,'IR data'!$M$4:$M$61,1)+1)))))</f>
        <v>0.98838548699999995</v>
      </c>
      <c r="I81" s="44">
        <f t="shared" si="11"/>
        <v>2.3742034290236948E-2</v>
      </c>
    </row>
    <row r="82" spans="1:9" x14ac:dyDescent="0.25">
      <c r="A82" s="45">
        <f t="shared" si="7"/>
        <v>45370</v>
      </c>
      <c r="B82" s="14" cm="1">
        <f t="array" ref="B82">_xlfn.IFNA(INDEX('IR data'!$D$4:$D$61,MATCH(A82,'IR data'!$C$4:$C$61,0)),((INDEX('IR data'!$D$4:$D$61,MATCH(A82,'IR data'!$C$4:$C$61,1)))-((A82-(INDEX('IR data'!$C$4:$C$61,MATCH(A82,'IR data'!$C$4:$C$61,1))))/((INDEX('IR data'!$C$4:$C$61,MATCH(A82,'IR data'!$C$4:$C$61,1)+1)-INDEX('IR data'!$C$4:$C$61,MATCH(A82,'IR data'!$C$4:$C$61,1))))) * (INDEX('IR data'!$D$4:$D$61,MATCH(A82,'IR data'!$C$4:$C$61,1))-(INDEX('IR data'!$D$4:$D$61,MATCH(A82,'IR data'!$C$4:$C$61,1)+1)))))</f>
        <v>0.98791010899999998</v>
      </c>
      <c r="C82" s="30">
        <f t="shared" si="8"/>
        <v>2.4406813232124444E-2</v>
      </c>
      <c r="D82" s="45">
        <f t="shared" si="9"/>
        <v>45430</v>
      </c>
      <c r="E82" s="14" cm="1">
        <f t="array" ref="E82">_xlfn.IFNA(INDEX('IR data'!$I$4:$I$61,MATCH(D82,'IR data'!$H$4:$H$61,0)),((INDEX('IR data'!$I$4:$I$61,MATCH(D82,'IR data'!$H$4:$H$61,1)))-((D82-(INDEX('IR data'!$H$4:$H$61,MATCH(D82,'IR data'!$H$4:$H$61,1))))/((INDEX('IR data'!$H$4:$H$61,MATCH(D82,'IR data'!$H$4:$H$61,1)+1)-INDEX('IR data'!$H$4:$H$61,MATCH(D82,'IR data'!$H$4:$H$61,1))))) * (INDEX('IR data'!$I$4:$I$61,MATCH(D82,'IR data'!$H$4:$H$61,1))-(INDEX('IR data'!$I$4:$I$61,MATCH(D82,'IR data'!$H$4:$H$61,1)+1)))))</f>
        <v>0.98818762213793099</v>
      </c>
      <c r="F82" s="30">
        <f t="shared" si="10"/>
        <v>2.3843233700714093E-2</v>
      </c>
      <c r="G82" s="45">
        <f t="shared" si="6"/>
        <v>45464</v>
      </c>
      <c r="H82" s="14" cm="1">
        <f t="array" ref="H82">_xlfn.IFNA(INDEX('IR data'!$N$4:$N$61,MATCH(G82,'IR data'!$M$4:$M$61,0)),((INDEX('IR data'!$N$4:$N$61,MATCH(G82,'IR data'!$M$4:$M$61,1)))-((G82-(INDEX('IR data'!$M$4:$M$61,MATCH(G82,'IR data'!$M$4:$M$61,1))))/((INDEX('IR data'!$M$4:$M$61,MATCH(G82,'IR data'!$M$4:$M$61,1)+1)-INDEX('IR data'!$M$4:$M$61,MATCH(G82,'IR data'!$M$4:$M$61,1))))) * (INDEX('IR data'!$N$4:$N$61,MATCH(G82,'IR data'!$M$4:$M$61,1))-(INDEX('IR data'!$N$4:$N$61,MATCH(G82,'IR data'!$M$4:$M$61,1)+1)))))</f>
        <v>0.98823420173333332</v>
      </c>
      <c r="I82" s="44">
        <f t="shared" si="11"/>
        <v>2.374865438853788E-2</v>
      </c>
    </row>
    <row r="83" spans="1:9" x14ac:dyDescent="0.25">
      <c r="A83" s="45">
        <f t="shared" si="7"/>
        <v>45371</v>
      </c>
      <c r="B83" s="14" cm="1">
        <f t="array" ref="B83">_xlfn.IFNA(INDEX('IR data'!$D$4:$D$61,MATCH(A83,'IR data'!$C$4:$C$61,0)),((INDEX('IR data'!$D$4:$D$61,MATCH(A83,'IR data'!$C$4:$C$61,1)))-((A83-(INDEX('IR data'!$C$4:$C$61,MATCH(A83,'IR data'!$C$4:$C$61,1))))/((INDEX('IR data'!$C$4:$C$61,MATCH(A83,'IR data'!$C$4:$C$61,1)+1)-INDEX('IR data'!$C$4:$C$61,MATCH(A83,'IR data'!$C$4:$C$61,1))))) * (INDEX('IR data'!$D$4:$D$61,MATCH(A83,'IR data'!$C$4:$C$61,1))-(INDEX('IR data'!$D$4:$D$61,MATCH(A83,'IR data'!$C$4:$C$61,1)+1)))))</f>
        <v>0.98776013659999995</v>
      </c>
      <c r="C83" s="30">
        <f t="shared" si="8"/>
        <v>2.4402553165195233E-2</v>
      </c>
      <c r="D83" s="45">
        <f t="shared" si="9"/>
        <v>45431</v>
      </c>
      <c r="E83" s="14" cm="1">
        <f t="array" ref="E83">_xlfn.IFNA(INDEX('IR data'!$I$4:$I$61,MATCH(D83,'IR data'!$H$4:$H$61,0)),((INDEX('IR data'!$I$4:$I$61,MATCH(D83,'IR data'!$H$4:$H$61,1)))-((D83-(INDEX('IR data'!$H$4:$H$61,MATCH(D83,'IR data'!$H$4:$H$61,1))))/((INDEX('IR data'!$H$4:$H$61,MATCH(D83,'IR data'!$H$4:$H$61,1)+1)-INDEX('IR data'!$H$4:$H$61,MATCH(D83,'IR data'!$H$4:$H$61,1))))) * (INDEX('IR data'!$I$4:$I$61,MATCH(D83,'IR data'!$H$4:$H$61,1))-(INDEX('IR data'!$I$4:$I$61,MATCH(D83,'IR data'!$H$4:$H$61,1)+1)))))</f>
        <v>0.98803492648275859</v>
      </c>
      <c r="F83" s="30">
        <f t="shared" si="10"/>
        <v>2.3851395273633821E-2</v>
      </c>
      <c r="G83" s="45">
        <f t="shared" si="6"/>
        <v>45465</v>
      </c>
      <c r="H83" s="14" cm="1">
        <f t="array" ref="H83">_xlfn.IFNA(INDEX('IR data'!$N$4:$N$61,MATCH(G83,'IR data'!$M$4:$M$61,0)),((INDEX('IR data'!$N$4:$N$61,MATCH(G83,'IR data'!$M$4:$M$61,1)))-((G83-(INDEX('IR data'!$M$4:$M$61,MATCH(G83,'IR data'!$M$4:$M$61,1))))/((INDEX('IR data'!$M$4:$M$61,MATCH(G83,'IR data'!$M$4:$M$61,1)+1)-INDEX('IR data'!$M$4:$M$61,MATCH(G83,'IR data'!$M$4:$M$61,1))))) * (INDEX('IR data'!$N$4:$N$61,MATCH(G83,'IR data'!$M$4:$M$61,1))-(INDEX('IR data'!$N$4:$N$61,MATCH(G83,'IR data'!$M$4:$M$61,1)+1)))))</f>
        <v>0.98808291646666668</v>
      </c>
      <c r="I83" s="44">
        <f t="shared" si="11"/>
        <v>2.3755155421012246E-2</v>
      </c>
    </row>
    <row r="84" spans="1:9" x14ac:dyDescent="0.25">
      <c r="A84" s="45">
        <f t="shared" si="7"/>
        <v>45372</v>
      </c>
      <c r="B84" s="14" cm="1">
        <f t="array" ref="B84">_xlfn.IFNA(INDEX('IR data'!$D$4:$D$61,MATCH(A84,'IR data'!$C$4:$C$61,0)),((INDEX('IR data'!$D$4:$D$61,MATCH(A84,'IR data'!$C$4:$C$61,1)))-((A84-(INDEX('IR data'!$C$4:$C$61,MATCH(A84,'IR data'!$C$4:$C$61,1))))/((INDEX('IR data'!$C$4:$C$61,MATCH(A84,'IR data'!$C$4:$C$61,1)+1)-INDEX('IR data'!$C$4:$C$61,MATCH(A84,'IR data'!$C$4:$C$61,1))))) * (INDEX('IR data'!$D$4:$D$61,MATCH(A84,'IR data'!$C$4:$C$61,1))-(INDEX('IR data'!$D$4:$D$61,MATCH(A84,'IR data'!$C$4:$C$61,1)+1)))))</f>
        <v>0.98761016420000003</v>
      </c>
      <c r="C84" s="30">
        <f t="shared" si="8"/>
        <v>2.4398443399157501E-2</v>
      </c>
      <c r="D84" s="45">
        <f t="shared" si="9"/>
        <v>45432</v>
      </c>
      <c r="E84" s="14" cm="1">
        <f t="array" ref="E84">_xlfn.IFNA(INDEX('IR data'!$I$4:$I$61,MATCH(D84,'IR data'!$H$4:$H$61,0)),((INDEX('IR data'!$I$4:$I$61,MATCH(D84,'IR data'!$H$4:$H$61,1)))-((D84-(INDEX('IR data'!$H$4:$H$61,MATCH(D84,'IR data'!$H$4:$H$61,1))))/((INDEX('IR data'!$H$4:$H$61,MATCH(D84,'IR data'!$H$4:$H$61,1)+1)-INDEX('IR data'!$H$4:$H$61,MATCH(D84,'IR data'!$H$4:$H$61,1))))) * (INDEX('IR data'!$I$4:$I$61,MATCH(D84,'IR data'!$H$4:$H$61,1))-(INDEX('IR data'!$I$4:$I$61,MATCH(D84,'IR data'!$H$4:$H$61,1)+1)))))</f>
        <v>0.98788223082758619</v>
      </c>
      <c r="F84" s="30">
        <f t="shared" si="10"/>
        <v>2.3859402067549672E-2</v>
      </c>
      <c r="G84" s="45">
        <f t="shared" si="6"/>
        <v>45466</v>
      </c>
      <c r="H84" s="14" cm="1">
        <f t="array" ref="H84">_xlfn.IFNA(INDEX('IR data'!$N$4:$N$61,MATCH(G84,'IR data'!$M$4:$M$61,0)),((INDEX('IR data'!$N$4:$N$61,MATCH(G84,'IR data'!$M$4:$M$61,1)))-((G84-(INDEX('IR data'!$M$4:$M$61,MATCH(G84,'IR data'!$M$4:$M$61,1))))/((INDEX('IR data'!$M$4:$M$61,MATCH(G84,'IR data'!$M$4:$M$61,1)+1)-INDEX('IR data'!$M$4:$M$61,MATCH(G84,'IR data'!$M$4:$M$61,1))))) * (INDEX('IR data'!$N$4:$N$61,MATCH(G84,'IR data'!$M$4:$M$61,1))-(INDEX('IR data'!$N$4:$N$61,MATCH(G84,'IR data'!$M$4:$M$61,1)+1)))))</f>
        <v>0.98793163120000005</v>
      </c>
      <c r="I84" s="44">
        <f t="shared" si="11"/>
        <v>2.3761541811550806E-2</v>
      </c>
    </row>
    <row r="85" spans="1:9" x14ac:dyDescent="0.25">
      <c r="A85" s="45">
        <f t="shared" si="7"/>
        <v>45373</v>
      </c>
      <c r="B85" s="14" cm="1">
        <f t="array" ref="B85">_xlfn.IFNA(INDEX('IR data'!$D$4:$D$61,MATCH(A85,'IR data'!$C$4:$C$61,0)),((INDEX('IR data'!$D$4:$D$61,MATCH(A85,'IR data'!$C$4:$C$61,1)))-((A85-(INDEX('IR data'!$C$4:$C$61,MATCH(A85,'IR data'!$C$4:$C$61,1))))/((INDEX('IR data'!$C$4:$C$61,MATCH(A85,'IR data'!$C$4:$C$61,1)+1)-INDEX('IR data'!$C$4:$C$61,MATCH(A85,'IR data'!$C$4:$C$61,1))))) * (INDEX('IR data'!$D$4:$D$61,MATCH(A85,'IR data'!$C$4:$C$61,1))-(INDEX('IR data'!$D$4:$D$61,MATCH(A85,'IR data'!$C$4:$C$61,1)+1)))))</f>
        <v>0.9874601918</v>
      </c>
      <c r="C85" s="30">
        <f t="shared" si="8"/>
        <v>2.4394478448734012E-2</v>
      </c>
      <c r="D85" s="45">
        <f t="shared" si="9"/>
        <v>45433</v>
      </c>
      <c r="E85" s="14" cm="1">
        <f t="array" ref="E85">_xlfn.IFNA(INDEX('IR data'!$I$4:$I$61,MATCH(D85,'IR data'!$H$4:$H$61,0)),((INDEX('IR data'!$I$4:$I$61,MATCH(D85,'IR data'!$H$4:$H$61,1)))-((D85-(INDEX('IR data'!$H$4:$H$61,MATCH(D85,'IR data'!$H$4:$H$61,1))))/((INDEX('IR data'!$H$4:$H$61,MATCH(D85,'IR data'!$H$4:$H$61,1)+1)-INDEX('IR data'!$H$4:$H$61,MATCH(D85,'IR data'!$H$4:$H$61,1))))) * (INDEX('IR data'!$I$4:$I$61,MATCH(D85,'IR data'!$H$4:$H$61,1))-(INDEX('IR data'!$I$4:$I$61,MATCH(D85,'IR data'!$H$4:$H$61,1)+1)))))</f>
        <v>0.9877295351724138</v>
      </c>
      <c r="F85" s="30">
        <f t="shared" si="10"/>
        <v>2.3867259759382514E-2</v>
      </c>
      <c r="G85" s="45">
        <f t="shared" si="6"/>
        <v>45467</v>
      </c>
      <c r="H85" s="14" cm="1">
        <f t="array" ref="H85">_xlfn.IFNA(INDEX('IR data'!$N$4:$N$61,MATCH(G85,'IR data'!$M$4:$M$61,0)),((INDEX('IR data'!$N$4:$N$61,MATCH(G85,'IR data'!$M$4:$M$61,1)))-((G85-(INDEX('IR data'!$M$4:$M$61,MATCH(G85,'IR data'!$M$4:$M$61,1))))/((INDEX('IR data'!$M$4:$M$61,MATCH(G85,'IR data'!$M$4:$M$61,1)+1)-INDEX('IR data'!$M$4:$M$61,MATCH(G85,'IR data'!$M$4:$M$61,1))))) * (INDEX('IR data'!$N$4:$N$61,MATCH(G85,'IR data'!$M$4:$M$61,1))-(INDEX('IR data'!$N$4:$N$61,MATCH(G85,'IR data'!$M$4:$M$61,1)+1)))))</f>
        <v>0.9877803459333333</v>
      </c>
      <c r="I85" s="44">
        <f t="shared" si="11"/>
        <v>2.3767817768251372E-2</v>
      </c>
    </row>
    <row r="86" spans="1:9" x14ac:dyDescent="0.25">
      <c r="A86" s="45">
        <f t="shared" si="7"/>
        <v>45374</v>
      </c>
      <c r="B86" s="14" cm="1">
        <f t="array" ref="B86">_xlfn.IFNA(INDEX('IR data'!$D$4:$D$61,MATCH(A86,'IR data'!$C$4:$C$61,0)),((INDEX('IR data'!$D$4:$D$61,MATCH(A86,'IR data'!$C$4:$C$61,1)))-((A86-(INDEX('IR data'!$C$4:$C$61,MATCH(A86,'IR data'!$C$4:$C$61,1))))/((INDEX('IR data'!$C$4:$C$61,MATCH(A86,'IR data'!$C$4:$C$61,1)+1)-INDEX('IR data'!$C$4:$C$61,MATCH(A86,'IR data'!$C$4:$C$61,1))))) * (INDEX('IR data'!$D$4:$D$61,MATCH(A86,'IR data'!$C$4:$C$61,1))-(INDEX('IR data'!$D$4:$D$61,MATCH(A86,'IR data'!$C$4:$C$61,1)+1)))))</f>
        <v>0.98731021939999997</v>
      </c>
      <c r="C86" s="30">
        <f t="shared" si="8"/>
        <v>2.4390653093003672E-2</v>
      </c>
      <c r="D86" s="45">
        <f t="shared" si="9"/>
        <v>45434</v>
      </c>
      <c r="E86" s="14" cm="1">
        <f t="array" ref="E86">_xlfn.IFNA(INDEX('IR data'!$I$4:$I$61,MATCH(D86,'IR data'!$H$4:$H$61,0)),((INDEX('IR data'!$I$4:$I$61,MATCH(D86,'IR data'!$H$4:$H$61,1)))-((D86-(INDEX('IR data'!$H$4:$H$61,MATCH(D86,'IR data'!$H$4:$H$61,1))))/((INDEX('IR data'!$H$4:$H$61,MATCH(D86,'IR data'!$H$4:$H$61,1)+1)-INDEX('IR data'!$H$4:$H$61,MATCH(D86,'IR data'!$H$4:$H$61,1))))) * (INDEX('IR data'!$I$4:$I$61,MATCH(D86,'IR data'!$H$4:$H$61,1))-(INDEX('IR data'!$I$4:$I$61,MATCH(D86,'IR data'!$H$4:$H$61,1)+1)))))</f>
        <v>0.9875768395172414</v>
      </c>
      <c r="F86" s="30">
        <f t="shared" si="10"/>
        <v>2.3874973752473189E-2</v>
      </c>
      <c r="G86" s="45">
        <f t="shared" si="6"/>
        <v>45468</v>
      </c>
      <c r="H86" s="14" cm="1">
        <f t="array" ref="H86">_xlfn.IFNA(INDEX('IR data'!$N$4:$N$61,MATCH(G86,'IR data'!$M$4:$M$61,0)),((INDEX('IR data'!$N$4:$N$61,MATCH(G86,'IR data'!$M$4:$M$61,1)))-((G86-(INDEX('IR data'!$M$4:$M$61,MATCH(G86,'IR data'!$M$4:$M$61,1))))/((INDEX('IR data'!$M$4:$M$61,MATCH(G86,'IR data'!$M$4:$M$61,1)+1)-INDEX('IR data'!$M$4:$M$61,MATCH(G86,'IR data'!$M$4:$M$61,1))))) * (INDEX('IR data'!$N$4:$N$61,MATCH(G86,'IR data'!$M$4:$M$61,1))-(INDEX('IR data'!$N$4:$N$61,MATCH(G86,'IR data'!$M$4:$M$61,1)+1)))))</f>
        <v>0.98762906066666667</v>
      </c>
      <c r="I86" s="44">
        <f t="shared" si="11"/>
        <v>2.3773987296417512E-2</v>
      </c>
    </row>
    <row r="87" spans="1:9" x14ac:dyDescent="0.25">
      <c r="A87" s="45">
        <f t="shared" si="7"/>
        <v>45375</v>
      </c>
      <c r="B87" s="14" cm="1">
        <f t="array" ref="B87">_xlfn.IFNA(INDEX('IR data'!$D$4:$D$61,MATCH(A87,'IR data'!$C$4:$C$61,0)),((INDEX('IR data'!$D$4:$D$61,MATCH(A87,'IR data'!$C$4:$C$61,1)))-((A87-(INDEX('IR data'!$C$4:$C$61,MATCH(A87,'IR data'!$C$4:$C$61,1))))/((INDEX('IR data'!$C$4:$C$61,MATCH(A87,'IR data'!$C$4:$C$61,1)+1)-INDEX('IR data'!$C$4:$C$61,MATCH(A87,'IR data'!$C$4:$C$61,1))))) * (INDEX('IR data'!$D$4:$D$61,MATCH(A87,'IR data'!$C$4:$C$61,1))-(INDEX('IR data'!$D$4:$D$61,MATCH(A87,'IR data'!$C$4:$C$61,1)+1)))))</f>
        <v>0.98716024699999994</v>
      </c>
      <c r="C87" s="30">
        <f t="shared" si="8"/>
        <v>2.4386962359666926E-2</v>
      </c>
      <c r="D87" s="45">
        <f t="shared" si="9"/>
        <v>45435</v>
      </c>
      <c r="E87" s="14" cm="1">
        <f t="array" ref="E87">_xlfn.IFNA(INDEX('IR data'!$I$4:$I$61,MATCH(D87,'IR data'!$H$4:$H$61,0)),((INDEX('IR data'!$I$4:$I$61,MATCH(D87,'IR data'!$H$4:$H$61,1)))-((D87-(INDEX('IR data'!$H$4:$H$61,MATCH(D87,'IR data'!$H$4:$H$61,1))))/((INDEX('IR data'!$H$4:$H$61,MATCH(D87,'IR data'!$H$4:$H$61,1)+1)-INDEX('IR data'!$H$4:$H$61,MATCH(D87,'IR data'!$H$4:$H$61,1))))) * (INDEX('IR data'!$I$4:$I$61,MATCH(D87,'IR data'!$H$4:$H$61,1))-(INDEX('IR data'!$I$4:$I$61,MATCH(D87,'IR data'!$H$4:$H$61,1)+1)))))</f>
        <v>0.987424143862069</v>
      </c>
      <c r="F87" s="30">
        <f t="shared" si="10"/>
        <v>2.3882549192867083E-2</v>
      </c>
      <c r="G87" s="45">
        <f t="shared" si="6"/>
        <v>45469</v>
      </c>
      <c r="H87" s="14" cm="1">
        <f t="array" ref="H87">_xlfn.IFNA(INDEX('IR data'!$N$4:$N$61,MATCH(G87,'IR data'!$M$4:$M$61,0)),((INDEX('IR data'!$N$4:$N$61,MATCH(G87,'IR data'!$M$4:$M$61,1)))-((G87-(INDEX('IR data'!$M$4:$M$61,MATCH(G87,'IR data'!$M$4:$M$61,1))))/((INDEX('IR data'!$M$4:$M$61,MATCH(G87,'IR data'!$M$4:$M$61,1)+1)-INDEX('IR data'!$M$4:$M$61,MATCH(G87,'IR data'!$M$4:$M$61,1))))) * (INDEX('IR data'!$N$4:$N$61,MATCH(G87,'IR data'!$M$4:$M$61,1))-(INDEX('IR data'!$N$4:$N$61,MATCH(G87,'IR data'!$M$4:$M$61,1)+1)))))</f>
        <v>0.98747777540000004</v>
      </c>
      <c r="I87" s="44">
        <f t="shared" si="11"/>
        <v>2.3780054210630928E-2</v>
      </c>
    </row>
    <row r="88" spans="1:9" x14ac:dyDescent="0.25">
      <c r="A88" s="45">
        <f t="shared" si="7"/>
        <v>45376</v>
      </c>
      <c r="B88" s="14" cm="1">
        <f t="array" ref="B88">_xlfn.IFNA(INDEX('IR data'!$D$4:$D$61,MATCH(A88,'IR data'!$C$4:$C$61,0)),((INDEX('IR data'!$D$4:$D$61,MATCH(A88,'IR data'!$C$4:$C$61,1)))-((A88-(INDEX('IR data'!$C$4:$C$61,MATCH(A88,'IR data'!$C$4:$C$61,1))))/((INDEX('IR data'!$C$4:$C$61,MATCH(A88,'IR data'!$C$4:$C$61,1)+1)-INDEX('IR data'!$C$4:$C$61,MATCH(A88,'IR data'!$C$4:$C$61,1))))) * (INDEX('IR data'!$D$4:$D$61,MATCH(A88,'IR data'!$C$4:$C$61,1))-(INDEX('IR data'!$D$4:$D$61,MATCH(A88,'IR data'!$C$4:$C$61,1)+1)))))</f>
        <v>0.98701027460000001</v>
      </c>
      <c r="C88" s="30">
        <f t="shared" si="8"/>
        <v>2.4383401510420521E-2</v>
      </c>
      <c r="D88" s="45">
        <f t="shared" si="9"/>
        <v>45436</v>
      </c>
      <c r="E88" s="14" cm="1">
        <f t="array" ref="E88">_xlfn.IFNA(INDEX('IR data'!$I$4:$I$61,MATCH(D88,'IR data'!$H$4:$H$61,0)),((INDEX('IR data'!$I$4:$I$61,MATCH(D88,'IR data'!$H$4:$H$61,1)))-((D88-(INDEX('IR data'!$H$4:$H$61,MATCH(D88,'IR data'!$H$4:$H$61,1))))/((INDEX('IR data'!$H$4:$H$61,MATCH(D88,'IR data'!$H$4:$H$61,1)+1)-INDEX('IR data'!$H$4:$H$61,MATCH(D88,'IR data'!$H$4:$H$61,1))))) * (INDEX('IR data'!$I$4:$I$61,MATCH(D88,'IR data'!$H$4:$H$61,1))-(INDEX('IR data'!$I$4:$I$61,MATCH(D88,'IR data'!$H$4:$H$61,1)+1)))))</f>
        <v>0.98727144820689661</v>
      </c>
      <c r="F88" s="30">
        <f t="shared" si="10"/>
        <v>2.3889990984449119E-2</v>
      </c>
      <c r="G88" s="45">
        <f t="shared" si="6"/>
        <v>45470</v>
      </c>
      <c r="H88" s="14" cm="1">
        <f t="array" ref="H88">_xlfn.IFNA(INDEX('IR data'!$N$4:$N$61,MATCH(G88,'IR data'!$M$4:$M$61,0)),((INDEX('IR data'!$N$4:$N$61,MATCH(G88,'IR data'!$M$4:$M$61,1)))-((G88-(INDEX('IR data'!$M$4:$M$61,MATCH(G88,'IR data'!$M$4:$M$61,1))))/((INDEX('IR data'!$M$4:$M$61,MATCH(G88,'IR data'!$M$4:$M$61,1)+1)-INDEX('IR data'!$M$4:$M$61,MATCH(G88,'IR data'!$M$4:$M$61,1))))) * (INDEX('IR data'!$N$4:$N$61,MATCH(G88,'IR data'!$M$4:$M$61,1))-(INDEX('IR data'!$N$4:$N$61,MATCH(G88,'IR data'!$M$4:$M$61,1)+1)))))</f>
        <v>0.98732649013333329</v>
      </c>
      <c r="I88" s="44">
        <f t="shared" si="11"/>
        <v>2.378602214596974E-2</v>
      </c>
    </row>
    <row r="89" spans="1:9" x14ac:dyDescent="0.25">
      <c r="A89" s="45">
        <f t="shared" si="7"/>
        <v>45377</v>
      </c>
      <c r="B89" s="14" cm="1">
        <f t="array" ref="B89">_xlfn.IFNA(INDEX('IR data'!$D$4:$D$61,MATCH(A89,'IR data'!$C$4:$C$61,0)),((INDEX('IR data'!$D$4:$D$61,MATCH(A89,'IR data'!$C$4:$C$61,1)))-((A89-(INDEX('IR data'!$C$4:$C$61,MATCH(A89,'IR data'!$C$4:$C$61,1))))/((INDEX('IR data'!$C$4:$C$61,MATCH(A89,'IR data'!$C$4:$C$61,1)+1)-INDEX('IR data'!$C$4:$C$61,MATCH(A89,'IR data'!$C$4:$C$61,1))))) * (INDEX('IR data'!$D$4:$D$61,MATCH(A89,'IR data'!$C$4:$C$61,1))-(INDEX('IR data'!$D$4:$D$61,MATCH(A89,'IR data'!$C$4:$C$61,1)+1)))))</f>
        <v>0.98686030219999998</v>
      </c>
      <c r="C89" s="30">
        <f t="shared" si="8"/>
        <v>2.4379966027353924E-2</v>
      </c>
      <c r="D89" s="45">
        <f t="shared" si="9"/>
        <v>45437</v>
      </c>
      <c r="E89" s="14" cm="1">
        <f t="array" ref="E89">_xlfn.IFNA(INDEX('IR data'!$I$4:$I$61,MATCH(D89,'IR data'!$H$4:$H$61,0)),((INDEX('IR data'!$I$4:$I$61,MATCH(D89,'IR data'!$H$4:$H$61,1)))-((D89-(INDEX('IR data'!$H$4:$H$61,MATCH(D89,'IR data'!$H$4:$H$61,1))))/((INDEX('IR data'!$H$4:$H$61,MATCH(D89,'IR data'!$H$4:$H$61,1)+1)-INDEX('IR data'!$H$4:$H$61,MATCH(D89,'IR data'!$H$4:$H$61,1))))) * (INDEX('IR data'!$I$4:$I$61,MATCH(D89,'IR data'!$H$4:$H$61,1))-(INDEX('IR data'!$I$4:$I$61,MATCH(D89,'IR data'!$H$4:$H$61,1)+1)))))</f>
        <v>0.9871187525517241</v>
      </c>
      <c r="F89" s="30">
        <f t="shared" si="10"/>
        <v>2.3897303803023091E-2</v>
      </c>
      <c r="G89" s="45">
        <f t="shared" si="6"/>
        <v>45471</v>
      </c>
      <c r="H89" s="14" cm="1">
        <f t="array" ref="H89">_xlfn.IFNA(INDEX('IR data'!$N$4:$N$61,MATCH(G89,'IR data'!$M$4:$M$61,0)),((INDEX('IR data'!$N$4:$N$61,MATCH(G89,'IR data'!$M$4:$M$61,1)))-((G89-(INDEX('IR data'!$M$4:$M$61,MATCH(G89,'IR data'!$M$4:$M$61,1))))/((INDEX('IR data'!$M$4:$M$61,MATCH(G89,'IR data'!$M$4:$M$61,1)+1)-INDEX('IR data'!$M$4:$M$61,MATCH(G89,'IR data'!$M$4:$M$61,1))))) * (INDEX('IR data'!$N$4:$N$61,MATCH(G89,'IR data'!$M$4:$M$61,1))-(INDEX('IR data'!$N$4:$N$61,MATCH(G89,'IR data'!$M$4:$M$61,1)+1)))))</f>
        <v>0.98717520486666666</v>
      </c>
      <c r="I89" s="44">
        <f t="shared" si="11"/>
        <v>2.3791894568444147E-2</v>
      </c>
    </row>
    <row r="90" spans="1:9" x14ac:dyDescent="0.25">
      <c r="A90" s="45">
        <f t="shared" si="7"/>
        <v>45378</v>
      </c>
      <c r="B90" s="14" cm="1">
        <f t="array" ref="B90">_xlfn.IFNA(INDEX('IR data'!$D$4:$D$61,MATCH(A90,'IR data'!$C$4:$C$61,0)),((INDEX('IR data'!$D$4:$D$61,MATCH(A90,'IR data'!$C$4:$C$61,1)))-((A90-(INDEX('IR data'!$C$4:$C$61,MATCH(A90,'IR data'!$C$4:$C$61,1))))/((INDEX('IR data'!$C$4:$C$61,MATCH(A90,'IR data'!$C$4:$C$61,1)+1)-INDEX('IR data'!$C$4:$C$61,MATCH(A90,'IR data'!$C$4:$C$61,1))))) * (INDEX('IR data'!$D$4:$D$61,MATCH(A90,'IR data'!$C$4:$C$61,1))-(INDEX('IR data'!$D$4:$D$61,MATCH(A90,'IR data'!$C$4:$C$61,1)+1)))))</f>
        <v>0.98671032979999995</v>
      </c>
      <c r="C90" s="30">
        <f t="shared" si="8"/>
        <v>2.4376651600281841E-2</v>
      </c>
      <c r="D90" s="45">
        <f t="shared" si="9"/>
        <v>45438</v>
      </c>
      <c r="E90" s="14" cm="1">
        <f t="array" ref="E90">_xlfn.IFNA(INDEX('IR data'!$I$4:$I$61,MATCH(D90,'IR data'!$H$4:$H$61,0)),((INDEX('IR data'!$I$4:$I$61,MATCH(D90,'IR data'!$H$4:$H$61,1)))-((D90-(INDEX('IR data'!$H$4:$H$61,MATCH(D90,'IR data'!$H$4:$H$61,1))))/((INDEX('IR data'!$H$4:$H$61,MATCH(D90,'IR data'!$H$4:$H$61,1)+1)-INDEX('IR data'!$H$4:$H$61,MATCH(D90,'IR data'!$H$4:$H$61,1))))) * (INDEX('IR data'!$I$4:$I$61,MATCH(D90,'IR data'!$H$4:$H$61,1))-(INDEX('IR data'!$I$4:$I$61,MATCH(D90,'IR data'!$H$4:$H$61,1)+1)))))</f>
        <v>0.9869660568965517</v>
      </c>
      <c r="F90" s="30">
        <f t="shared" si="10"/>
        <v>2.3904492109418939E-2</v>
      </c>
      <c r="G90" s="45">
        <f t="shared" si="6"/>
        <v>45472</v>
      </c>
      <c r="H90" s="14" cm="1">
        <f t="array" ref="H90">_xlfn.IFNA(INDEX('IR data'!$N$4:$N$61,MATCH(G90,'IR data'!$M$4:$M$61,0)),((INDEX('IR data'!$N$4:$N$61,MATCH(G90,'IR data'!$M$4:$M$61,1)))-((G90-(INDEX('IR data'!$M$4:$M$61,MATCH(G90,'IR data'!$M$4:$M$61,1))))/((INDEX('IR data'!$M$4:$M$61,MATCH(G90,'IR data'!$M$4:$M$61,1)+1)-INDEX('IR data'!$M$4:$M$61,MATCH(G90,'IR data'!$M$4:$M$61,1))))) * (INDEX('IR data'!$N$4:$N$61,MATCH(G90,'IR data'!$M$4:$M$61,1))-(INDEX('IR data'!$N$4:$N$61,MATCH(G90,'IR data'!$M$4:$M$61,1)+1)))))</f>
        <v>0.98702391960000002</v>
      </c>
      <c r="I90" s="44">
        <f t="shared" si="11"/>
        <v>2.3797674784714205E-2</v>
      </c>
    </row>
    <row r="91" spans="1:9" x14ac:dyDescent="0.25">
      <c r="A91" s="45">
        <f t="shared" si="7"/>
        <v>45379</v>
      </c>
      <c r="B91" s="14" cm="1">
        <f t="array" ref="B91">_xlfn.IFNA(INDEX('IR data'!$D$4:$D$61,MATCH(A91,'IR data'!$C$4:$C$61,0)),((INDEX('IR data'!$D$4:$D$61,MATCH(A91,'IR data'!$C$4:$C$61,1)))-((A91-(INDEX('IR data'!$C$4:$C$61,MATCH(A91,'IR data'!$C$4:$C$61,1))))/((INDEX('IR data'!$C$4:$C$61,MATCH(A91,'IR data'!$C$4:$C$61,1)+1)-INDEX('IR data'!$C$4:$C$61,MATCH(A91,'IR data'!$C$4:$C$61,1))))) * (INDEX('IR data'!$D$4:$D$61,MATCH(A91,'IR data'!$C$4:$C$61,1))-(INDEX('IR data'!$D$4:$D$61,MATCH(A91,'IR data'!$C$4:$C$61,1)+1)))))</f>
        <v>0.98656035739999992</v>
      </c>
      <c r="C91" s="30">
        <f t="shared" si="8"/>
        <v>2.4373454114942454E-2</v>
      </c>
      <c r="D91" s="45">
        <f t="shared" si="9"/>
        <v>45439</v>
      </c>
      <c r="E91" s="14" cm="1">
        <f t="array" ref="E91">_xlfn.IFNA(INDEX('IR data'!$I$4:$I$61,MATCH(D91,'IR data'!$H$4:$H$61,0)),((INDEX('IR data'!$I$4:$I$61,MATCH(D91,'IR data'!$H$4:$H$61,1)))-((D91-(INDEX('IR data'!$H$4:$H$61,MATCH(D91,'IR data'!$H$4:$H$61,1))))/((INDEX('IR data'!$H$4:$H$61,MATCH(D91,'IR data'!$H$4:$H$61,1)+1)-INDEX('IR data'!$H$4:$H$61,MATCH(D91,'IR data'!$H$4:$H$61,1))))) * (INDEX('IR data'!$I$4:$I$61,MATCH(D91,'IR data'!$H$4:$H$61,1))-(INDEX('IR data'!$I$4:$I$61,MATCH(D91,'IR data'!$H$4:$H$61,1)+1)))))</f>
        <v>0.98681336124137931</v>
      </c>
      <c r="F91" s="30">
        <f t="shared" si="10"/>
        <v>2.3911560161708412E-2</v>
      </c>
      <c r="G91" s="45">
        <f t="shared" si="6"/>
        <v>45473</v>
      </c>
      <c r="H91" s="14" cm="1">
        <f t="array" ref="H91">_xlfn.IFNA(INDEX('IR data'!$N$4:$N$61,MATCH(G91,'IR data'!$M$4:$M$61,0)),((INDEX('IR data'!$N$4:$N$61,MATCH(G91,'IR data'!$M$4:$M$61,1)))-((G91-(INDEX('IR data'!$M$4:$M$61,MATCH(G91,'IR data'!$M$4:$M$61,1))))/((INDEX('IR data'!$M$4:$M$61,MATCH(G91,'IR data'!$M$4:$M$61,1)+1)-INDEX('IR data'!$M$4:$M$61,MATCH(G91,'IR data'!$M$4:$M$61,1))))) * (INDEX('IR data'!$N$4:$N$61,MATCH(G91,'IR data'!$M$4:$M$61,1))-(INDEX('IR data'!$N$4:$N$61,MATCH(G91,'IR data'!$M$4:$M$61,1)+1)))))</f>
        <v>0.98687263433333339</v>
      </c>
      <c r="I91" s="44">
        <f t="shared" si="11"/>
        <v>2.3803365951142991E-2</v>
      </c>
    </row>
    <row r="92" spans="1:9" x14ac:dyDescent="0.25">
      <c r="A92" s="45">
        <f t="shared" si="7"/>
        <v>45380</v>
      </c>
      <c r="B92" s="14" cm="1">
        <f t="array" ref="B92">_xlfn.IFNA(INDEX('IR data'!$D$4:$D$61,MATCH(A92,'IR data'!$C$4:$C$61,0)),((INDEX('IR data'!$D$4:$D$61,MATCH(A92,'IR data'!$C$4:$C$61,1)))-((A92-(INDEX('IR data'!$C$4:$C$61,MATCH(A92,'IR data'!$C$4:$C$61,1))))/((INDEX('IR data'!$C$4:$C$61,MATCH(A92,'IR data'!$C$4:$C$61,1)+1)-INDEX('IR data'!$C$4:$C$61,MATCH(A92,'IR data'!$C$4:$C$61,1))))) * (INDEX('IR data'!$D$4:$D$61,MATCH(A92,'IR data'!$C$4:$C$61,1))-(INDEX('IR data'!$D$4:$D$61,MATCH(A92,'IR data'!$C$4:$C$61,1)+1)))))</f>
        <v>0.986410385</v>
      </c>
      <c r="C92" s="30">
        <f t="shared" si="8"/>
        <v>2.4370369641990092E-2</v>
      </c>
      <c r="D92" s="45">
        <f t="shared" si="9"/>
        <v>45440</v>
      </c>
      <c r="E92" s="14" cm="1">
        <f t="array" ref="E92">_xlfn.IFNA(INDEX('IR data'!$I$4:$I$61,MATCH(D92,'IR data'!$H$4:$H$61,0)),((INDEX('IR data'!$I$4:$I$61,MATCH(D92,'IR data'!$H$4:$H$61,1)))-((D92-(INDEX('IR data'!$H$4:$H$61,MATCH(D92,'IR data'!$H$4:$H$61,1))))/((INDEX('IR data'!$H$4:$H$61,MATCH(D92,'IR data'!$H$4:$H$61,1)+1)-INDEX('IR data'!$H$4:$H$61,MATCH(D92,'IR data'!$H$4:$H$61,1))))) * (INDEX('IR data'!$I$4:$I$61,MATCH(D92,'IR data'!$H$4:$H$61,1))-(INDEX('IR data'!$I$4:$I$61,MATCH(D92,'IR data'!$H$4:$H$61,1)+1)))))</f>
        <v>0.98666066558620691</v>
      </c>
      <c r="F92" s="30">
        <f t="shared" si="10"/>
        <v>2.3918512026595163E-2</v>
      </c>
      <c r="G92" s="45">
        <f t="shared" si="6"/>
        <v>45474</v>
      </c>
      <c r="H92" s="14" cm="1">
        <f t="array" ref="H92">_xlfn.IFNA(INDEX('IR data'!$N$4:$N$61,MATCH(G92,'IR data'!$M$4:$M$61,0)),((INDEX('IR data'!$N$4:$N$61,MATCH(G92,'IR data'!$M$4:$M$61,1)))-((G92-(INDEX('IR data'!$M$4:$M$61,MATCH(G92,'IR data'!$M$4:$M$61,1))))/((INDEX('IR data'!$M$4:$M$61,MATCH(G92,'IR data'!$M$4:$M$61,1)+1)-INDEX('IR data'!$M$4:$M$61,MATCH(G92,'IR data'!$M$4:$M$61,1))))) * (INDEX('IR data'!$N$4:$N$61,MATCH(G92,'IR data'!$M$4:$M$61,1))-(INDEX('IR data'!$N$4:$N$61,MATCH(G92,'IR data'!$M$4:$M$61,1)+1)))))</f>
        <v>0.98672134906666664</v>
      </c>
      <c r="I92" s="44">
        <f t="shared" si="11"/>
        <v>2.380897108224066E-2</v>
      </c>
    </row>
    <row r="93" spans="1:9" x14ac:dyDescent="0.25">
      <c r="A93" s="45">
        <f t="shared" si="7"/>
        <v>45381</v>
      </c>
      <c r="B93" s="14" cm="1">
        <f t="array" ref="B93">_xlfn.IFNA(INDEX('IR data'!$D$4:$D$61,MATCH(A93,'IR data'!$C$4:$C$61,0)),((INDEX('IR data'!$D$4:$D$61,MATCH(A93,'IR data'!$C$4:$C$61,1)))-((A93-(INDEX('IR data'!$C$4:$C$61,MATCH(A93,'IR data'!$C$4:$C$61,1))))/((INDEX('IR data'!$C$4:$C$61,MATCH(A93,'IR data'!$C$4:$C$61,1)+1)-INDEX('IR data'!$C$4:$C$61,MATCH(A93,'IR data'!$C$4:$C$61,1))))) * (INDEX('IR data'!$D$4:$D$61,MATCH(A93,'IR data'!$C$4:$C$61,1))-(INDEX('IR data'!$D$4:$D$61,MATCH(A93,'IR data'!$C$4:$C$61,1)+1)))))</f>
        <v>0.98626041259999997</v>
      </c>
      <c r="C93" s="30">
        <f t="shared" si="8"/>
        <v>2.4367394426722908E-2</v>
      </c>
      <c r="D93" s="45">
        <f t="shared" si="9"/>
        <v>45441</v>
      </c>
      <c r="E93" s="14" cm="1">
        <f t="array" ref="E93">_xlfn.IFNA(INDEX('IR data'!$I$4:$I$61,MATCH(D93,'IR data'!$H$4:$H$61,0)),((INDEX('IR data'!$I$4:$I$61,MATCH(D93,'IR data'!$H$4:$H$61,1)))-((D93-(INDEX('IR data'!$H$4:$H$61,MATCH(D93,'IR data'!$H$4:$H$61,1))))/((INDEX('IR data'!$H$4:$H$61,MATCH(D93,'IR data'!$H$4:$H$61,1)+1)-INDEX('IR data'!$H$4:$H$61,MATCH(D93,'IR data'!$H$4:$H$61,1))))) * (INDEX('IR data'!$I$4:$I$61,MATCH(D93,'IR data'!$H$4:$H$61,1))-(INDEX('IR data'!$I$4:$I$61,MATCH(D93,'IR data'!$H$4:$H$61,1)+1)))))</f>
        <v>0.98650796993103451</v>
      </c>
      <c r="F93" s="30">
        <f t="shared" si="10"/>
        <v>2.3925351590046523E-2</v>
      </c>
      <c r="G93" s="45">
        <f t="shared" si="6"/>
        <v>45475</v>
      </c>
      <c r="H93" s="14" cm="1">
        <f t="array" ref="H93">_xlfn.IFNA(INDEX('IR data'!$N$4:$N$61,MATCH(G93,'IR data'!$M$4:$M$61,0)),((INDEX('IR data'!$N$4:$N$61,MATCH(G93,'IR data'!$M$4:$M$61,1)))-((G93-(INDEX('IR data'!$M$4:$M$61,MATCH(G93,'IR data'!$M$4:$M$61,1))))/((INDEX('IR data'!$M$4:$M$61,MATCH(G93,'IR data'!$M$4:$M$61,1)+1)-INDEX('IR data'!$M$4:$M$61,MATCH(G93,'IR data'!$M$4:$M$61,1))))) * (INDEX('IR data'!$N$4:$N$61,MATCH(G93,'IR data'!$M$4:$M$61,1))-(INDEX('IR data'!$N$4:$N$61,MATCH(G93,'IR data'!$M$4:$M$61,1)+1)))))</f>
        <v>0.98657006380000001</v>
      </c>
      <c r="I93" s="44">
        <f t="shared" si="11"/>
        <v>2.3814493058544398E-2</v>
      </c>
    </row>
    <row r="94" spans="1:9" x14ac:dyDescent="0.25">
      <c r="A94" s="45">
        <f t="shared" si="7"/>
        <v>45382</v>
      </c>
      <c r="B94" s="14" cm="1">
        <f t="array" ref="B94">_xlfn.IFNA(INDEX('IR data'!$D$4:$D$61,MATCH(A94,'IR data'!$C$4:$C$61,0)),((INDEX('IR data'!$D$4:$D$61,MATCH(A94,'IR data'!$C$4:$C$61,1)))-((A94-(INDEX('IR data'!$C$4:$C$61,MATCH(A94,'IR data'!$C$4:$C$61,1))))/((INDEX('IR data'!$C$4:$C$61,MATCH(A94,'IR data'!$C$4:$C$61,1)+1)-INDEX('IR data'!$C$4:$C$61,MATCH(A94,'IR data'!$C$4:$C$61,1))))) * (INDEX('IR data'!$D$4:$D$61,MATCH(A94,'IR data'!$C$4:$C$61,1))-(INDEX('IR data'!$D$4:$D$61,MATCH(A94,'IR data'!$C$4:$C$61,1)+1)))))</f>
        <v>0.98611044019999994</v>
      </c>
      <c r="C94" s="30">
        <f t="shared" si="8"/>
        <v>2.4364524879485885E-2</v>
      </c>
      <c r="D94" s="45">
        <f t="shared" si="9"/>
        <v>45442</v>
      </c>
      <c r="E94" s="14" cm="1">
        <f t="array" ref="E94">_xlfn.IFNA(INDEX('IR data'!$I$4:$I$61,MATCH(D94,'IR data'!$H$4:$H$61,0)),((INDEX('IR data'!$I$4:$I$61,MATCH(D94,'IR data'!$H$4:$H$61,1)))-((D94-(INDEX('IR data'!$H$4:$H$61,MATCH(D94,'IR data'!$H$4:$H$61,1))))/((INDEX('IR data'!$H$4:$H$61,MATCH(D94,'IR data'!$H$4:$H$61,1)+1)-INDEX('IR data'!$H$4:$H$61,MATCH(D94,'IR data'!$H$4:$H$61,1))))) * (INDEX('IR data'!$I$4:$I$61,MATCH(D94,'IR data'!$H$4:$H$61,1))-(INDEX('IR data'!$I$4:$I$61,MATCH(D94,'IR data'!$H$4:$H$61,1)+1)))))</f>
        <v>0.98635527427586212</v>
      </c>
      <c r="F94" s="30">
        <f t="shared" si="10"/>
        <v>2.3932082567224067E-2</v>
      </c>
      <c r="G94" s="45">
        <f t="shared" si="6"/>
        <v>45476</v>
      </c>
      <c r="H94" s="14" cm="1">
        <f t="array" ref="H94">_xlfn.IFNA(INDEX('IR data'!$N$4:$N$61,MATCH(G94,'IR data'!$M$4:$M$61,0)),((INDEX('IR data'!$N$4:$N$61,MATCH(G94,'IR data'!$M$4:$M$61,1)))-((G94-(INDEX('IR data'!$M$4:$M$61,MATCH(G94,'IR data'!$M$4:$M$61,1))))/((INDEX('IR data'!$M$4:$M$61,MATCH(G94,'IR data'!$M$4:$M$61,1)+1)-INDEX('IR data'!$M$4:$M$61,MATCH(G94,'IR data'!$M$4:$M$61,1))))) * (INDEX('IR data'!$N$4:$N$61,MATCH(G94,'IR data'!$M$4:$M$61,1))-(INDEX('IR data'!$N$4:$N$61,MATCH(G94,'IR data'!$M$4:$M$61,1)+1)))))</f>
        <v>0.98641877853333337</v>
      </c>
      <c r="I94" s="44">
        <f t="shared" si="11"/>
        <v>2.3819934633980709E-2</v>
      </c>
    </row>
    <row r="95" spans="1:9" x14ac:dyDescent="0.25">
      <c r="A95" s="45">
        <f t="shared" si="7"/>
        <v>45383</v>
      </c>
      <c r="B95" s="14" cm="1">
        <f t="array" ref="B95">_xlfn.IFNA(INDEX('IR data'!$D$4:$D$61,MATCH(A95,'IR data'!$C$4:$C$61,0)),((INDEX('IR data'!$D$4:$D$61,MATCH(A95,'IR data'!$C$4:$C$61,1)))-((A95-(INDEX('IR data'!$C$4:$C$61,MATCH(A95,'IR data'!$C$4:$C$61,1))))/((INDEX('IR data'!$C$4:$C$61,MATCH(A95,'IR data'!$C$4:$C$61,1)+1)-INDEX('IR data'!$C$4:$C$61,MATCH(A95,'IR data'!$C$4:$C$61,1))))) * (INDEX('IR data'!$D$4:$D$61,MATCH(A95,'IR data'!$C$4:$C$61,1))-(INDEX('IR data'!$D$4:$D$61,MATCH(A95,'IR data'!$C$4:$C$61,1)+1)))))</f>
        <v>0.98596046779999991</v>
      </c>
      <c r="C95" s="30">
        <f t="shared" si="8"/>
        <v>2.4361757566701697E-2</v>
      </c>
      <c r="D95" s="45">
        <f t="shared" si="9"/>
        <v>45443</v>
      </c>
      <c r="E95" s="14" cm="1">
        <f t="array" ref="E95">_xlfn.IFNA(INDEX('IR data'!$I$4:$I$61,MATCH(D95,'IR data'!$H$4:$H$61,0)),((INDEX('IR data'!$I$4:$I$61,MATCH(D95,'IR data'!$H$4:$H$61,1)))-((D95-(INDEX('IR data'!$H$4:$H$61,MATCH(D95,'IR data'!$H$4:$H$61,1))))/((INDEX('IR data'!$H$4:$H$61,MATCH(D95,'IR data'!$H$4:$H$61,1)+1)-INDEX('IR data'!$H$4:$H$61,MATCH(D95,'IR data'!$H$4:$H$61,1))))) * (INDEX('IR data'!$I$4:$I$61,MATCH(D95,'IR data'!$H$4:$H$61,1))-(INDEX('IR data'!$I$4:$I$61,MATCH(D95,'IR data'!$H$4:$H$61,1)+1)))))</f>
        <v>0.98620257862068972</v>
      </c>
      <c r="F95" s="30">
        <f t="shared" si="10"/>
        <v>2.3938708511766535E-2</v>
      </c>
      <c r="G95" s="45">
        <f t="shared" si="6"/>
        <v>45477</v>
      </c>
      <c r="H95" s="14" cm="1">
        <f t="array" ref="H95">_xlfn.IFNA(INDEX('IR data'!$N$4:$N$61,MATCH(G95,'IR data'!$M$4:$M$61,0)),((INDEX('IR data'!$N$4:$N$61,MATCH(G95,'IR data'!$M$4:$M$61,1)))-((G95-(INDEX('IR data'!$M$4:$M$61,MATCH(G95,'IR data'!$M$4:$M$61,1))))/((INDEX('IR data'!$M$4:$M$61,MATCH(G95,'IR data'!$M$4:$M$61,1)+1)-INDEX('IR data'!$M$4:$M$61,MATCH(G95,'IR data'!$M$4:$M$61,1))))) * (INDEX('IR data'!$N$4:$N$61,MATCH(G95,'IR data'!$M$4:$M$61,1))-(INDEX('IR data'!$N$4:$N$61,MATCH(G95,'IR data'!$M$4:$M$61,1)+1)))))</f>
        <v>0.98626749326666663</v>
      </c>
      <c r="I95" s="44">
        <f t="shared" si="11"/>
        <v>2.3825298442745901E-2</v>
      </c>
    </row>
    <row r="96" spans="1:9" x14ac:dyDescent="0.25">
      <c r="A96" s="45">
        <f t="shared" si="7"/>
        <v>45384</v>
      </c>
      <c r="B96" s="14" cm="1">
        <f t="array" ref="B96">_xlfn.IFNA(INDEX('IR data'!$D$4:$D$61,MATCH(A96,'IR data'!$C$4:$C$61,0)),((INDEX('IR data'!$D$4:$D$61,MATCH(A96,'IR data'!$C$4:$C$61,1)))-((A96-(INDEX('IR data'!$C$4:$C$61,MATCH(A96,'IR data'!$C$4:$C$61,1))))/((INDEX('IR data'!$C$4:$C$61,MATCH(A96,'IR data'!$C$4:$C$61,1)+1)-INDEX('IR data'!$C$4:$C$61,MATCH(A96,'IR data'!$C$4:$C$61,1))))) * (INDEX('IR data'!$D$4:$D$61,MATCH(A96,'IR data'!$C$4:$C$61,1))-(INDEX('IR data'!$D$4:$D$61,MATCH(A96,'IR data'!$C$4:$C$61,1)+1)))))</f>
        <v>0.98581049539999999</v>
      </c>
      <c r="C96" s="30">
        <f t="shared" si="8"/>
        <v>2.4359089202479037E-2</v>
      </c>
      <c r="D96" s="45">
        <f t="shared" si="9"/>
        <v>45444</v>
      </c>
      <c r="E96" s="14" cm="1">
        <f t="array" ref="E96">_xlfn.IFNA(INDEX('IR data'!$I$4:$I$61,MATCH(D96,'IR data'!$H$4:$H$61,0)),((INDEX('IR data'!$I$4:$I$61,MATCH(D96,'IR data'!$H$4:$H$61,1)))-((D96-(INDEX('IR data'!$H$4:$H$61,MATCH(D96,'IR data'!$H$4:$H$61,1))))/((INDEX('IR data'!$H$4:$H$61,MATCH(D96,'IR data'!$H$4:$H$61,1)+1)-INDEX('IR data'!$H$4:$H$61,MATCH(D96,'IR data'!$H$4:$H$61,1))))) * (INDEX('IR data'!$I$4:$I$61,MATCH(D96,'IR data'!$H$4:$H$61,1))-(INDEX('IR data'!$I$4:$I$61,MATCH(D96,'IR data'!$H$4:$H$61,1)+1)))))</f>
        <v>0.98604988296551721</v>
      </c>
      <c r="F96" s="30">
        <f t="shared" si="10"/>
        <v>2.3945232824474066E-2</v>
      </c>
      <c r="G96" s="45">
        <f t="shared" si="6"/>
        <v>45478</v>
      </c>
      <c r="H96" s="14" cm="1">
        <f t="array" ref="H96">_xlfn.IFNA(INDEX('IR data'!$N$4:$N$61,MATCH(G96,'IR data'!$M$4:$M$61,0)),((INDEX('IR data'!$N$4:$N$61,MATCH(G96,'IR data'!$M$4:$M$61,1)))-((G96-(INDEX('IR data'!$M$4:$M$61,MATCH(G96,'IR data'!$M$4:$M$61,1))))/((INDEX('IR data'!$M$4:$M$61,MATCH(G96,'IR data'!$M$4:$M$61,1)+1)-INDEX('IR data'!$M$4:$M$61,MATCH(G96,'IR data'!$M$4:$M$61,1))))) * (INDEX('IR data'!$N$4:$N$61,MATCH(G96,'IR data'!$M$4:$M$61,1))-(INDEX('IR data'!$N$4:$N$61,MATCH(G96,'IR data'!$M$4:$M$61,1)+1)))))</f>
        <v>0.98611620799999999</v>
      </c>
      <c r="I96" s="44">
        <f t="shared" si="11"/>
        <v>2.3830587005742598E-2</v>
      </c>
    </row>
    <row r="97" spans="1:9" x14ac:dyDescent="0.25">
      <c r="A97" s="45">
        <f t="shared" si="7"/>
        <v>45385</v>
      </c>
      <c r="B97" s="14" cm="1">
        <f t="array" ref="B97">_xlfn.IFNA(INDEX('IR data'!$D$4:$D$61,MATCH(A97,'IR data'!$C$4:$C$61,0)),((INDEX('IR data'!$D$4:$D$61,MATCH(A97,'IR data'!$C$4:$C$61,1)))-((A97-(INDEX('IR data'!$C$4:$C$61,MATCH(A97,'IR data'!$C$4:$C$61,1))))/((INDEX('IR data'!$C$4:$C$61,MATCH(A97,'IR data'!$C$4:$C$61,1)+1)-INDEX('IR data'!$C$4:$C$61,MATCH(A97,'IR data'!$C$4:$C$61,1))))) * (INDEX('IR data'!$D$4:$D$61,MATCH(A97,'IR data'!$C$4:$C$61,1))-(INDEX('IR data'!$D$4:$D$61,MATCH(A97,'IR data'!$C$4:$C$61,1)+1)))))</f>
        <v>0.98566052299999996</v>
      </c>
      <c r="C97" s="30">
        <f t="shared" si="8"/>
        <v>2.4356516640757744E-2</v>
      </c>
      <c r="D97" s="45">
        <f t="shared" si="9"/>
        <v>45445</v>
      </c>
      <c r="E97" s="14" cm="1">
        <f t="array" ref="E97">_xlfn.IFNA(INDEX('IR data'!$I$4:$I$61,MATCH(D97,'IR data'!$H$4:$H$61,0)),((INDEX('IR data'!$I$4:$I$61,MATCH(D97,'IR data'!$H$4:$H$61,1)))-((D97-(INDEX('IR data'!$H$4:$H$61,MATCH(D97,'IR data'!$H$4:$H$61,1))))/((INDEX('IR data'!$H$4:$H$61,MATCH(D97,'IR data'!$H$4:$H$61,1)+1)-INDEX('IR data'!$H$4:$H$61,MATCH(D97,'IR data'!$H$4:$H$61,1))))) * (INDEX('IR data'!$I$4:$I$61,MATCH(D97,'IR data'!$H$4:$H$61,1))-(INDEX('IR data'!$I$4:$I$61,MATCH(D97,'IR data'!$H$4:$H$61,1)+1)))))</f>
        <v>0.98589718731034481</v>
      </c>
      <c r="F97" s="30">
        <f t="shared" si="10"/>
        <v>2.3951658761437133E-2</v>
      </c>
      <c r="G97" s="45">
        <f t="shared" si="6"/>
        <v>45479</v>
      </c>
      <c r="H97" s="14" cm="1">
        <f t="array" ref="H97">_xlfn.IFNA(INDEX('IR data'!$N$4:$N$61,MATCH(G97,'IR data'!$M$4:$M$61,0)),((INDEX('IR data'!$N$4:$N$61,MATCH(G97,'IR data'!$M$4:$M$61,1)))-((G97-(INDEX('IR data'!$M$4:$M$61,MATCH(G97,'IR data'!$M$4:$M$61,1))))/((INDEX('IR data'!$M$4:$M$61,MATCH(G97,'IR data'!$M$4:$M$61,1)+1)-INDEX('IR data'!$M$4:$M$61,MATCH(G97,'IR data'!$M$4:$M$61,1))))) * (INDEX('IR data'!$N$4:$N$61,MATCH(G97,'IR data'!$M$4:$M$61,1))-(INDEX('IR data'!$N$4:$N$61,MATCH(G97,'IR data'!$M$4:$M$61,1)+1)))))</f>
        <v>0.98596808846808515</v>
      </c>
      <c r="I97" s="44">
        <f t="shared" si="11"/>
        <v>2.3830388195139305E-2</v>
      </c>
    </row>
    <row r="98" spans="1:9" x14ac:dyDescent="0.25">
      <c r="A98" s="45">
        <f t="shared" si="7"/>
        <v>45386</v>
      </c>
      <c r="B98" s="14" cm="1">
        <f t="array" ref="B98">_xlfn.IFNA(INDEX('IR data'!$D$4:$D$61,MATCH(A98,'IR data'!$C$4:$C$61,0)),((INDEX('IR data'!$D$4:$D$61,MATCH(A98,'IR data'!$C$4:$C$61,1)))-((A98-(INDEX('IR data'!$C$4:$C$61,MATCH(A98,'IR data'!$C$4:$C$61,1))))/((INDEX('IR data'!$C$4:$C$61,MATCH(A98,'IR data'!$C$4:$C$61,1)+1)-INDEX('IR data'!$C$4:$C$61,MATCH(A98,'IR data'!$C$4:$C$61,1))))) * (INDEX('IR data'!$D$4:$D$61,MATCH(A98,'IR data'!$C$4:$C$61,1))-(INDEX('IR data'!$D$4:$D$61,MATCH(A98,'IR data'!$C$4:$C$61,1)+1)))))</f>
        <v>0.98551631807692308</v>
      </c>
      <c r="C98" s="30">
        <f t="shared" si="8"/>
        <v>2.4344271763630441E-2</v>
      </c>
      <c r="D98" s="45">
        <f t="shared" si="9"/>
        <v>45446</v>
      </c>
      <c r="E98" s="14" cm="1">
        <f t="array" ref="E98">_xlfn.IFNA(INDEX('IR data'!$I$4:$I$61,MATCH(D98,'IR data'!$H$4:$H$61,0)),((INDEX('IR data'!$I$4:$I$61,MATCH(D98,'IR data'!$H$4:$H$61,1)))-((D98-(INDEX('IR data'!$H$4:$H$61,MATCH(D98,'IR data'!$H$4:$H$61,1))))/((INDEX('IR data'!$H$4:$H$61,MATCH(D98,'IR data'!$H$4:$H$61,1)+1)-INDEX('IR data'!$H$4:$H$61,MATCH(D98,'IR data'!$H$4:$H$61,1))))) * (INDEX('IR data'!$I$4:$I$61,MATCH(D98,'IR data'!$H$4:$H$61,1))-(INDEX('IR data'!$I$4:$I$61,MATCH(D98,'IR data'!$H$4:$H$61,1)+1)))))</f>
        <v>0.98574449165517242</v>
      </c>
      <c r="F98" s="30">
        <f t="shared" si="10"/>
        <v>2.3957989441653994E-2</v>
      </c>
      <c r="G98" s="45">
        <f t="shared" si="6"/>
        <v>45480</v>
      </c>
      <c r="H98" s="14" cm="1">
        <f t="array" ref="H98">_xlfn.IFNA(INDEX('IR data'!$N$4:$N$61,MATCH(G98,'IR data'!$M$4:$M$61,0)),((INDEX('IR data'!$N$4:$N$61,MATCH(G98,'IR data'!$M$4:$M$61,1)))-((G98-(INDEX('IR data'!$M$4:$M$61,MATCH(G98,'IR data'!$M$4:$M$61,1))))/((INDEX('IR data'!$M$4:$M$61,MATCH(G98,'IR data'!$M$4:$M$61,1)+1)-INDEX('IR data'!$M$4:$M$61,MATCH(G98,'IR data'!$M$4:$M$61,1))))) * (INDEX('IR data'!$N$4:$N$61,MATCH(G98,'IR data'!$M$4:$M$61,1))-(INDEX('IR data'!$N$4:$N$61,MATCH(G98,'IR data'!$M$4:$M$61,1)+1)))))</f>
        <v>0.98581996893617019</v>
      </c>
      <c r="I98" s="44">
        <f t="shared" si="11"/>
        <v>2.3830231227612297E-2</v>
      </c>
    </row>
    <row r="99" spans="1:9" x14ac:dyDescent="0.25">
      <c r="A99" s="45">
        <f t="shared" si="7"/>
        <v>45387</v>
      </c>
      <c r="B99" s="14" cm="1">
        <f t="array" ref="B99">_xlfn.IFNA(INDEX('IR data'!$D$4:$D$61,MATCH(A99,'IR data'!$C$4:$C$61,0)),((INDEX('IR data'!$D$4:$D$61,MATCH(A99,'IR data'!$C$4:$C$61,1)))-((A99-(INDEX('IR data'!$C$4:$C$61,MATCH(A99,'IR data'!$C$4:$C$61,1))))/((INDEX('IR data'!$C$4:$C$61,MATCH(A99,'IR data'!$C$4:$C$61,1)+1)-INDEX('IR data'!$C$4:$C$61,MATCH(A99,'IR data'!$C$4:$C$61,1))))) * (INDEX('IR data'!$D$4:$D$61,MATCH(A99,'IR data'!$C$4:$C$61,1))-(INDEX('IR data'!$D$4:$D$61,MATCH(A99,'IR data'!$C$4:$C$61,1)+1)))))</f>
        <v>0.9853721131538461</v>
      </c>
      <c r="C99" s="30">
        <f t="shared" si="8"/>
        <v>2.4332317342104028E-2</v>
      </c>
      <c r="D99" s="45">
        <f t="shared" si="9"/>
        <v>45447</v>
      </c>
      <c r="E99" s="14" cm="1">
        <f t="array" ref="E99">_xlfn.IFNA(INDEX('IR data'!$I$4:$I$61,MATCH(D99,'IR data'!$H$4:$H$61,0)),((INDEX('IR data'!$I$4:$I$61,MATCH(D99,'IR data'!$H$4:$H$61,1)))-((D99-(INDEX('IR data'!$H$4:$H$61,MATCH(D99,'IR data'!$H$4:$H$61,1))))/((INDEX('IR data'!$H$4:$H$61,MATCH(D99,'IR data'!$H$4:$H$61,1)+1)-INDEX('IR data'!$H$4:$H$61,MATCH(D99,'IR data'!$H$4:$H$61,1))))) * (INDEX('IR data'!$I$4:$I$61,MATCH(D99,'IR data'!$H$4:$H$61,1))-(INDEX('IR data'!$I$4:$I$61,MATCH(D99,'IR data'!$H$4:$H$61,1)+1)))))</f>
        <v>0.98559179600000002</v>
      </c>
      <c r="F99" s="30">
        <f t="shared" si="10"/>
        <v>2.3964227854170152E-2</v>
      </c>
      <c r="G99" s="45">
        <f t="shared" si="6"/>
        <v>45481</v>
      </c>
      <c r="H99" s="14" cm="1">
        <f t="array" ref="H99">_xlfn.IFNA(INDEX('IR data'!$N$4:$N$61,MATCH(G99,'IR data'!$M$4:$M$61,0)),((INDEX('IR data'!$N$4:$N$61,MATCH(G99,'IR data'!$M$4:$M$61,1)))-((G99-(INDEX('IR data'!$M$4:$M$61,MATCH(G99,'IR data'!$M$4:$M$61,1))))/((INDEX('IR data'!$M$4:$M$61,MATCH(G99,'IR data'!$M$4:$M$61,1)+1)-INDEX('IR data'!$M$4:$M$61,MATCH(G99,'IR data'!$M$4:$M$61,1))))) * (INDEX('IR data'!$N$4:$N$61,MATCH(G99,'IR data'!$M$4:$M$61,1))-(INDEX('IR data'!$N$4:$N$61,MATCH(G99,'IR data'!$M$4:$M$61,1)+1)))))</f>
        <v>0.98567184940425534</v>
      </c>
      <c r="I99" s="44">
        <f t="shared" si="11"/>
        <v>2.3830114806764141E-2</v>
      </c>
    </row>
    <row r="100" spans="1:9" x14ac:dyDescent="0.25">
      <c r="A100" s="45">
        <f t="shared" si="7"/>
        <v>45388</v>
      </c>
      <c r="B100" s="14" cm="1">
        <f t="array" ref="B100">_xlfn.IFNA(INDEX('IR data'!$D$4:$D$61,MATCH(A100,'IR data'!$C$4:$C$61,0)),((INDEX('IR data'!$D$4:$D$61,MATCH(A100,'IR data'!$C$4:$C$61,1)))-((A100-(INDEX('IR data'!$C$4:$C$61,MATCH(A100,'IR data'!$C$4:$C$61,1))))/((INDEX('IR data'!$C$4:$C$61,MATCH(A100,'IR data'!$C$4:$C$61,1)+1)-INDEX('IR data'!$C$4:$C$61,MATCH(A100,'IR data'!$C$4:$C$61,1))))) * (INDEX('IR data'!$D$4:$D$61,MATCH(A100,'IR data'!$C$4:$C$61,1))-(INDEX('IR data'!$D$4:$D$61,MATCH(A100,'IR data'!$C$4:$C$61,1)+1)))))</f>
        <v>0.98522790823076922</v>
      </c>
      <c r="C100" s="30">
        <f t="shared" si="8"/>
        <v>2.432064440325709E-2</v>
      </c>
      <c r="D100" s="45">
        <f t="shared" si="9"/>
        <v>45448</v>
      </c>
      <c r="E100" s="14" cm="1">
        <f t="array" ref="E100">_xlfn.IFNA(INDEX('IR data'!$I$4:$I$61,MATCH(D100,'IR data'!$H$4:$H$61,0)),((INDEX('IR data'!$I$4:$I$61,MATCH(D100,'IR data'!$H$4:$H$61,1)))-((D100-(INDEX('IR data'!$H$4:$H$61,MATCH(D100,'IR data'!$H$4:$H$61,1))))/((INDEX('IR data'!$H$4:$H$61,MATCH(D100,'IR data'!$H$4:$H$61,1)+1)-INDEX('IR data'!$H$4:$H$61,MATCH(D100,'IR data'!$H$4:$H$61,1))))) * (INDEX('IR data'!$I$4:$I$61,MATCH(D100,'IR data'!$H$4:$H$61,1))-(INDEX('IR data'!$I$4:$I$61,MATCH(D100,'IR data'!$H$4:$H$61,1)+1)))))</f>
        <v>0.98544319591304352</v>
      </c>
      <c r="F100" s="30">
        <f t="shared" si="10"/>
        <v>2.3963585001845689E-2</v>
      </c>
      <c r="G100" s="45">
        <f t="shared" si="6"/>
        <v>45482</v>
      </c>
      <c r="H100" s="14" cm="1">
        <f t="array" ref="H100">_xlfn.IFNA(INDEX('IR data'!$N$4:$N$61,MATCH(G100,'IR data'!$M$4:$M$61,0)),((INDEX('IR data'!$N$4:$N$61,MATCH(G100,'IR data'!$M$4:$M$61,1)))-((G100-(INDEX('IR data'!$M$4:$M$61,MATCH(G100,'IR data'!$M$4:$M$61,1))))/((INDEX('IR data'!$M$4:$M$61,MATCH(G100,'IR data'!$M$4:$M$61,1)+1)-INDEX('IR data'!$M$4:$M$61,MATCH(G100,'IR data'!$M$4:$M$61,1))))) * (INDEX('IR data'!$N$4:$N$61,MATCH(G100,'IR data'!$M$4:$M$61,1))-(INDEX('IR data'!$N$4:$N$61,MATCH(G100,'IR data'!$M$4:$M$61,1)+1)))))</f>
        <v>0.98552372987234038</v>
      </c>
      <c r="I100" s="44">
        <f t="shared" si="11"/>
        <v>2.3830037689662829E-2</v>
      </c>
    </row>
    <row r="101" spans="1:9" x14ac:dyDescent="0.25">
      <c r="A101" s="45">
        <f t="shared" si="7"/>
        <v>45389</v>
      </c>
      <c r="B101" s="14" cm="1">
        <f t="array" ref="B101">_xlfn.IFNA(INDEX('IR data'!$D$4:$D$61,MATCH(A101,'IR data'!$C$4:$C$61,0)),((INDEX('IR data'!$D$4:$D$61,MATCH(A101,'IR data'!$C$4:$C$61,1)))-((A101-(INDEX('IR data'!$C$4:$C$61,MATCH(A101,'IR data'!$C$4:$C$61,1))))/((INDEX('IR data'!$C$4:$C$61,MATCH(A101,'IR data'!$C$4:$C$61,1)+1)-INDEX('IR data'!$C$4:$C$61,MATCH(A101,'IR data'!$C$4:$C$61,1))))) * (INDEX('IR data'!$D$4:$D$61,MATCH(A101,'IR data'!$C$4:$C$61,1))-(INDEX('IR data'!$D$4:$D$61,MATCH(A101,'IR data'!$C$4:$C$61,1)+1)))))</f>
        <v>0.98508370330769224</v>
      </c>
      <c r="C101" s="30">
        <f t="shared" si="8"/>
        <v>2.4309244340415107E-2</v>
      </c>
      <c r="D101" s="45">
        <f t="shared" si="9"/>
        <v>45449</v>
      </c>
      <c r="E101" s="14" cm="1">
        <f t="array" ref="E101">_xlfn.IFNA(INDEX('IR data'!$I$4:$I$61,MATCH(D101,'IR data'!$H$4:$H$61,0)),((INDEX('IR data'!$I$4:$I$61,MATCH(D101,'IR data'!$H$4:$H$61,1)))-((D101-(INDEX('IR data'!$H$4:$H$61,MATCH(D101,'IR data'!$H$4:$H$61,1))))/((INDEX('IR data'!$H$4:$H$61,MATCH(D101,'IR data'!$H$4:$H$61,1)+1)-INDEX('IR data'!$H$4:$H$61,MATCH(D101,'IR data'!$H$4:$H$61,1))))) * (INDEX('IR data'!$I$4:$I$61,MATCH(D101,'IR data'!$H$4:$H$61,1))-(INDEX('IR data'!$I$4:$I$61,MATCH(D101,'IR data'!$H$4:$H$61,1)+1)))))</f>
        <v>0.98529459582608703</v>
      </c>
      <c r="F101" s="30">
        <f t="shared" si="10"/>
        <v>2.3962992050168917E-2</v>
      </c>
      <c r="G101" s="45">
        <f t="shared" si="6"/>
        <v>45483</v>
      </c>
      <c r="H101" s="14" cm="1">
        <f t="array" ref="H101">_xlfn.IFNA(INDEX('IR data'!$N$4:$N$61,MATCH(G101,'IR data'!$M$4:$M$61,0)),((INDEX('IR data'!$N$4:$N$61,MATCH(G101,'IR data'!$M$4:$M$61,1)))-((G101-(INDEX('IR data'!$M$4:$M$61,MATCH(G101,'IR data'!$M$4:$M$61,1))))/((INDEX('IR data'!$M$4:$M$61,MATCH(G101,'IR data'!$M$4:$M$61,1)+1)-INDEX('IR data'!$M$4:$M$61,MATCH(G101,'IR data'!$M$4:$M$61,1))))) * (INDEX('IR data'!$N$4:$N$61,MATCH(G101,'IR data'!$M$4:$M$61,1))-(INDEX('IR data'!$N$4:$N$61,MATCH(G101,'IR data'!$M$4:$M$61,1)+1)))))</f>
        <v>0.98537561034042553</v>
      </c>
      <c r="I101" s="44">
        <f t="shared" si="11"/>
        <v>2.3829998684112501E-2</v>
      </c>
    </row>
    <row r="102" spans="1:9" x14ac:dyDescent="0.25">
      <c r="A102" s="45">
        <f t="shared" si="7"/>
        <v>45390</v>
      </c>
      <c r="B102" s="14" cm="1">
        <f t="array" ref="B102">_xlfn.IFNA(INDEX('IR data'!$D$4:$D$61,MATCH(A102,'IR data'!$C$4:$C$61,0)),((INDEX('IR data'!$D$4:$D$61,MATCH(A102,'IR data'!$C$4:$C$61,1)))-((A102-(INDEX('IR data'!$C$4:$C$61,MATCH(A102,'IR data'!$C$4:$C$61,1))))/((INDEX('IR data'!$C$4:$C$61,MATCH(A102,'IR data'!$C$4:$C$61,1)+1)-INDEX('IR data'!$C$4:$C$61,MATCH(A102,'IR data'!$C$4:$C$61,1))))) * (INDEX('IR data'!$D$4:$D$61,MATCH(A102,'IR data'!$C$4:$C$61,1))-(INDEX('IR data'!$D$4:$D$61,MATCH(A102,'IR data'!$C$4:$C$61,1)+1)))))</f>
        <v>0.98493949838461536</v>
      </c>
      <c r="C102" s="30">
        <f t="shared" si="8"/>
        <v>2.429810889465165E-2</v>
      </c>
      <c r="D102" s="45">
        <f t="shared" si="9"/>
        <v>45450</v>
      </c>
      <c r="E102" s="14" cm="1">
        <f t="array" ref="E102">_xlfn.IFNA(INDEX('IR data'!$I$4:$I$61,MATCH(D102,'IR data'!$H$4:$H$61,0)),((INDEX('IR data'!$I$4:$I$61,MATCH(D102,'IR data'!$H$4:$H$61,1)))-((D102-(INDEX('IR data'!$H$4:$H$61,MATCH(D102,'IR data'!$H$4:$H$61,1))))/((INDEX('IR data'!$H$4:$H$61,MATCH(D102,'IR data'!$H$4:$H$61,1)+1)-INDEX('IR data'!$H$4:$H$61,MATCH(D102,'IR data'!$H$4:$H$61,1))))) * (INDEX('IR data'!$I$4:$I$61,MATCH(D102,'IR data'!$H$4:$H$61,1))-(INDEX('IR data'!$I$4:$I$61,MATCH(D102,'IR data'!$H$4:$H$61,1)+1)))))</f>
        <v>0.98514599573913042</v>
      </c>
      <c r="F102" s="30">
        <f t="shared" si="10"/>
        <v>2.3962447497982473E-2</v>
      </c>
      <c r="G102" s="45">
        <f t="shared" si="6"/>
        <v>45484</v>
      </c>
      <c r="H102" s="14" cm="1">
        <f t="array" ref="H102">_xlfn.IFNA(INDEX('IR data'!$N$4:$N$61,MATCH(G102,'IR data'!$M$4:$M$61,0)),((INDEX('IR data'!$N$4:$N$61,MATCH(G102,'IR data'!$M$4:$M$61,1)))-((G102-(INDEX('IR data'!$M$4:$M$61,MATCH(G102,'IR data'!$M$4:$M$61,1))))/((INDEX('IR data'!$M$4:$M$61,MATCH(G102,'IR data'!$M$4:$M$61,1)+1)-INDEX('IR data'!$M$4:$M$61,MATCH(G102,'IR data'!$M$4:$M$61,1))))) * (INDEX('IR data'!$N$4:$N$61,MATCH(G102,'IR data'!$M$4:$M$61,1))-(INDEX('IR data'!$N$4:$N$61,MATCH(G102,'IR data'!$M$4:$M$61,1)+1)))))</f>
        <v>0.98522749080851069</v>
      </c>
      <c r="I102" s="44">
        <f t="shared" si="11"/>
        <v>2.3829996646092252E-2</v>
      </c>
    </row>
    <row r="103" spans="1:9" x14ac:dyDescent="0.25">
      <c r="A103" s="45">
        <f t="shared" si="7"/>
        <v>45391</v>
      </c>
      <c r="B103" s="14" cm="1">
        <f t="array" ref="B103">_xlfn.IFNA(INDEX('IR data'!$D$4:$D$61,MATCH(A103,'IR data'!$C$4:$C$61,0)),((INDEX('IR data'!$D$4:$D$61,MATCH(A103,'IR data'!$C$4:$C$61,1)))-((A103-(INDEX('IR data'!$C$4:$C$61,MATCH(A103,'IR data'!$C$4:$C$61,1))))/((INDEX('IR data'!$C$4:$C$61,MATCH(A103,'IR data'!$C$4:$C$61,1)+1)-INDEX('IR data'!$C$4:$C$61,MATCH(A103,'IR data'!$C$4:$C$61,1))))) * (INDEX('IR data'!$D$4:$D$61,MATCH(A103,'IR data'!$C$4:$C$61,1))-(INDEX('IR data'!$D$4:$D$61,MATCH(A103,'IR data'!$C$4:$C$61,1)+1)))))</f>
        <v>0.98479529346153838</v>
      </c>
      <c r="C103" s="30">
        <f t="shared" si="8"/>
        <v>2.428723013740244E-2</v>
      </c>
      <c r="D103" s="45">
        <f t="shared" si="9"/>
        <v>45451</v>
      </c>
      <c r="E103" s="14" cm="1">
        <f t="array" ref="E103">_xlfn.IFNA(INDEX('IR data'!$I$4:$I$61,MATCH(D103,'IR data'!$H$4:$H$61,0)),((INDEX('IR data'!$I$4:$I$61,MATCH(D103,'IR data'!$H$4:$H$61,1)))-((D103-(INDEX('IR data'!$H$4:$H$61,MATCH(D103,'IR data'!$H$4:$H$61,1))))/((INDEX('IR data'!$H$4:$H$61,MATCH(D103,'IR data'!$H$4:$H$61,1)+1)-INDEX('IR data'!$H$4:$H$61,MATCH(D103,'IR data'!$H$4:$H$61,1))))) * (INDEX('IR data'!$I$4:$I$61,MATCH(D103,'IR data'!$H$4:$H$61,1))-(INDEX('IR data'!$I$4:$I$61,MATCH(D103,'IR data'!$H$4:$H$61,1)+1)))))</f>
        <v>0.98499739565217392</v>
      </c>
      <c r="F103" s="30">
        <f t="shared" si="10"/>
        <v>2.3961949904179665E-2</v>
      </c>
      <c r="G103" s="45">
        <f t="shared" si="6"/>
        <v>45485</v>
      </c>
      <c r="H103" s="14" cm="1">
        <f t="array" ref="H103">_xlfn.IFNA(INDEX('IR data'!$N$4:$N$61,MATCH(G103,'IR data'!$M$4:$M$61,0)),((INDEX('IR data'!$N$4:$N$61,MATCH(G103,'IR data'!$M$4:$M$61,1)))-((G103-(INDEX('IR data'!$M$4:$M$61,MATCH(G103,'IR data'!$M$4:$M$61,1))))/((INDEX('IR data'!$M$4:$M$61,MATCH(G103,'IR data'!$M$4:$M$61,1)+1)-INDEX('IR data'!$M$4:$M$61,MATCH(G103,'IR data'!$M$4:$M$61,1))))) * (INDEX('IR data'!$N$4:$N$61,MATCH(G103,'IR data'!$M$4:$M$61,1))-(INDEX('IR data'!$N$4:$N$61,MATCH(G103,'IR data'!$M$4:$M$61,1)+1)))))</f>
        <v>0.98507937127659573</v>
      </c>
      <c r="I103" s="44">
        <f t="shared" si="11"/>
        <v>2.3830030477346883E-2</v>
      </c>
    </row>
    <row r="104" spans="1:9" x14ac:dyDescent="0.25">
      <c r="A104" s="45">
        <f t="shared" si="7"/>
        <v>45392</v>
      </c>
      <c r="B104" s="14" cm="1">
        <f t="array" ref="B104">_xlfn.IFNA(INDEX('IR data'!$D$4:$D$61,MATCH(A104,'IR data'!$C$4:$C$61,0)),((INDEX('IR data'!$D$4:$D$61,MATCH(A104,'IR data'!$C$4:$C$61,1)))-((A104-(INDEX('IR data'!$C$4:$C$61,MATCH(A104,'IR data'!$C$4:$C$61,1))))/((INDEX('IR data'!$C$4:$C$61,MATCH(A104,'IR data'!$C$4:$C$61,1)+1)-INDEX('IR data'!$C$4:$C$61,MATCH(A104,'IR data'!$C$4:$C$61,1))))) * (INDEX('IR data'!$D$4:$D$61,MATCH(A104,'IR data'!$C$4:$C$61,1))-(INDEX('IR data'!$D$4:$D$61,MATCH(A104,'IR data'!$C$4:$C$61,1)+1)))))</f>
        <v>0.98465108853846151</v>
      </c>
      <c r="C104" s="30">
        <f t="shared" si="8"/>
        <v>2.427660045410936E-2</v>
      </c>
      <c r="D104" s="45">
        <f t="shared" si="9"/>
        <v>45452</v>
      </c>
      <c r="E104" s="14" cm="1">
        <f t="array" ref="E104">_xlfn.IFNA(INDEX('IR data'!$I$4:$I$61,MATCH(D104,'IR data'!$H$4:$H$61,0)),((INDEX('IR data'!$I$4:$I$61,MATCH(D104,'IR data'!$H$4:$H$61,1)))-((D104-(INDEX('IR data'!$H$4:$H$61,MATCH(D104,'IR data'!$H$4:$H$61,1))))/((INDEX('IR data'!$H$4:$H$61,MATCH(D104,'IR data'!$H$4:$H$61,1)+1)-INDEX('IR data'!$H$4:$H$61,MATCH(D104,'IR data'!$H$4:$H$61,1))))) * (INDEX('IR data'!$I$4:$I$61,MATCH(D104,'IR data'!$H$4:$H$61,1))-(INDEX('IR data'!$I$4:$I$61,MATCH(D104,'IR data'!$H$4:$H$61,1)+1)))))</f>
        <v>0.98484879556521743</v>
      </c>
      <c r="F104" s="30">
        <f t="shared" si="10"/>
        <v>2.3961497884732754E-2</v>
      </c>
      <c r="G104" s="45">
        <f t="shared" si="6"/>
        <v>45486</v>
      </c>
      <c r="H104" s="14" cm="1">
        <f t="array" ref="H104">_xlfn.IFNA(INDEX('IR data'!$N$4:$N$61,MATCH(G104,'IR data'!$M$4:$M$61,0)),((INDEX('IR data'!$N$4:$N$61,MATCH(G104,'IR data'!$M$4:$M$61,1)))-((G104-(INDEX('IR data'!$M$4:$M$61,MATCH(G104,'IR data'!$M$4:$M$61,1))))/((INDEX('IR data'!$M$4:$M$61,MATCH(G104,'IR data'!$M$4:$M$61,1)+1)-INDEX('IR data'!$M$4:$M$61,MATCH(G104,'IR data'!$M$4:$M$61,1))))) * (INDEX('IR data'!$N$4:$N$61,MATCH(G104,'IR data'!$M$4:$M$61,1))-(INDEX('IR data'!$N$4:$N$61,MATCH(G104,'IR data'!$M$4:$M$61,1)+1)))))</f>
        <v>0.98493125174468088</v>
      </c>
      <c r="I104" s="44">
        <f t="shared" si="11"/>
        <v>2.3830099123120726E-2</v>
      </c>
    </row>
    <row r="105" spans="1:9" x14ac:dyDescent="0.25">
      <c r="A105" s="45">
        <f t="shared" si="7"/>
        <v>45393</v>
      </c>
      <c r="B105" s="14" cm="1">
        <f t="array" ref="B105">_xlfn.IFNA(INDEX('IR data'!$D$4:$D$61,MATCH(A105,'IR data'!$C$4:$C$61,0)),((INDEX('IR data'!$D$4:$D$61,MATCH(A105,'IR data'!$C$4:$C$61,1)))-((A105-(INDEX('IR data'!$C$4:$C$61,MATCH(A105,'IR data'!$C$4:$C$61,1))))/((INDEX('IR data'!$C$4:$C$61,MATCH(A105,'IR data'!$C$4:$C$61,1)+1)-INDEX('IR data'!$C$4:$C$61,MATCH(A105,'IR data'!$C$4:$C$61,1))))) * (INDEX('IR data'!$D$4:$D$61,MATCH(A105,'IR data'!$C$4:$C$61,1))-(INDEX('IR data'!$D$4:$D$61,MATCH(A105,'IR data'!$C$4:$C$61,1)+1)))))</f>
        <v>0.98450688361538452</v>
      </c>
      <c r="C105" s="30">
        <f t="shared" si="8"/>
        <v>2.4266212528829396E-2</v>
      </c>
      <c r="D105" s="45">
        <f t="shared" si="9"/>
        <v>45453</v>
      </c>
      <c r="E105" s="14" cm="1">
        <f t="array" ref="E105">_xlfn.IFNA(INDEX('IR data'!$I$4:$I$61,MATCH(D105,'IR data'!$H$4:$H$61,0)),((INDEX('IR data'!$I$4:$I$61,MATCH(D105,'IR data'!$H$4:$H$61,1)))-((D105-(INDEX('IR data'!$H$4:$H$61,MATCH(D105,'IR data'!$H$4:$H$61,1))))/((INDEX('IR data'!$H$4:$H$61,MATCH(D105,'IR data'!$H$4:$H$61,1)+1)-INDEX('IR data'!$H$4:$H$61,MATCH(D105,'IR data'!$H$4:$H$61,1))))) * (INDEX('IR data'!$I$4:$I$61,MATCH(D105,'IR data'!$H$4:$H$61,1))-(INDEX('IR data'!$I$4:$I$61,MATCH(D105,'IR data'!$H$4:$H$61,1)+1)))))</f>
        <v>0.98470019547826093</v>
      </c>
      <c r="F105" s="30">
        <f t="shared" si="10"/>
        <v>2.3961090109894233E-2</v>
      </c>
      <c r="G105" s="45">
        <f t="shared" si="6"/>
        <v>45487</v>
      </c>
      <c r="H105" s="14" cm="1">
        <f t="array" ref="H105">_xlfn.IFNA(INDEX('IR data'!$N$4:$N$61,MATCH(G105,'IR data'!$M$4:$M$61,0)),((INDEX('IR data'!$N$4:$N$61,MATCH(G105,'IR data'!$M$4:$M$61,1)))-((G105-(INDEX('IR data'!$M$4:$M$61,MATCH(G105,'IR data'!$M$4:$M$61,1))))/((INDEX('IR data'!$M$4:$M$61,MATCH(G105,'IR data'!$M$4:$M$61,1)+1)-INDEX('IR data'!$M$4:$M$61,MATCH(G105,'IR data'!$M$4:$M$61,1))))) * (INDEX('IR data'!$N$4:$N$61,MATCH(G105,'IR data'!$M$4:$M$61,1))-(INDEX('IR data'!$N$4:$N$61,MATCH(G105,'IR data'!$M$4:$M$61,1)+1)))))</f>
        <v>0.98478313221276592</v>
      </c>
      <c r="I105" s="44">
        <f t="shared" si="11"/>
        <v>2.3830201570026542E-2</v>
      </c>
    </row>
    <row r="106" spans="1:9" x14ac:dyDescent="0.25">
      <c r="A106" s="45">
        <f t="shared" si="7"/>
        <v>45394</v>
      </c>
      <c r="B106" s="14" cm="1">
        <f t="array" ref="B106">_xlfn.IFNA(INDEX('IR data'!$D$4:$D$61,MATCH(A106,'IR data'!$C$4:$C$61,0)),((INDEX('IR data'!$D$4:$D$61,MATCH(A106,'IR data'!$C$4:$C$61,1)))-((A106-(INDEX('IR data'!$C$4:$C$61,MATCH(A106,'IR data'!$C$4:$C$61,1))))/((INDEX('IR data'!$C$4:$C$61,MATCH(A106,'IR data'!$C$4:$C$61,1)+1)-INDEX('IR data'!$C$4:$C$61,MATCH(A106,'IR data'!$C$4:$C$61,1))))) * (INDEX('IR data'!$D$4:$D$61,MATCH(A106,'IR data'!$C$4:$C$61,1))-(INDEX('IR data'!$D$4:$D$61,MATCH(A106,'IR data'!$C$4:$C$61,1)+1)))))</f>
        <v>0.98436267869230765</v>
      </c>
      <c r="C106" s="30">
        <f t="shared" si="8"/>
        <v>2.4256059329737397E-2</v>
      </c>
      <c r="D106" s="45">
        <f t="shared" si="9"/>
        <v>45454</v>
      </c>
      <c r="E106" s="14" cm="1">
        <f t="array" ref="E106">_xlfn.IFNA(INDEX('IR data'!$I$4:$I$61,MATCH(D106,'IR data'!$H$4:$H$61,0)),((INDEX('IR data'!$I$4:$I$61,MATCH(D106,'IR data'!$H$4:$H$61,1)))-((D106-(INDEX('IR data'!$H$4:$H$61,MATCH(D106,'IR data'!$H$4:$H$61,1))))/((INDEX('IR data'!$H$4:$H$61,MATCH(D106,'IR data'!$H$4:$H$61,1)+1)-INDEX('IR data'!$H$4:$H$61,MATCH(D106,'IR data'!$H$4:$H$61,1))))) * (INDEX('IR data'!$I$4:$I$61,MATCH(D106,'IR data'!$H$4:$H$61,1))-(INDEX('IR data'!$I$4:$I$61,MATCH(D106,'IR data'!$H$4:$H$61,1)+1)))))</f>
        <v>0.98455159539130432</v>
      </c>
      <c r="F106" s="30">
        <f t="shared" si="10"/>
        <v>2.3960725301562267E-2</v>
      </c>
      <c r="G106" s="45">
        <f t="shared" si="6"/>
        <v>45488</v>
      </c>
      <c r="H106" s="14" cm="1">
        <f t="array" ref="H106">_xlfn.IFNA(INDEX('IR data'!$N$4:$N$61,MATCH(G106,'IR data'!$M$4:$M$61,0)),((INDEX('IR data'!$N$4:$N$61,MATCH(G106,'IR data'!$M$4:$M$61,1)))-((G106-(INDEX('IR data'!$M$4:$M$61,MATCH(G106,'IR data'!$M$4:$M$61,1))))/((INDEX('IR data'!$M$4:$M$61,MATCH(G106,'IR data'!$M$4:$M$61,1)+1)-INDEX('IR data'!$M$4:$M$61,MATCH(G106,'IR data'!$M$4:$M$61,1))))) * (INDEX('IR data'!$N$4:$N$61,MATCH(G106,'IR data'!$M$4:$M$61,1))-(INDEX('IR data'!$N$4:$N$61,MATCH(G106,'IR data'!$M$4:$M$61,1)+1)))))</f>
        <v>0.98463501268085107</v>
      </c>
      <c r="I106" s="44">
        <f t="shared" si="11"/>
        <v>2.3830336844035981E-2</v>
      </c>
    </row>
    <row r="107" spans="1:9" x14ac:dyDescent="0.25">
      <c r="A107" s="45">
        <f t="shared" si="7"/>
        <v>45395</v>
      </c>
      <c r="B107" s="14" cm="1">
        <f t="array" ref="B107">_xlfn.IFNA(INDEX('IR data'!$D$4:$D$61,MATCH(A107,'IR data'!$C$4:$C$61,0)),((INDEX('IR data'!$D$4:$D$61,MATCH(A107,'IR data'!$C$4:$C$61,1)))-((A107-(INDEX('IR data'!$C$4:$C$61,MATCH(A107,'IR data'!$C$4:$C$61,1))))/((INDEX('IR data'!$C$4:$C$61,MATCH(A107,'IR data'!$C$4:$C$61,1)+1)-INDEX('IR data'!$C$4:$C$61,MATCH(A107,'IR data'!$C$4:$C$61,1))))) * (INDEX('IR data'!$D$4:$D$61,MATCH(A107,'IR data'!$C$4:$C$61,1))-(INDEX('IR data'!$D$4:$D$61,MATCH(A107,'IR data'!$C$4:$C$61,1)+1)))))</f>
        <v>0.98421847376923077</v>
      </c>
      <c r="C107" s="30">
        <f t="shared" si="8"/>
        <v>2.424613409546774E-2</v>
      </c>
      <c r="D107" s="45">
        <f t="shared" si="9"/>
        <v>45455</v>
      </c>
      <c r="E107" s="14" cm="1">
        <f t="array" ref="E107">_xlfn.IFNA(INDEX('IR data'!$I$4:$I$61,MATCH(D107,'IR data'!$H$4:$H$61,0)),((INDEX('IR data'!$I$4:$I$61,MATCH(D107,'IR data'!$H$4:$H$61,1)))-((D107-(INDEX('IR data'!$H$4:$H$61,MATCH(D107,'IR data'!$H$4:$H$61,1))))/((INDEX('IR data'!$H$4:$H$61,MATCH(D107,'IR data'!$H$4:$H$61,1)+1)-INDEX('IR data'!$H$4:$H$61,MATCH(D107,'IR data'!$H$4:$H$61,1))))) * (INDEX('IR data'!$I$4:$I$61,MATCH(D107,'IR data'!$H$4:$H$61,1))-(INDEX('IR data'!$I$4:$I$61,MATCH(D107,'IR data'!$H$4:$H$61,1)+1)))))</f>
        <v>0.98440299530434783</v>
      </c>
      <c r="F107" s="30">
        <f t="shared" si="10"/>
        <v>2.3960402230796981E-2</v>
      </c>
      <c r="G107" s="45">
        <f t="shared" si="6"/>
        <v>45489</v>
      </c>
      <c r="H107" s="14" cm="1">
        <f t="array" ref="H107">_xlfn.IFNA(INDEX('IR data'!$N$4:$N$61,MATCH(G107,'IR data'!$M$4:$M$61,0)),((INDEX('IR data'!$N$4:$N$61,MATCH(G107,'IR data'!$M$4:$M$61,1)))-((G107-(INDEX('IR data'!$M$4:$M$61,MATCH(G107,'IR data'!$M$4:$M$61,1))))/((INDEX('IR data'!$M$4:$M$61,MATCH(G107,'IR data'!$M$4:$M$61,1)+1)-INDEX('IR data'!$M$4:$M$61,MATCH(G107,'IR data'!$M$4:$M$61,1))))) * (INDEX('IR data'!$N$4:$N$61,MATCH(G107,'IR data'!$M$4:$M$61,1))-(INDEX('IR data'!$N$4:$N$61,MATCH(G107,'IR data'!$M$4:$M$61,1)+1)))))</f>
        <v>0.98448689314893612</v>
      </c>
      <c r="I107" s="44">
        <f t="shared" si="11"/>
        <v>2.383050400858867E-2</v>
      </c>
    </row>
    <row r="108" spans="1:9" x14ac:dyDescent="0.25">
      <c r="A108" s="45">
        <f t="shared" si="7"/>
        <v>45396</v>
      </c>
      <c r="B108" s="14" cm="1">
        <f t="array" ref="B108">_xlfn.IFNA(INDEX('IR data'!$D$4:$D$61,MATCH(A108,'IR data'!$C$4:$C$61,0)),((INDEX('IR data'!$D$4:$D$61,MATCH(A108,'IR data'!$C$4:$C$61,1)))-((A108-(INDEX('IR data'!$C$4:$C$61,MATCH(A108,'IR data'!$C$4:$C$61,1))))/((INDEX('IR data'!$C$4:$C$61,MATCH(A108,'IR data'!$C$4:$C$61,1)+1)-INDEX('IR data'!$C$4:$C$61,MATCH(A108,'IR data'!$C$4:$C$61,1))))) * (INDEX('IR data'!$D$4:$D$61,MATCH(A108,'IR data'!$C$4:$C$61,1))-(INDEX('IR data'!$D$4:$D$61,MATCH(A108,'IR data'!$C$4:$C$61,1)+1)))))</f>
        <v>0.98407426884615379</v>
      </c>
      <c r="C108" s="30">
        <f t="shared" si="8"/>
        <v>2.4236430322234805E-2</v>
      </c>
      <c r="D108" s="45">
        <f t="shared" si="9"/>
        <v>45456</v>
      </c>
      <c r="E108" s="14" cm="1">
        <f t="array" ref="E108">_xlfn.IFNA(INDEX('IR data'!$I$4:$I$61,MATCH(D108,'IR data'!$H$4:$H$61,0)),((INDEX('IR data'!$I$4:$I$61,MATCH(D108,'IR data'!$H$4:$H$61,1)))-((D108-(INDEX('IR data'!$H$4:$H$61,MATCH(D108,'IR data'!$H$4:$H$61,1))))/((INDEX('IR data'!$H$4:$H$61,MATCH(D108,'IR data'!$H$4:$H$61,1)+1)-INDEX('IR data'!$H$4:$H$61,MATCH(D108,'IR data'!$H$4:$H$61,1))))) * (INDEX('IR data'!$I$4:$I$61,MATCH(D108,'IR data'!$H$4:$H$61,1))-(INDEX('IR data'!$I$4:$I$61,MATCH(D108,'IR data'!$H$4:$H$61,1)+1)))))</f>
        <v>0.98425439521739133</v>
      </c>
      <c r="F108" s="30">
        <f t="shared" si="10"/>
        <v>2.3960119715480482E-2</v>
      </c>
      <c r="G108" s="45">
        <f t="shared" si="6"/>
        <v>45490</v>
      </c>
      <c r="H108" s="14" cm="1">
        <f t="array" ref="H108">_xlfn.IFNA(INDEX('IR data'!$N$4:$N$61,MATCH(G108,'IR data'!$M$4:$M$61,0)),((INDEX('IR data'!$N$4:$N$61,MATCH(G108,'IR data'!$M$4:$M$61,1)))-((G108-(INDEX('IR data'!$M$4:$M$61,MATCH(G108,'IR data'!$M$4:$M$61,1))))/((INDEX('IR data'!$M$4:$M$61,MATCH(G108,'IR data'!$M$4:$M$61,1)+1)-INDEX('IR data'!$M$4:$M$61,MATCH(G108,'IR data'!$M$4:$M$61,1))))) * (INDEX('IR data'!$N$4:$N$61,MATCH(G108,'IR data'!$M$4:$M$61,1))-(INDEX('IR data'!$N$4:$N$61,MATCH(G108,'IR data'!$M$4:$M$61,1)+1)))))</f>
        <v>0.98433877361702127</v>
      </c>
      <c r="I108" s="44">
        <f t="shared" si="11"/>
        <v>2.3830702162806701E-2</v>
      </c>
    </row>
    <row r="109" spans="1:9" x14ac:dyDescent="0.25">
      <c r="A109" s="45">
        <f t="shared" si="7"/>
        <v>45397</v>
      </c>
      <c r="B109" s="14" cm="1">
        <f t="array" ref="B109">_xlfn.IFNA(INDEX('IR data'!$D$4:$D$61,MATCH(A109,'IR data'!$C$4:$C$61,0)),((INDEX('IR data'!$D$4:$D$61,MATCH(A109,'IR data'!$C$4:$C$61,1)))-((A109-(INDEX('IR data'!$C$4:$C$61,MATCH(A109,'IR data'!$C$4:$C$61,1))))/((INDEX('IR data'!$C$4:$C$61,MATCH(A109,'IR data'!$C$4:$C$61,1)+1)-INDEX('IR data'!$C$4:$C$61,MATCH(A109,'IR data'!$C$4:$C$61,1))))) * (INDEX('IR data'!$D$4:$D$61,MATCH(A109,'IR data'!$C$4:$C$61,1))-(INDEX('IR data'!$D$4:$D$61,MATCH(A109,'IR data'!$C$4:$C$61,1)+1)))))</f>
        <v>0.98393006392307691</v>
      </c>
      <c r="C109" s="30">
        <f t="shared" si="8"/>
        <v>2.4226941751682479E-2</v>
      </c>
      <c r="D109" s="45">
        <f t="shared" si="9"/>
        <v>45457</v>
      </c>
      <c r="E109" s="14" cm="1">
        <f t="array" ref="E109">_xlfn.IFNA(INDEX('IR data'!$I$4:$I$61,MATCH(D109,'IR data'!$H$4:$H$61,0)),((INDEX('IR data'!$I$4:$I$61,MATCH(D109,'IR data'!$H$4:$H$61,1)))-((D109-(INDEX('IR data'!$H$4:$H$61,MATCH(D109,'IR data'!$H$4:$H$61,1))))/((INDEX('IR data'!$H$4:$H$61,MATCH(D109,'IR data'!$H$4:$H$61,1)+1)-INDEX('IR data'!$H$4:$H$61,MATCH(D109,'IR data'!$H$4:$H$61,1))))) * (INDEX('IR data'!$I$4:$I$61,MATCH(D109,'IR data'!$H$4:$H$61,1))-(INDEX('IR data'!$I$4:$I$61,MATCH(D109,'IR data'!$H$4:$H$61,1)+1)))))</f>
        <v>0.98410579513043484</v>
      </c>
      <c r="F109" s="30">
        <f t="shared" si="10"/>
        <v>2.3959876618107584E-2</v>
      </c>
      <c r="G109" s="45">
        <f t="shared" si="6"/>
        <v>45491</v>
      </c>
      <c r="H109" s="14" cm="1">
        <f t="array" ref="H109">_xlfn.IFNA(INDEX('IR data'!$N$4:$N$61,MATCH(G109,'IR data'!$M$4:$M$61,0)),((INDEX('IR data'!$N$4:$N$61,MATCH(G109,'IR data'!$M$4:$M$61,1)))-((G109-(INDEX('IR data'!$M$4:$M$61,MATCH(G109,'IR data'!$M$4:$M$61,1))))/((INDEX('IR data'!$M$4:$M$61,MATCH(G109,'IR data'!$M$4:$M$61,1)+1)-INDEX('IR data'!$M$4:$M$61,MATCH(G109,'IR data'!$M$4:$M$61,1))))) * (INDEX('IR data'!$N$4:$N$61,MATCH(G109,'IR data'!$M$4:$M$61,1))-(INDEX('IR data'!$N$4:$N$61,MATCH(G109,'IR data'!$M$4:$M$61,1)+1)))))</f>
        <v>0.98419065408510642</v>
      </c>
      <c r="I109" s="44">
        <f t="shared" si="11"/>
        <v>2.3830930439812648E-2</v>
      </c>
    </row>
    <row r="110" spans="1:9" x14ac:dyDescent="0.25">
      <c r="A110" s="45">
        <f t="shared" si="7"/>
        <v>45398</v>
      </c>
      <c r="B110" s="14" cm="1">
        <f t="array" ref="B110">_xlfn.IFNA(INDEX('IR data'!$D$4:$D$61,MATCH(A110,'IR data'!$C$4:$C$61,0)),((INDEX('IR data'!$D$4:$D$61,MATCH(A110,'IR data'!$C$4:$C$61,1)))-((A110-(INDEX('IR data'!$C$4:$C$61,MATCH(A110,'IR data'!$C$4:$C$61,1))))/((INDEX('IR data'!$C$4:$C$61,MATCH(A110,'IR data'!$C$4:$C$61,1)+1)-INDEX('IR data'!$C$4:$C$61,MATCH(A110,'IR data'!$C$4:$C$61,1))))) * (INDEX('IR data'!$D$4:$D$61,MATCH(A110,'IR data'!$C$4:$C$61,1))-(INDEX('IR data'!$D$4:$D$61,MATCH(A110,'IR data'!$C$4:$C$61,1)+1)))))</f>
        <v>0.98378585899999993</v>
      </c>
      <c r="C110" s="30">
        <f t="shared" si="8"/>
        <v>2.4217662359416643E-2</v>
      </c>
      <c r="D110" s="45">
        <f t="shared" si="9"/>
        <v>45458</v>
      </c>
      <c r="E110" s="14" cm="1">
        <f t="array" ref="E110">_xlfn.IFNA(INDEX('IR data'!$I$4:$I$61,MATCH(D110,'IR data'!$H$4:$H$61,0)),((INDEX('IR data'!$I$4:$I$61,MATCH(D110,'IR data'!$H$4:$H$61,1)))-((D110-(INDEX('IR data'!$H$4:$H$61,MATCH(D110,'IR data'!$H$4:$H$61,1))))/((INDEX('IR data'!$H$4:$H$61,MATCH(D110,'IR data'!$H$4:$H$61,1)+1)-INDEX('IR data'!$H$4:$H$61,MATCH(D110,'IR data'!$H$4:$H$61,1))))) * (INDEX('IR data'!$I$4:$I$61,MATCH(D110,'IR data'!$H$4:$H$61,1))-(INDEX('IR data'!$I$4:$I$61,MATCH(D110,'IR data'!$H$4:$H$61,1)+1)))))</f>
        <v>0.98395719504347823</v>
      </c>
      <c r="F110" s="30">
        <f t="shared" si="10"/>
        <v>2.3959671843701447E-2</v>
      </c>
      <c r="G110" s="45">
        <f t="shared" si="6"/>
        <v>45492</v>
      </c>
      <c r="H110" s="14" cm="1">
        <f t="array" ref="H110">_xlfn.IFNA(INDEX('IR data'!$N$4:$N$61,MATCH(G110,'IR data'!$M$4:$M$61,0)),((INDEX('IR data'!$N$4:$N$61,MATCH(G110,'IR data'!$M$4:$M$61,1)))-((G110-(INDEX('IR data'!$M$4:$M$61,MATCH(G110,'IR data'!$M$4:$M$61,1))))/((INDEX('IR data'!$M$4:$M$61,MATCH(G110,'IR data'!$M$4:$M$61,1)+1)-INDEX('IR data'!$M$4:$M$61,MATCH(G110,'IR data'!$M$4:$M$61,1))))) * (INDEX('IR data'!$N$4:$N$61,MATCH(G110,'IR data'!$M$4:$M$61,1))-(INDEX('IR data'!$N$4:$N$61,MATCH(G110,'IR data'!$M$4:$M$61,1)+1)))))</f>
        <v>0.98404253455319146</v>
      </c>
      <c r="I110" s="44">
        <f t="shared" si="11"/>
        <v>2.3831188005140284E-2</v>
      </c>
    </row>
    <row r="111" spans="1:9" x14ac:dyDescent="0.25">
      <c r="A111" s="45">
        <f t="shared" si="7"/>
        <v>45399</v>
      </c>
      <c r="B111" s="14" cm="1">
        <f t="array" ref="B111">_xlfn.IFNA(INDEX('IR data'!$D$4:$D$61,MATCH(A111,'IR data'!$C$4:$C$61,0)),((INDEX('IR data'!$D$4:$D$61,MATCH(A111,'IR data'!$C$4:$C$61,1)))-((A111-(INDEX('IR data'!$C$4:$C$61,MATCH(A111,'IR data'!$C$4:$C$61,1))))/((INDEX('IR data'!$C$4:$C$61,MATCH(A111,'IR data'!$C$4:$C$61,1)+1)-INDEX('IR data'!$C$4:$C$61,MATCH(A111,'IR data'!$C$4:$C$61,1))))) * (INDEX('IR data'!$D$4:$D$61,MATCH(A111,'IR data'!$C$4:$C$61,1))-(INDEX('IR data'!$D$4:$D$61,MATCH(A111,'IR data'!$C$4:$C$61,1)+1)))))</f>
        <v>0.98364165407692306</v>
      </c>
      <c r="C111" s="30">
        <f t="shared" si="8"/>
        <v>2.4208586344172309E-2</v>
      </c>
      <c r="D111" s="45">
        <f t="shared" si="9"/>
        <v>45459</v>
      </c>
      <c r="E111" s="14" cm="1">
        <f t="array" ref="E111">_xlfn.IFNA(INDEX('IR data'!$I$4:$I$61,MATCH(D111,'IR data'!$H$4:$H$61,0)),((INDEX('IR data'!$I$4:$I$61,MATCH(D111,'IR data'!$H$4:$H$61,1)))-((D111-(INDEX('IR data'!$H$4:$H$61,MATCH(D111,'IR data'!$H$4:$H$61,1))))/((INDEX('IR data'!$H$4:$H$61,MATCH(D111,'IR data'!$H$4:$H$61,1)+1)-INDEX('IR data'!$H$4:$H$61,MATCH(D111,'IR data'!$H$4:$H$61,1))))) * (INDEX('IR data'!$I$4:$I$61,MATCH(D111,'IR data'!$H$4:$H$61,1))-(INDEX('IR data'!$I$4:$I$61,MATCH(D111,'IR data'!$H$4:$H$61,1)+1)))))</f>
        <v>0.98380859495652173</v>
      </c>
      <c r="F111" s="30">
        <f t="shared" si="10"/>
        <v>2.3959504337844016E-2</v>
      </c>
      <c r="G111" s="45">
        <f t="shared" si="6"/>
        <v>45493</v>
      </c>
      <c r="H111" s="14" cm="1">
        <f t="array" ref="H111">_xlfn.IFNA(INDEX('IR data'!$N$4:$N$61,MATCH(G111,'IR data'!$M$4:$M$61,0)),((INDEX('IR data'!$N$4:$N$61,MATCH(G111,'IR data'!$M$4:$M$61,1)))-((G111-(INDEX('IR data'!$M$4:$M$61,MATCH(G111,'IR data'!$M$4:$M$61,1))))/((INDEX('IR data'!$M$4:$M$61,MATCH(G111,'IR data'!$M$4:$M$61,1)+1)-INDEX('IR data'!$M$4:$M$61,MATCH(G111,'IR data'!$M$4:$M$61,1))))) * (INDEX('IR data'!$N$4:$N$61,MATCH(G111,'IR data'!$M$4:$M$61,1))-(INDEX('IR data'!$N$4:$N$61,MATCH(G111,'IR data'!$M$4:$M$61,1)+1)))))</f>
        <v>0.98389441502127661</v>
      </c>
      <c r="I111" s="44">
        <f t="shared" si="11"/>
        <v>2.3831474055233559E-2</v>
      </c>
    </row>
    <row r="112" spans="1:9" x14ac:dyDescent="0.25">
      <c r="A112" s="45">
        <f t="shared" si="7"/>
        <v>45400</v>
      </c>
      <c r="B112" s="14" cm="1">
        <f t="array" ref="B112">_xlfn.IFNA(INDEX('IR data'!$D$4:$D$61,MATCH(A112,'IR data'!$C$4:$C$61,0)),((INDEX('IR data'!$D$4:$D$61,MATCH(A112,'IR data'!$C$4:$C$61,1)))-((A112-(INDEX('IR data'!$C$4:$C$61,MATCH(A112,'IR data'!$C$4:$C$61,1))))/((INDEX('IR data'!$C$4:$C$61,MATCH(A112,'IR data'!$C$4:$C$61,1)+1)-INDEX('IR data'!$C$4:$C$61,MATCH(A112,'IR data'!$C$4:$C$61,1))))) * (INDEX('IR data'!$D$4:$D$61,MATCH(A112,'IR data'!$C$4:$C$61,1))-(INDEX('IR data'!$D$4:$D$61,MATCH(A112,'IR data'!$C$4:$C$61,1)+1)))))</f>
        <v>0.98349744915384607</v>
      </c>
      <c r="C112" s="30">
        <f t="shared" si="8"/>
        <v>2.4199708117579617E-2</v>
      </c>
      <c r="D112" s="45">
        <f t="shared" si="9"/>
        <v>45460</v>
      </c>
      <c r="E112" s="14" cm="1">
        <f t="array" ref="E112">_xlfn.IFNA(INDEX('IR data'!$I$4:$I$61,MATCH(D112,'IR data'!$H$4:$H$61,0)),((INDEX('IR data'!$I$4:$I$61,MATCH(D112,'IR data'!$H$4:$H$61,1)))-((D112-(INDEX('IR data'!$H$4:$H$61,MATCH(D112,'IR data'!$H$4:$H$61,1))))/((INDEX('IR data'!$H$4:$H$61,MATCH(D112,'IR data'!$H$4:$H$61,1)+1)-INDEX('IR data'!$H$4:$H$61,MATCH(D112,'IR data'!$H$4:$H$61,1))))) * (INDEX('IR data'!$I$4:$I$61,MATCH(D112,'IR data'!$H$4:$H$61,1))-(INDEX('IR data'!$I$4:$I$61,MATCH(D112,'IR data'!$H$4:$H$61,1)+1)))))</f>
        <v>0.98365999486956524</v>
      </c>
      <c r="F112" s="30">
        <f t="shared" si="10"/>
        <v>2.3959373084816507E-2</v>
      </c>
      <c r="G112" s="45">
        <f t="shared" si="6"/>
        <v>45494</v>
      </c>
      <c r="H112" s="14" cm="1">
        <f t="array" ref="H112">_xlfn.IFNA(INDEX('IR data'!$N$4:$N$61,MATCH(G112,'IR data'!$M$4:$M$61,0)),((INDEX('IR data'!$N$4:$N$61,MATCH(G112,'IR data'!$M$4:$M$61,1)))-((G112-(INDEX('IR data'!$M$4:$M$61,MATCH(G112,'IR data'!$M$4:$M$61,1))))/((INDEX('IR data'!$M$4:$M$61,MATCH(G112,'IR data'!$M$4:$M$61,1)+1)-INDEX('IR data'!$M$4:$M$61,MATCH(G112,'IR data'!$M$4:$M$61,1))))) * (INDEX('IR data'!$N$4:$N$61,MATCH(G112,'IR data'!$M$4:$M$61,1))-(INDEX('IR data'!$N$4:$N$61,MATCH(G112,'IR data'!$M$4:$M$61,1)+1)))))</f>
        <v>0.98374629548936166</v>
      </c>
      <c r="I112" s="44">
        <f t="shared" si="11"/>
        <v>2.3831787816029855E-2</v>
      </c>
    </row>
    <row r="113" spans="1:9" x14ac:dyDescent="0.25">
      <c r="A113" s="45">
        <f t="shared" si="7"/>
        <v>45401</v>
      </c>
      <c r="B113" s="14" cm="1">
        <f t="array" ref="B113">_xlfn.IFNA(INDEX('IR data'!$D$4:$D$61,MATCH(A113,'IR data'!$C$4:$C$61,0)),((INDEX('IR data'!$D$4:$D$61,MATCH(A113,'IR data'!$C$4:$C$61,1)))-((A113-(INDEX('IR data'!$C$4:$C$61,MATCH(A113,'IR data'!$C$4:$C$61,1))))/((INDEX('IR data'!$C$4:$C$61,MATCH(A113,'IR data'!$C$4:$C$61,1)+1)-INDEX('IR data'!$C$4:$C$61,MATCH(A113,'IR data'!$C$4:$C$61,1))))) * (INDEX('IR data'!$D$4:$D$61,MATCH(A113,'IR data'!$C$4:$C$61,1))-(INDEX('IR data'!$D$4:$D$61,MATCH(A113,'IR data'!$C$4:$C$61,1)+1)))))</f>
        <v>0.9833532442307692</v>
      </c>
      <c r="C113" s="30">
        <f t="shared" si="8"/>
        <v>2.4191022294485491E-2</v>
      </c>
      <c r="D113" s="45">
        <f t="shared" si="9"/>
        <v>45461</v>
      </c>
      <c r="E113" s="14" cm="1">
        <f t="array" ref="E113">_xlfn.IFNA(INDEX('IR data'!$I$4:$I$61,MATCH(D113,'IR data'!$H$4:$H$61,0)),((INDEX('IR data'!$I$4:$I$61,MATCH(D113,'IR data'!$H$4:$H$61,1)))-((D113-(INDEX('IR data'!$H$4:$H$61,MATCH(D113,'IR data'!$H$4:$H$61,1))))/((INDEX('IR data'!$H$4:$H$61,MATCH(D113,'IR data'!$H$4:$H$61,1)+1)-INDEX('IR data'!$H$4:$H$61,MATCH(D113,'IR data'!$H$4:$H$61,1))))) * (INDEX('IR data'!$I$4:$I$61,MATCH(D113,'IR data'!$H$4:$H$61,1))-(INDEX('IR data'!$I$4:$I$61,MATCH(D113,'IR data'!$H$4:$H$61,1)+1)))))</f>
        <v>0.98351139478260874</v>
      </c>
      <c r="F113" s="30">
        <f t="shared" si="10"/>
        <v>2.3959277105839696E-2</v>
      </c>
      <c r="G113" s="45">
        <f t="shared" si="6"/>
        <v>45495</v>
      </c>
      <c r="H113" s="14" cm="1">
        <f t="array" ref="H113">_xlfn.IFNA(INDEX('IR data'!$N$4:$N$61,MATCH(G113,'IR data'!$M$4:$M$61,0)),((INDEX('IR data'!$N$4:$N$61,MATCH(G113,'IR data'!$M$4:$M$61,1)))-((G113-(INDEX('IR data'!$M$4:$M$61,MATCH(G113,'IR data'!$M$4:$M$61,1))))/((INDEX('IR data'!$M$4:$M$61,MATCH(G113,'IR data'!$M$4:$M$61,1)+1)-INDEX('IR data'!$M$4:$M$61,MATCH(G113,'IR data'!$M$4:$M$61,1))))) * (INDEX('IR data'!$N$4:$N$61,MATCH(G113,'IR data'!$M$4:$M$61,1))-(INDEX('IR data'!$N$4:$N$61,MATCH(G113,'IR data'!$M$4:$M$61,1)+1)))))</f>
        <v>0.98359817595744681</v>
      </c>
      <c r="I113" s="44">
        <f t="shared" si="11"/>
        <v>2.3832128541618064E-2</v>
      </c>
    </row>
    <row r="114" spans="1:9" x14ac:dyDescent="0.25">
      <c r="A114" s="45">
        <f t="shared" si="7"/>
        <v>45402</v>
      </c>
      <c r="B114" s="14" cm="1">
        <f t="array" ref="B114">_xlfn.IFNA(INDEX('IR data'!$D$4:$D$61,MATCH(A114,'IR data'!$C$4:$C$61,0)),((INDEX('IR data'!$D$4:$D$61,MATCH(A114,'IR data'!$C$4:$C$61,1)))-((A114-(INDEX('IR data'!$C$4:$C$61,MATCH(A114,'IR data'!$C$4:$C$61,1))))/((INDEX('IR data'!$C$4:$C$61,MATCH(A114,'IR data'!$C$4:$C$61,1)+1)-INDEX('IR data'!$C$4:$C$61,MATCH(A114,'IR data'!$C$4:$C$61,1))))) * (INDEX('IR data'!$D$4:$D$61,MATCH(A114,'IR data'!$C$4:$C$61,1))-(INDEX('IR data'!$D$4:$D$61,MATCH(A114,'IR data'!$C$4:$C$61,1)+1)))))</f>
        <v>0.98320903930769232</v>
      </c>
      <c r="C114" s="30">
        <f t="shared" si="8"/>
        <v>2.4182523683800885E-2</v>
      </c>
      <c r="D114" s="45">
        <f t="shared" si="9"/>
        <v>45462</v>
      </c>
      <c r="E114" s="14" cm="1">
        <f t="array" ref="E114">_xlfn.IFNA(INDEX('IR data'!$I$4:$I$61,MATCH(D114,'IR data'!$H$4:$H$61,0)),((INDEX('IR data'!$I$4:$I$61,MATCH(D114,'IR data'!$H$4:$H$61,1)))-((D114-(INDEX('IR data'!$H$4:$H$61,MATCH(D114,'IR data'!$H$4:$H$61,1))))/((INDEX('IR data'!$H$4:$H$61,MATCH(D114,'IR data'!$H$4:$H$61,1)+1)-INDEX('IR data'!$H$4:$H$61,MATCH(D114,'IR data'!$H$4:$H$61,1))))) * (INDEX('IR data'!$I$4:$I$61,MATCH(D114,'IR data'!$H$4:$H$61,1))-(INDEX('IR data'!$I$4:$I$61,MATCH(D114,'IR data'!$H$4:$H$61,1)+1)))))</f>
        <v>0.98336279469565224</v>
      </c>
      <c r="F114" s="30">
        <f t="shared" si="10"/>
        <v>2.3959215457410137E-2</v>
      </c>
      <c r="G114" s="45">
        <f t="shared" si="6"/>
        <v>45496</v>
      </c>
      <c r="H114" s="14" cm="1">
        <f t="array" ref="H114">_xlfn.IFNA(INDEX('IR data'!$N$4:$N$61,MATCH(G114,'IR data'!$M$4:$M$61,0)),((INDEX('IR data'!$N$4:$N$61,MATCH(G114,'IR data'!$M$4:$M$61,1)))-((G114-(INDEX('IR data'!$M$4:$M$61,MATCH(G114,'IR data'!$M$4:$M$61,1))))/((INDEX('IR data'!$M$4:$M$61,MATCH(G114,'IR data'!$M$4:$M$61,1)+1)-INDEX('IR data'!$M$4:$M$61,MATCH(G114,'IR data'!$M$4:$M$61,1))))) * (INDEX('IR data'!$N$4:$N$61,MATCH(G114,'IR data'!$M$4:$M$61,1))-(INDEX('IR data'!$N$4:$N$61,MATCH(G114,'IR data'!$M$4:$M$61,1)+1)))))</f>
        <v>0.98345005642553196</v>
      </c>
      <c r="I114" s="44">
        <f t="shared" si="11"/>
        <v>2.3832495512971664E-2</v>
      </c>
    </row>
    <row r="115" spans="1:9" x14ac:dyDescent="0.25">
      <c r="A115" s="45">
        <f t="shared" si="7"/>
        <v>45403</v>
      </c>
      <c r="B115" s="14" cm="1">
        <f t="array" ref="B115">_xlfn.IFNA(INDEX('IR data'!$D$4:$D$61,MATCH(A115,'IR data'!$C$4:$C$61,0)),((INDEX('IR data'!$D$4:$D$61,MATCH(A115,'IR data'!$C$4:$C$61,1)))-((A115-(INDEX('IR data'!$C$4:$C$61,MATCH(A115,'IR data'!$C$4:$C$61,1))))/((INDEX('IR data'!$C$4:$C$61,MATCH(A115,'IR data'!$C$4:$C$61,1)+1)-INDEX('IR data'!$C$4:$C$61,MATCH(A115,'IR data'!$C$4:$C$61,1))))) * (INDEX('IR data'!$D$4:$D$61,MATCH(A115,'IR data'!$C$4:$C$61,1))-(INDEX('IR data'!$D$4:$D$61,MATCH(A115,'IR data'!$C$4:$C$61,1)+1)))))</f>
        <v>0.98306483438461534</v>
      </c>
      <c r="C115" s="30">
        <f t="shared" si="8"/>
        <v>2.4174207279836716E-2</v>
      </c>
      <c r="D115" s="45">
        <f t="shared" si="9"/>
        <v>45463</v>
      </c>
      <c r="E115" s="14" cm="1">
        <f t="array" ref="E115">_xlfn.IFNA(INDEX('IR data'!$I$4:$I$61,MATCH(D115,'IR data'!$H$4:$H$61,0)),((INDEX('IR data'!$I$4:$I$61,MATCH(D115,'IR data'!$H$4:$H$61,1)))-((D115-(INDEX('IR data'!$H$4:$H$61,MATCH(D115,'IR data'!$H$4:$H$61,1))))/((INDEX('IR data'!$H$4:$H$61,MATCH(D115,'IR data'!$H$4:$H$61,1)+1)-INDEX('IR data'!$H$4:$H$61,MATCH(D115,'IR data'!$H$4:$H$61,1))))) * (INDEX('IR data'!$I$4:$I$61,MATCH(D115,'IR data'!$H$4:$H$61,1))-(INDEX('IR data'!$I$4:$I$61,MATCH(D115,'IR data'!$H$4:$H$61,1)+1)))))</f>
        <v>0.98321419460869564</v>
      </c>
      <c r="F115" s="30">
        <f t="shared" si="10"/>
        <v>2.3959187229725554E-2</v>
      </c>
      <c r="G115" s="45">
        <f t="shared" si="6"/>
        <v>45497</v>
      </c>
      <c r="H115" s="14" cm="1">
        <f t="array" ref="H115">_xlfn.IFNA(INDEX('IR data'!$N$4:$N$61,MATCH(G115,'IR data'!$M$4:$M$61,0)),((INDEX('IR data'!$N$4:$N$61,MATCH(G115,'IR data'!$M$4:$M$61,1)))-((G115-(INDEX('IR data'!$M$4:$M$61,MATCH(G115,'IR data'!$M$4:$M$61,1))))/((INDEX('IR data'!$M$4:$M$61,MATCH(G115,'IR data'!$M$4:$M$61,1)+1)-INDEX('IR data'!$M$4:$M$61,MATCH(G115,'IR data'!$M$4:$M$61,1))))) * (INDEX('IR data'!$N$4:$N$61,MATCH(G115,'IR data'!$M$4:$M$61,1))-(INDEX('IR data'!$N$4:$N$61,MATCH(G115,'IR data'!$M$4:$M$61,1)+1)))))</f>
        <v>0.983301936893617</v>
      </c>
      <c r="I115" s="44">
        <f t="shared" si="11"/>
        <v>2.3832888036748007E-2</v>
      </c>
    </row>
    <row r="116" spans="1:9" x14ac:dyDescent="0.25">
      <c r="A116" s="45">
        <f t="shared" si="7"/>
        <v>45404</v>
      </c>
      <c r="B116" s="14" cm="1">
        <f t="array" ref="B116">_xlfn.IFNA(INDEX('IR data'!$D$4:$D$61,MATCH(A116,'IR data'!$C$4:$C$61,0)),((INDEX('IR data'!$D$4:$D$61,MATCH(A116,'IR data'!$C$4:$C$61,1)))-((A116-(INDEX('IR data'!$C$4:$C$61,MATCH(A116,'IR data'!$C$4:$C$61,1))))/((INDEX('IR data'!$C$4:$C$61,MATCH(A116,'IR data'!$C$4:$C$61,1)+1)-INDEX('IR data'!$C$4:$C$61,MATCH(A116,'IR data'!$C$4:$C$61,1))))) * (INDEX('IR data'!$D$4:$D$61,MATCH(A116,'IR data'!$C$4:$C$61,1))-(INDEX('IR data'!$D$4:$D$61,MATCH(A116,'IR data'!$C$4:$C$61,1)+1)))))</f>
        <v>0.98292062946153846</v>
      </c>
      <c r="C116" s="30">
        <f t="shared" si="8"/>
        <v>2.4166068254099844E-2</v>
      </c>
      <c r="D116" s="45">
        <f t="shared" si="9"/>
        <v>45464</v>
      </c>
      <c r="E116" s="14" cm="1">
        <f t="array" ref="E116">_xlfn.IFNA(INDEX('IR data'!$I$4:$I$61,MATCH(D116,'IR data'!$H$4:$H$61,0)),((INDEX('IR data'!$I$4:$I$61,MATCH(D116,'IR data'!$H$4:$H$61,1)))-((D116-(INDEX('IR data'!$H$4:$H$61,MATCH(D116,'IR data'!$H$4:$H$61,1))))/((INDEX('IR data'!$H$4:$H$61,MATCH(D116,'IR data'!$H$4:$H$61,1)+1)-INDEX('IR data'!$H$4:$H$61,MATCH(D116,'IR data'!$H$4:$H$61,1))))) * (INDEX('IR data'!$I$4:$I$61,MATCH(D116,'IR data'!$H$4:$H$61,1))-(INDEX('IR data'!$I$4:$I$61,MATCH(D116,'IR data'!$H$4:$H$61,1)+1)))))</f>
        <v>0.98306559452173914</v>
      </c>
      <c r="F116" s="30">
        <f t="shared" si="10"/>
        <v>2.3959191545192937E-2</v>
      </c>
      <c r="G116" s="45">
        <f t="shared" si="6"/>
        <v>45498</v>
      </c>
      <c r="H116" s="14" cm="1">
        <f t="array" ref="H116">_xlfn.IFNA(INDEX('IR data'!$N$4:$N$61,MATCH(G116,'IR data'!$M$4:$M$61,0)),((INDEX('IR data'!$N$4:$N$61,MATCH(G116,'IR data'!$M$4:$M$61,1)))-((G116-(INDEX('IR data'!$M$4:$M$61,MATCH(G116,'IR data'!$M$4:$M$61,1))))/((INDEX('IR data'!$M$4:$M$61,MATCH(G116,'IR data'!$M$4:$M$61,1)+1)-INDEX('IR data'!$M$4:$M$61,MATCH(G116,'IR data'!$M$4:$M$61,1))))) * (INDEX('IR data'!$N$4:$N$61,MATCH(G116,'IR data'!$M$4:$M$61,1))-(INDEX('IR data'!$N$4:$N$61,MATCH(G116,'IR data'!$M$4:$M$61,1)+1)))))</f>
        <v>0.98315381736170215</v>
      </c>
      <c r="I116" s="44">
        <f t="shared" si="11"/>
        <v>2.3833305444151406E-2</v>
      </c>
    </row>
    <row r="117" spans="1:9" x14ac:dyDescent="0.25">
      <c r="A117" s="45">
        <f t="shared" si="7"/>
        <v>45405</v>
      </c>
      <c r="B117" s="14" cm="1">
        <f t="array" ref="B117">_xlfn.IFNA(INDEX('IR data'!$D$4:$D$61,MATCH(A117,'IR data'!$C$4:$C$61,0)),((INDEX('IR data'!$D$4:$D$61,MATCH(A117,'IR data'!$C$4:$C$61,1)))-((A117-(INDEX('IR data'!$C$4:$C$61,MATCH(A117,'IR data'!$C$4:$C$61,1))))/((INDEX('IR data'!$C$4:$C$61,MATCH(A117,'IR data'!$C$4:$C$61,1)+1)-INDEX('IR data'!$C$4:$C$61,MATCH(A117,'IR data'!$C$4:$C$61,1))))) * (INDEX('IR data'!$D$4:$D$61,MATCH(A117,'IR data'!$C$4:$C$61,1))-(INDEX('IR data'!$D$4:$D$61,MATCH(A117,'IR data'!$C$4:$C$61,1)+1)))))</f>
        <v>0.98277642453846148</v>
      </c>
      <c r="C117" s="30">
        <f t="shared" si="8"/>
        <v>2.4158101947522451E-2</v>
      </c>
      <c r="D117" s="45">
        <f t="shared" si="9"/>
        <v>45465</v>
      </c>
      <c r="E117" s="14" cm="1">
        <f t="array" ref="E117">_xlfn.IFNA(INDEX('IR data'!$I$4:$I$61,MATCH(D117,'IR data'!$H$4:$H$61,0)),((INDEX('IR data'!$I$4:$I$61,MATCH(D117,'IR data'!$H$4:$H$61,1)))-((D117-(INDEX('IR data'!$H$4:$H$61,MATCH(D117,'IR data'!$H$4:$H$61,1))))/((INDEX('IR data'!$H$4:$H$61,MATCH(D117,'IR data'!$H$4:$H$61,1)+1)-INDEX('IR data'!$H$4:$H$61,MATCH(D117,'IR data'!$H$4:$H$61,1))))) * (INDEX('IR data'!$I$4:$I$61,MATCH(D117,'IR data'!$H$4:$H$61,1))-(INDEX('IR data'!$I$4:$I$61,MATCH(D117,'IR data'!$H$4:$H$61,1)+1)))))</f>
        <v>0.98291699443478264</v>
      </c>
      <c r="F117" s="30">
        <f t="shared" si="10"/>
        <v>2.3959227557016859E-2</v>
      </c>
      <c r="G117" s="45">
        <f t="shared" si="6"/>
        <v>45499</v>
      </c>
      <c r="H117" s="14" cm="1">
        <f t="array" ref="H117">_xlfn.IFNA(INDEX('IR data'!$N$4:$N$61,MATCH(G117,'IR data'!$M$4:$M$61,0)),((INDEX('IR data'!$N$4:$N$61,MATCH(G117,'IR data'!$M$4:$M$61,1)))-((G117-(INDEX('IR data'!$M$4:$M$61,MATCH(G117,'IR data'!$M$4:$M$61,1))))/((INDEX('IR data'!$M$4:$M$61,MATCH(G117,'IR data'!$M$4:$M$61,1)+1)-INDEX('IR data'!$M$4:$M$61,MATCH(G117,'IR data'!$M$4:$M$61,1))))) * (INDEX('IR data'!$N$4:$N$61,MATCH(G117,'IR data'!$M$4:$M$61,1))-(INDEX('IR data'!$N$4:$N$61,MATCH(G117,'IR data'!$M$4:$M$61,1)+1)))))</f>
        <v>0.9830056978297872</v>
      </c>
      <c r="I117" s="44">
        <f t="shared" si="11"/>
        <v>2.383374708985761E-2</v>
      </c>
    </row>
    <row r="118" spans="1:9" x14ac:dyDescent="0.25">
      <c r="A118" s="45">
        <f t="shared" si="7"/>
        <v>45406</v>
      </c>
      <c r="B118" s="14" cm="1">
        <f t="array" ref="B118">_xlfn.IFNA(INDEX('IR data'!$D$4:$D$61,MATCH(A118,'IR data'!$C$4:$C$61,0)),((INDEX('IR data'!$D$4:$D$61,MATCH(A118,'IR data'!$C$4:$C$61,1)))-((A118-(INDEX('IR data'!$C$4:$C$61,MATCH(A118,'IR data'!$C$4:$C$61,1))))/((INDEX('IR data'!$C$4:$C$61,MATCH(A118,'IR data'!$C$4:$C$61,1)+1)-INDEX('IR data'!$C$4:$C$61,MATCH(A118,'IR data'!$C$4:$C$61,1))))) * (INDEX('IR data'!$D$4:$D$61,MATCH(A118,'IR data'!$C$4:$C$61,1))-(INDEX('IR data'!$D$4:$D$61,MATCH(A118,'IR data'!$C$4:$C$61,1)+1)))))</f>
        <v>0.98263221961538461</v>
      </c>
      <c r="C118" s="30">
        <f t="shared" si="8"/>
        <v>2.4150303863094438E-2</v>
      </c>
      <c r="D118" s="45">
        <f t="shared" si="9"/>
        <v>45466</v>
      </c>
      <c r="E118" s="14" cm="1">
        <f t="array" ref="E118">_xlfn.IFNA(INDEX('IR data'!$I$4:$I$61,MATCH(D118,'IR data'!$H$4:$H$61,0)),((INDEX('IR data'!$I$4:$I$61,MATCH(D118,'IR data'!$H$4:$H$61,1)))-((D118-(INDEX('IR data'!$H$4:$H$61,MATCH(D118,'IR data'!$H$4:$H$61,1))))/((INDEX('IR data'!$H$4:$H$61,MATCH(D118,'IR data'!$H$4:$H$61,1)+1)-INDEX('IR data'!$H$4:$H$61,MATCH(D118,'IR data'!$H$4:$H$61,1))))) * (INDEX('IR data'!$I$4:$I$61,MATCH(D118,'IR data'!$H$4:$H$61,1))-(INDEX('IR data'!$I$4:$I$61,MATCH(D118,'IR data'!$H$4:$H$61,1)+1)))))</f>
        <v>0.98276839434782615</v>
      </c>
      <c r="F118" s="30">
        <f t="shared" si="10"/>
        <v>2.3959294447859807E-2</v>
      </c>
      <c r="G118" s="45">
        <f t="shared" si="6"/>
        <v>45500</v>
      </c>
      <c r="H118" s="14" cm="1">
        <f t="array" ref="H118">_xlfn.IFNA(INDEX('IR data'!$N$4:$N$61,MATCH(G118,'IR data'!$M$4:$M$61,0)),((INDEX('IR data'!$N$4:$N$61,MATCH(G118,'IR data'!$M$4:$M$61,1)))-((G118-(INDEX('IR data'!$M$4:$M$61,MATCH(G118,'IR data'!$M$4:$M$61,1))))/((INDEX('IR data'!$M$4:$M$61,MATCH(G118,'IR data'!$M$4:$M$61,1)+1)-INDEX('IR data'!$M$4:$M$61,MATCH(G118,'IR data'!$M$4:$M$61,1))))) * (INDEX('IR data'!$N$4:$N$61,MATCH(G118,'IR data'!$M$4:$M$61,1))-(INDEX('IR data'!$N$4:$N$61,MATCH(G118,'IR data'!$M$4:$M$61,1)+1)))))</f>
        <v>0.98285757829787235</v>
      </c>
      <c r="I118" s="44">
        <f t="shared" si="11"/>
        <v>2.3834212350992069E-2</v>
      </c>
    </row>
    <row r="119" spans="1:9" x14ac:dyDescent="0.25">
      <c r="A119" s="45">
        <f t="shared" si="7"/>
        <v>45407</v>
      </c>
      <c r="B119" s="14" cm="1">
        <f t="array" ref="B119">_xlfn.IFNA(INDEX('IR data'!$D$4:$D$61,MATCH(A119,'IR data'!$C$4:$C$61,0)),((INDEX('IR data'!$D$4:$D$61,MATCH(A119,'IR data'!$C$4:$C$61,1)))-((A119-(INDEX('IR data'!$C$4:$C$61,MATCH(A119,'IR data'!$C$4:$C$61,1))))/((INDEX('IR data'!$C$4:$C$61,MATCH(A119,'IR data'!$C$4:$C$61,1)+1)-INDEX('IR data'!$C$4:$C$61,MATCH(A119,'IR data'!$C$4:$C$61,1))))) * (INDEX('IR data'!$D$4:$D$61,MATCH(A119,'IR data'!$C$4:$C$61,1))-(INDEX('IR data'!$D$4:$D$61,MATCH(A119,'IR data'!$C$4:$C$61,1)+1)))))</f>
        <v>0.98248801469230762</v>
      </c>
      <c r="C119" s="30">
        <f t="shared" si="8"/>
        <v>2.4142669658879446E-2</v>
      </c>
      <c r="D119" s="45">
        <f t="shared" si="9"/>
        <v>45467</v>
      </c>
      <c r="E119" s="14" cm="1">
        <f t="array" ref="E119">_xlfn.IFNA(INDEX('IR data'!$I$4:$I$61,MATCH(D119,'IR data'!$H$4:$H$61,0)),((INDEX('IR data'!$I$4:$I$61,MATCH(D119,'IR data'!$H$4:$H$61,1)))-((D119-(INDEX('IR data'!$H$4:$H$61,MATCH(D119,'IR data'!$H$4:$H$61,1))))/((INDEX('IR data'!$H$4:$H$61,MATCH(D119,'IR data'!$H$4:$H$61,1)+1)-INDEX('IR data'!$H$4:$H$61,MATCH(D119,'IR data'!$H$4:$H$61,1))))) * (INDEX('IR data'!$I$4:$I$61,MATCH(D119,'IR data'!$H$4:$H$61,1))-(INDEX('IR data'!$I$4:$I$61,MATCH(D119,'IR data'!$H$4:$H$61,1)+1)))))</f>
        <v>0.98261979426086954</v>
      </c>
      <c r="F119" s="30">
        <f t="shared" si="10"/>
        <v>2.395939142857275E-2</v>
      </c>
      <c r="G119" s="45">
        <f t="shared" si="6"/>
        <v>45501</v>
      </c>
      <c r="H119" s="14" cm="1">
        <f t="array" ref="H119">_xlfn.IFNA(INDEX('IR data'!$N$4:$N$61,MATCH(G119,'IR data'!$M$4:$M$61,0)),((INDEX('IR data'!$N$4:$N$61,MATCH(G119,'IR data'!$M$4:$M$61,1)))-((G119-(INDEX('IR data'!$M$4:$M$61,MATCH(G119,'IR data'!$M$4:$M$61,1))))/((INDEX('IR data'!$M$4:$M$61,MATCH(G119,'IR data'!$M$4:$M$61,1)+1)-INDEX('IR data'!$M$4:$M$61,MATCH(G119,'IR data'!$M$4:$M$61,1))))) * (INDEX('IR data'!$N$4:$N$61,MATCH(G119,'IR data'!$M$4:$M$61,1))-(INDEX('IR data'!$N$4:$N$61,MATCH(G119,'IR data'!$M$4:$M$61,1)+1)))))</f>
        <v>0.98270945876595739</v>
      </c>
      <c r="I119" s="44">
        <f t="shared" si="11"/>
        <v>2.3834700626163514E-2</v>
      </c>
    </row>
    <row r="120" spans="1:9" x14ac:dyDescent="0.25">
      <c r="A120" s="45">
        <f t="shared" si="7"/>
        <v>45408</v>
      </c>
      <c r="B120" s="14" cm="1">
        <f t="array" ref="B120">_xlfn.IFNA(INDEX('IR data'!$D$4:$D$61,MATCH(A120,'IR data'!$C$4:$C$61,0)),((INDEX('IR data'!$D$4:$D$61,MATCH(A120,'IR data'!$C$4:$C$61,1)))-((A120-(INDEX('IR data'!$C$4:$C$61,MATCH(A120,'IR data'!$C$4:$C$61,1))))/((INDEX('IR data'!$C$4:$C$61,MATCH(A120,'IR data'!$C$4:$C$61,1)+1)-INDEX('IR data'!$C$4:$C$61,MATCH(A120,'IR data'!$C$4:$C$61,1))))) * (INDEX('IR data'!$D$4:$D$61,MATCH(A120,'IR data'!$C$4:$C$61,1))-(INDEX('IR data'!$D$4:$D$61,MATCH(A120,'IR data'!$C$4:$C$61,1)+1)))))</f>
        <v>0.98234380976923075</v>
      </c>
      <c r="C120" s="30">
        <f t="shared" si="8"/>
        <v>2.4135195141386557E-2</v>
      </c>
      <c r="D120" s="45">
        <f t="shared" si="9"/>
        <v>45468</v>
      </c>
      <c r="E120" s="14" cm="1">
        <f t="array" ref="E120">_xlfn.IFNA(INDEX('IR data'!$I$4:$I$61,MATCH(D120,'IR data'!$H$4:$H$61,0)),((INDEX('IR data'!$I$4:$I$61,MATCH(D120,'IR data'!$H$4:$H$61,1)))-((D120-(INDEX('IR data'!$H$4:$H$61,MATCH(D120,'IR data'!$H$4:$H$61,1))))/((INDEX('IR data'!$H$4:$H$61,MATCH(D120,'IR data'!$H$4:$H$61,1)+1)-INDEX('IR data'!$H$4:$H$61,MATCH(D120,'IR data'!$H$4:$H$61,1))))) * (INDEX('IR data'!$I$4:$I$61,MATCH(D120,'IR data'!$H$4:$H$61,1))-(INDEX('IR data'!$I$4:$I$61,MATCH(D120,'IR data'!$H$4:$H$61,1)+1)))))</f>
        <v>0.98247119417391304</v>
      </c>
      <c r="F120" s="30">
        <f t="shared" si="10"/>
        <v>2.395951773698991E-2</v>
      </c>
      <c r="G120" s="45">
        <f t="shared" si="6"/>
        <v>45502</v>
      </c>
      <c r="H120" s="14" cm="1">
        <f t="array" ref="H120">_xlfn.IFNA(INDEX('IR data'!$N$4:$N$61,MATCH(G120,'IR data'!$M$4:$M$61,0)),((INDEX('IR data'!$N$4:$N$61,MATCH(G120,'IR data'!$M$4:$M$61,1)))-((G120-(INDEX('IR data'!$M$4:$M$61,MATCH(G120,'IR data'!$M$4:$M$61,1))))/((INDEX('IR data'!$M$4:$M$61,MATCH(G120,'IR data'!$M$4:$M$61,1)+1)-INDEX('IR data'!$M$4:$M$61,MATCH(G120,'IR data'!$M$4:$M$61,1))))) * (INDEX('IR data'!$N$4:$N$61,MATCH(G120,'IR data'!$M$4:$M$61,1))-(INDEX('IR data'!$N$4:$N$61,MATCH(G120,'IR data'!$M$4:$M$61,1)+1)))))</f>
        <v>0.98256133923404254</v>
      </c>
      <c r="I120" s="44">
        <f t="shared" si="11"/>
        <v>2.383521133454464E-2</v>
      </c>
    </row>
    <row r="121" spans="1:9" x14ac:dyDescent="0.25">
      <c r="A121" s="45">
        <f t="shared" si="7"/>
        <v>45409</v>
      </c>
      <c r="B121" s="14" cm="1">
        <f t="array" ref="B121">_xlfn.IFNA(INDEX('IR data'!$D$4:$D$61,MATCH(A121,'IR data'!$C$4:$C$61,0)),((INDEX('IR data'!$D$4:$D$61,MATCH(A121,'IR data'!$C$4:$C$61,1)))-((A121-(INDEX('IR data'!$C$4:$C$61,MATCH(A121,'IR data'!$C$4:$C$61,1))))/((INDEX('IR data'!$C$4:$C$61,MATCH(A121,'IR data'!$C$4:$C$61,1)+1)-INDEX('IR data'!$C$4:$C$61,MATCH(A121,'IR data'!$C$4:$C$61,1))))) * (INDEX('IR data'!$D$4:$D$61,MATCH(A121,'IR data'!$C$4:$C$61,1))-(INDEX('IR data'!$D$4:$D$61,MATCH(A121,'IR data'!$C$4:$C$61,1)+1)))))</f>
        <v>0.98219960484615376</v>
      </c>
      <c r="C121" s="30">
        <f t="shared" si="8"/>
        <v>2.4127876259281415E-2</v>
      </c>
      <c r="D121" s="45">
        <f t="shared" si="9"/>
        <v>45469</v>
      </c>
      <c r="E121" s="14" cm="1">
        <f t="array" ref="E121">_xlfn.IFNA(INDEX('IR data'!$I$4:$I$61,MATCH(D121,'IR data'!$H$4:$H$61,0)),((INDEX('IR data'!$I$4:$I$61,MATCH(D121,'IR data'!$H$4:$H$61,1)))-((D121-(INDEX('IR data'!$H$4:$H$61,MATCH(D121,'IR data'!$H$4:$H$61,1))))/((INDEX('IR data'!$H$4:$H$61,MATCH(D121,'IR data'!$H$4:$H$61,1)+1)-INDEX('IR data'!$H$4:$H$61,MATCH(D121,'IR data'!$H$4:$H$61,1))))) * (INDEX('IR data'!$I$4:$I$61,MATCH(D121,'IR data'!$H$4:$H$61,1))-(INDEX('IR data'!$I$4:$I$61,MATCH(D121,'IR data'!$H$4:$H$61,1)+1)))))</f>
        <v>0.98232259408695655</v>
      </c>
      <c r="F121" s="30">
        <f t="shared" si="10"/>
        <v>2.3959672636786302E-2</v>
      </c>
      <c r="G121" s="45">
        <f t="shared" si="6"/>
        <v>45503</v>
      </c>
      <c r="H121" s="14" cm="1">
        <f t="array" ref="H121">_xlfn.IFNA(INDEX('IR data'!$N$4:$N$61,MATCH(G121,'IR data'!$M$4:$M$61,0)),((INDEX('IR data'!$N$4:$N$61,MATCH(G121,'IR data'!$M$4:$M$61,1)))-((G121-(INDEX('IR data'!$M$4:$M$61,MATCH(G121,'IR data'!$M$4:$M$61,1))))/((INDEX('IR data'!$M$4:$M$61,MATCH(G121,'IR data'!$M$4:$M$61,1)+1)-INDEX('IR data'!$M$4:$M$61,MATCH(G121,'IR data'!$M$4:$M$61,1))))) * (INDEX('IR data'!$N$4:$N$61,MATCH(G121,'IR data'!$M$4:$M$61,1))-(INDEX('IR data'!$N$4:$N$61,MATCH(G121,'IR data'!$M$4:$M$61,1)+1)))))</f>
        <v>0.98241321970212769</v>
      </c>
      <c r="I121" s="44">
        <f t="shared" si="11"/>
        <v>2.3835743915001813E-2</v>
      </c>
    </row>
    <row r="122" spans="1:9" x14ac:dyDescent="0.25">
      <c r="A122" s="45">
        <f t="shared" si="7"/>
        <v>45410</v>
      </c>
      <c r="B122" s="14" cm="1">
        <f t="array" ref="B122">_xlfn.IFNA(INDEX('IR data'!$D$4:$D$61,MATCH(A122,'IR data'!$C$4:$C$61,0)),((INDEX('IR data'!$D$4:$D$61,MATCH(A122,'IR data'!$C$4:$C$61,1)))-((A122-(INDEX('IR data'!$C$4:$C$61,MATCH(A122,'IR data'!$C$4:$C$61,1))))/((INDEX('IR data'!$C$4:$C$61,MATCH(A122,'IR data'!$C$4:$C$61,1)+1)-INDEX('IR data'!$C$4:$C$61,MATCH(A122,'IR data'!$C$4:$C$61,1))))) * (INDEX('IR data'!$D$4:$D$61,MATCH(A122,'IR data'!$C$4:$C$61,1))-(INDEX('IR data'!$D$4:$D$61,MATCH(A122,'IR data'!$C$4:$C$61,1)+1)))))</f>
        <v>0.98205539992307689</v>
      </c>
      <c r="C122" s="30">
        <f t="shared" si="8"/>
        <v>2.4120709097412096E-2</v>
      </c>
      <c r="D122" s="45">
        <f t="shared" si="9"/>
        <v>45470</v>
      </c>
      <c r="E122" s="14" cm="1">
        <f t="array" ref="E122">_xlfn.IFNA(INDEX('IR data'!$I$4:$I$61,MATCH(D122,'IR data'!$H$4:$H$61,0)),((INDEX('IR data'!$I$4:$I$61,MATCH(D122,'IR data'!$H$4:$H$61,1)))-((D122-(INDEX('IR data'!$H$4:$H$61,MATCH(D122,'IR data'!$H$4:$H$61,1))))/((INDEX('IR data'!$H$4:$H$61,MATCH(D122,'IR data'!$H$4:$H$61,1)+1)-INDEX('IR data'!$H$4:$H$61,MATCH(D122,'IR data'!$H$4:$H$61,1))))) * (INDEX('IR data'!$I$4:$I$61,MATCH(D122,'IR data'!$H$4:$H$61,1))-(INDEX('IR data'!$I$4:$I$61,MATCH(D122,'IR data'!$H$4:$H$61,1)+1)))))</f>
        <v>0.98217399400000005</v>
      </c>
      <c r="F122" s="30">
        <f t="shared" si="10"/>
        <v>2.3959855416391396E-2</v>
      </c>
      <c r="G122" s="45">
        <f t="shared" si="6"/>
        <v>45504</v>
      </c>
      <c r="H122" s="14" cm="1">
        <f t="array" ref="H122">_xlfn.IFNA(INDEX('IR data'!$N$4:$N$61,MATCH(G122,'IR data'!$M$4:$M$61,0)),((INDEX('IR data'!$N$4:$N$61,MATCH(G122,'IR data'!$M$4:$M$61,1)))-((G122-(INDEX('IR data'!$M$4:$M$61,MATCH(G122,'IR data'!$M$4:$M$61,1))))/((INDEX('IR data'!$M$4:$M$61,MATCH(G122,'IR data'!$M$4:$M$61,1)+1)-INDEX('IR data'!$M$4:$M$61,MATCH(G122,'IR data'!$M$4:$M$61,1))))) * (INDEX('IR data'!$N$4:$N$61,MATCH(G122,'IR data'!$M$4:$M$61,1))-(INDEX('IR data'!$N$4:$N$61,MATCH(G122,'IR data'!$M$4:$M$61,1)+1)))))</f>
        <v>0.98226510017021273</v>
      </c>
      <c r="I122" s="44">
        <f t="shared" si="11"/>
        <v>2.383629782526717E-2</v>
      </c>
    </row>
    <row r="123" spans="1:9" x14ac:dyDescent="0.25">
      <c r="A123" s="45">
        <f t="shared" si="7"/>
        <v>45411</v>
      </c>
      <c r="B123" s="14" cm="1">
        <f t="array" ref="B123">_xlfn.IFNA(INDEX('IR data'!$D$4:$D$61,MATCH(A123,'IR data'!$C$4:$C$61,0)),((INDEX('IR data'!$D$4:$D$61,MATCH(A123,'IR data'!$C$4:$C$61,1)))-((A123-(INDEX('IR data'!$C$4:$C$61,MATCH(A123,'IR data'!$C$4:$C$61,1))))/((INDEX('IR data'!$C$4:$C$61,MATCH(A123,'IR data'!$C$4:$C$61,1)+1)-INDEX('IR data'!$C$4:$C$61,MATCH(A123,'IR data'!$C$4:$C$61,1))))) * (INDEX('IR data'!$D$4:$D$61,MATCH(A123,'IR data'!$C$4:$C$61,1))-(INDEX('IR data'!$D$4:$D$61,MATCH(A123,'IR data'!$C$4:$C$61,1)+1)))))</f>
        <v>0.98191119500000001</v>
      </c>
      <c r="C123" s="30">
        <f t="shared" si="8"/>
        <v>2.4113689871135852E-2</v>
      </c>
      <c r="D123" s="45">
        <f t="shared" si="9"/>
        <v>45471</v>
      </c>
      <c r="E123" s="14" cm="1">
        <f t="array" ref="E123">_xlfn.IFNA(INDEX('IR data'!$I$4:$I$61,MATCH(D123,'IR data'!$H$4:$H$61,0)),((INDEX('IR data'!$I$4:$I$61,MATCH(D123,'IR data'!$H$4:$H$61,1)))-((D123-(INDEX('IR data'!$H$4:$H$61,MATCH(D123,'IR data'!$H$4:$H$61,1))))/((INDEX('IR data'!$H$4:$H$61,MATCH(D123,'IR data'!$H$4:$H$61,1)+1)-INDEX('IR data'!$H$4:$H$61,MATCH(D123,'IR data'!$H$4:$H$61,1))))) * (INDEX('IR data'!$I$4:$I$61,MATCH(D123,'IR data'!$H$4:$H$61,1))-(INDEX('IR data'!$I$4:$I$61,MATCH(D123,'IR data'!$H$4:$H$61,1)+1)))))</f>
        <v>0.98202539391304355</v>
      </c>
      <c r="F123" s="30">
        <f t="shared" si="10"/>
        <v>2.3960065387957832E-2</v>
      </c>
      <c r="G123" s="45">
        <f t="shared" si="6"/>
        <v>45505</v>
      </c>
      <c r="H123" s="14" cm="1">
        <f t="array" ref="H123">_xlfn.IFNA(INDEX('IR data'!$N$4:$N$61,MATCH(G123,'IR data'!$M$4:$M$61,0)),((INDEX('IR data'!$N$4:$N$61,MATCH(G123,'IR data'!$M$4:$M$61,1)))-((G123-(INDEX('IR data'!$M$4:$M$61,MATCH(G123,'IR data'!$M$4:$M$61,1))))/((INDEX('IR data'!$M$4:$M$61,MATCH(G123,'IR data'!$M$4:$M$61,1)+1)-INDEX('IR data'!$M$4:$M$61,MATCH(G123,'IR data'!$M$4:$M$61,1))))) * (INDEX('IR data'!$N$4:$N$61,MATCH(G123,'IR data'!$M$4:$M$61,1))-(INDEX('IR data'!$N$4:$N$61,MATCH(G123,'IR data'!$M$4:$M$61,1)+1)))))</f>
        <v>0.98211698063829789</v>
      </c>
      <c r="I123" s="44">
        <f t="shared" si="11"/>
        <v>2.3836872541152083E-2</v>
      </c>
    </row>
    <row r="124" spans="1:9" x14ac:dyDescent="0.25">
      <c r="A124" s="45">
        <f t="shared" si="7"/>
        <v>45412</v>
      </c>
      <c r="B124" s="14" cm="1">
        <f t="array" ref="B124">_xlfn.IFNA(INDEX('IR data'!$D$4:$D$61,MATCH(A124,'IR data'!$C$4:$C$61,0)),((INDEX('IR data'!$D$4:$D$61,MATCH(A124,'IR data'!$C$4:$C$61,1)))-((A124-(INDEX('IR data'!$C$4:$C$61,MATCH(A124,'IR data'!$C$4:$C$61,1))))/((INDEX('IR data'!$C$4:$C$61,MATCH(A124,'IR data'!$C$4:$C$61,1)+1)-INDEX('IR data'!$C$4:$C$61,MATCH(A124,'IR data'!$C$4:$C$61,1))))) * (INDEX('IR data'!$D$4:$D$61,MATCH(A124,'IR data'!$C$4:$C$61,1))-(INDEX('IR data'!$D$4:$D$61,MATCH(A124,'IR data'!$C$4:$C$61,1)+1)))))</f>
        <v>0.98176699007692303</v>
      </c>
      <c r="C124" s="30">
        <f t="shared" si="8"/>
        <v>2.4106814920925763E-2</v>
      </c>
      <c r="D124" s="45">
        <f t="shared" si="9"/>
        <v>45472</v>
      </c>
      <c r="E124" s="14" cm="1">
        <f t="array" ref="E124">_xlfn.IFNA(INDEX('IR data'!$I$4:$I$61,MATCH(D124,'IR data'!$H$4:$H$61,0)),((INDEX('IR data'!$I$4:$I$61,MATCH(D124,'IR data'!$H$4:$H$61,1)))-((D124-(INDEX('IR data'!$H$4:$H$61,MATCH(D124,'IR data'!$H$4:$H$61,1))))/((INDEX('IR data'!$H$4:$H$61,MATCH(D124,'IR data'!$H$4:$H$61,1)+1)-INDEX('IR data'!$H$4:$H$61,MATCH(D124,'IR data'!$H$4:$H$61,1))))) * (INDEX('IR data'!$I$4:$I$61,MATCH(D124,'IR data'!$H$4:$H$61,1))-(INDEX('IR data'!$I$4:$I$61,MATCH(D124,'IR data'!$H$4:$H$61,1)+1)))))</f>
        <v>0.98187679382608695</v>
      </c>
      <c r="F124" s="30">
        <f t="shared" si="10"/>
        <v>2.396030188638126E-2</v>
      </c>
      <c r="G124" s="45">
        <f t="shared" si="6"/>
        <v>45506</v>
      </c>
      <c r="H124" s="14" cm="1">
        <f t="array" ref="H124">_xlfn.IFNA(INDEX('IR data'!$N$4:$N$61,MATCH(G124,'IR data'!$M$4:$M$61,0)),((INDEX('IR data'!$N$4:$N$61,MATCH(G124,'IR data'!$M$4:$M$61,1)))-((G124-(INDEX('IR data'!$M$4:$M$61,MATCH(G124,'IR data'!$M$4:$M$61,1))))/((INDEX('IR data'!$M$4:$M$61,MATCH(G124,'IR data'!$M$4:$M$61,1)+1)-INDEX('IR data'!$M$4:$M$61,MATCH(G124,'IR data'!$M$4:$M$61,1))))) * (INDEX('IR data'!$N$4:$N$61,MATCH(G124,'IR data'!$M$4:$M$61,1))-(INDEX('IR data'!$N$4:$N$61,MATCH(G124,'IR data'!$M$4:$M$61,1)+1)))))</f>
        <v>0.98196886110638293</v>
      </c>
      <c r="I124" s="44">
        <f t="shared" si="11"/>
        <v>2.3837467555801132E-2</v>
      </c>
    </row>
    <row r="125" spans="1:9" x14ac:dyDescent="0.25">
      <c r="A125" s="45">
        <f t="shared" si="7"/>
        <v>45413</v>
      </c>
      <c r="B125" s="14" cm="1">
        <f t="array" ref="B125">_xlfn.IFNA(INDEX('IR data'!$D$4:$D$61,MATCH(A125,'IR data'!$C$4:$C$61,0)),((INDEX('IR data'!$D$4:$D$61,MATCH(A125,'IR data'!$C$4:$C$61,1)))-((A125-(INDEX('IR data'!$C$4:$C$61,MATCH(A125,'IR data'!$C$4:$C$61,1))))/((INDEX('IR data'!$C$4:$C$61,MATCH(A125,'IR data'!$C$4:$C$61,1)+1)-INDEX('IR data'!$C$4:$C$61,MATCH(A125,'IR data'!$C$4:$C$61,1))))) * (INDEX('IR data'!$D$4:$D$61,MATCH(A125,'IR data'!$C$4:$C$61,1))-(INDEX('IR data'!$D$4:$D$61,MATCH(A125,'IR data'!$C$4:$C$61,1)+1)))))</f>
        <v>0.98162278515384616</v>
      </c>
      <c r="C125" s="30">
        <f t="shared" si="8"/>
        <v>2.4100080707242583E-2</v>
      </c>
      <c r="D125" s="45">
        <f t="shared" si="9"/>
        <v>45473</v>
      </c>
      <c r="E125" s="14" cm="1">
        <f t="array" ref="E125">_xlfn.IFNA(INDEX('IR data'!$I$4:$I$61,MATCH(D125,'IR data'!$H$4:$H$61,0)),((INDEX('IR data'!$I$4:$I$61,MATCH(D125,'IR data'!$H$4:$H$61,1)))-((D125-(INDEX('IR data'!$H$4:$H$61,MATCH(D125,'IR data'!$H$4:$H$61,1))))/((INDEX('IR data'!$H$4:$H$61,MATCH(D125,'IR data'!$H$4:$H$61,1)+1)-INDEX('IR data'!$H$4:$H$61,MATCH(D125,'IR data'!$H$4:$H$61,1))))) * (INDEX('IR data'!$I$4:$I$61,MATCH(D125,'IR data'!$H$4:$H$61,1))-(INDEX('IR data'!$I$4:$I$61,MATCH(D125,'IR data'!$H$4:$H$61,1)+1)))))</f>
        <v>0.98172819373913045</v>
      </c>
      <c r="F125" s="30">
        <f t="shared" si="10"/>
        <v>2.3960564268367703E-2</v>
      </c>
      <c r="G125" s="45">
        <f t="shared" si="6"/>
        <v>45507</v>
      </c>
      <c r="H125" s="14" cm="1">
        <f t="array" ref="H125">_xlfn.IFNA(INDEX('IR data'!$N$4:$N$61,MATCH(G125,'IR data'!$M$4:$M$61,0)),((INDEX('IR data'!$N$4:$N$61,MATCH(G125,'IR data'!$M$4:$M$61,1)))-((G125-(INDEX('IR data'!$M$4:$M$61,MATCH(G125,'IR data'!$M$4:$M$61,1))))/((INDEX('IR data'!$M$4:$M$61,MATCH(G125,'IR data'!$M$4:$M$61,1)+1)-INDEX('IR data'!$M$4:$M$61,MATCH(G125,'IR data'!$M$4:$M$61,1))))) * (INDEX('IR data'!$N$4:$N$61,MATCH(G125,'IR data'!$M$4:$M$61,1))-(INDEX('IR data'!$N$4:$N$61,MATCH(G125,'IR data'!$M$4:$M$61,1)+1)))))</f>
        <v>0.98182074157446808</v>
      </c>
      <c r="I125" s="44">
        <f t="shared" si="11"/>
        <v>2.3838082378980562E-2</v>
      </c>
    </row>
    <row r="126" spans="1:9" x14ac:dyDescent="0.25">
      <c r="A126" s="45">
        <f t="shared" si="7"/>
        <v>45414</v>
      </c>
      <c r="B126" s="14" cm="1">
        <f t="array" ref="B126">_xlfn.IFNA(INDEX('IR data'!$D$4:$D$61,MATCH(A126,'IR data'!$C$4:$C$61,0)),((INDEX('IR data'!$D$4:$D$61,MATCH(A126,'IR data'!$C$4:$C$61,1)))-((A126-(INDEX('IR data'!$C$4:$C$61,MATCH(A126,'IR data'!$C$4:$C$61,1))))/((INDEX('IR data'!$C$4:$C$61,MATCH(A126,'IR data'!$C$4:$C$61,1)+1)-INDEX('IR data'!$C$4:$C$61,MATCH(A126,'IR data'!$C$4:$C$61,1))))) * (INDEX('IR data'!$D$4:$D$61,MATCH(A126,'IR data'!$C$4:$C$61,1))-(INDEX('IR data'!$D$4:$D$61,MATCH(A126,'IR data'!$C$4:$C$61,1)+1)))))</f>
        <v>0.98147858023076917</v>
      </c>
      <c r="C126" s="30">
        <f t="shared" si="8"/>
        <v>2.4093483805658206E-2</v>
      </c>
      <c r="D126" s="45">
        <f t="shared" si="9"/>
        <v>45474</v>
      </c>
      <c r="E126" s="14" cm="1">
        <f t="array" ref="E126">_xlfn.IFNA(INDEX('IR data'!$I$4:$I$61,MATCH(D126,'IR data'!$H$4:$H$61,0)),((INDEX('IR data'!$I$4:$I$61,MATCH(D126,'IR data'!$H$4:$H$61,1)))-((D126-(INDEX('IR data'!$H$4:$H$61,MATCH(D126,'IR data'!$H$4:$H$61,1))))/((INDEX('IR data'!$H$4:$H$61,MATCH(D126,'IR data'!$H$4:$H$61,1)+1)-INDEX('IR data'!$H$4:$H$61,MATCH(D126,'IR data'!$H$4:$H$61,1))))) * (INDEX('IR data'!$I$4:$I$61,MATCH(D126,'IR data'!$H$4:$H$61,1))-(INDEX('IR data'!$I$4:$I$61,MATCH(D126,'IR data'!$H$4:$H$61,1)+1)))))</f>
        <v>0.98157959365217395</v>
      </c>
      <c r="F126" s="30">
        <f t="shared" si="10"/>
        <v>2.396085191154778E-2</v>
      </c>
      <c r="G126" s="45">
        <f t="shared" si="6"/>
        <v>45508</v>
      </c>
      <c r="H126" s="14" cm="1">
        <f t="array" ref="H126">_xlfn.IFNA(INDEX('IR data'!$N$4:$N$61,MATCH(G126,'IR data'!$M$4:$M$61,0)),((INDEX('IR data'!$N$4:$N$61,MATCH(G126,'IR data'!$M$4:$M$61,1)))-((G126-(INDEX('IR data'!$M$4:$M$61,MATCH(G126,'IR data'!$M$4:$M$61,1))))/((INDEX('IR data'!$M$4:$M$61,MATCH(G126,'IR data'!$M$4:$M$61,1)+1)-INDEX('IR data'!$M$4:$M$61,MATCH(G126,'IR data'!$M$4:$M$61,1))))) * (INDEX('IR data'!$N$4:$N$61,MATCH(G126,'IR data'!$M$4:$M$61,1))-(INDEX('IR data'!$N$4:$N$61,MATCH(G126,'IR data'!$M$4:$M$61,1)+1)))))</f>
        <v>0.98167262204255323</v>
      </c>
      <c r="I126" s="44">
        <f t="shared" si="11"/>
        <v>2.3838716536403608E-2</v>
      </c>
    </row>
    <row r="127" spans="1:9" x14ac:dyDescent="0.25">
      <c r="A127" s="45">
        <f t="shared" si="7"/>
        <v>45415</v>
      </c>
      <c r="B127" s="14" cm="1">
        <f t="array" ref="B127">_xlfn.IFNA(INDEX('IR data'!$D$4:$D$61,MATCH(A127,'IR data'!$C$4:$C$61,0)),((INDEX('IR data'!$D$4:$D$61,MATCH(A127,'IR data'!$C$4:$C$61,1)))-((A127-(INDEX('IR data'!$C$4:$C$61,MATCH(A127,'IR data'!$C$4:$C$61,1))))/((INDEX('IR data'!$C$4:$C$61,MATCH(A127,'IR data'!$C$4:$C$61,1)+1)-INDEX('IR data'!$C$4:$C$61,MATCH(A127,'IR data'!$C$4:$C$61,1))))) * (INDEX('IR data'!$D$4:$D$61,MATCH(A127,'IR data'!$C$4:$C$61,1))-(INDEX('IR data'!$D$4:$D$61,MATCH(A127,'IR data'!$C$4:$C$61,1)+1)))))</f>
        <v>0.9813343753076923</v>
      </c>
      <c r="C127" s="30">
        <f t="shared" si="8"/>
        <v>2.4087020902212947E-2</v>
      </c>
      <c r="D127" s="45">
        <f t="shared" si="9"/>
        <v>45475</v>
      </c>
      <c r="E127" s="14" cm="1">
        <f t="array" ref="E127">_xlfn.IFNA(INDEX('IR data'!$I$4:$I$61,MATCH(D127,'IR data'!$H$4:$H$61,0)),((INDEX('IR data'!$I$4:$I$61,MATCH(D127,'IR data'!$H$4:$H$61,1)))-((D127-(INDEX('IR data'!$H$4:$H$61,MATCH(D127,'IR data'!$H$4:$H$61,1))))/((INDEX('IR data'!$H$4:$H$61,MATCH(D127,'IR data'!$H$4:$H$61,1)+1)-INDEX('IR data'!$H$4:$H$61,MATCH(D127,'IR data'!$H$4:$H$61,1))))) * (INDEX('IR data'!$I$4:$I$61,MATCH(D127,'IR data'!$H$4:$H$61,1))-(INDEX('IR data'!$I$4:$I$61,MATCH(D127,'IR data'!$H$4:$H$61,1)+1)))))</f>
        <v>0.98143099356521746</v>
      </c>
      <c r="F127" s="30">
        <f t="shared" si="10"/>
        <v>2.3961164213632438E-2</v>
      </c>
      <c r="G127" s="45">
        <f t="shared" si="6"/>
        <v>45509</v>
      </c>
      <c r="H127" s="14" cm="1">
        <f t="array" ref="H127">_xlfn.IFNA(INDEX('IR data'!$N$4:$N$61,MATCH(G127,'IR data'!$M$4:$M$61,0)),((INDEX('IR data'!$N$4:$N$61,MATCH(G127,'IR data'!$M$4:$M$61,1)))-((G127-(INDEX('IR data'!$M$4:$M$61,MATCH(G127,'IR data'!$M$4:$M$61,1))))/((INDEX('IR data'!$M$4:$M$61,MATCH(G127,'IR data'!$M$4:$M$61,1)+1)-INDEX('IR data'!$M$4:$M$61,MATCH(G127,'IR data'!$M$4:$M$61,1))))) * (INDEX('IR data'!$N$4:$N$61,MATCH(G127,'IR data'!$M$4:$M$61,1))-(INDEX('IR data'!$N$4:$N$61,MATCH(G127,'IR data'!$M$4:$M$61,1)+1)))))</f>
        <v>0.98152450251063827</v>
      </c>
      <c r="I127" s="44">
        <f t="shared" si="11"/>
        <v>2.3839369569087054E-2</v>
      </c>
    </row>
    <row r="128" spans="1:9" x14ac:dyDescent="0.25">
      <c r="A128" s="45">
        <f t="shared" si="7"/>
        <v>45416</v>
      </c>
      <c r="B128" s="14" cm="1">
        <f t="array" ref="B128">_xlfn.IFNA(INDEX('IR data'!$D$4:$D$61,MATCH(A128,'IR data'!$C$4:$C$61,0)),((INDEX('IR data'!$D$4:$D$61,MATCH(A128,'IR data'!$C$4:$C$61,1)))-((A128-(INDEX('IR data'!$C$4:$C$61,MATCH(A128,'IR data'!$C$4:$C$61,1))))/((INDEX('IR data'!$C$4:$C$61,MATCH(A128,'IR data'!$C$4:$C$61,1)+1)-INDEX('IR data'!$C$4:$C$61,MATCH(A128,'IR data'!$C$4:$C$61,1))))) * (INDEX('IR data'!$D$4:$D$61,MATCH(A128,'IR data'!$C$4:$C$61,1))-(INDEX('IR data'!$D$4:$D$61,MATCH(A128,'IR data'!$C$4:$C$61,1)+1)))))</f>
        <v>0.98119017038461531</v>
      </c>
      <c r="C128" s="30">
        <f t="shared" si="8"/>
        <v>2.408068878899796E-2</v>
      </c>
      <c r="D128" s="45">
        <f t="shared" si="9"/>
        <v>45476</v>
      </c>
      <c r="E128" s="14" cm="1">
        <f t="array" ref="E128">_xlfn.IFNA(INDEX('IR data'!$I$4:$I$61,MATCH(D128,'IR data'!$H$4:$H$61,0)),((INDEX('IR data'!$I$4:$I$61,MATCH(D128,'IR data'!$H$4:$H$61,1)))-((D128-(INDEX('IR data'!$H$4:$H$61,MATCH(D128,'IR data'!$H$4:$H$61,1))))/((INDEX('IR data'!$H$4:$H$61,MATCH(D128,'IR data'!$H$4:$H$61,1)+1)-INDEX('IR data'!$H$4:$H$61,MATCH(D128,'IR data'!$H$4:$H$61,1))))) * (INDEX('IR data'!$I$4:$I$61,MATCH(D128,'IR data'!$H$4:$H$61,1))-(INDEX('IR data'!$I$4:$I$61,MATCH(D128,'IR data'!$H$4:$H$61,1)+1)))))</f>
        <v>0.98128239347826085</v>
      </c>
      <c r="F128" s="30">
        <f t="shared" si="10"/>
        <v>2.3961500591610011E-2</v>
      </c>
      <c r="G128" s="45">
        <f t="shared" si="6"/>
        <v>45510</v>
      </c>
      <c r="H128" s="14" cm="1">
        <f t="array" ref="H128">_xlfn.IFNA(INDEX('IR data'!$N$4:$N$61,MATCH(G128,'IR data'!$M$4:$M$61,0)),((INDEX('IR data'!$N$4:$N$61,MATCH(G128,'IR data'!$M$4:$M$61,1)))-((G128-(INDEX('IR data'!$M$4:$M$61,MATCH(G128,'IR data'!$M$4:$M$61,1))))/((INDEX('IR data'!$M$4:$M$61,MATCH(G128,'IR data'!$M$4:$M$61,1)+1)-INDEX('IR data'!$M$4:$M$61,MATCH(G128,'IR data'!$M$4:$M$61,1))))) * (INDEX('IR data'!$N$4:$N$61,MATCH(G128,'IR data'!$M$4:$M$61,1))-(INDEX('IR data'!$N$4:$N$61,MATCH(G128,'IR data'!$M$4:$M$61,1)+1)))))</f>
        <v>0.98137638297872343</v>
      </c>
      <c r="I128" s="44">
        <f t="shared" si="11"/>
        <v>2.3840041032738669E-2</v>
      </c>
    </row>
    <row r="129" spans="1:9" x14ac:dyDescent="0.25">
      <c r="A129" s="45">
        <f t="shared" si="7"/>
        <v>45417</v>
      </c>
      <c r="B129" s="14" cm="1">
        <f t="array" ref="B129">_xlfn.IFNA(INDEX('IR data'!$D$4:$D$61,MATCH(A129,'IR data'!$C$4:$C$61,0)),((INDEX('IR data'!$D$4:$D$61,MATCH(A129,'IR data'!$C$4:$C$61,1)))-((A129-(INDEX('IR data'!$C$4:$C$61,MATCH(A129,'IR data'!$C$4:$C$61,1))))/((INDEX('IR data'!$C$4:$C$61,MATCH(A129,'IR data'!$C$4:$C$61,1)+1)-INDEX('IR data'!$C$4:$C$61,MATCH(A129,'IR data'!$C$4:$C$61,1))))) * (INDEX('IR data'!$D$4:$D$61,MATCH(A129,'IR data'!$C$4:$C$61,1))-(INDEX('IR data'!$D$4:$D$61,MATCH(A129,'IR data'!$C$4:$C$61,1)+1)))))</f>
        <v>0.98104596546153844</v>
      </c>
      <c r="C129" s="30">
        <f t="shared" si="8"/>
        <v>2.4074484359945698E-2</v>
      </c>
      <c r="D129" s="45">
        <f t="shared" si="9"/>
        <v>45477</v>
      </c>
      <c r="E129" s="14" cm="1">
        <f t="array" ref="E129">_xlfn.IFNA(INDEX('IR data'!$I$4:$I$61,MATCH(D129,'IR data'!$H$4:$H$61,0)),((INDEX('IR data'!$I$4:$I$61,MATCH(D129,'IR data'!$H$4:$H$61,1)))-((D129-(INDEX('IR data'!$H$4:$H$61,MATCH(D129,'IR data'!$H$4:$H$61,1))))/((INDEX('IR data'!$H$4:$H$61,MATCH(D129,'IR data'!$H$4:$H$61,1)+1)-INDEX('IR data'!$H$4:$H$61,MATCH(D129,'IR data'!$H$4:$H$61,1))))) * (INDEX('IR data'!$I$4:$I$61,MATCH(D129,'IR data'!$H$4:$H$61,1))-(INDEX('IR data'!$I$4:$I$61,MATCH(D129,'IR data'!$H$4:$H$61,1)+1)))))</f>
        <v>0.98113379339130435</v>
      </c>
      <c r="F129" s="30">
        <f t="shared" si="10"/>
        <v>2.3961860480980673E-2</v>
      </c>
      <c r="G129" s="45">
        <f t="shared" si="6"/>
        <v>45511</v>
      </c>
      <c r="H129" s="14" cm="1">
        <f t="array" ref="H129">_xlfn.IFNA(INDEX('IR data'!$N$4:$N$61,MATCH(G129,'IR data'!$M$4:$M$61,0)),((INDEX('IR data'!$N$4:$N$61,MATCH(G129,'IR data'!$M$4:$M$61,1)))-((G129-(INDEX('IR data'!$M$4:$M$61,MATCH(G129,'IR data'!$M$4:$M$61,1))))/((INDEX('IR data'!$M$4:$M$61,MATCH(G129,'IR data'!$M$4:$M$61,1)+1)-INDEX('IR data'!$M$4:$M$61,MATCH(G129,'IR data'!$M$4:$M$61,1))))) * (INDEX('IR data'!$N$4:$N$61,MATCH(G129,'IR data'!$M$4:$M$61,1))-(INDEX('IR data'!$N$4:$N$61,MATCH(G129,'IR data'!$M$4:$M$61,1)+1)))))</f>
        <v>0.98122826344680847</v>
      </c>
      <c r="I129" s="44">
        <f t="shared" si="11"/>
        <v>2.3840730497175205E-2</v>
      </c>
    </row>
    <row r="130" spans="1:9" x14ac:dyDescent="0.25">
      <c r="A130" s="45">
        <f t="shared" si="7"/>
        <v>45418</v>
      </c>
      <c r="B130" s="14" cm="1">
        <f t="array" ref="B130">_xlfn.IFNA(INDEX('IR data'!$D$4:$D$61,MATCH(A130,'IR data'!$C$4:$C$61,0)),((INDEX('IR data'!$D$4:$D$61,MATCH(A130,'IR data'!$C$4:$C$61,1)))-((A130-(INDEX('IR data'!$C$4:$C$61,MATCH(A130,'IR data'!$C$4:$C$61,1))))/((INDEX('IR data'!$C$4:$C$61,MATCH(A130,'IR data'!$C$4:$C$61,1)+1)-INDEX('IR data'!$C$4:$C$61,MATCH(A130,'IR data'!$C$4:$C$61,1))))) * (INDEX('IR data'!$D$4:$D$61,MATCH(A130,'IR data'!$C$4:$C$61,1))-(INDEX('IR data'!$D$4:$D$61,MATCH(A130,'IR data'!$C$4:$C$61,1)+1)))))</f>
        <v>0.98090176053846145</v>
      </c>
      <c r="C130" s="30">
        <f t="shared" si="8"/>
        <v>2.4068404606821615E-2</v>
      </c>
      <c r="D130" s="45">
        <f t="shared" si="9"/>
        <v>45478</v>
      </c>
      <c r="E130" s="14" cm="1">
        <f t="array" ref="E130">_xlfn.IFNA(INDEX('IR data'!$I$4:$I$61,MATCH(D130,'IR data'!$H$4:$H$61,0)),((INDEX('IR data'!$I$4:$I$61,MATCH(D130,'IR data'!$H$4:$H$61,1)))-((D130-(INDEX('IR data'!$H$4:$H$61,MATCH(D130,'IR data'!$H$4:$H$61,1))))/((INDEX('IR data'!$H$4:$H$61,MATCH(D130,'IR data'!$H$4:$H$61,1)+1)-INDEX('IR data'!$H$4:$H$61,MATCH(D130,'IR data'!$H$4:$H$61,1))))) * (INDEX('IR data'!$I$4:$I$61,MATCH(D130,'IR data'!$H$4:$H$61,1))-(INDEX('IR data'!$I$4:$I$61,MATCH(D130,'IR data'!$H$4:$H$61,1)+1)))))</f>
        <v>0.98098519330434786</v>
      </c>
      <c r="F130" s="30">
        <f t="shared" si="10"/>
        <v>2.3962243335028503E-2</v>
      </c>
      <c r="G130" s="45">
        <f t="shared" si="6"/>
        <v>45512</v>
      </c>
      <c r="H130" s="14" cm="1">
        <f t="array" ref="H130">_xlfn.IFNA(INDEX('IR data'!$N$4:$N$61,MATCH(G130,'IR data'!$M$4:$M$61,0)),((INDEX('IR data'!$N$4:$N$61,MATCH(G130,'IR data'!$M$4:$M$61,1)))-((G130-(INDEX('IR data'!$M$4:$M$61,MATCH(G130,'IR data'!$M$4:$M$61,1))))/((INDEX('IR data'!$M$4:$M$61,MATCH(G130,'IR data'!$M$4:$M$61,1)+1)-INDEX('IR data'!$M$4:$M$61,MATCH(G130,'IR data'!$M$4:$M$61,1))))) * (INDEX('IR data'!$N$4:$N$61,MATCH(G130,'IR data'!$M$4:$M$61,1))-(INDEX('IR data'!$N$4:$N$61,MATCH(G130,'IR data'!$M$4:$M$61,1)+1)))))</f>
        <v>0.98108014391489362</v>
      </c>
      <c r="I130" s="44">
        <f t="shared" si="11"/>
        <v>2.3841437545765828E-2</v>
      </c>
    </row>
    <row r="131" spans="1:9" x14ac:dyDescent="0.25">
      <c r="A131" s="45">
        <f t="shared" si="7"/>
        <v>45419</v>
      </c>
      <c r="B131" s="14" cm="1">
        <f t="array" ref="B131">_xlfn.IFNA(INDEX('IR data'!$D$4:$D$61,MATCH(A131,'IR data'!$C$4:$C$61,0)),((INDEX('IR data'!$D$4:$D$61,MATCH(A131,'IR data'!$C$4:$C$61,1)))-((A131-(INDEX('IR data'!$C$4:$C$61,MATCH(A131,'IR data'!$C$4:$C$61,1))))/((INDEX('IR data'!$C$4:$C$61,MATCH(A131,'IR data'!$C$4:$C$61,1)+1)-INDEX('IR data'!$C$4:$C$61,MATCH(A131,'IR data'!$C$4:$C$61,1))))) * (INDEX('IR data'!$D$4:$D$61,MATCH(A131,'IR data'!$C$4:$C$61,1))-(INDEX('IR data'!$D$4:$D$61,MATCH(A131,'IR data'!$C$4:$C$61,1)+1)))))</f>
        <v>0.98075755561538458</v>
      </c>
      <c r="C131" s="30">
        <f t="shared" si="8"/>
        <v>2.406244661540136E-2</v>
      </c>
      <c r="D131" s="45">
        <f t="shared" si="9"/>
        <v>45479</v>
      </c>
      <c r="E131" s="14" cm="1">
        <f t="array" ref="E131">_xlfn.IFNA(INDEX('IR data'!$I$4:$I$61,MATCH(D131,'IR data'!$H$4:$H$61,0)),((INDEX('IR data'!$I$4:$I$61,MATCH(D131,'IR data'!$H$4:$H$61,1)))-((D131-(INDEX('IR data'!$H$4:$H$61,MATCH(D131,'IR data'!$H$4:$H$61,1))))/((INDEX('IR data'!$H$4:$H$61,MATCH(D131,'IR data'!$H$4:$H$61,1)+1)-INDEX('IR data'!$H$4:$H$61,MATCH(D131,'IR data'!$H$4:$H$61,1))))) * (INDEX('IR data'!$I$4:$I$61,MATCH(D131,'IR data'!$H$4:$H$61,1))-(INDEX('IR data'!$I$4:$I$61,MATCH(D131,'IR data'!$H$4:$H$61,1)+1)))))</f>
        <v>0.98083659321739136</v>
      </c>
      <c r="F131" s="30">
        <f t="shared" si="10"/>
        <v>2.3962648624126195E-2</v>
      </c>
      <c r="G131" s="45">
        <f t="shared" ref="G131:G194" si="12">G130+1</f>
        <v>45513</v>
      </c>
      <c r="H131" s="14" cm="1">
        <f t="array" ref="H131">_xlfn.IFNA(INDEX('IR data'!$N$4:$N$61,MATCH(G131,'IR data'!$M$4:$M$61,0)),((INDEX('IR data'!$N$4:$N$61,MATCH(G131,'IR data'!$M$4:$M$61,1)))-((G131-(INDEX('IR data'!$M$4:$M$61,MATCH(G131,'IR data'!$M$4:$M$61,1))))/((INDEX('IR data'!$M$4:$M$61,MATCH(G131,'IR data'!$M$4:$M$61,1)+1)-INDEX('IR data'!$M$4:$M$61,MATCH(G131,'IR data'!$M$4:$M$61,1))))) * (INDEX('IR data'!$N$4:$N$61,MATCH(G131,'IR data'!$M$4:$M$61,1))-(INDEX('IR data'!$N$4:$N$61,MATCH(G131,'IR data'!$M$4:$M$61,1)+1)))))</f>
        <v>0.98093202438297866</v>
      </c>
      <c r="I131" s="44">
        <f t="shared" si="11"/>
        <v>2.3842161774903833E-2</v>
      </c>
    </row>
    <row r="132" spans="1:9" x14ac:dyDescent="0.25">
      <c r="A132" s="45">
        <f t="shared" si="7"/>
        <v>45420</v>
      </c>
      <c r="B132" s="14" cm="1">
        <f t="array" ref="B132">_xlfn.IFNA(INDEX('IR data'!$D$4:$D$61,MATCH(A132,'IR data'!$C$4:$C$61,0)),((INDEX('IR data'!$D$4:$D$61,MATCH(A132,'IR data'!$C$4:$C$61,1)))-((A132-(INDEX('IR data'!$C$4:$C$61,MATCH(A132,'IR data'!$C$4:$C$61,1))))/((INDEX('IR data'!$C$4:$C$61,MATCH(A132,'IR data'!$C$4:$C$61,1)+1)-INDEX('IR data'!$C$4:$C$61,MATCH(A132,'IR data'!$C$4:$C$61,1))))) * (INDEX('IR data'!$D$4:$D$61,MATCH(A132,'IR data'!$C$4:$C$61,1))-(INDEX('IR data'!$D$4:$D$61,MATCH(A132,'IR data'!$C$4:$C$61,1)+1)))))</f>
        <v>0.98061335069230771</v>
      </c>
      <c r="C132" s="30">
        <f t="shared" si="8"/>
        <v>2.4056607561828019E-2</v>
      </c>
      <c r="D132" s="45">
        <f t="shared" si="9"/>
        <v>45480</v>
      </c>
      <c r="E132" s="14" cm="1">
        <f t="array" ref="E132">_xlfn.IFNA(INDEX('IR data'!$I$4:$I$61,MATCH(D132,'IR data'!$H$4:$H$61,0)),((INDEX('IR data'!$I$4:$I$61,MATCH(D132,'IR data'!$H$4:$H$61,1)))-((D132-(INDEX('IR data'!$H$4:$H$61,MATCH(D132,'IR data'!$H$4:$H$61,1))))/((INDEX('IR data'!$H$4:$H$61,MATCH(D132,'IR data'!$H$4:$H$61,1)+1)-INDEX('IR data'!$H$4:$H$61,MATCH(D132,'IR data'!$H$4:$H$61,1))))) * (INDEX('IR data'!$I$4:$I$61,MATCH(D132,'IR data'!$H$4:$H$61,1))-(INDEX('IR data'!$I$4:$I$61,MATCH(D132,'IR data'!$H$4:$H$61,1)+1)))))</f>
        <v>0.98068799313043475</v>
      </c>
      <c r="F132" s="30">
        <f t="shared" si="10"/>
        <v>2.3963075835073039E-2</v>
      </c>
      <c r="G132" s="45">
        <f t="shared" si="12"/>
        <v>45514</v>
      </c>
      <c r="H132" s="14" cm="1">
        <f t="array" ref="H132">_xlfn.IFNA(INDEX('IR data'!$N$4:$N$61,MATCH(G132,'IR data'!$M$4:$M$61,0)),((INDEX('IR data'!$N$4:$N$61,MATCH(G132,'IR data'!$M$4:$M$61,1)))-((G132-(INDEX('IR data'!$M$4:$M$61,MATCH(G132,'IR data'!$M$4:$M$61,1))))/((INDEX('IR data'!$M$4:$M$61,MATCH(G132,'IR data'!$M$4:$M$61,1)+1)-INDEX('IR data'!$M$4:$M$61,MATCH(G132,'IR data'!$M$4:$M$61,1))))) * (INDEX('IR data'!$N$4:$N$61,MATCH(G132,'IR data'!$M$4:$M$61,1))-(INDEX('IR data'!$N$4:$N$61,MATCH(G132,'IR data'!$M$4:$M$61,1)+1)))))</f>
        <v>0.98078390485106381</v>
      </c>
      <c r="I132" s="44">
        <f t="shared" si="11"/>
        <v>2.3842902793500723E-2</v>
      </c>
    </row>
    <row r="133" spans="1:9" x14ac:dyDescent="0.25">
      <c r="A133" s="45">
        <f t="shared" ref="A133:A196" si="13">A132+1</f>
        <v>45421</v>
      </c>
      <c r="B133" s="14" cm="1">
        <f t="array" ref="B133">_xlfn.IFNA(INDEX('IR data'!$D$4:$D$61,MATCH(A133,'IR data'!$C$4:$C$61,0)),((INDEX('IR data'!$D$4:$D$61,MATCH(A133,'IR data'!$C$4:$C$61,1)))-((A133-(INDEX('IR data'!$C$4:$C$61,MATCH(A133,'IR data'!$C$4:$C$61,1))))/((INDEX('IR data'!$C$4:$C$61,MATCH(A133,'IR data'!$C$4:$C$61,1)+1)-INDEX('IR data'!$C$4:$C$61,MATCH(A133,'IR data'!$C$4:$C$61,1))))) * (INDEX('IR data'!$D$4:$D$61,MATCH(A133,'IR data'!$C$4:$C$61,1))-(INDEX('IR data'!$D$4:$D$61,MATCH(A133,'IR data'!$C$4:$C$61,1)+1)))))</f>
        <v>0.98046914576923072</v>
      </c>
      <c r="C133" s="30">
        <f t="shared" ref="C133:C196" si="14">-LOG(B133)/YEARFRAC($B$1, A133, 3)</f>
        <v>2.4050884709135984E-2</v>
      </c>
      <c r="D133" s="45">
        <f t="shared" ref="D133:D196" si="15">D132+1</f>
        <v>45481</v>
      </c>
      <c r="E133" s="14" cm="1">
        <f t="array" ref="E133">_xlfn.IFNA(INDEX('IR data'!$I$4:$I$61,MATCH(D133,'IR data'!$H$4:$H$61,0)),((INDEX('IR data'!$I$4:$I$61,MATCH(D133,'IR data'!$H$4:$H$61,1)))-((D133-(INDEX('IR data'!$H$4:$H$61,MATCH(D133,'IR data'!$H$4:$H$61,1))))/((INDEX('IR data'!$H$4:$H$61,MATCH(D133,'IR data'!$H$4:$H$61,1)+1)-INDEX('IR data'!$H$4:$H$61,MATCH(D133,'IR data'!$H$4:$H$61,1))))) * (INDEX('IR data'!$I$4:$I$61,MATCH(D133,'IR data'!$H$4:$H$61,1))-(INDEX('IR data'!$I$4:$I$61,MATCH(D133,'IR data'!$H$4:$H$61,1)+1)))))</f>
        <v>0.98053939304347826</v>
      </c>
      <c r="F133" s="30">
        <f t="shared" ref="F133:F196" si="16">-LOG(E133)/YEARFRAC($E$1, D133, 3)</f>
        <v>2.396352447046254E-2</v>
      </c>
      <c r="G133" s="45">
        <f t="shared" si="12"/>
        <v>45515</v>
      </c>
      <c r="H133" s="14" cm="1">
        <f t="array" ref="H133">_xlfn.IFNA(INDEX('IR data'!$N$4:$N$61,MATCH(G133,'IR data'!$M$4:$M$61,0)),((INDEX('IR data'!$N$4:$N$61,MATCH(G133,'IR data'!$M$4:$M$61,1)))-((G133-(INDEX('IR data'!$M$4:$M$61,MATCH(G133,'IR data'!$M$4:$M$61,1))))/((INDEX('IR data'!$M$4:$M$61,MATCH(G133,'IR data'!$M$4:$M$61,1)+1)-INDEX('IR data'!$M$4:$M$61,MATCH(G133,'IR data'!$M$4:$M$61,1))))) * (INDEX('IR data'!$N$4:$N$61,MATCH(G133,'IR data'!$M$4:$M$61,1))-(INDEX('IR data'!$N$4:$N$61,MATCH(G133,'IR data'!$M$4:$M$61,1)+1)))))</f>
        <v>0.98063578531914897</v>
      </c>
      <c r="I133" s="44">
        <f t="shared" ref="I133:I196" si="17">-LOG(H133)/YEARFRAC($H$1, G133, 3)</f>
        <v>2.3843660222505711E-2</v>
      </c>
    </row>
    <row r="134" spans="1:9" x14ac:dyDescent="0.25">
      <c r="A134" s="45">
        <f t="shared" si="13"/>
        <v>45422</v>
      </c>
      <c r="B134" s="14" cm="1">
        <f t="array" ref="B134">_xlfn.IFNA(INDEX('IR data'!$D$4:$D$61,MATCH(A134,'IR data'!$C$4:$C$61,0)),((INDEX('IR data'!$D$4:$D$61,MATCH(A134,'IR data'!$C$4:$C$61,1)))-((A134-(INDEX('IR data'!$C$4:$C$61,MATCH(A134,'IR data'!$C$4:$C$61,1))))/((INDEX('IR data'!$C$4:$C$61,MATCH(A134,'IR data'!$C$4:$C$61,1)+1)-INDEX('IR data'!$C$4:$C$61,MATCH(A134,'IR data'!$C$4:$C$61,1))))) * (INDEX('IR data'!$D$4:$D$61,MATCH(A134,'IR data'!$C$4:$C$61,1))-(INDEX('IR data'!$D$4:$D$61,MATCH(A134,'IR data'!$C$4:$C$61,1)+1)))))</f>
        <v>0.98032494084615385</v>
      </c>
      <c r="C134" s="30">
        <f t="shared" si="14"/>
        <v>2.404527540393411E-2</v>
      </c>
      <c r="D134" s="45">
        <f t="shared" si="15"/>
        <v>45482</v>
      </c>
      <c r="E134" s="14" cm="1">
        <f t="array" ref="E134">_xlfn.IFNA(INDEX('IR data'!$I$4:$I$61,MATCH(D134,'IR data'!$H$4:$H$61,0)),((INDEX('IR data'!$I$4:$I$61,MATCH(D134,'IR data'!$H$4:$H$61,1)))-((D134-(INDEX('IR data'!$H$4:$H$61,MATCH(D134,'IR data'!$H$4:$H$61,1))))/((INDEX('IR data'!$H$4:$H$61,MATCH(D134,'IR data'!$H$4:$H$61,1)+1)-INDEX('IR data'!$H$4:$H$61,MATCH(D134,'IR data'!$H$4:$H$61,1))))) * (INDEX('IR data'!$I$4:$I$61,MATCH(D134,'IR data'!$H$4:$H$61,1))-(INDEX('IR data'!$I$4:$I$61,MATCH(D134,'IR data'!$H$4:$H$61,1)+1)))))</f>
        <v>0.98039079295652176</v>
      </c>
      <c r="F134" s="30">
        <f t="shared" si="16"/>
        <v>2.3963994048080431E-2</v>
      </c>
      <c r="G134" s="45">
        <f t="shared" si="12"/>
        <v>45516</v>
      </c>
      <c r="H134" s="14" cm="1">
        <f t="array" ref="H134">_xlfn.IFNA(INDEX('IR data'!$N$4:$N$61,MATCH(G134,'IR data'!$M$4:$M$61,0)),((INDEX('IR data'!$N$4:$N$61,MATCH(G134,'IR data'!$M$4:$M$61,1)))-((G134-(INDEX('IR data'!$M$4:$M$61,MATCH(G134,'IR data'!$M$4:$M$61,1))))/((INDEX('IR data'!$M$4:$M$61,MATCH(G134,'IR data'!$M$4:$M$61,1)+1)-INDEX('IR data'!$M$4:$M$61,MATCH(G134,'IR data'!$M$4:$M$61,1))))) * (INDEX('IR data'!$N$4:$N$61,MATCH(G134,'IR data'!$M$4:$M$61,1))-(INDEX('IR data'!$N$4:$N$61,MATCH(G134,'IR data'!$M$4:$M$61,1)+1)))))</f>
        <v>0.98048766578723401</v>
      </c>
      <c r="I134" s="44">
        <f t="shared" si="17"/>
        <v>2.3844433694445853E-2</v>
      </c>
    </row>
    <row r="135" spans="1:9" x14ac:dyDescent="0.25">
      <c r="A135" s="45">
        <f t="shared" si="13"/>
        <v>45423</v>
      </c>
      <c r="B135" s="14" cm="1">
        <f t="array" ref="B135">_xlfn.IFNA(INDEX('IR data'!$D$4:$D$61,MATCH(A135,'IR data'!$C$4:$C$61,0)),((INDEX('IR data'!$D$4:$D$61,MATCH(A135,'IR data'!$C$4:$C$61,1)))-((A135-(INDEX('IR data'!$C$4:$C$61,MATCH(A135,'IR data'!$C$4:$C$61,1))))/((INDEX('IR data'!$C$4:$C$61,MATCH(A135,'IR data'!$C$4:$C$61,1)+1)-INDEX('IR data'!$C$4:$C$61,MATCH(A135,'IR data'!$C$4:$C$61,1))))) * (INDEX('IR data'!$D$4:$D$61,MATCH(A135,'IR data'!$C$4:$C$61,1))-(INDEX('IR data'!$D$4:$D$61,MATCH(A135,'IR data'!$C$4:$C$61,1)+1)))))</f>
        <v>0.98018073592307686</v>
      </c>
      <c r="C135" s="30">
        <f t="shared" si="14"/>
        <v>2.4039777073240953E-2</v>
      </c>
      <c r="D135" s="45">
        <f t="shared" si="15"/>
        <v>45483</v>
      </c>
      <c r="E135" s="14" cm="1">
        <f t="array" ref="E135">_xlfn.IFNA(INDEX('IR data'!$I$4:$I$61,MATCH(D135,'IR data'!$H$4:$H$61,0)),((INDEX('IR data'!$I$4:$I$61,MATCH(D135,'IR data'!$H$4:$H$61,1)))-((D135-(INDEX('IR data'!$H$4:$H$61,MATCH(D135,'IR data'!$H$4:$H$61,1))))/((INDEX('IR data'!$H$4:$H$61,MATCH(D135,'IR data'!$H$4:$H$61,1)+1)-INDEX('IR data'!$H$4:$H$61,MATCH(D135,'IR data'!$H$4:$H$61,1))))) * (INDEX('IR data'!$I$4:$I$61,MATCH(D135,'IR data'!$H$4:$H$61,1))-(INDEX('IR data'!$I$4:$I$61,MATCH(D135,'IR data'!$H$4:$H$61,1)+1)))))</f>
        <v>0.98024219286956527</v>
      </c>
      <c r="F135" s="30">
        <f t="shared" si="16"/>
        <v>2.3964484100328674E-2</v>
      </c>
      <c r="G135" s="45">
        <f t="shared" si="12"/>
        <v>45517</v>
      </c>
      <c r="H135" s="14" cm="1">
        <f t="array" ref="H135">_xlfn.IFNA(INDEX('IR data'!$N$4:$N$61,MATCH(G135,'IR data'!$M$4:$M$61,0)),((INDEX('IR data'!$N$4:$N$61,MATCH(G135,'IR data'!$M$4:$M$61,1)))-((G135-(INDEX('IR data'!$M$4:$M$61,MATCH(G135,'IR data'!$M$4:$M$61,1))))/((INDEX('IR data'!$M$4:$M$61,MATCH(G135,'IR data'!$M$4:$M$61,1)+1)-INDEX('IR data'!$M$4:$M$61,MATCH(G135,'IR data'!$M$4:$M$61,1))))) * (INDEX('IR data'!$N$4:$N$61,MATCH(G135,'IR data'!$M$4:$M$61,1))-(INDEX('IR data'!$N$4:$N$61,MATCH(G135,'IR data'!$M$4:$M$61,1)+1)))))</f>
        <v>0.98033954625531916</v>
      </c>
      <c r="I135" s="44">
        <f t="shared" si="17"/>
        <v>2.3845222852987107E-2</v>
      </c>
    </row>
    <row r="136" spans="1:9" x14ac:dyDescent="0.25">
      <c r="A136" s="45">
        <f t="shared" si="13"/>
        <v>45424</v>
      </c>
      <c r="B136" s="14" cm="1">
        <f t="array" ref="B136">_xlfn.IFNA(INDEX('IR data'!$D$4:$D$61,MATCH(A136,'IR data'!$C$4:$C$61,0)),((INDEX('IR data'!$D$4:$D$61,MATCH(A136,'IR data'!$C$4:$C$61,1)))-((A136-(INDEX('IR data'!$C$4:$C$61,MATCH(A136,'IR data'!$C$4:$C$61,1))))/((INDEX('IR data'!$C$4:$C$61,MATCH(A136,'IR data'!$C$4:$C$61,1)+1)-INDEX('IR data'!$C$4:$C$61,MATCH(A136,'IR data'!$C$4:$C$61,1))))) * (INDEX('IR data'!$D$4:$D$61,MATCH(A136,'IR data'!$C$4:$C$61,1))-(INDEX('IR data'!$D$4:$D$61,MATCH(A136,'IR data'!$C$4:$C$61,1)+1)))))</f>
        <v>0.98003653099999999</v>
      </c>
      <c r="C136" s="30">
        <f t="shared" si="14"/>
        <v>2.4034387221460791E-2</v>
      </c>
      <c r="D136" s="45">
        <f t="shared" si="15"/>
        <v>45484</v>
      </c>
      <c r="E136" s="14" cm="1">
        <f t="array" ref="E136">_xlfn.IFNA(INDEX('IR data'!$I$4:$I$61,MATCH(D136,'IR data'!$H$4:$H$61,0)),((INDEX('IR data'!$I$4:$I$61,MATCH(D136,'IR data'!$H$4:$H$61,1)))-((D136-(INDEX('IR data'!$H$4:$H$61,MATCH(D136,'IR data'!$H$4:$H$61,1))))/((INDEX('IR data'!$H$4:$H$61,MATCH(D136,'IR data'!$H$4:$H$61,1)+1)-INDEX('IR data'!$H$4:$H$61,MATCH(D136,'IR data'!$H$4:$H$61,1))))) * (INDEX('IR data'!$I$4:$I$61,MATCH(D136,'IR data'!$H$4:$H$61,1))-(INDEX('IR data'!$I$4:$I$61,MATCH(D136,'IR data'!$H$4:$H$61,1)+1)))))</f>
        <v>0.98009359278260877</v>
      </c>
      <c r="F136" s="30">
        <f t="shared" si="16"/>
        <v>2.3964994173676091E-2</v>
      </c>
      <c r="G136" s="45">
        <f t="shared" si="12"/>
        <v>45518</v>
      </c>
      <c r="H136" s="14" cm="1">
        <f t="array" ref="H136">_xlfn.IFNA(INDEX('IR data'!$N$4:$N$61,MATCH(G136,'IR data'!$M$4:$M$61,0)),((INDEX('IR data'!$N$4:$N$61,MATCH(G136,'IR data'!$M$4:$M$61,1)))-((G136-(INDEX('IR data'!$M$4:$M$61,MATCH(G136,'IR data'!$M$4:$M$61,1))))/((INDEX('IR data'!$M$4:$M$61,MATCH(G136,'IR data'!$M$4:$M$61,1)+1)-INDEX('IR data'!$M$4:$M$61,MATCH(G136,'IR data'!$M$4:$M$61,1))))) * (INDEX('IR data'!$N$4:$N$61,MATCH(G136,'IR data'!$M$4:$M$61,1))-(INDEX('IR data'!$N$4:$N$61,MATCH(G136,'IR data'!$M$4:$M$61,1)+1)))))</f>
        <v>0.9801914267234042</v>
      </c>
      <c r="I136" s="44">
        <f t="shared" si="17"/>
        <v>2.384602735251649E-2</v>
      </c>
    </row>
    <row r="137" spans="1:9" x14ac:dyDescent="0.25">
      <c r="A137" s="45">
        <f t="shared" si="13"/>
        <v>45425</v>
      </c>
      <c r="B137" s="14" cm="1">
        <f t="array" ref="B137">_xlfn.IFNA(INDEX('IR data'!$D$4:$D$61,MATCH(A137,'IR data'!$C$4:$C$61,0)),((INDEX('IR data'!$D$4:$D$61,MATCH(A137,'IR data'!$C$4:$C$61,1)))-((A137-(INDEX('IR data'!$C$4:$C$61,MATCH(A137,'IR data'!$C$4:$C$61,1))))/((INDEX('IR data'!$C$4:$C$61,MATCH(A137,'IR data'!$C$4:$C$61,1)+1)-INDEX('IR data'!$C$4:$C$61,MATCH(A137,'IR data'!$C$4:$C$61,1))))) * (INDEX('IR data'!$D$4:$D$61,MATCH(A137,'IR data'!$C$4:$C$61,1))-(INDEX('IR data'!$D$4:$D$61,MATCH(A137,'IR data'!$C$4:$C$61,1)+1)))))</f>
        <v>0.979892326076923</v>
      </c>
      <c r="C137" s="30">
        <f t="shared" si="14"/>
        <v>2.4029103427497148E-2</v>
      </c>
      <c r="D137" s="45">
        <f t="shared" si="15"/>
        <v>45485</v>
      </c>
      <c r="E137" s="14" cm="1">
        <f t="array" ref="E137">_xlfn.IFNA(INDEX('IR data'!$I$4:$I$61,MATCH(D137,'IR data'!$H$4:$H$61,0)),((INDEX('IR data'!$I$4:$I$61,MATCH(D137,'IR data'!$H$4:$H$61,1)))-((D137-(INDEX('IR data'!$H$4:$H$61,MATCH(D137,'IR data'!$H$4:$H$61,1))))/((INDEX('IR data'!$H$4:$H$61,MATCH(D137,'IR data'!$H$4:$H$61,1)+1)-INDEX('IR data'!$H$4:$H$61,MATCH(D137,'IR data'!$H$4:$H$61,1))))) * (INDEX('IR data'!$I$4:$I$61,MATCH(D137,'IR data'!$H$4:$H$61,1))-(INDEX('IR data'!$I$4:$I$61,MATCH(D137,'IR data'!$H$4:$H$61,1)+1)))))</f>
        <v>0.97994499269565216</v>
      </c>
      <c r="F137" s="30">
        <f t="shared" si="16"/>
        <v>2.3965523828133637E-2</v>
      </c>
      <c r="G137" s="45">
        <f t="shared" si="12"/>
        <v>45519</v>
      </c>
      <c r="H137" s="14" cm="1">
        <f t="array" ref="H137">_xlfn.IFNA(INDEX('IR data'!$N$4:$N$61,MATCH(G137,'IR data'!$M$4:$M$61,0)),((INDEX('IR data'!$N$4:$N$61,MATCH(G137,'IR data'!$M$4:$M$61,1)))-((G137-(INDEX('IR data'!$M$4:$M$61,MATCH(G137,'IR data'!$M$4:$M$61,1))))/((INDEX('IR data'!$M$4:$M$61,MATCH(G137,'IR data'!$M$4:$M$61,1)+1)-INDEX('IR data'!$M$4:$M$61,MATCH(G137,'IR data'!$M$4:$M$61,1))))) * (INDEX('IR data'!$N$4:$N$61,MATCH(G137,'IR data'!$M$4:$M$61,1))-(INDEX('IR data'!$N$4:$N$61,MATCH(G137,'IR data'!$M$4:$M$61,1)+1)))))</f>
        <v>0.98004330719148935</v>
      </c>
      <c r="I137" s="44">
        <f t="shared" si="17"/>
        <v>2.3846846857741005E-2</v>
      </c>
    </row>
    <row r="138" spans="1:9" x14ac:dyDescent="0.25">
      <c r="A138" s="45">
        <f t="shared" si="13"/>
        <v>45426</v>
      </c>
      <c r="B138" s="14" cm="1">
        <f t="array" ref="B138">_xlfn.IFNA(INDEX('IR data'!$D$4:$D$61,MATCH(A138,'IR data'!$C$4:$C$61,0)),((INDEX('IR data'!$D$4:$D$61,MATCH(A138,'IR data'!$C$4:$C$61,1)))-((A138-(INDEX('IR data'!$C$4:$C$61,MATCH(A138,'IR data'!$C$4:$C$61,1))))/((INDEX('IR data'!$C$4:$C$61,MATCH(A138,'IR data'!$C$4:$C$61,1)+1)-INDEX('IR data'!$C$4:$C$61,MATCH(A138,'IR data'!$C$4:$C$61,1))))) * (INDEX('IR data'!$D$4:$D$61,MATCH(A138,'IR data'!$C$4:$C$61,1))-(INDEX('IR data'!$D$4:$D$61,MATCH(A138,'IR data'!$C$4:$C$61,1)+1)))))</f>
        <v>0.97974812115384613</v>
      </c>
      <c r="C138" s="30">
        <f t="shared" si="14"/>
        <v>2.4023923341992503E-2</v>
      </c>
      <c r="D138" s="45">
        <f t="shared" si="15"/>
        <v>45486</v>
      </c>
      <c r="E138" s="14" cm="1">
        <f t="array" ref="E138">_xlfn.IFNA(INDEX('IR data'!$I$4:$I$61,MATCH(D138,'IR data'!$H$4:$H$61,0)),((INDEX('IR data'!$I$4:$I$61,MATCH(D138,'IR data'!$H$4:$H$61,1)))-((D138-(INDEX('IR data'!$H$4:$H$61,MATCH(D138,'IR data'!$H$4:$H$61,1))))/((INDEX('IR data'!$H$4:$H$61,MATCH(D138,'IR data'!$H$4:$H$61,1)+1)-INDEX('IR data'!$H$4:$H$61,MATCH(D138,'IR data'!$H$4:$H$61,1))))) * (INDEX('IR data'!$I$4:$I$61,MATCH(D138,'IR data'!$H$4:$H$61,1))-(INDEX('IR data'!$I$4:$I$61,MATCH(D138,'IR data'!$H$4:$H$61,1)+1)))))</f>
        <v>0.97979639260869567</v>
      </c>
      <c r="F138" s="30">
        <f t="shared" si="16"/>
        <v>2.3966072636752298E-2</v>
      </c>
      <c r="G138" s="45">
        <f t="shared" si="12"/>
        <v>45520</v>
      </c>
      <c r="H138" s="14" cm="1">
        <f t="array" ref="H138">_xlfn.IFNA(INDEX('IR data'!$N$4:$N$61,MATCH(G138,'IR data'!$M$4:$M$61,0)),((INDEX('IR data'!$N$4:$N$61,MATCH(G138,'IR data'!$M$4:$M$61,1)))-((G138-(INDEX('IR data'!$M$4:$M$61,MATCH(G138,'IR data'!$M$4:$M$61,1))))/((INDEX('IR data'!$M$4:$M$61,MATCH(G138,'IR data'!$M$4:$M$61,1)+1)-INDEX('IR data'!$M$4:$M$61,MATCH(G138,'IR data'!$M$4:$M$61,1))))) * (INDEX('IR data'!$N$4:$N$61,MATCH(G138,'IR data'!$M$4:$M$61,1))-(INDEX('IR data'!$N$4:$N$61,MATCH(G138,'IR data'!$M$4:$M$61,1)+1)))))</f>
        <v>0.97989518765957451</v>
      </c>
      <c r="I138" s="44">
        <f t="shared" si="17"/>
        <v>2.3847681043306309E-2</v>
      </c>
    </row>
    <row r="139" spans="1:9" x14ac:dyDescent="0.25">
      <c r="A139" s="45">
        <f t="shared" si="13"/>
        <v>45427</v>
      </c>
      <c r="B139" s="14" cm="1">
        <f t="array" ref="B139">_xlfn.IFNA(INDEX('IR data'!$D$4:$D$61,MATCH(A139,'IR data'!$C$4:$C$61,0)),((INDEX('IR data'!$D$4:$D$61,MATCH(A139,'IR data'!$C$4:$C$61,1)))-((A139-(INDEX('IR data'!$C$4:$C$61,MATCH(A139,'IR data'!$C$4:$C$61,1))))/((INDEX('IR data'!$C$4:$C$61,MATCH(A139,'IR data'!$C$4:$C$61,1)+1)-INDEX('IR data'!$C$4:$C$61,MATCH(A139,'IR data'!$C$4:$C$61,1))))) * (INDEX('IR data'!$D$4:$D$61,MATCH(A139,'IR data'!$C$4:$C$61,1))-(INDEX('IR data'!$D$4:$D$61,MATCH(A139,'IR data'!$C$4:$C$61,1)+1)))))</f>
        <v>0.97960391623076926</v>
      </c>
      <c r="C139" s="30">
        <f t="shared" si="14"/>
        <v>2.4018844684691776E-2</v>
      </c>
      <c r="D139" s="45">
        <f t="shared" si="15"/>
        <v>45487</v>
      </c>
      <c r="E139" s="14" cm="1">
        <f t="array" ref="E139">_xlfn.IFNA(INDEX('IR data'!$I$4:$I$61,MATCH(D139,'IR data'!$H$4:$H$61,0)),((INDEX('IR data'!$I$4:$I$61,MATCH(D139,'IR data'!$H$4:$H$61,1)))-((D139-(INDEX('IR data'!$H$4:$H$61,MATCH(D139,'IR data'!$H$4:$H$61,1))))/((INDEX('IR data'!$H$4:$H$61,MATCH(D139,'IR data'!$H$4:$H$61,1)+1)-INDEX('IR data'!$H$4:$H$61,MATCH(D139,'IR data'!$H$4:$H$61,1))))) * (INDEX('IR data'!$I$4:$I$61,MATCH(D139,'IR data'!$H$4:$H$61,1))-(INDEX('IR data'!$I$4:$I$61,MATCH(D139,'IR data'!$H$4:$H$61,1)+1)))))</f>
        <v>0.97964779252173917</v>
      </c>
      <c r="F139" s="30">
        <f t="shared" si="16"/>
        <v>2.396664018514448E-2</v>
      </c>
      <c r="G139" s="45">
        <f t="shared" si="12"/>
        <v>45521</v>
      </c>
      <c r="H139" s="14" cm="1">
        <f t="array" ref="H139">_xlfn.IFNA(INDEX('IR data'!$N$4:$N$61,MATCH(G139,'IR data'!$M$4:$M$61,0)),((INDEX('IR data'!$N$4:$N$61,MATCH(G139,'IR data'!$M$4:$M$61,1)))-((G139-(INDEX('IR data'!$M$4:$M$61,MATCH(G139,'IR data'!$M$4:$M$61,1))))/((INDEX('IR data'!$M$4:$M$61,MATCH(G139,'IR data'!$M$4:$M$61,1)+1)-INDEX('IR data'!$M$4:$M$61,MATCH(G139,'IR data'!$M$4:$M$61,1))))) * (INDEX('IR data'!$N$4:$N$61,MATCH(G139,'IR data'!$M$4:$M$61,1))-(INDEX('IR data'!$N$4:$N$61,MATCH(G139,'IR data'!$M$4:$M$61,1)+1)))))</f>
        <v>0.97974706812765955</v>
      </c>
      <c r="I139" s="44">
        <f t="shared" si="17"/>
        <v>2.3848529593430975E-2</v>
      </c>
    </row>
    <row r="140" spans="1:9" x14ac:dyDescent="0.25">
      <c r="A140" s="45">
        <f t="shared" si="13"/>
        <v>45428</v>
      </c>
      <c r="B140" s="14" cm="1">
        <f t="array" ref="B140">_xlfn.IFNA(INDEX('IR data'!$D$4:$D$61,MATCH(A140,'IR data'!$C$4:$C$61,0)),((INDEX('IR data'!$D$4:$D$61,MATCH(A140,'IR data'!$C$4:$C$61,1)))-((A140-(INDEX('IR data'!$C$4:$C$61,MATCH(A140,'IR data'!$C$4:$C$61,1))))/((INDEX('IR data'!$C$4:$C$61,MATCH(A140,'IR data'!$C$4:$C$61,1)+1)-INDEX('IR data'!$C$4:$C$61,MATCH(A140,'IR data'!$C$4:$C$61,1))))) * (INDEX('IR data'!$D$4:$D$61,MATCH(A140,'IR data'!$C$4:$C$61,1))-(INDEX('IR data'!$D$4:$D$61,MATCH(A140,'IR data'!$C$4:$C$61,1)+1)))))</f>
        <v>0.97945971130769227</v>
      </c>
      <c r="C140" s="30">
        <f t="shared" si="14"/>
        <v>2.4013865241919934E-2</v>
      </c>
      <c r="D140" s="45">
        <f t="shared" si="15"/>
        <v>45488</v>
      </c>
      <c r="E140" s="14" cm="1">
        <f t="array" ref="E140">_xlfn.IFNA(INDEX('IR data'!$I$4:$I$61,MATCH(D140,'IR data'!$H$4:$H$61,0)),((INDEX('IR data'!$I$4:$I$61,MATCH(D140,'IR data'!$H$4:$H$61,1)))-((D140-(INDEX('IR data'!$H$4:$H$61,MATCH(D140,'IR data'!$H$4:$H$61,1))))/((INDEX('IR data'!$H$4:$H$61,MATCH(D140,'IR data'!$H$4:$H$61,1)+1)-INDEX('IR data'!$H$4:$H$61,MATCH(D140,'IR data'!$H$4:$H$61,1))))) * (INDEX('IR data'!$I$4:$I$61,MATCH(D140,'IR data'!$H$4:$H$61,1))-(INDEX('IR data'!$I$4:$I$61,MATCH(D140,'IR data'!$H$4:$H$61,1)+1)))))</f>
        <v>0.97949919243478267</v>
      </c>
      <c r="F140" s="30">
        <f t="shared" si="16"/>
        <v>2.3967226071025059E-2</v>
      </c>
      <c r="G140" s="45">
        <f t="shared" si="12"/>
        <v>45522</v>
      </c>
      <c r="H140" s="14" cm="1">
        <f t="array" ref="H140">_xlfn.IFNA(INDEX('IR data'!$N$4:$N$61,MATCH(G140,'IR data'!$M$4:$M$61,0)),((INDEX('IR data'!$N$4:$N$61,MATCH(G140,'IR data'!$M$4:$M$61,1)))-((G140-(INDEX('IR data'!$M$4:$M$61,MATCH(G140,'IR data'!$M$4:$M$61,1))))/((INDEX('IR data'!$M$4:$M$61,MATCH(G140,'IR data'!$M$4:$M$61,1)+1)-INDEX('IR data'!$M$4:$M$61,MATCH(G140,'IR data'!$M$4:$M$61,1))))) * (INDEX('IR data'!$N$4:$N$61,MATCH(G140,'IR data'!$M$4:$M$61,1))-(INDEX('IR data'!$N$4:$N$61,MATCH(G140,'IR data'!$M$4:$M$61,1)+1)))))</f>
        <v>0.9795989485957447</v>
      </c>
      <c r="I140" s="44">
        <f t="shared" si="17"/>
        <v>2.3849392201556702E-2</v>
      </c>
    </row>
    <row r="141" spans="1:9" x14ac:dyDescent="0.25">
      <c r="A141" s="45">
        <f t="shared" si="13"/>
        <v>45429</v>
      </c>
      <c r="B141" s="14" cm="1">
        <f t="array" ref="B141">_xlfn.IFNA(INDEX('IR data'!$D$4:$D$61,MATCH(A141,'IR data'!$C$4:$C$61,0)),((INDEX('IR data'!$D$4:$D$61,MATCH(A141,'IR data'!$C$4:$C$61,1)))-((A141-(INDEX('IR data'!$C$4:$C$61,MATCH(A141,'IR data'!$C$4:$C$61,1))))/((INDEX('IR data'!$C$4:$C$61,MATCH(A141,'IR data'!$C$4:$C$61,1)+1)-INDEX('IR data'!$C$4:$C$61,MATCH(A141,'IR data'!$C$4:$C$61,1))))) * (INDEX('IR data'!$D$4:$D$61,MATCH(A141,'IR data'!$C$4:$C$61,1))-(INDEX('IR data'!$D$4:$D$61,MATCH(A141,'IR data'!$C$4:$C$61,1)+1)))))</f>
        <v>0.9793155063846154</v>
      </c>
      <c r="C141" s="30">
        <f t="shared" si="14"/>
        <v>2.4008982864169269E-2</v>
      </c>
      <c r="D141" s="45">
        <f t="shared" si="15"/>
        <v>45489</v>
      </c>
      <c r="E141" s="14" cm="1">
        <f t="array" ref="E141">_xlfn.IFNA(INDEX('IR data'!$I$4:$I$61,MATCH(D141,'IR data'!$H$4:$H$61,0)),((INDEX('IR data'!$I$4:$I$61,MATCH(D141,'IR data'!$H$4:$H$61,1)))-((D141-(INDEX('IR data'!$H$4:$H$61,MATCH(D141,'IR data'!$H$4:$H$61,1))))/((INDEX('IR data'!$H$4:$H$61,MATCH(D141,'IR data'!$H$4:$H$61,1)+1)-INDEX('IR data'!$H$4:$H$61,MATCH(D141,'IR data'!$H$4:$H$61,1))))) * (INDEX('IR data'!$I$4:$I$61,MATCH(D141,'IR data'!$H$4:$H$61,1))-(INDEX('IR data'!$I$4:$I$61,MATCH(D141,'IR data'!$H$4:$H$61,1)+1)))))</f>
        <v>0.97935059234782607</v>
      </c>
      <c r="F141" s="30">
        <f t="shared" si="16"/>
        <v>2.3967829903773087E-2</v>
      </c>
      <c r="G141" s="45">
        <f t="shared" si="12"/>
        <v>45523</v>
      </c>
      <c r="H141" s="14" cm="1">
        <f t="array" ref="H141">_xlfn.IFNA(INDEX('IR data'!$N$4:$N$61,MATCH(G141,'IR data'!$M$4:$M$61,0)),((INDEX('IR data'!$N$4:$N$61,MATCH(G141,'IR data'!$M$4:$M$61,1)))-((G141-(INDEX('IR data'!$M$4:$M$61,MATCH(G141,'IR data'!$M$4:$M$61,1))))/((INDEX('IR data'!$M$4:$M$61,MATCH(G141,'IR data'!$M$4:$M$61,1)+1)-INDEX('IR data'!$M$4:$M$61,MATCH(G141,'IR data'!$M$4:$M$61,1))))) * (INDEX('IR data'!$N$4:$N$61,MATCH(G141,'IR data'!$M$4:$M$61,1))-(INDEX('IR data'!$N$4:$N$61,MATCH(G141,'IR data'!$M$4:$M$61,1)+1)))))</f>
        <v>0.97945082906382974</v>
      </c>
      <c r="I141" s="44">
        <f t="shared" si="17"/>
        <v>2.3850268570015053E-2</v>
      </c>
    </row>
    <row r="142" spans="1:9" x14ac:dyDescent="0.25">
      <c r="A142" s="45">
        <f t="shared" si="13"/>
        <v>45430</v>
      </c>
      <c r="B142" s="14" cm="1">
        <f t="array" ref="B142">_xlfn.IFNA(INDEX('IR data'!$D$4:$D$61,MATCH(A142,'IR data'!$C$4:$C$61,0)),((INDEX('IR data'!$D$4:$D$61,MATCH(A142,'IR data'!$C$4:$C$61,1)))-((A142-(INDEX('IR data'!$C$4:$C$61,MATCH(A142,'IR data'!$C$4:$C$61,1))))/((INDEX('IR data'!$C$4:$C$61,MATCH(A142,'IR data'!$C$4:$C$61,1)+1)-INDEX('IR data'!$C$4:$C$61,MATCH(A142,'IR data'!$C$4:$C$61,1))))) * (INDEX('IR data'!$D$4:$D$61,MATCH(A142,'IR data'!$C$4:$C$61,1))-(INDEX('IR data'!$D$4:$D$61,MATCH(A142,'IR data'!$C$4:$C$61,1)+1)))))</f>
        <v>0.97917130146153841</v>
      </c>
      <c r="C142" s="30">
        <f t="shared" si="14"/>
        <v>2.4004195463792167E-2</v>
      </c>
      <c r="D142" s="45">
        <f t="shared" si="15"/>
        <v>45490</v>
      </c>
      <c r="E142" s="14" cm="1">
        <f t="array" ref="E142">_xlfn.IFNA(INDEX('IR data'!$I$4:$I$61,MATCH(D142,'IR data'!$H$4:$H$61,0)),((INDEX('IR data'!$I$4:$I$61,MATCH(D142,'IR data'!$H$4:$H$61,1)))-((D142-(INDEX('IR data'!$H$4:$H$61,MATCH(D142,'IR data'!$H$4:$H$61,1))))/((INDEX('IR data'!$H$4:$H$61,MATCH(D142,'IR data'!$H$4:$H$61,1)+1)-INDEX('IR data'!$H$4:$H$61,MATCH(D142,'IR data'!$H$4:$H$61,1))))) * (INDEX('IR data'!$I$4:$I$61,MATCH(D142,'IR data'!$H$4:$H$61,1))-(INDEX('IR data'!$I$4:$I$61,MATCH(D142,'IR data'!$H$4:$H$61,1)+1)))))</f>
        <v>0.97920199226086957</v>
      </c>
      <c r="F142" s="30">
        <f t="shared" si="16"/>
        <v>2.3968451304011779E-2</v>
      </c>
      <c r="G142" s="45">
        <f t="shared" si="12"/>
        <v>45524</v>
      </c>
      <c r="H142" s="14" cm="1">
        <f t="array" ref="H142">_xlfn.IFNA(INDEX('IR data'!$N$4:$N$61,MATCH(G142,'IR data'!$M$4:$M$61,0)),((INDEX('IR data'!$N$4:$N$61,MATCH(G142,'IR data'!$M$4:$M$61,1)))-((G142-(INDEX('IR data'!$M$4:$M$61,MATCH(G142,'IR data'!$M$4:$M$61,1))))/((INDEX('IR data'!$M$4:$M$61,MATCH(G142,'IR data'!$M$4:$M$61,1)+1)-INDEX('IR data'!$M$4:$M$61,MATCH(G142,'IR data'!$M$4:$M$61,1))))) * (INDEX('IR data'!$N$4:$N$61,MATCH(G142,'IR data'!$M$4:$M$61,1))-(INDEX('IR data'!$N$4:$N$61,MATCH(G142,'IR data'!$M$4:$M$61,1)+1)))))</f>
        <v>0.97930270953191489</v>
      </c>
      <c r="I142" s="44">
        <f t="shared" si="17"/>
        <v>2.3851158409706644E-2</v>
      </c>
    </row>
    <row r="143" spans="1:9" x14ac:dyDescent="0.25">
      <c r="A143" s="45">
        <f t="shared" si="13"/>
        <v>45431</v>
      </c>
      <c r="B143" s="14" cm="1">
        <f t="array" ref="B143">_xlfn.IFNA(INDEX('IR data'!$D$4:$D$61,MATCH(A143,'IR data'!$C$4:$C$61,0)),((INDEX('IR data'!$D$4:$D$61,MATCH(A143,'IR data'!$C$4:$C$61,1)))-((A143-(INDEX('IR data'!$C$4:$C$61,MATCH(A143,'IR data'!$C$4:$C$61,1))))/((INDEX('IR data'!$C$4:$C$61,MATCH(A143,'IR data'!$C$4:$C$61,1)+1)-INDEX('IR data'!$C$4:$C$61,MATCH(A143,'IR data'!$C$4:$C$61,1))))) * (INDEX('IR data'!$D$4:$D$61,MATCH(A143,'IR data'!$C$4:$C$61,1))-(INDEX('IR data'!$D$4:$D$61,MATCH(A143,'IR data'!$C$4:$C$61,1)+1)))))</f>
        <v>0.97902709653846154</v>
      </c>
      <c r="C143" s="30">
        <f t="shared" si="14"/>
        <v>2.399950101279074E-2</v>
      </c>
      <c r="D143" s="45">
        <f t="shared" si="15"/>
        <v>45491</v>
      </c>
      <c r="E143" s="14" cm="1">
        <f t="array" ref="E143">_xlfn.IFNA(INDEX('IR data'!$I$4:$I$61,MATCH(D143,'IR data'!$H$4:$H$61,0)),((INDEX('IR data'!$I$4:$I$61,MATCH(D143,'IR data'!$H$4:$H$61,1)))-((D143-(INDEX('IR data'!$H$4:$H$61,MATCH(D143,'IR data'!$H$4:$H$61,1))))/((INDEX('IR data'!$H$4:$H$61,MATCH(D143,'IR data'!$H$4:$H$61,1)+1)-INDEX('IR data'!$H$4:$H$61,MATCH(D143,'IR data'!$H$4:$H$61,1))))) * (INDEX('IR data'!$I$4:$I$61,MATCH(D143,'IR data'!$H$4:$H$61,1))-(INDEX('IR data'!$I$4:$I$61,MATCH(D143,'IR data'!$H$4:$H$61,1)+1)))))</f>
        <v>0.97905339217391307</v>
      </c>
      <c r="F143" s="30">
        <f t="shared" si="16"/>
        <v>2.396908990320766E-2</v>
      </c>
      <c r="G143" s="45">
        <f t="shared" si="12"/>
        <v>45525</v>
      </c>
      <c r="H143" s="14" cm="1">
        <f t="array" ref="H143">_xlfn.IFNA(INDEX('IR data'!$N$4:$N$61,MATCH(G143,'IR data'!$M$4:$M$61,0)),((INDEX('IR data'!$N$4:$N$61,MATCH(G143,'IR data'!$M$4:$M$61,1)))-((G143-(INDEX('IR data'!$M$4:$M$61,MATCH(G143,'IR data'!$M$4:$M$61,1))))/((INDEX('IR data'!$M$4:$M$61,MATCH(G143,'IR data'!$M$4:$M$61,1)+1)-INDEX('IR data'!$M$4:$M$61,MATCH(G143,'IR data'!$M$4:$M$61,1))))) * (INDEX('IR data'!$N$4:$N$61,MATCH(G143,'IR data'!$M$4:$M$61,1))-(INDEX('IR data'!$N$4:$N$61,MATCH(G143,'IR data'!$M$4:$M$61,1)+1)))))</f>
        <v>0.97915459000000005</v>
      </c>
      <c r="I143" s="44">
        <f t="shared" si="17"/>
        <v>2.3852061439796016E-2</v>
      </c>
    </row>
    <row r="144" spans="1:9" x14ac:dyDescent="0.25">
      <c r="A144" s="45">
        <f t="shared" si="13"/>
        <v>45432</v>
      </c>
      <c r="B144" s="14" cm="1">
        <f t="array" ref="B144">_xlfn.IFNA(INDEX('IR data'!$D$4:$D$61,MATCH(A144,'IR data'!$C$4:$C$61,0)),((INDEX('IR data'!$D$4:$D$61,MATCH(A144,'IR data'!$C$4:$C$61,1)))-((A144-(INDEX('IR data'!$C$4:$C$61,MATCH(A144,'IR data'!$C$4:$C$61,1))))/((INDEX('IR data'!$C$4:$C$61,MATCH(A144,'IR data'!$C$4:$C$61,1)+1)-INDEX('IR data'!$C$4:$C$61,MATCH(A144,'IR data'!$C$4:$C$61,1))))) * (INDEX('IR data'!$D$4:$D$61,MATCH(A144,'IR data'!$C$4:$C$61,1))-(INDEX('IR data'!$D$4:$D$61,MATCH(A144,'IR data'!$C$4:$C$61,1)+1)))))</f>
        <v>0.97888289161538455</v>
      </c>
      <c r="C144" s="30">
        <f t="shared" si="14"/>
        <v>2.3994897540702661E-2</v>
      </c>
      <c r="D144" s="45">
        <f t="shared" si="15"/>
        <v>45492</v>
      </c>
      <c r="E144" s="14" cm="1">
        <f t="array" ref="E144">_xlfn.IFNA(INDEX('IR data'!$I$4:$I$61,MATCH(D144,'IR data'!$H$4:$H$61,0)),((INDEX('IR data'!$I$4:$I$61,MATCH(D144,'IR data'!$H$4:$H$61,1)))-((D144-(INDEX('IR data'!$H$4:$H$61,MATCH(D144,'IR data'!$H$4:$H$61,1))))/((INDEX('IR data'!$H$4:$H$61,MATCH(D144,'IR data'!$H$4:$H$61,1)+1)-INDEX('IR data'!$H$4:$H$61,MATCH(D144,'IR data'!$H$4:$H$61,1))))) * (INDEX('IR data'!$I$4:$I$61,MATCH(D144,'IR data'!$H$4:$H$61,1))-(INDEX('IR data'!$I$4:$I$61,MATCH(D144,'IR data'!$H$4:$H$61,1)+1)))))</f>
        <v>0.97890479208695658</v>
      </c>
      <c r="F144" s="30">
        <f t="shared" si="16"/>
        <v>2.396974534328555E-2</v>
      </c>
      <c r="G144" s="45">
        <f t="shared" si="12"/>
        <v>45526</v>
      </c>
      <c r="H144" s="14" cm="1">
        <f t="array" ref="H144">_xlfn.IFNA(INDEX('IR data'!$N$4:$N$61,MATCH(G144,'IR data'!$M$4:$M$61,0)),((INDEX('IR data'!$N$4:$N$61,MATCH(G144,'IR data'!$M$4:$M$61,1)))-((G144-(INDEX('IR data'!$M$4:$M$61,MATCH(G144,'IR data'!$M$4:$M$61,1))))/((INDEX('IR data'!$M$4:$M$61,MATCH(G144,'IR data'!$M$4:$M$61,1)+1)-INDEX('IR data'!$M$4:$M$61,MATCH(G144,'IR data'!$M$4:$M$61,1))))) * (INDEX('IR data'!$N$4:$N$61,MATCH(G144,'IR data'!$M$4:$M$61,1))-(INDEX('IR data'!$N$4:$N$61,MATCH(G144,'IR data'!$M$4:$M$61,1)+1)))))</f>
        <v>0.97900647046808509</v>
      </c>
      <c r="I144" s="44">
        <f t="shared" si="17"/>
        <v>2.3852977387418206E-2</v>
      </c>
    </row>
    <row r="145" spans="1:9" x14ac:dyDescent="0.25">
      <c r="A145" s="45">
        <f t="shared" si="13"/>
        <v>45433</v>
      </c>
      <c r="B145" s="14" cm="1">
        <f t="array" ref="B145">_xlfn.IFNA(INDEX('IR data'!$D$4:$D$61,MATCH(A145,'IR data'!$C$4:$C$61,0)),((INDEX('IR data'!$D$4:$D$61,MATCH(A145,'IR data'!$C$4:$C$61,1)))-((A145-(INDEX('IR data'!$C$4:$C$61,MATCH(A145,'IR data'!$C$4:$C$61,1))))/((INDEX('IR data'!$C$4:$C$61,MATCH(A145,'IR data'!$C$4:$C$61,1)+1)-INDEX('IR data'!$C$4:$C$61,MATCH(A145,'IR data'!$C$4:$C$61,1))))) * (INDEX('IR data'!$D$4:$D$61,MATCH(A145,'IR data'!$C$4:$C$61,1))-(INDEX('IR data'!$D$4:$D$61,MATCH(A145,'IR data'!$C$4:$C$61,1)+1)))))</f>
        <v>0.97873868669230768</v>
      </c>
      <c r="C145" s="30">
        <f t="shared" si="14"/>
        <v>2.3990383132574226E-2</v>
      </c>
      <c r="D145" s="45">
        <f t="shared" si="15"/>
        <v>45493</v>
      </c>
      <c r="E145" s="14" cm="1">
        <f t="array" ref="E145">_xlfn.IFNA(INDEX('IR data'!$I$4:$I$61,MATCH(D145,'IR data'!$H$4:$H$61,0)),((INDEX('IR data'!$I$4:$I$61,MATCH(D145,'IR data'!$H$4:$H$61,1)))-((D145-(INDEX('IR data'!$H$4:$H$61,MATCH(D145,'IR data'!$H$4:$H$61,1))))/((INDEX('IR data'!$H$4:$H$61,MATCH(D145,'IR data'!$H$4:$H$61,1)+1)-INDEX('IR data'!$H$4:$H$61,MATCH(D145,'IR data'!$H$4:$H$61,1))))) * (INDEX('IR data'!$I$4:$I$61,MATCH(D145,'IR data'!$H$4:$H$61,1))-(INDEX('IR data'!$I$4:$I$61,MATCH(D145,'IR data'!$H$4:$H$61,1)+1)))))</f>
        <v>0.97875619200000008</v>
      </c>
      <c r="F145" s="30">
        <f t="shared" si="16"/>
        <v>2.3970417276260463E-2</v>
      </c>
      <c r="G145" s="45">
        <f t="shared" si="12"/>
        <v>45527</v>
      </c>
      <c r="H145" s="14" cm="1">
        <f t="array" ref="H145">_xlfn.IFNA(INDEX('IR data'!$N$4:$N$61,MATCH(G145,'IR data'!$M$4:$M$61,0)),((INDEX('IR data'!$N$4:$N$61,MATCH(G145,'IR data'!$M$4:$M$61,1)))-((G145-(INDEX('IR data'!$M$4:$M$61,MATCH(G145,'IR data'!$M$4:$M$61,1))))/((INDEX('IR data'!$M$4:$M$61,MATCH(G145,'IR data'!$M$4:$M$61,1)+1)-INDEX('IR data'!$M$4:$M$61,MATCH(G145,'IR data'!$M$4:$M$61,1))))) * (INDEX('IR data'!$N$4:$N$61,MATCH(G145,'IR data'!$M$4:$M$61,1))-(INDEX('IR data'!$N$4:$N$61,MATCH(G145,'IR data'!$M$4:$M$61,1)+1)))))</f>
        <v>0.97885835093617024</v>
      </c>
      <c r="I145" s="44">
        <f t="shared" si="17"/>
        <v>2.3853905987397717E-2</v>
      </c>
    </row>
    <row r="146" spans="1:9" x14ac:dyDescent="0.25">
      <c r="A146" s="45">
        <f t="shared" si="13"/>
        <v>45434</v>
      </c>
      <c r="B146" s="14" cm="1">
        <f t="array" ref="B146">_xlfn.IFNA(INDEX('IR data'!$D$4:$D$61,MATCH(A146,'IR data'!$C$4:$C$61,0)),((INDEX('IR data'!$D$4:$D$61,MATCH(A146,'IR data'!$C$4:$C$61,1)))-((A146-(INDEX('IR data'!$C$4:$C$61,MATCH(A146,'IR data'!$C$4:$C$61,1))))/((INDEX('IR data'!$C$4:$C$61,MATCH(A146,'IR data'!$C$4:$C$61,1)+1)-INDEX('IR data'!$C$4:$C$61,MATCH(A146,'IR data'!$C$4:$C$61,1))))) * (INDEX('IR data'!$D$4:$D$61,MATCH(A146,'IR data'!$C$4:$C$61,1))-(INDEX('IR data'!$D$4:$D$61,MATCH(A146,'IR data'!$C$4:$C$61,1)+1)))))</f>
        <v>0.9785944817692307</v>
      </c>
      <c r="C146" s="30">
        <f t="shared" si="14"/>
        <v>2.3985955927020498E-2</v>
      </c>
      <c r="D146" s="45">
        <f t="shared" si="15"/>
        <v>45494</v>
      </c>
      <c r="E146" s="14" cm="1">
        <f t="array" ref="E146">_xlfn.IFNA(INDEX('IR data'!$I$4:$I$61,MATCH(D146,'IR data'!$H$4:$H$61,0)),((INDEX('IR data'!$I$4:$I$61,MATCH(D146,'IR data'!$H$4:$H$61,1)))-((D146-(INDEX('IR data'!$H$4:$H$61,MATCH(D146,'IR data'!$H$4:$H$61,1))))/((INDEX('IR data'!$H$4:$H$61,MATCH(D146,'IR data'!$H$4:$H$61,1)+1)-INDEX('IR data'!$H$4:$H$61,MATCH(D146,'IR data'!$H$4:$H$61,1))))) * (INDEX('IR data'!$I$4:$I$61,MATCH(D146,'IR data'!$H$4:$H$61,1))-(INDEX('IR data'!$I$4:$I$61,MATCH(D146,'IR data'!$H$4:$H$61,1)+1)))))</f>
        <v>0.97860759191304347</v>
      </c>
      <c r="F146" s="30">
        <f t="shared" si="16"/>
        <v>2.3971105363884901E-2</v>
      </c>
      <c r="G146" s="45">
        <f t="shared" si="12"/>
        <v>45528</v>
      </c>
      <c r="H146" s="14" cm="1">
        <f t="array" ref="H146">_xlfn.IFNA(INDEX('IR data'!$N$4:$N$61,MATCH(G146,'IR data'!$M$4:$M$61,0)),((INDEX('IR data'!$N$4:$N$61,MATCH(G146,'IR data'!$M$4:$M$61,1)))-((G146-(INDEX('IR data'!$M$4:$M$61,MATCH(G146,'IR data'!$M$4:$M$61,1))))/((INDEX('IR data'!$M$4:$M$61,MATCH(G146,'IR data'!$M$4:$M$61,1)+1)-INDEX('IR data'!$M$4:$M$61,MATCH(G146,'IR data'!$M$4:$M$61,1))))) * (INDEX('IR data'!$N$4:$N$61,MATCH(G146,'IR data'!$M$4:$M$61,1))-(INDEX('IR data'!$N$4:$N$61,MATCH(G146,'IR data'!$M$4:$M$61,1)+1)))))</f>
        <v>0.97871023140425528</v>
      </c>
      <c r="I146" s="44">
        <f t="shared" si="17"/>
        <v>2.3854846981980527E-2</v>
      </c>
    </row>
    <row r="147" spans="1:9" x14ac:dyDescent="0.25">
      <c r="A147" s="45">
        <f t="shared" si="13"/>
        <v>45435</v>
      </c>
      <c r="B147" s="14" cm="1">
        <f t="array" ref="B147">_xlfn.IFNA(INDEX('IR data'!$D$4:$D$61,MATCH(A147,'IR data'!$C$4:$C$61,0)),((INDEX('IR data'!$D$4:$D$61,MATCH(A147,'IR data'!$C$4:$C$61,1)))-((A147-(INDEX('IR data'!$C$4:$C$61,MATCH(A147,'IR data'!$C$4:$C$61,1))))/((INDEX('IR data'!$C$4:$C$61,MATCH(A147,'IR data'!$C$4:$C$61,1)+1)-INDEX('IR data'!$C$4:$C$61,MATCH(A147,'IR data'!$C$4:$C$61,1))))) * (INDEX('IR data'!$D$4:$D$61,MATCH(A147,'IR data'!$C$4:$C$61,1))-(INDEX('IR data'!$D$4:$D$61,MATCH(A147,'IR data'!$C$4:$C$61,1)+1)))))</f>
        <v>0.97845027684615382</v>
      </c>
      <c r="C147" s="30">
        <f t="shared" si="14"/>
        <v>2.3981614114364291E-2</v>
      </c>
      <c r="D147" s="45">
        <f t="shared" si="15"/>
        <v>45495</v>
      </c>
      <c r="E147" s="14" cm="1">
        <f t="array" ref="E147">_xlfn.IFNA(INDEX('IR data'!$I$4:$I$61,MATCH(D147,'IR data'!$H$4:$H$61,0)),((INDEX('IR data'!$I$4:$I$61,MATCH(D147,'IR data'!$H$4:$H$61,1)))-((D147-(INDEX('IR data'!$H$4:$H$61,MATCH(D147,'IR data'!$H$4:$H$61,1))))/((INDEX('IR data'!$H$4:$H$61,MATCH(D147,'IR data'!$H$4:$H$61,1)+1)-INDEX('IR data'!$H$4:$H$61,MATCH(D147,'IR data'!$H$4:$H$61,1))))) * (INDEX('IR data'!$I$4:$I$61,MATCH(D147,'IR data'!$H$4:$H$61,1))-(INDEX('IR data'!$I$4:$I$61,MATCH(D147,'IR data'!$H$4:$H$61,1)+1)))))</f>
        <v>0.97845899182608698</v>
      </c>
      <c r="F147" s="30">
        <f t="shared" si="16"/>
        <v>2.3971809277310276E-2</v>
      </c>
      <c r="G147" s="45">
        <f t="shared" si="12"/>
        <v>45529</v>
      </c>
      <c r="H147" s="14" cm="1">
        <f t="array" ref="H147">_xlfn.IFNA(INDEX('IR data'!$N$4:$N$61,MATCH(G147,'IR data'!$M$4:$M$61,0)),((INDEX('IR data'!$N$4:$N$61,MATCH(G147,'IR data'!$M$4:$M$61,1)))-((G147-(INDEX('IR data'!$M$4:$M$61,MATCH(G147,'IR data'!$M$4:$M$61,1))))/((INDEX('IR data'!$M$4:$M$61,MATCH(G147,'IR data'!$M$4:$M$61,1)+1)-INDEX('IR data'!$M$4:$M$61,MATCH(G147,'IR data'!$M$4:$M$61,1))))) * (INDEX('IR data'!$N$4:$N$61,MATCH(G147,'IR data'!$M$4:$M$61,1))-(INDEX('IR data'!$N$4:$N$61,MATCH(G147,'IR data'!$M$4:$M$61,1)+1)))))</f>
        <v>0.97856211187234043</v>
      </c>
      <c r="I147" s="44">
        <f t="shared" si="17"/>
        <v>2.3855800120575418E-2</v>
      </c>
    </row>
    <row r="148" spans="1:9" x14ac:dyDescent="0.25">
      <c r="A148" s="45">
        <f t="shared" si="13"/>
        <v>45436</v>
      </c>
      <c r="B148" s="14" cm="1">
        <f t="array" ref="B148">_xlfn.IFNA(INDEX('IR data'!$D$4:$D$61,MATCH(A148,'IR data'!$C$4:$C$61,0)),((INDEX('IR data'!$D$4:$D$61,MATCH(A148,'IR data'!$C$4:$C$61,1)))-((A148-(INDEX('IR data'!$C$4:$C$61,MATCH(A148,'IR data'!$C$4:$C$61,1))))/((INDEX('IR data'!$C$4:$C$61,MATCH(A148,'IR data'!$C$4:$C$61,1)+1)-INDEX('IR data'!$C$4:$C$61,MATCH(A148,'IR data'!$C$4:$C$61,1))))) * (INDEX('IR data'!$D$4:$D$61,MATCH(A148,'IR data'!$C$4:$C$61,1))-(INDEX('IR data'!$D$4:$D$61,MATCH(A148,'IR data'!$C$4:$C$61,1)+1)))))</f>
        <v>0.97830607192307695</v>
      </c>
      <c r="C148" s="30">
        <f t="shared" si="14"/>
        <v>2.3977355934854016E-2</v>
      </c>
      <c r="D148" s="45">
        <f t="shared" si="15"/>
        <v>45496</v>
      </c>
      <c r="E148" s="14" cm="1">
        <f t="array" ref="E148">_xlfn.IFNA(INDEX('IR data'!$I$4:$I$61,MATCH(D148,'IR data'!$H$4:$H$61,0)),((INDEX('IR data'!$I$4:$I$61,MATCH(D148,'IR data'!$H$4:$H$61,1)))-((D148-(INDEX('IR data'!$H$4:$H$61,MATCH(D148,'IR data'!$H$4:$H$61,1))))/((INDEX('IR data'!$H$4:$H$61,MATCH(D148,'IR data'!$H$4:$H$61,1)+1)-INDEX('IR data'!$H$4:$H$61,MATCH(D148,'IR data'!$H$4:$H$61,1))))) * (INDEX('IR data'!$I$4:$I$61,MATCH(D148,'IR data'!$H$4:$H$61,1))-(INDEX('IR data'!$I$4:$I$61,MATCH(D148,'IR data'!$H$4:$H$61,1)+1)))))</f>
        <v>0.97831039173913048</v>
      </c>
      <c r="F148" s="30">
        <f t="shared" si="16"/>
        <v>2.3972528696763532E-2</v>
      </c>
      <c r="G148" s="45">
        <f t="shared" si="12"/>
        <v>45530</v>
      </c>
      <c r="H148" s="14" cm="1">
        <f t="array" ref="H148">_xlfn.IFNA(INDEX('IR data'!$N$4:$N$61,MATCH(G148,'IR data'!$M$4:$M$61,0)),((INDEX('IR data'!$N$4:$N$61,MATCH(G148,'IR data'!$M$4:$M$61,1)))-((G148-(INDEX('IR data'!$M$4:$M$61,MATCH(G148,'IR data'!$M$4:$M$61,1))))/((INDEX('IR data'!$M$4:$M$61,MATCH(G148,'IR data'!$M$4:$M$61,1)+1)-INDEX('IR data'!$M$4:$M$61,MATCH(G148,'IR data'!$M$4:$M$61,1))))) * (INDEX('IR data'!$N$4:$N$61,MATCH(G148,'IR data'!$M$4:$M$61,1))-(INDEX('IR data'!$N$4:$N$61,MATCH(G148,'IR data'!$M$4:$M$61,1)+1)))))</f>
        <v>0.97841399234042548</v>
      </c>
      <c r="I148" s="44">
        <f t="shared" si="17"/>
        <v>2.3856765159507971E-2</v>
      </c>
    </row>
    <row r="149" spans="1:9" x14ac:dyDescent="0.25">
      <c r="A149" s="45">
        <f t="shared" si="13"/>
        <v>45437</v>
      </c>
      <c r="B149" s="14" cm="1">
        <f t="array" ref="B149">_xlfn.IFNA(INDEX('IR data'!$D$4:$D$61,MATCH(A149,'IR data'!$C$4:$C$61,0)),((INDEX('IR data'!$D$4:$D$61,MATCH(A149,'IR data'!$C$4:$C$61,1)))-((A149-(INDEX('IR data'!$C$4:$C$61,MATCH(A149,'IR data'!$C$4:$C$61,1))))/((INDEX('IR data'!$C$4:$C$61,MATCH(A149,'IR data'!$C$4:$C$61,1)+1)-INDEX('IR data'!$C$4:$C$61,MATCH(A149,'IR data'!$C$4:$C$61,1))))) * (INDEX('IR data'!$D$4:$D$61,MATCH(A149,'IR data'!$C$4:$C$61,1))-(INDEX('IR data'!$D$4:$D$61,MATCH(A149,'IR data'!$C$4:$C$61,1)+1)))))</f>
        <v>0.97816186699999996</v>
      </c>
      <c r="C149" s="30">
        <f t="shared" si="14"/>
        <v>2.3973179676953532E-2</v>
      </c>
      <c r="D149" s="45">
        <f t="shared" si="15"/>
        <v>45497</v>
      </c>
      <c r="E149" s="14" cm="1">
        <f t="array" ref="E149">_xlfn.IFNA(INDEX('IR data'!$I$4:$I$61,MATCH(D149,'IR data'!$H$4:$H$61,0)),((INDEX('IR data'!$I$4:$I$61,MATCH(D149,'IR data'!$H$4:$H$61,1)))-((D149-(INDEX('IR data'!$H$4:$H$61,MATCH(D149,'IR data'!$H$4:$H$61,1))))/((INDEX('IR data'!$H$4:$H$61,MATCH(D149,'IR data'!$H$4:$H$61,1)+1)-INDEX('IR data'!$H$4:$H$61,MATCH(D149,'IR data'!$H$4:$H$61,1))))) * (INDEX('IR data'!$I$4:$I$61,MATCH(D149,'IR data'!$H$4:$H$61,1))-(INDEX('IR data'!$I$4:$I$61,MATCH(D149,'IR data'!$H$4:$H$61,1)+1)))))</f>
        <v>0.97816179165217398</v>
      </c>
      <c r="F149" s="30">
        <f t="shared" si="16"/>
        <v>2.3973263311235879E-2</v>
      </c>
      <c r="G149" s="45">
        <f t="shared" si="12"/>
        <v>45531</v>
      </c>
      <c r="H149" s="14" cm="1">
        <f t="array" ref="H149">_xlfn.IFNA(INDEX('IR data'!$N$4:$N$61,MATCH(G149,'IR data'!$M$4:$M$61,0)),((INDEX('IR data'!$N$4:$N$61,MATCH(G149,'IR data'!$M$4:$M$61,1)))-((G149-(INDEX('IR data'!$M$4:$M$61,MATCH(G149,'IR data'!$M$4:$M$61,1))))/((INDEX('IR data'!$M$4:$M$61,MATCH(G149,'IR data'!$M$4:$M$61,1)+1)-INDEX('IR data'!$M$4:$M$61,MATCH(G149,'IR data'!$M$4:$M$61,1))))) * (INDEX('IR data'!$N$4:$N$61,MATCH(G149,'IR data'!$M$4:$M$61,1))-(INDEX('IR data'!$N$4:$N$61,MATCH(G149,'IR data'!$M$4:$M$61,1)+1)))))</f>
        <v>0.97826587280851063</v>
      </c>
      <c r="I149" s="44">
        <f t="shared" si="17"/>
        <v>2.3857741861782703E-2</v>
      </c>
    </row>
    <row r="150" spans="1:9" x14ac:dyDescent="0.25">
      <c r="A150" s="45">
        <f t="shared" si="13"/>
        <v>45438</v>
      </c>
      <c r="B150" s="14" cm="1">
        <f t="array" ref="B150">_xlfn.IFNA(INDEX('IR data'!$D$4:$D$61,MATCH(A150,'IR data'!$C$4:$C$61,0)),((INDEX('IR data'!$D$4:$D$61,MATCH(A150,'IR data'!$C$4:$C$61,1)))-((A150-(INDEX('IR data'!$C$4:$C$61,MATCH(A150,'IR data'!$C$4:$C$61,1))))/((INDEX('IR data'!$C$4:$C$61,MATCH(A150,'IR data'!$C$4:$C$61,1)+1)-INDEX('IR data'!$C$4:$C$61,MATCH(A150,'IR data'!$C$4:$C$61,1))))) * (INDEX('IR data'!$D$4:$D$61,MATCH(A150,'IR data'!$C$4:$C$61,1))-(INDEX('IR data'!$D$4:$D$61,MATCH(A150,'IR data'!$C$4:$C$61,1)+1)))))</f>
        <v>0.97801766207692309</v>
      </c>
      <c r="C150" s="30">
        <f t="shared" si="14"/>
        <v>2.3969083675701792E-2</v>
      </c>
      <c r="D150" s="45">
        <f t="shared" si="15"/>
        <v>45498</v>
      </c>
      <c r="E150" s="14" cm="1">
        <f t="array" ref="E150">_xlfn.IFNA(INDEX('IR data'!$I$4:$I$61,MATCH(D150,'IR data'!$H$4:$H$61,0)),((INDEX('IR data'!$I$4:$I$61,MATCH(D150,'IR data'!$H$4:$H$61,1)))-((D150-(INDEX('IR data'!$H$4:$H$61,MATCH(D150,'IR data'!$H$4:$H$61,1))))/((INDEX('IR data'!$H$4:$H$61,MATCH(D150,'IR data'!$H$4:$H$61,1)+1)-INDEX('IR data'!$H$4:$H$61,MATCH(D150,'IR data'!$H$4:$H$61,1))))) * (INDEX('IR data'!$I$4:$I$61,MATCH(D150,'IR data'!$H$4:$H$61,1))-(INDEX('IR data'!$I$4:$I$61,MATCH(D150,'IR data'!$H$4:$H$61,1)+1)))))</f>
        <v>0.97801319156521738</v>
      </c>
      <c r="F150" s="30">
        <f t="shared" si="16"/>
        <v>2.3974012818184905E-2</v>
      </c>
      <c r="G150" s="45">
        <f t="shared" si="12"/>
        <v>45532</v>
      </c>
      <c r="H150" s="14" cm="1">
        <f t="array" ref="H150">_xlfn.IFNA(INDEX('IR data'!$N$4:$N$61,MATCH(G150,'IR data'!$M$4:$M$61,0)),((INDEX('IR data'!$N$4:$N$61,MATCH(G150,'IR data'!$M$4:$M$61,1)))-((G150-(INDEX('IR data'!$M$4:$M$61,MATCH(G150,'IR data'!$M$4:$M$61,1))))/((INDEX('IR data'!$M$4:$M$61,MATCH(G150,'IR data'!$M$4:$M$61,1)+1)-INDEX('IR data'!$M$4:$M$61,MATCH(G150,'IR data'!$M$4:$M$61,1))))) * (INDEX('IR data'!$N$4:$N$61,MATCH(G150,'IR data'!$M$4:$M$61,1))-(INDEX('IR data'!$N$4:$N$61,MATCH(G150,'IR data'!$M$4:$M$61,1)+1)))))</f>
        <v>0.97811775327659578</v>
      </c>
      <c r="I150" s="44">
        <f t="shared" si="17"/>
        <v>2.3858729996856756E-2</v>
      </c>
    </row>
    <row r="151" spans="1:9" x14ac:dyDescent="0.25">
      <c r="A151" s="45">
        <f t="shared" si="13"/>
        <v>45439</v>
      </c>
      <c r="B151" s="14" cm="1">
        <f t="array" ref="B151">_xlfn.IFNA(INDEX('IR data'!$D$4:$D$61,MATCH(A151,'IR data'!$C$4:$C$61,0)),((INDEX('IR data'!$D$4:$D$61,MATCH(A151,'IR data'!$C$4:$C$61,1)))-((A151-(INDEX('IR data'!$C$4:$C$61,MATCH(A151,'IR data'!$C$4:$C$61,1))))/((INDEX('IR data'!$C$4:$C$61,MATCH(A151,'IR data'!$C$4:$C$61,1)+1)-INDEX('IR data'!$C$4:$C$61,MATCH(A151,'IR data'!$C$4:$C$61,1))))) * (INDEX('IR data'!$D$4:$D$61,MATCH(A151,'IR data'!$C$4:$C$61,1))-(INDEX('IR data'!$D$4:$D$61,MATCH(A151,'IR data'!$C$4:$C$61,1)+1)))))</f>
        <v>0.9778734571538461</v>
      </c>
      <c r="C151" s="30">
        <f t="shared" si="14"/>
        <v>2.3965066311140232E-2</v>
      </c>
      <c r="D151" s="45">
        <f t="shared" si="15"/>
        <v>45499</v>
      </c>
      <c r="E151" s="14" cm="1">
        <f t="array" ref="E151">_xlfn.IFNA(INDEX('IR data'!$I$4:$I$61,MATCH(D151,'IR data'!$H$4:$H$61,0)),((INDEX('IR data'!$I$4:$I$61,MATCH(D151,'IR data'!$H$4:$H$61,1)))-((D151-(INDEX('IR data'!$H$4:$H$61,MATCH(D151,'IR data'!$H$4:$H$61,1))))/((INDEX('IR data'!$H$4:$H$61,MATCH(D151,'IR data'!$H$4:$H$61,1)+1)-INDEX('IR data'!$H$4:$H$61,MATCH(D151,'IR data'!$H$4:$H$61,1))))) * (INDEX('IR data'!$I$4:$I$61,MATCH(D151,'IR data'!$H$4:$H$61,1))-(INDEX('IR data'!$I$4:$I$61,MATCH(D151,'IR data'!$H$4:$H$61,1)+1)))))</f>
        <v>0.97786459147826088</v>
      </c>
      <c r="F151" s="30">
        <f t="shared" si="16"/>
        <v>2.3974776923248082E-2</v>
      </c>
      <c r="G151" s="45">
        <f t="shared" si="12"/>
        <v>45533</v>
      </c>
      <c r="H151" s="14" cm="1">
        <f t="array" ref="H151">_xlfn.IFNA(INDEX('IR data'!$N$4:$N$61,MATCH(G151,'IR data'!$M$4:$M$61,0)),((INDEX('IR data'!$N$4:$N$61,MATCH(G151,'IR data'!$M$4:$M$61,1)))-((G151-(INDEX('IR data'!$M$4:$M$61,MATCH(G151,'IR data'!$M$4:$M$61,1))))/((INDEX('IR data'!$M$4:$M$61,MATCH(G151,'IR data'!$M$4:$M$61,1)+1)-INDEX('IR data'!$M$4:$M$61,MATCH(G151,'IR data'!$M$4:$M$61,1))))) * (INDEX('IR data'!$N$4:$N$61,MATCH(G151,'IR data'!$M$4:$M$61,1))-(INDEX('IR data'!$N$4:$N$61,MATCH(G151,'IR data'!$M$4:$M$61,1)+1)))))</f>
        <v>0.97796963374468082</v>
      </c>
      <c r="I151" s="44">
        <f t="shared" si="17"/>
        <v>2.3859729340421531E-2</v>
      </c>
    </row>
    <row r="152" spans="1:9" x14ac:dyDescent="0.25">
      <c r="A152" s="45">
        <f t="shared" si="13"/>
        <v>45440</v>
      </c>
      <c r="B152" s="14" cm="1">
        <f t="array" ref="B152">_xlfn.IFNA(INDEX('IR data'!$D$4:$D$61,MATCH(A152,'IR data'!$C$4:$C$61,0)),((INDEX('IR data'!$D$4:$D$61,MATCH(A152,'IR data'!$C$4:$C$61,1)))-((A152-(INDEX('IR data'!$C$4:$C$61,MATCH(A152,'IR data'!$C$4:$C$61,1))))/((INDEX('IR data'!$C$4:$C$61,MATCH(A152,'IR data'!$C$4:$C$61,1)+1)-INDEX('IR data'!$C$4:$C$61,MATCH(A152,'IR data'!$C$4:$C$61,1))))) * (INDEX('IR data'!$D$4:$D$61,MATCH(A152,'IR data'!$C$4:$C$61,1))-(INDEX('IR data'!$D$4:$D$61,MATCH(A152,'IR data'!$C$4:$C$61,1)+1)))))</f>
        <v>0.97772925223076923</v>
      </c>
      <c r="C152" s="30">
        <f t="shared" si="14"/>
        <v>2.3961126006801618E-2</v>
      </c>
      <c r="D152" s="45">
        <f t="shared" si="15"/>
        <v>45500</v>
      </c>
      <c r="E152" s="14" cm="1">
        <f t="array" ref="E152">_xlfn.IFNA(INDEX('IR data'!$I$4:$I$61,MATCH(D152,'IR data'!$H$4:$H$61,0)),((INDEX('IR data'!$I$4:$I$61,MATCH(D152,'IR data'!$H$4:$H$61,1)))-((D152-(INDEX('IR data'!$H$4:$H$61,MATCH(D152,'IR data'!$H$4:$H$61,1))))/((INDEX('IR data'!$H$4:$H$61,MATCH(D152,'IR data'!$H$4:$H$61,1)+1)-INDEX('IR data'!$H$4:$H$61,MATCH(D152,'IR data'!$H$4:$H$61,1))))) * (INDEX('IR data'!$I$4:$I$61,MATCH(D152,'IR data'!$H$4:$H$61,1))-(INDEX('IR data'!$I$4:$I$61,MATCH(D152,'IR data'!$H$4:$H$61,1)+1)))))</f>
        <v>0.97771599139130438</v>
      </c>
      <c r="F152" s="30">
        <f t="shared" si="16"/>
        <v>2.3975555339968986E-2</v>
      </c>
      <c r="G152" s="45">
        <f t="shared" si="12"/>
        <v>45534</v>
      </c>
      <c r="H152" s="14" cm="1">
        <f t="array" ref="H152">_xlfn.IFNA(INDEX('IR data'!$N$4:$N$61,MATCH(G152,'IR data'!$M$4:$M$61,0)),((INDEX('IR data'!$N$4:$N$61,MATCH(G152,'IR data'!$M$4:$M$61,1)))-((G152-(INDEX('IR data'!$M$4:$M$61,MATCH(G152,'IR data'!$M$4:$M$61,1))))/((INDEX('IR data'!$M$4:$M$61,MATCH(G152,'IR data'!$M$4:$M$61,1)+1)-INDEX('IR data'!$M$4:$M$61,MATCH(G152,'IR data'!$M$4:$M$61,1))))) * (INDEX('IR data'!$N$4:$N$61,MATCH(G152,'IR data'!$M$4:$M$61,1))-(INDEX('IR data'!$N$4:$N$61,MATCH(G152,'IR data'!$M$4:$M$61,1)+1)))))</f>
        <v>0.97782151421276597</v>
      </c>
      <c r="I152" s="44">
        <f t="shared" si="17"/>
        <v>2.3860739674193138E-2</v>
      </c>
    </row>
    <row r="153" spans="1:9" x14ac:dyDescent="0.25">
      <c r="A153" s="45">
        <f t="shared" si="13"/>
        <v>45441</v>
      </c>
      <c r="B153" s="14" cm="1">
        <f t="array" ref="B153">_xlfn.IFNA(INDEX('IR data'!$D$4:$D$61,MATCH(A153,'IR data'!$C$4:$C$61,0)),((INDEX('IR data'!$D$4:$D$61,MATCH(A153,'IR data'!$C$4:$C$61,1)))-((A153-(INDEX('IR data'!$C$4:$C$61,MATCH(A153,'IR data'!$C$4:$C$61,1))))/((INDEX('IR data'!$C$4:$C$61,MATCH(A153,'IR data'!$C$4:$C$61,1)+1)-INDEX('IR data'!$C$4:$C$61,MATCH(A153,'IR data'!$C$4:$C$61,1))))) * (INDEX('IR data'!$D$4:$D$61,MATCH(A153,'IR data'!$C$4:$C$61,1))-(INDEX('IR data'!$D$4:$D$61,MATCH(A153,'IR data'!$C$4:$C$61,1)+1)))))</f>
        <v>0.97758504730769225</v>
      </c>
      <c r="C153" s="30">
        <f t="shared" si="14"/>
        <v>2.3957261228261341E-2</v>
      </c>
      <c r="D153" s="45">
        <f t="shared" si="15"/>
        <v>45501</v>
      </c>
      <c r="E153" s="14" cm="1">
        <f t="array" ref="E153">_xlfn.IFNA(INDEX('IR data'!$I$4:$I$61,MATCH(D153,'IR data'!$H$4:$H$61,0)),((INDEX('IR data'!$I$4:$I$61,MATCH(D153,'IR data'!$H$4:$H$61,1)))-((D153-(INDEX('IR data'!$H$4:$H$61,MATCH(D153,'IR data'!$H$4:$H$61,1))))/((INDEX('IR data'!$H$4:$H$61,MATCH(D153,'IR data'!$H$4:$H$61,1)+1)-INDEX('IR data'!$H$4:$H$61,MATCH(D153,'IR data'!$H$4:$H$61,1))))) * (INDEX('IR data'!$I$4:$I$61,MATCH(D153,'IR data'!$H$4:$H$61,1))-(INDEX('IR data'!$I$4:$I$61,MATCH(D153,'IR data'!$H$4:$H$61,1)+1)))))</f>
        <v>0.97756739130434789</v>
      </c>
      <c r="F153" s="30">
        <f t="shared" si="16"/>
        <v>2.3976347789533316E-2</v>
      </c>
      <c r="G153" s="45">
        <f t="shared" si="12"/>
        <v>45535</v>
      </c>
      <c r="H153" s="14" cm="1">
        <f t="array" ref="H153">_xlfn.IFNA(INDEX('IR data'!$N$4:$N$61,MATCH(G153,'IR data'!$M$4:$M$61,0)),((INDEX('IR data'!$N$4:$N$61,MATCH(G153,'IR data'!$M$4:$M$61,1)))-((G153-(INDEX('IR data'!$M$4:$M$61,MATCH(G153,'IR data'!$M$4:$M$61,1))))/((INDEX('IR data'!$M$4:$M$61,MATCH(G153,'IR data'!$M$4:$M$61,1)+1)-INDEX('IR data'!$M$4:$M$61,MATCH(G153,'IR data'!$M$4:$M$61,1))))) * (INDEX('IR data'!$N$4:$N$61,MATCH(G153,'IR data'!$M$4:$M$61,1))-(INDEX('IR data'!$N$4:$N$61,MATCH(G153,'IR data'!$M$4:$M$61,1)+1)))))</f>
        <v>0.97767339468085102</v>
      </c>
      <c r="I153" s="44">
        <f t="shared" si="17"/>
        <v>2.3861760785712404E-2</v>
      </c>
    </row>
    <row r="154" spans="1:9" x14ac:dyDescent="0.25">
      <c r="A154" s="45">
        <f t="shared" si="13"/>
        <v>45442</v>
      </c>
      <c r="B154" s="14" cm="1">
        <f t="array" ref="B154">_xlfn.IFNA(INDEX('IR data'!$D$4:$D$61,MATCH(A154,'IR data'!$C$4:$C$61,0)),((INDEX('IR data'!$D$4:$D$61,MATCH(A154,'IR data'!$C$4:$C$61,1)))-((A154-(INDEX('IR data'!$C$4:$C$61,MATCH(A154,'IR data'!$C$4:$C$61,1))))/((INDEX('IR data'!$C$4:$C$61,MATCH(A154,'IR data'!$C$4:$C$61,1)+1)-INDEX('IR data'!$C$4:$C$61,MATCH(A154,'IR data'!$C$4:$C$61,1))))) * (INDEX('IR data'!$D$4:$D$61,MATCH(A154,'IR data'!$C$4:$C$61,1))-(INDEX('IR data'!$D$4:$D$61,MATCH(A154,'IR data'!$C$4:$C$61,1)+1)))))</f>
        <v>0.97744084238461537</v>
      </c>
      <c r="C154" s="30">
        <f t="shared" si="14"/>
        <v>2.3953470481744295E-2</v>
      </c>
      <c r="D154" s="45">
        <f t="shared" si="15"/>
        <v>45502</v>
      </c>
      <c r="E154" s="14" cm="1">
        <f t="array" ref="E154">_xlfn.IFNA(INDEX('IR data'!$I$4:$I$61,MATCH(D154,'IR data'!$H$4:$H$61,0)),((INDEX('IR data'!$I$4:$I$61,MATCH(D154,'IR data'!$H$4:$H$61,1)))-((D154-(INDEX('IR data'!$H$4:$H$61,MATCH(D154,'IR data'!$H$4:$H$61,1))))/((INDEX('IR data'!$H$4:$H$61,MATCH(D154,'IR data'!$H$4:$H$61,1)+1)-INDEX('IR data'!$H$4:$H$61,MATCH(D154,'IR data'!$H$4:$H$61,1))))) * (INDEX('IR data'!$I$4:$I$61,MATCH(D154,'IR data'!$H$4:$H$61,1))-(INDEX('IR data'!$I$4:$I$61,MATCH(D154,'IR data'!$H$4:$H$61,1)+1)))))</f>
        <v>0.97741879121739128</v>
      </c>
      <c r="F154" s="30">
        <f t="shared" si="16"/>
        <v>2.3977154000516039E-2</v>
      </c>
      <c r="G154" s="45">
        <f t="shared" si="12"/>
        <v>45536</v>
      </c>
      <c r="H154" s="14" cm="1">
        <f t="array" ref="H154">_xlfn.IFNA(INDEX('IR data'!$N$4:$N$61,MATCH(G154,'IR data'!$M$4:$M$61,0)),((INDEX('IR data'!$N$4:$N$61,MATCH(G154,'IR data'!$M$4:$M$61,1)))-((G154-(INDEX('IR data'!$M$4:$M$61,MATCH(G154,'IR data'!$M$4:$M$61,1))))/((INDEX('IR data'!$M$4:$M$61,MATCH(G154,'IR data'!$M$4:$M$61,1)+1)-INDEX('IR data'!$M$4:$M$61,MATCH(G154,'IR data'!$M$4:$M$61,1))))) * (INDEX('IR data'!$N$4:$N$61,MATCH(G154,'IR data'!$M$4:$M$61,1))-(INDEX('IR data'!$N$4:$N$61,MATCH(G154,'IR data'!$M$4:$M$61,1)+1)))))</f>
        <v>0.97752527514893617</v>
      </c>
      <c r="I154" s="44">
        <f t="shared" si="17"/>
        <v>2.386279246815105E-2</v>
      </c>
    </row>
    <row r="155" spans="1:9" x14ac:dyDescent="0.25">
      <c r="A155" s="45">
        <f t="shared" si="13"/>
        <v>45443</v>
      </c>
      <c r="B155" s="14" cm="1">
        <f t="array" ref="B155">_xlfn.IFNA(INDEX('IR data'!$D$4:$D$61,MATCH(A155,'IR data'!$C$4:$C$61,0)),((INDEX('IR data'!$D$4:$D$61,MATCH(A155,'IR data'!$C$4:$C$61,1)))-((A155-(INDEX('IR data'!$C$4:$C$61,MATCH(A155,'IR data'!$C$4:$C$61,1))))/((INDEX('IR data'!$C$4:$C$61,MATCH(A155,'IR data'!$C$4:$C$61,1)+1)-INDEX('IR data'!$C$4:$C$61,MATCH(A155,'IR data'!$C$4:$C$61,1))))) * (INDEX('IR data'!$D$4:$D$61,MATCH(A155,'IR data'!$C$4:$C$61,1))-(INDEX('IR data'!$D$4:$D$61,MATCH(A155,'IR data'!$C$4:$C$61,1)+1)))))</f>
        <v>0.9772966374615385</v>
      </c>
      <c r="C155" s="30">
        <f t="shared" si="14"/>
        <v>2.3949752312788574E-2</v>
      </c>
      <c r="D155" s="45">
        <f t="shared" si="15"/>
        <v>45503</v>
      </c>
      <c r="E155" s="14" cm="1">
        <f t="array" ref="E155">_xlfn.IFNA(INDEX('IR data'!$I$4:$I$61,MATCH(D155,'IR data'!$H$4:$H$61,0)),((INDEX('IR data'!$I$4:$I$61,MATCH(D155,'IR data'!$H$4:$H$61,1)))-((D155-(INDEX('IR data'!$H$4:$H$61,MATCH(D155,'IR data'!$H$4:$H$61,1))))/((INDEX('IR data'!$H$4:$H$61,MATCH(D155,'IR data'!$H$4:$H$61,1)+1)-INDEX('IR data'!$H$4:$H$61,MATCH(D155,'IR data'!$H$4:$H$61,1))))) * (INDEX('IR data'!$I$4:$I$61,MATCH(D155,'IR data'!$H$4:$H$61,1))-(INDEX('IR data'!$I$4:$I$61,MATCH(D155,'IR data'!$H$4:$H$61,1)+1)))))</f>
        <v>0.97727019113043478</v>
      </c>
      <c r="F155" s="30">
        <f t="shared" si="16"/>
        <v>2.3977973708637881E-2</v>
      </c>
      <c r="G155" s="45">
        <f t="shared" si="12"/>
        <v>45537</v>
      </c>
      <c r="H155" s="14" cm="1">
        <f t="array" ref="H155">_xlfn.IFNA(INDEX('IR data'!$N$4:$N$61,MATCH(G155,'IR data'!$M$4:$M$61,0)),((INDEX('IR data'!$N$4:$N$61,MATCH(G155,'IR data'!$M$4:$M$61,1)))-((G155-(INDEX('IR data'!$M$4:$M$61,MATCH(G155,'IR data'!$M$4:$M$61,1))))/((INDEX('IR data'!$M$4:$M$61,MATCH(G155,'IR data'!$M$4:$M$61,1)+1)-INDEX('IR data'!$M$4:$M$61,MATCH(G155,'IR data'!$M$4:$M$61,1))))) * (INDEX('IR data'!$N$4:$N$61,MATCH(G155,'IR data'!$M$4:$M$61,1))-(INDEX('IR data'!$N$4:$N$61,MATCH(G155,'IR data'!$M$4:$M$61,1)+1)))))</f>
        <v>0.97737715561702132</v>
      </c>
      <c r="I155" s="44">
        <f t="shared" si="17"/>
        <v>2.3863834520127306E-2</v>
      </c>
    </row>
    <row r="156" spans="1:9" x14ac:dyDescent="0.25">
      <c r="A156" s="45">
        <f t="shared" si="13"/>
        <v>45444</v>
      </c>
      <c r="B156" s="14" cm="1">
        <f t="array" ref="B156">_xlfn.IFNA(INDEX('IR data'!$D$4:$D$61,MATCH(A156,'IR data'!$C$4:$C$61,0)),((INDEX('IR data'!$D$4:$D$61,MATCH(A156,'IR data'!$C$4:$C$61,1)))-((A156-(INDEX('IR data'!$C$4:$C$61,MATCH(A156,'IR data'!$C$4:$C$61,1))))/((INDEX('IR data'!$C$4:$C$61,MATCH(A156,'IR data'!$C$4:$C$61,1)+1)-INDEX('IR data'!$C$4:$C$61,MATCH(A156,'IR data'!$C$4:$C$61,1))))) * (INDEX('IR data'!$D$4:$D$61,MATCH(A156,'IR data'!$C$4:$C$61,1))-(INDEX('IR data'!$D$4:$D$61,MATCH(A156,'IR data'!$C$4:$C$61,1)+1)))))</f>
        <v>0.97715243253846151</v>
      </c>
      <c r="C156" s="30">
        <f t="shared" si="14"/>
        <v>2.3946105304960351E-2</v>
      </c>
      <c r="D156" s="45">
        <f t="shared" si="15"/>
        <v>45504</v>
      </c>
      <c r="E156" s="14" cm="1">
        <f t="array" ref="E156">_xlfn.IFNA(INDEX('IR data'!$I$4:$I$61,MATCH(D156,'IR data'!$H$4:$H$61,0)),((INDEX('IR data'!$I$4:$I$61,MATCH(D156,'IR data'!$H$4:$H$61,1)))-((D156-(INDEX('IR data'!$H$4:$H$61,MATCH(D156,'IR data'!$H$4:$H$61,1))))/((INDEX('IR data'!$H$4:$H$61,MATCH(D156,'IR data'!$H$4:$H$61,1)+1)-INDEX('IR data'!$H$4:$H$61,MATCH(D156,'IR data'!$H$4:$H$61,1))))) * (INDEX('IR data'!$I$4:$I$61,MATCH(D156,'IR data'!$H$4:$H$61,1))-(INDEX('IR data'!$I$4:$I$61,MATCH(D156,'IR data'!$H$4:$H$61,1)+1)))))</f>
        <v>0.97712159104347829</v>
      </c>
      <c r="F156" s="30">
        <f t="shared" si="16"/>
        <v>2.3978806656532493E-2</v>
      </c>
      <c r="G156" s="45">
        <f t="shared" si="12"/>
        <v>45538</v>
      </c>
      <c r="H156" s="14" cm="1">
        <f t="array" ref="H156">_xlfn.IFNA(INDEX('IR data'!$N$4:$N$61,MATCH(G156,'IR data'!$M$4:$M$61,0)),((INDEX('IR data'!$N$4:$N$61,MATCH(G156,'IR data'!$M$4:$M$61,1)))-((G156-(INDEX('IR data'!$M$4:$M$61,MATCH(G156,'IR data'!$M$4:$M$61,1))))/((INDEX('IR data'!$M$4:$M$61,MATCH(G156,'IR data'!$M$4:$M$61,1)+1)-INDEX('IR data'!$M$4:$M$61,MATCH(G156,'IR data'!$M$4:$M$61,1))))) * (INDEX('IR data'!$N$4:$N$61,MATCH(G156,'IR data'!$M$4:$M$61,1))-(INDEX('IR data'!$N$4:$N$61,MATCH(G156,'IR data'!$M$4:$M$61,1)+1)))))</f>
        <v>0.97722903608510636</v>
      </c>
      <c r="I156" s="44">
        <f t="shared" si="17"/>
        <v>2.3864886745527562E-2</v>
      </c>
    </row>
    <row r="157" spans="1:9" x14ac:dyDescent="0.25">
      <c r="A157" s="45">
        <f t="shared" si="13"/>
        <v>45445</v>
      </c>
      <c r="B157" s="14" cm="1">
        <f t="array" ref="B157">_xlfn.IFNA(INDEX('IR data'!$D$4:$D$61,MATCH(A157,'IR data'!$C$4:$C$61,0)),((INDEX('IR data'!$D$4:$D$61,MATCH(A157,'IR data'!$C$4:$C$61,1)))-((A157-(INDEX('IR data'!$C$4:$C$61,MATCH(A157,'IR data'!$C$4:$C$61,1))))/((INDEX('IR data'!$C$4:$C$61,MATCH(A157,'IR data'!$C$4:$C$61,1)+1)-INDEX('IR data'!$C$4:$C$61,MATCH(A157,'IR data'!$C$4:$C$61,1))))) * (INDEX('IR data'!$D$4:$D$61,MATCH(A157,'IR data'!$C$4:$C$61,1))-(INDEX('IR data'!$D$4:$D$61,MATCH(A157,'IR data'!$C$4:$C$61,1)+1)))))</f>
        <v>0.97700822761538464</v>
      </c>
      <c r="C157" s="30">
        <f t="shared" si="14"/>
        <v>2.3942528078618873E-2</v>
      </c>
      <c r="D157" s="45">
        <f t="shared" si="15"/>
        <v>45505</v>
      </c>
      <c r="E157" s="14" cm="1">
        <f t="array" ref="E157">_xlfn.IFNA(INDEX('IR data'!$I$4:$I$61,MATCH(D157,'IR data'!$H$4:$H$61,0)),((INDEX('IR data'!$I$4:$I$61,MATCH(D157,'IR data'!$H$4:$H$61,1)))-((D157-(INDEX('IR data'!$H$4:$H$61,MATCH(D157,'IR data'!$H$4:$H$61,1))))/((INDEX('IR data'!$H$4:$H$61,MATCH(D157,'IR data'!$H$4:$H$61,1)+1)-INDEX('IR data'!$H$4:$H$61,MATCH(D157,'IR data'!$H$4:$H$61,1))))) * (INDEX('IR data'!$I$4:$I$61,MATCH(D157,'IR data'!$H$4:$H$61,1))-(INDEX('IR data'!$I$4:$I$61,MATCH(D157,'IR data'!$H$4:$H$61,1)+1)))))</f>
        <v>0.97697299095652179</v>
      </c>
      <c r="F157" s="30">
        <f t="shared" si="16"/>
        <v>2.3979652593521576E-2</v>
      </c>
      <c r="G157" s="45">
        <f t="shared" si="12"/>
        <v>45539</v>
      </c>
      <c r="H157" s="14" cm="1">
        <f t="array" ref="H157">_xlfn.IFNA(INDEX('IR data'!$N$4:$N$61,MATCH(G157,'IR data'!$M$4:$M$61,0)),((INDEX('IR data'!$N$4:$N$61,MATCH(G157,'IR data'!$M$4:$M$61,1)))-((G157-(INDEX('IR data'!$M$4:$M$61,MATCH(G157,'IR data'!$M$4:$M$61,1))))/((INDEX('IR data'!$M$4:$M$61,MATCH(G157,'IR data'!$M$4:$M$61,1)+1)-INDEX('IR data'!$M$4:$M$61,MATCH(G157,'IR data'!$M$4:$M$61,1))))) * (INDEX('IR data'!$N$4:$N$61,MATCH(G157,'IR data'!$M$4:$M$61,1))-(INDEX('IR data'!$N$4:$N$61,MATCH(G157,'IR data'!$M$4:$M$61,1)+1)))))</f>
        <v>0.97708091655319151</v>
      </c>
      <c r="I157" s="44">
        <f t="shared" si="17"/>
        <v>2.3865948953334961E-2</v>
      </c>
    </row>
    <row r="158" spans="1:9" x14ac:dyDescent="0.25">
      <c r="A158" s="45">
        <f t="shared" si="13"/>
        <v>45446</v>
      </c>
      <c r="B158" s="14" cm="1">
        <f t="array" ref="B158">_xlfn.IFNA(INDEX('IR data'!$D$4:$D$61,MATCH(A158,'IR data'!$C$4:$C$61,0)),((INDEX('IR data'!$D$4:$D$61,MATCH(A158,'IR data'!$C$4:$C$61,1)))-((A158-(INDEX('IR data'!$C$4:$C$61,MATCH(A158,'IR data'!$C$4:$C$61,1))))/((INDEX('IR data'!$C$4:$C$61,MATCH(A158,'IR data'!$C$4:$C$61,1)+1)-INDEX('IR data'!$C$4:$C$61,MATCH(A158,'IR data'!$C$4:$C$61,1))))) * (INDEX('IR data'!$D$4:$D$61,MATCH(A158,'IR data'!$C$4:$C$61,1))-(INDEX('IR data'!$D$4:$D$61,MATCH(A158,'IR data'!$C$4:$C$61,1)+1)))))</f>
        <v>0.97686402269230765</v>
      </c>
      <c r="C158" s="30">
        <f t="shared" si="14"/>
        <v>2.3939019289730395E-2</v>
      </c>
      <c r="D158" s="45">
        <f t="shared" si="15"/>
        <v>45506</v>
      </c>
      <c r="E158" s="14" cm="1">
        <f t="array" ref="E158">_xlfn.IFNA(INDEX('IR data'!$I$4:$I$61,MATCH(D158,'IR data'!$H$4:$H$61,0)),((INDEX('IR data'!$I$4:$I$61,MATCH(D158,'IR data'!$H$4:$H$61,1)))-((D158-(INDEX('IR data'!$H$4:$H$61,MATCH(D158,'IR data'!$H$4:$H$61,1))))/((INDEX('IR data'!$H$4:$H$61,MATCH(D158,'IR data'!$H$4:$H$61,1)+1)-INDEX('IR data'!$H$4:$H$61,MATCH(D158,'IR data'!$H$4:$H$61,1))))) * (INDEX('IR data'!$I$4:$I$61,MATCH(D158,'IR data'!$H$4:$H$61,1))-(INDEX('IR data'!$I$4:$I$61,MATCH(D158,'IR data'!$H$4:$H$61,1)+1)))))</f>
        <v>0.9768243908695653</v>
      </c>
      <c r="F158" s="30">
        <f t="shared" si="16"/>
        <v>2.3980511275399203E-2</v>
      </c>
      <c r="G158" s="45">
        <f t="shared" si="12"/>
        <v>45540</v>
      </c>
      <c r="H158" s="14" cm="1">
        <f t="array" ref="H158">_xlfn.IFNA(INDEX('IR data'!$N$4:$N$61,MATCH(G158,'IR data'!$M$4:$M$61,0)),((INDEX('IR data'!$N$4:$N$61,MATCH(G158,'IR data'!$M$4:$M$61,1)))-((G158-(INDEX('IR data'!$M$4:$M$61,MATCH(G158,'IR data'!$M$4:$M$61,1))))/((INDEX('IR data'!$M$4:$M$61,MATCH(G158,'IR data'!$M$4:$M$61,1)+1)-INDEX('IR data'!$M$4:$M$61,MATCH(G158,'IR data'!$M$4:$M$61,1))))) * (INDEX('IR data'!$N$4:$N$61,MATCH(G158,'IR data'!$M$4:$M$61,1))-(INDEX('IR data'!$N$4:$N$61,MATCH(G158,'IR data'!$M$4:$M$61,1)+1)))))</f>
        <v>0.97693279702127656</v>
      </c>
      <c r="I158" s="44">
        <f t="shared" si="17"/>
        <v>2.3867020957465828E-2</v>
      </c>
    </row>
    <row r="159" spans="1:9" x14ac:dyDescent="0.25">
      <c r="A159" s="45">
        <f t="shared" si="13"/>
        <v>45447</v>
      </c>
      <c r="B159" s="14" cm="1">
        <f t="array" ref="B159">_xlfn.IFNA(INDEX('IR data'!$D$4:$D$61,MATCH(A159,'IR data'!$C$4:$C$61,0)),((INDEX('IR data'!$D$4:$D$61,MATCH(A159,'IR data'!$C$4:$C$61,1)))-((A159-(INDEX('IR data'!$C$4:$C$61,MATCH(A159,'IR data'!$C$4:$C$61,1))))/((INDEX('IR data'!$C$4:$C$61,MATCH(A159,'IR data'!$C$4:$C$61,1)+1)-INDEX('IR data'!$C$4:$C$61,MATCH(A159,'IR data'!$C$4:$C$61,1))))) * (INDEX('IR data'!$D$4:$D$61,MATCH(A159,'IR data'!$C$4:$C$61,1))-(INDEX('IR data'!$D$4:$D$61,MATCH(A159,'IR data'!$C$4:$C$61,1)+1)))))</f>
        <v>0.97671981776923078</v>
      </c>
      <c r="C159" s="30">
        <f t="shared" si="14"/>
        <v>2.3935577628726001E-2</v>
      </c>
      <c r="D159" s="45">
        <f t="shared" si="15"/>
        <v>45507</v>
      </c>
      <c r="E159" s="14" cm="1">
        <f t="array" ref="E159">_xlfn.IFNA(INDEX('IR data'!$I$4:$I$61,MATCH(D159,'IR data'!$H$4:$H$61,0)),((INDEX('IR data'!$I$4:$I$61,MATCH(D159,'IR data'!$H$4:$H$61,1)))-((D159-(INDEX('IR data'!$H$4:$H$61,MATCH(D159,'IR data'!$H$4:$H$61,1))))/((INDEX('IR data'!$H$4:$H$61,MATCH(D159,'IR data'!$H$4:$H$61,1)+1)-INDEX('IR data'!$H$4:$H$61,MATCH(D159,'IR data'!$H$4:$H$61,1))))) * (INDEX('IR data'!$I$4:$I$61,MATCH(D159,'IR data'!$H$4:$H$61,1))-(INDEX('IR data'!$I$4:$I$61,MATCH(D159,'IR data'!$H$4:$H$61,1)+1)))))</f>
        <v>0.97667579078260869</v>
      </c>
      <c r="F159" s="30">
        <f t="shared" si="16"/>
        <v>2.3981382464224529E-2</v>
      </c>
      <c r="G159" s="45">
        <f t="shared" si="12"/>
        <v>45541</v>
      </c>
      <c r="H159" s="14" cm="1">
        <f t="array" ref="H159">_xlfn.IFNA(INDEX('IR data'!$N$4:$N$61,MATCH(G159,'IR data'!$M$4:$M$61,0)),((INDEX('IR data'!$N$4:$N$61,MATCH(G159,'IR data'!$M$4:$M$61,1)))-((G159-(INDEX('IR data'!$M$4:$M$61,MATCH(G159,'IR data'!$M$4:$M$61,1))))/((INDEX('IR data'!$M$4:$M$61,MATCH(G159,'IR data'!$M$4:$M$61,1)+1)-INDEX('IR data'!$M$4:$M$61,MATCH(G159,'IR data'!$M$4:$M$61,1))))) * (INDEX('IR data'!$N$4:$N$61,MATCH(G159,'IR data'!$M$4:$M$61,1))-(INDEX('IR data'!$N$4:$N$61,MATCH(G159,'IR data'!$M$4:$M$61,1)+1)))))</f>
        <v>0.97678467748936171</v>
      </c>
      <c r="I159" s="44">
        <f t="shared" si="17"/>
        <v>2.3868102576610623E-2</v>
      </c>
    </row>
    <row r="160" spans="1:9" x14ac:dyDescent="0.25">
      <c r="A160" s="45">
        <f t="shared" si="13"/>
        <v>45448</v>
      </c>
      <c r="B160" s="14" cm="1">
        <f t="array" ref="B160">_xlfn.IFNA(INDEX('IR data'!$D$4:$D$61,MATCH(A160,'IR data'!$C$4:$C$61,0)),((INDEX('IR data'!$D$4:$D$61,MATCH(A160,'IR data'!$C$4:$C$61,1)))-((A160-(INDEX('IR data'!$C$4:$C$61,MATCH(A160,'IR data'!$C$4:$C$61,1))))/((INDEX('IR data'!$C$4:$C$61,MATCH(A160,'IR data'!$C$4:$C$61,1)+1)-INDEX('IR data'!$C$4:$C$61,MATCH(A160,'IR data'!$C$4:$C$61,1))))) * (INDEX('IR data'!$D$4:$D$61,MATCH(A160,'IR data'!$C$4:$C$61,1))-(INDEX('IR data'!$D$4:$D$61,MATCH(A160,'IR data'!$C$4:$C$61,1)+1)))))</f>
        <v>0.9765756128461538</v>
      </c>
      <c r="C160" s="30">
        <f t="shared" si="14"/>
        <v>2.3932201819404936E-2</v>
      </c>
      <c r="D160" s="45">
        <f t="shared" si="15"/>
        <v>45508</v>
      </c>
      <c r="E160" s="14" cm="1">
        <f t="array" ref="E160">_xlfn.IFNA(INDEX('IR data'!$I$4:$I$61,MATCH(D160,'IR data'!$H$4:$H$61,0)),((INDEX('IR data'!$I$4:$I$61,MATCH(D160,'IR data'!$H$4:$H$61,1)))-((D160-(INDEX('IR data'!$H$4:$H$61,MATCH(D160,'IR data'!$H$4:$H$61,1))))/((INDEX('IR data'!$H$4:$H$61,MATCH(D160,'IR data'!$H$4:$H$61,1)+1)-INDEX('IR data'!$H$4:$H$61,MATCH(D160,'IR data'!$H$4:$H$61,1))))) * (INDEX('IR data'!$I$4:$I$61,MATCH(D160,'IR data'!$H$4:$H$61,1))-(INDEX('IR data'!$I$4:$I$61,MATCH(D160,'IR data'!$H$4:$H$61,1)+1)))))</f>
        <v>0.97652719069565219</v>
      </c>
      <c r="F160" s="30">
        <f t="shared" si="16"/>
        <v>2.3982265928121801E-2</v>
      </c>
      <c r="G160" s="45">
        <f t="shared" si="12"/>
        <v>45542</v>
      </c>
      <c r="H160" s="14" cm="1">
        <f t="array" ref="H160">_xlfn.IFNA(INDEX('IR data'!$N$4:$N$61,MATCH(G160,'IR data'!$M$4:$M$61,0)),((INDEX('IR data'!$N$4:$N$61,MATCH(G160,'IR data'!$M$4:$M$61,1)))-((G160-(INDEX('IR data'!$M$4:$M$61,MATCH(G160,'IR data'!$M$4:$M$61,1))))/((INDEX('IR data'!$M$4:$M$61,MATCH(G160,'IR data'!$M$4:$M$61,1)+1)-INDEX('IR data'!$M$4:$M$61,MATCH(G160,'IR data'!$M$4:$M$61,1))))) * (INDEX('IR data'!$N$4:$N$61,MATCH(G160,'IR data'!$M$4:$M$61,1))-(INDEX('IR data'!$N$4:$N$61,MATCH(G160,'IR data'!$M$4:$M$61,1)+1)))))</f>
        <v>0.97663655795744675</v>
      </c>
      <c r="I160" s="44">
        <f t="shared" si="17"/>
        <v>2.3869193634082818E-2</v>
      </c>
    </row>
    <row r="161" spans="1:9" x14ac:dyDescent="0.25">
      <c r="A161" s="45">
        <f t="shared" si="13"/>
        <v>45449</v>
      </c>
      <c r="B161" s="14" cm="1">
        <f t="array" ref="B161">_xlfn.IFNA(INDEX('IR data'!$D$4:$D$61,MATCH(A161,'IR data'!$C$4:$C$61,0)),((INDEX('IR data'!$D$4:$D$61,MATCH(A161,'IR data'!$C$4:$C$61,1)))-((A161-(INDEX('IR data'!$C$4:$C$61,MATCH(A161,'IR data'!$C$4:$C$61,1))))/((INDEX('IR data'!$C$4:$C$61,MATCH(A161,'IR data'!$C$4:$C$61,1)+1)-INDEX('IR data'!$C$4:$C$61,MATCH(A161,'IR data'!$C$4:$C$61,1))))) * (INDEX('IR data'!$D$4:$D$61,MATCH(A161,'IR data'!$C$4:$C$61,1))-(INDEX('IR data'!$D$4:$D$61,MATCH(A161,'IR data'!$C$4:$C$61,1)+1)))))</f>
        <v>0.97643140792307692</v>
      </c>
      <c r="C161" s="30">
        <f t="shared" si="14"/>
        <v>2.3928890617877722E-2</v>
      </c>
      <c r="D161" s="45">
        <f t="shared" si="15"/>
        <v>45509</v>
      </c>
      <c r="E161" s="14" cm="1">
        <f t="array" ref="E161">_xlfn.IFNA(INDEX('IR data'!$I$4:$I$61,MATCH(D161,'IR data'!$H$4:$H$61,0)),((INDEX('IR data'!$I$4:$I$61,MATCH(D161,'IR data'!$H$4:$H$61,1)))-((D161-(INDEX('IR data'!$H$4:$H$61,MATCH(D161,'IR data'!$H$4:$H$61,1))))/((INDEX('IR data'!$H$4:$H$61,MATCH(D161,'IR data'!$H$4:$H$61,1)+1)-INDEX('IR data'!$H$4:$H$61,MATCH(D161,'IR data'!$H$4:$H$61,1))))) * (INDEX('IR data'!$I$4:$I$61,MATCH(D161,'IR data'!$H$4:$H$61,1))-(INDEX('IR data'!$I$4:$I$61,MATCH(D161,'IR data'!$H$4:$H$61,1)+1)))))</f>
        <v>0.9763785906086957</v>
      </c>
      <c r="F161" s="30">
        <f t="shared" si="16"/>
        <v>2.3983161441089102E-2</v>
      </c>
      <c r="G161" s="45">
        <f t="shared" si="12"/>
        <v>45543</v>
      </c>
      <c r="H161" s="14" cm="1">
        <f t="array" ref="H161">_xlfn.IFNA(INDEX('IR data'!$N$4:$N$61,MATCH(G161,'IR data'!$M$4:$M$61,0)),((INDEX('IR data'!$N$4:$N$61,MATCH(G161,'IR data'!$M$4:$M$61,1)))-((G161-(INDEX('IR data'!$M$4:$M$61,MATCH(G161,'IR data'!$M$4:$M$61,1))))/((INDEX('IR data'!$M$4:$M$61,MATCH(G161,'IR data'!$M$4:$M$61,1)+1)-INDEX('IR data'!$M$4:$M$61,MATCH(G161,'IR data'!$M$4:$M$61,1))))) * (INDEX('IR data'!$N$4:$N$61,MATCH(G161,'IR data'!$M$4:$M$61,1))-(INDEX('IR data'!$N$4:$N$61,MATCH(G161,'IR data'!$M$4:$M$61,1)+1)))))</f>
        <v>0.9764884384255319</v>
      </c>
      <c r="I161" s="44">
        <f t="shared" si="17"/>
        <v>2.3870293957671679E-2</v>
      </c>
    </row>
    <row r="162" spans="1:9" x14ac:dyDescent="0.25">
      <c r="A162" s="45">
        <f t="shared" si="13"/>
        <v>45450</v>
      </c>
      <c r="B162" s="14" cm="1">
        <f t="array" ref="B162">_xlfn.IFNA(INDEX('IR data'!$D$4:$D$61,MATCH(A162,'IR data'!$C$4:$C$61,0)),((INDEX('IR data'!$D$4:$D$61,MATCH(A162,'IR data'!$C$4:$C$61,1)))-((A162-(INDEX('IR data'!$C$4:$C$61,MATCH(A162,'IR data'!$C$4:$C$61,1))))/((INDEX('IR data'!$C$4:$C$61,MATCH(A162,'IR data'!$C$4:$C$61,1)+1)-INDEX('IR data'!$C$4:$C$61,MATCH(A162,'IR data'!$C$4:$C$61,1))))) * (INDEX('IR data'!$D$4:$D$61,MATCH(A162,'IR data'!$C$4:$C$61,1))-(INDEX('IR data'!$D$4:$D$61,MATCH(A162,'IR data'!$C$4:$C$61,1)+1)))))</f>
        <v>0.97628720299999994</v>
      </c>
      <c r="C162" s="30">
        <f t="shared" si="14"/>
        <v>2.392564281155099E-2</v>
      </c>
      <c r="D162" s="45">
        <f t="shared" si="15"/>
        <v>45510</v>
      </c>
      <c r="E162" s="14" cm="1">
        <f t="array" ref="E162">_xlfn.IFNA(INDEX('IR data'!$I$4:$I$61,MATCH(D162,'IR data'!$H$4:$H$61,0)),((INDEX('IR data'!$I$4:$I$61,MATCH(D162,'IR data'!$H$4:$H$61,1)))-((D162-(INDEX('IR data'!$H$4:$H$61,MATCH(D162,'IR data'!$H$4:$H$61,1))))/((INDEX('IR data'!$H$4:$H$61,MATCH(D162,'IR data'!$H$4:$H$61,1)+1)-INDEX('IR data'!$H$4:$H$61,MATCH(D162,'IR data'!$H$4:$H$61,1))))) * (INDEX('IR data'!$I$4:$I$61,MATCH(D162,'IR data'!$H$4:$H$61,1))-(INDEX('IR data'!$I$4:$I$61,MATCH(D162,'IR data'!$H$4:$H$61,1)+1)))))</f>
        <v>0.9762299905217392</v>
      </c>
      <c r="F162" s="30">
        <f t="shared" si="16"/>
        <v>2.398406878281318E-2</v>
      </c>
      <c r="G162" s="45">
        <f t="shared" si="12"/>
        <v>45544</v>
      </c>
      <c r="H162" s="14" cm="1">
        <f t="array" ref="H162">_xlfn.IFNA(INDEX('IR data'!$N$4:$N$61,MATCH(G162,'IR data'!$M$4:$M$61,0)),((INDEX('IR data'!$N$4:$N$61,MATCH(G162,'IR data'!$M$4:$M$61,1)))-((G162-(INDEX('IR data'!$M$4:$M$61,MATCH(G162,'IR data'!$M$4:$M$61,1))))/((INDEX('IR data'!$M$4:$M$61,MATCH(G162,'IR data'!$M$4:$M$61,1)+1)-INDEX('IR data'!$M$4:$M$61,MATCH(G162,'IR data'!$M$4:$M$61,1))))) * (INDEX('IR data'!$N$4:$N$61,MATCH(G162,'IR data'!$M$4:$M$61,1))-(INDEX('IR data'!$N$4:$N$61,MATCH(G162,'IR data'!$M$4:$M$61,1)+1)))))</f>
        <v>0.97634031889361705</v>
      </c>
      <c r="I162" s="44">
        <f t="shared" si="17"/>
        <v>2.3871403379502328E-2</v>
      </c>
    </row>
    <row r="163" spans="1:9" x14ac:dyDescent="0.25">
      <c r="A163" s="45">
        <f t="shared" si="13"/>
        <v>45451</v>
      </c>
      <c r="B163" s="14" cm="1">
        <f t="array" ref="B163">_xlfn.IFNA(INDEX('IR data'!$D$4:$D$61,MATCH(A163,'IR data'!$C$4:$C$61,0)),((INDEX('IR data'!$D$4:$D$61,MATCH(A163,'IR data'!$C$4:$C$61,1)))-((A163-(INDEX('IR data'!$C$4:$C$61,MATCH(A163,'IR data'!$C$4:$C$61,1))))/((INDEX('IR data'!$C$4:$C$61,MATCH(A163,'IR data'!$C$4:$C$61,1)+1)-INDEX('IR data'!$C$4:$C$61,MATCH(A163,'IR data'!$C$4:$C$61,1))))) * (INDEX('IR data'!$D$4:$D$61,MATCH(A163,'IR data'!$C$4:$C$61,1))-(INDEX('IR data'!$D$4:$D$61,MATCH(A163,'IR data'!$C$4:$C$61,1)+1)))))</f>
        <v>0.97614299807692306</v>
      </c>
      <c r="C163" s="30">
        <f t="shared" si="14"/>
        <v>2.3922457218148587E-2</v>
      </c>
      <c r="D163" s="45">
        <f t="shared" si="15"/>
        <v>45511</v>
      </c>
      <c r="E163" s="14" cm="1">
        <f t="array" ref="E163">_xlfn.IFNA(INDEX('IR data'!$I$4:$I$61,MATCH(D163,'IR data'!$H$4:$H$61,0)),((INDEX('IR data'!$I$4:$I$61,MATCH(D163,'IR data'!$H$4:$H$61,1)))-((D163-(INDEX('IR data'!$H$4:$H$61,MATCH(D163,'IR data'!$H$4:$H$61,1))))/((INDEX('IR data'!$H$4:$H$61,MATCH(D163,'IR data'!$H$4:$H$61,1)+1)-INDEX('IR data'!$H$4:$H$61,MATCH(D163,'IR data'!$H$4:$H$61,1))))) * (INDEX('IR data'!$I$4:$I$61,MATCH(D163,'IR data'!$H$4:$H$61,1))-(INDEX('IR data'!$I$4:$I$61,MATCH(D163,'IR data'!$H$4:$H$61,1)+1)))))</f>
        <v>0.97608139043478259</v>
      </c>
      <c r="F163" s="30">
        <f t="shared" si="16"/>
        <v>2.3984987738491934E-2</v>
      </c>
      <c r="G163" s="45">
        <f t="shared" si="12"/>
        <v>45545</v>
      </c>
      <c r="H163" s="14" cm="1">
        <f t="array" ref="H163">_xlfn.IFNA(INDEX('IR data'!$N$4:$N$61,MATCH(G163,'IR data'!$M$4:$M$61,0)),((INDEX('IR data'!$N$4:$N$61,MATCH(G163,'IR data'!$M$4:$M$61,1)))-((G163-(INDEX('IR data'!$M$4:$M$61,MATCH(G163,'IR data'!$M$4:$M$61,1))))/((INDEX('IR data'!$M$4:$M$61,MATCH(G163,'IR data'!$M$4:$M$61,1)+1)-INDEX('IR data'!$M$4:$M$61,MATCH(G163,'IR data'!$M$4:$M$61,1))))) * (INDEX('IR data'!$N$4:$N$61,MATCH(G163,'IR data'!$M$4:$M$61,1))-(INDEX('IR data'!$N$4:$N$61,MATCH(G163,'IR data'!$M$4:$M$61,1)+1)))))</f>
        <v>0.9761921993617021</v>
      </c>
      <c r="I163" s="44">
        <f t="shared" si="17"/>
        <v>2.3872521735899915E-2</v>
      </c>
    </row>
    <row r="164" spans="1:9" x14ac:dyDescent="0.25">
      <c r="A164" s="45">
        <f t="shared" si="13"/>
        <v>45452</v>
      </c>
      <c r="B164" s="14" cm="1">
        <f t="array" ref="B164">_xlfn.IFNA(INDEX('IR data'!$D$4:$D$61,MATCH(A164,'IR data'!$C$4:$C$61,0)),((INDEX('IR data'!$D$4:$D$61,MATCH(A164,'IR data'!$C$4:$C$61,1)))-((A164-(INDEX('IR data'!$C$4:$C$61,MATCH(A164,'IR data'!$C$4:$C$61,1))))/((INDEX('IR data'!$C$4:$C$61,MATCH(A164,'IR data'!$C$4:$C$61,1)+1)-INDEX('IR data'!$C$4:$C$61,MATCH(A164,'IR data'!$C$4:$C$61,1))))) * (INDEX('IR data'!$D$4:$D$61,MATCH(A164,'IR data'!$C$4:$C$61,1))-(INDEX('IR data'!$D$4:$D$61,MATCH(A164,'IR data'!$C$4:$C$61,1)+1)))))</f>
        <v>0.97599879315384619</v>
      </c>
      <c r="C164" s="30">
        <f t="shared" si="14"/>
        <v>2.3919332684770828E-2</v>
      </c>
      <c r="D164" s="45">
        <f t="shared" si="15"/>
        <v>45512</v>
      </c>
      <c r="E164" s="14" cm="1">
        <f t="array" ref="E164">_xlfn.IFNA(INDEX('IR data'!$I$4:$I$61,MATCH(D164,'IR data'!$H$4:$H$61,0)),((INDEX('IR data'!$I$4:$I$61,MATCH(D164,'IR data'!$H$4:$H$61,1)))-((D164-(INDEX('IR data'!$H$4:$H$61,MATCH(D164,'IR data'!$H$4:$H$61,1))))/((INDEX('IR data'!$H$4:$H$61,MATCH(D164,'IR data'!$H$4:$H$61,1)+1)-INDEX('IR data'!$H$4:$H$61,MATCH(D164,'IR data'!$H$4:$H$61,1))))) * (INDEX('IR data'!$I$4:$I$61,MATCH(D164,'IR data'!$H$4:$H$61,1))-(INDEX('IR data'!$I$4:$I$61,MATCH(D164,'IR data'!$H$4:$H$61,1)+1)))))</f>
        <v>0.9759327903478261</v>
      </c>
      <c r="F164" s="30">
        <f t="shared" si="16"/>
        <v>2.3985918098662785E-2</v>
      </c>
      <c r="G164" s="45">
        <f t="shared" si="12"/>
        <v>45546</v>
      </c>
      <c r="H164" s="14" cm="1">
        <f t="array" ref="H164">_xlfn.IFNA(INDEX('IR data'!$N$4:$N$61,MATCH(G164,'IR data'!$M$4:$M$61,0)),((INDEX('IR data'!$N$4:$N$61,MATCH(G164,'IR data'!$M$4:$M$61,1)))-((G164-(INDEX('IR data'!$M$4:$M$61,MATCH(G164,'IR data'!$M$4:$M$61,1))))/((INDEX('IR data'!$M$4:$M$61,MATCH(G164,'IR data'!$M$4:$M$61,1)+1)-INDEX('IR data'!$M$4:$M$61,MATCH(G164,'IR data'!$M$4:$M$61,1))))) * (INDEX('IR data'!$N$4:$N$61,MATCH(G164,'IR data'!$M$4:$M$61,1))-(INDEX('IR data'!$N$4:$N$61,MATCH(G164,'IR data'!$M$4:$M$61,1)+1)))))</f>
        <v>0.97604407982978725</v>
      </c>
      <c r="I164" s="44">
        <f t="shared" si="17"/>
        <v>2.3873648867258825E-2</v>
      </c>
    </row>
    <row r="165" spans="1:9" x14ac:dyDescent="0.25">
      <c r="A165" s="45">
        <f t="shared" si="13"/>
        <v>45453</v>
      </c>
      <c r="B165" s="14" cm="1">
        <f t="array" ref="B165">_xlfn.IFNA(INDEX('IR data'!$D$4:$D$61,MATCH(A165,'IR data'!$C$4:$C$61,0)),((INDEX('IR data'!$D$4:$D$61,MATCH(A165,'IR data'!$C$4:$C$61,1)))-((A165-(INDEX('IR data'!$C$4:$C$61,MATCH(A165,'IR data'!$C$4:$C$61,1))))/((INDEX('IR data'!$C$4:$C$61,MATCH(A165,'IR data'!$C$4:$C$61,1)+1)-INDEX('IR data'!$C$4:$C$61,MATCH(A165,'IR data'!$C$4:$C$61,1))))) * (INDEX('IR data'!$D$4:$D$61,MATCH(A165,'IR data'!$C$4:$C$61,1))-(INDEX('IR data'!$D$4:$D$61,MATCH(A165,'IR data'!$C$4:$C$61,1)+1)))))</f>
        <v>0.9758545882307692</v>
      </c>
      <c r="C165" s="30">
        <f t="shared" si="14"/>
        <v>2.3916268086987491E-2</v>
      </c>
      <c r="D165" s="45">
        <f t="shared" si="15"/>
        <v>45513</v>
      </c>
      <c r="E165" s="14" cm="1">
        <f t="array" ref="E165">_xlfn.IFNA(INDEX('IR data'!$I$4:$I$61,MATCH(D165,'IR data'!$H$4:$H$61,0)),((INDEX('IR data'!$I$4:$I$61,MATCH(D165,'IR data'!$H$4:$H$61,1)))-((D165-(INDEX('IR data'!$H$4:$H$61,MATCH(D165,'IR data'!$H$4:$H$61,1))))/((INDEX('IR data'!$H$4:$H$61,MATCH(D165,'IR data'!$H$4:$H$61,1)+1)-INDEX('IR data'!$H$4:$H$61,MATCH(D165,'IR data'!$H$4:$H$61,1))))) * (INDEX('IR data'!$I$4:$I$61,MATCH(D165,'IR data'!$H$4:$H$61,1))-(INDEX('IR data'!$I$4:$I$61,MATCH(D165,'IR data'!$H$4:$H$61,1)+1)))))</f>
        <v>0.9757841902608696</v>
      </c>
      <c r="F165" s="30">
        <f t="shared" si="16"/>
        <v>2.3986859659038573E-2</v>
      </c>
      <c r="G165" s="45">
        <f t="shared" si="12"/>
        <v>45547</v>
      </c>
      <c r="H165" s="14" cm="1">
        <f t="array" ref="H165">_xlfn.IFNA(INDEX('IR data'!$N$4:$N$61,MATCH(G165,'IR data'!$M$4:$M$61,0)),((INDEX('IR data'!$N$4:$N$61,MATCH(G165,'IR data'!$M$4:$M$61,1)))-((G165-(INDEX('IR data'!$M$4:$M$61,MATCH(G165,'IR data'!$M$4:$M$61,1))))/((INDEX('IR data'!$M$4:$M$61,MATCH(G165,'IR data'!$M$4:$M$61,1)+1)-INDEX('IR data'!$M$4:$M$61,MATCH(G165,'IR data'!$M$4:$M$61,1))))) * (INDEX('IR data'!$N$4:$N$61,MATCH(G165,'IR data'!$M$4:$M$61,1))-(INDEX('IR data'!$N$4:$N$61,MATCH(G165,'IR data'!$M$4:$M$61,1)+1)))))</f>
        <v>0.97589596029787229</v>
      </c>
      <c r="I165" s="44">
        <f t="shared" si="17"/>
        <v>2.3874784617917883E-2</v>
      </c>
    </row>
    <row r="166" spans="1:9" x14ac:dyDescent="0.25">
      <c r="A166" s="45">
        <f t="shared" si="13"/>
        <v>45454</v>
      </c>
      <c r="B166" s="14" cm="1">
        <f t="array" ref="B166">_xlfn.IFNA(INDEX('IR data'!$D$4:$D$61,MATCH(A166,'IR data'!$C$4:$C$61,0)),((INDEX('IR data'!$D$4:$D$61,MATCH(A166,'IR data'!$C$4:$C$61,1)))-((A166-(INDEX('IR data'!$C$4:$C$61,MATCH(A166,'IR data'!$C$4:$C$61,1))))/((INDEX('IR data'!$C$4:$C$61,MATCH(A166,'IR data'!$C$4:$C$61,1)+1)-INDEX('IR data'!$C$4:$C$61,MATCH(A166,'IR data'!$C$4:$C$61,1))))) * (INDEX('IR data'!$D$4:$D$61,MATCH(A166,'IR data'!$C$4:$C$61,1))-(INDEX('IR data'!$D$4:$D$61,MATCH(A166,'IR data'!$C$4:$C$61,1)+1)))))</f>
        <v>0.97571038330769233</v>
      </c>
      <c r="C166" s="30">
        <f t="shared" si="14"/>
        <v>2.3913262327964174E-2</v>
      </c>
      <c r="D166" s="45">
        <f t="shared" si="15"/>
        <v>45514</v>
      </c>
      <c r="E166" s="14" cm="1">
        <f t="array" ref="E166">_xlfn.IFNA(INDEX('IR data'!$I$4:$I$61,MATCH(D166,'IR data'!$H$4:$H$61,0)),((INDEX('IR data'!$I$4:$I$61,MATCH(D166,'IR data'!$H$4:$H$61,1)))-((D166-(INDEX('IR data'!$H$4:$H$61,MATCH(D166,'IR data'!$H$4:$H$61,1))))/((INDEX('IR data'!$H$4:$H$61,MATCH(D166,'IR data'!$H$4:$H$61,1)+1)-INDEX('IR data'!$H$4:$H$61,MATCH(D166,'IR data'!$H$4:$H$61,1))))) * (INDEX('IR data'!$I$4:$I$61,MATCH(D166,'IR data'!$H$4:$H$61,1))-(INDEX('IR data'!$I$4:$I$61,MATCH(D166,'IR data'!$H$4:$H$61,1)+1)))))</f>
        <v>0.9756355901739131</v>
      </c>
      <c r="F166" s="30">
        <f t="shared" si="16"/>
        <v>2.398781222034832E-2</v>
      </c>
      <c r="G166" s="45">
        <f t="shared" si="12"/>
        <v>45548</v>
      </c>
      <c r="H166" s="14" cm="1">
        <f t="array" ref="H166">_xlfn.IFNA(INDEX('IR data'!$N$4:$N$61,MATCH(G166,'IR data'!$M$4:$M$61,0)),((INDEX('IR data'!$N$4:$N$61,MATCH(G166,'IR data'!$M$4:$M$61,1)))-((G166-(INDEX('IR data'!$M$4:$M$61,MATCH(G166,'IR data'!$M$4:$M$61,1))))/((INDEX('IR data'!$M$4:$M$61,MATCH(G166,'IR data'!$M$4:$M$61,1)+1)-INDEX('IR data'!$M$4:$M$61,MATCH(G166,'IR data'!$M$4:$M$61,1))))) * (INDEX('IR data'!$N$4:$N$61,MATCH(G166,'IR data'!$M$4:$M$61,1))-(INDEX('IR data'!$N$4:$N$61,MATCH(G166,'IR data'!$M$4:$M$61,1)+1)))))</f>
        <v>0.97574784076595744</v>
      </c>
      <c r="I166" s="44">
        <f t="shared" si="17"/>
        <v>2.3875928836038486E-2</v>
      </c>
    </row>
    <row r="167" spans="1:9" x14ac:dyDescent="0.25">
      <c r="A167" s="45">
        <f t="shared" si="13"/>
        <v>45455</v>
      </c>
      <c r="B167" s="14" cm="1">
        <f t="array" ref="B167">_xlfn.IFNA(INDEX('IR data'!$D$4:$D$61,MATCH(A167,'IR data'!$C$4:$C$61,0)),((INDEX('IR data'!$D$4:$D$61,MATCH(A167,'IR data'!$C$4:$C$61,1)))-((A167-(INDEX('IR data'!$C$4:$C$61,MATCH(A167,'IR data'!$C$4:$C$61,1))))/((INDEX('IR data'!$C$4:$C$61,MATCH(A167,'IR data'!$C$4:$C$61,1)+1)-INDEX('IR data'!$C$4:$C$61,MATCH(A167,'IR data'!$C$4:$C$61,1))))) * (INDEX('IR data'!$D$4:$D$61,MATCH(A167,'IR data'!$C$4:$C$61,1))-(INDEX('IR data'!$D$4:$D$61,MATCH(A167,'IR data'!$C$4:$C$61,1)+1)))))</f>
        <v>0.97556617838461535</v>
      </c>
      <c r="C167" s="30">
        <f t="shared" si="14"/>
        <v>2.3910314337621738E-2</v>
      </c>
      <c r="D167" s="45">
        <f t="shared" si="15"/>
        <v>45515</v>
      </c>
      <c r="E167" s="14" cm="1">
        <f t="array" ref="E167">_xlfn.IFNA(INDEX('IR data'!$I$4:$I$61,MATCH(D167,'IR data'!$H$4:$H$61,0)),((INDEX('IR data'!$I$4:$I$61,MATCH(D167,'IR data'!$H$4:$H$61,1)))-((D167-(INDEX('IR data'!$H$4:$H$61,MATCH(D167,'IR data'!$H$4:$H$61,1))))/((INDEX('IR data'!$H$4:$H$61,MATCH(D167,'IR data'!$H$4:$H$61,1)+1)-INDEX('IR data'!$H$4:$H$61,MATCH(D167,'IR data'!$H$4:$H$61,1))))) * (INDEX('IR data'!$I$4:$I$61,MATCH(D167,'IR data'!$H$4:$H$61,1))-(INDEX('IR data'!$I$4:$I$61,MATCH(D167,'IR data'!$H$4:$H$61,1)+1)))))</f>
        <v>0.9754869900869565</v>
      </c>
      <c r="F167" s="30">
        <f t="shared" si="16"/>
        <v>2.3988775588184567E-2</v>
      </c>
      <c r="G167" s="45">
        <f t="shared" si="12"/>
        <v>45549</v>
      </c>
      <c r="H167" s="14" cm="1">
        <f t="array" ref="H167">_xlfn.IFNA(INDEX('IR data'!$N$4:$N$61,MATCH(G167,'IR data'!$M$4:$M$61,0)),((INDEX('IR data'!$N$4:$N$61,MATCH(G167,'IR data'!$M$4:$M$61,1)))-((G167-(INDEX('IR data'!$M$4:$M$61,MATCH(G167,'IR data'!$M$4:$M$61,1))))/((INDEX('IR data'!$M$4:$M$61,MATCH(G167,'IR data'!$M$4:$M$61,1)+1)-INDEX('IR data'!$M$4:$M$61,MATCH(G167,'IR data'!$M$4:$M$61,1))))) * (INDEX('IR data'!$N$4:$N$61,MATCH(G167,'IR data'!$M$4:$M$61,1))-(INDEX('IR data'!$N$4:$N$61,MATCH(G167,'IR data'!$M$4:$M$61,1)+1)))))</f>
        <v>0.97559972123404259</v>
      </c>
      <c r="I167" s="44">
        <f t="shared" si="17"/>
        <v>2.387708137348879E-2</v>
      </c>
    </row>
    <row r="168" spans="1:9" x14ac:dyDescent="0.25">
      <c r="A168" s="45">
        <f t="shared" si="13"/>
        <v>45456</v>
      </c>
      <c r="B168" s="14" cm="1">
        <f t="array" ref="B168">_xlfn.IFNA(INDEX('IR data'!$D$4:$D$61,MATCH(A168,'IR data'!$C$4:$C$61,0)),((INDEX('IR data'!$D$4:$D$61,MATCH(A168,'IR data'!$C$4:$C$61,1)))-((A168-(INDEX('IR data'!$C$4:$C$61,MATCH(A168,'IR data'!$C$4:$C$61,1))))/((INDEX('IR data'!$C$4:$C$61,MATCH(A168,'IR data'!$C$4:$C$61,1)+1)-INDEX('IR data'!$C$4:$C$61,MATCH(A168,'IR data'!$C$4:$C$61,1))))) * (INDEX('IR data'!$D$4:$D$61,MATCH(A168,'IR data'!$C$4:$C$61,1))-(INDEX('IR data'!$D$4:$D$61,MATCH(A168,'IR data'!$C$4:$C$61,1)+1)))))</f>
        <v>0.97542197346153847</v>
      </c>
      <c r="C168" s="30">
        <f t="shared" si="14"/>
        <v>2.3907423071824675E-2</v>
      </c>
      <c r="D168" s="45">
        <f t="shared" si="15"/>
        <v>45516</v>
      </c>
      <c r="E168" s="14" cm="1">
        <f t="array" ref="E168">_xlfn.IFNA(INDEX('IR data'!$I$4:$I$61,MATCH(D168,'IR data'!$H$4:$H$61,0)),((INDEX('IR data'!$I$4:$I$61,MATCH(D168,'IR data'!$H$4:$H$61,1)))-((D168-(INDEX('IR data'!$H$4:$H$61,MATCH(D168,'IR data'!$H$4:$H$61,1))))/((INDEX('IR data'!$H$4:$H$61,MATCH(D168,'IR data'!$H$4:$H$61,1)+1)-INDEX('IR data'!$H$4:$H$61,MATCH(D168,'IR data'!$H$4:$H$61,1))))) * (INDEX('IR data'!$I$4:$I$61,MATCH(D168,'IR data'!$H$4:$H$61,1))-(INDEX('IR data'!$I$4:$I$61,MATCH(D168,'IR data'!$H$4:$H$61,1)+1)))))</f>
        <v>0.97533839</v>
      </c>
      <c r="F168" s="30">
        <f t="shared" si="16"/>
        <v>2.3989749572855535E-2</v>
      </c>
      <c r="G168" s="45">
        <f t="shared" si="12"/>
        <v>45550</v>
      </c>
      <c r="H168" s="14" cm="1">
        <f t="array" ref="H168">_xlfn.IFNA(INDEX('IR data'!$N$4:$N$61,MATCH(G168,'IR data'!$M$4:$M$61,0)),((INDEX('IR data'!$N$4:$N$61,MATCH(G168,'IR data'!$M$4:$M$61,1)))-((G168-(INDEX('IR data'!$M$4:$M$61,MATCH(G168,'IR data'!$M$4:$M$61,1))))/((INDEX('IR data'!$M$4:$M$61,MATCH(G168,'IR data'!$M$4:$M$61,1)+1)-INDEX('IR data'!$M$4:$M$61,MATCH(G168,'IR data'!$M$4:$M$61,1))))) * (INDEX('IR data'!$N$4:$N$61,MATCH(G168,'IR data'!$M$4:$M$61,1))-(INDEX('IR data'!$N$4:$N$61,MATCH(G168,'IR data'!$M$4:$M$61,1)+1)))))</f>
        <v>0.97545160170212764</v>
      </c>
      <c r="I168" s="44">
        <f t="shared" si="17"/>
        <v>2.3878242085731121E-2</v>
      </c>
    </row>
    <row r="169" spans="1:9" x14ac:dyDescent="0.25">
      <c r="A169" s="45">
        <f t="shared" si="13"/>
        <v>45457</v>
      </c>
      <c r="B169" s="14" cm="1">
        <f t="array" ref="B169">_xlfn.IFNA(INDEX('IR data'!$D$4:$D$61,MATCH(A169,'IR data'!$C$4:$C$61,0)),((INDEX('IR data'!$D$4:$D$61,MATCH(A169,'IR data'!$C$4:$C$61,1)))-((A169-(INDEX('IR data'!$C$4:$C$61,MATCH(A169,'IR data'!$C$4:$C$61,1))))/((INDEX('IR data'!$C$4:$C$61,MATCH(A169,'IR data'!$C$4:$C$61,1)+1)-INDEX('IR data'!$C$4:$C$61,MATCH(A169,'IR data'!$C$4:$C$61,1))))) * (INDEX('IR data'!$D$4:$D$61,MATCH(A169,'IR data'!$C$4:$C$61,1))-(INDEX('IR data'!$D$4:$D$61,MATCH(A169,'IR data'!$C$4:$C$61,1)+1)))))</f>
        <v>0.97527776853846149</v>
      </c>
      <c r="C169" s="30">
        <f t="shared" si="14"/>
        <v>2.3904587511600527E-2</v>
      </c>
      <c r="D169" s="45">
        <f t="shared" si="15"/>
        <v>45517</v>
      </c>
      <c r="E169" s="14" cm="1">
        <f t="array" ref="E169">_xlfn.IFNA(INDEX('IR data'!$I$4:$I$61,MATCH(D169,'IR data'!$H$4:$H$61,0)),((INDEX('IR data'!$I$4:$I$61,MATCH(D169,'IR data'!$H$4:$H$61,1)))-((D169-(INDEX('IR data'!$H$4:$H$61,MATCH(D169,'IR data'!$H$4:$H$61,1))))/((INDEX('IR data'!$H$4:$H$61,MATCH(D169,'IR data'!$H$4:$H$61,1)+1)-INDEX('IR data'!$H$4:$H$61,MATCH(D169,'IR data'!$H$4:$H$61,1))))) * (INDEX('IR data'!$I$4:$I$61,MATCH(D169,'IR data'!$H$4:$H$61,1))-(INDEX('IR data'!$I$4:$I$61,MATCH(D169,'IR data'!$H$4:$H$61,1)+1)))))</f>
        <v>0.9751897899130435</v>
      </c>
      <c r="F169" s="30">
        <f t="shared" si="16"/>
        <v>2.3990733989243725E-2</v>
      </c>
      <c r="G169" s="45">
        <f t="shared" si="12"/>
        <v>45551</v>
      </c>
      <c r="H169" s="14" cm="1">
        <f t="array" ref="H169">_xlfn.IFNA(INDEX('IR data'!$N$4:$N$61,MATCH(G169,'IR data'!$M$4:$M$61,0)),((INDEX('IR data'!$N$4:$N$61,MATCH(G169,'IR data'!$M$4:$M$61,1)))-((G169-(INDEX('IR data'!$M$4:$M$61,MATCH(G169,'IR data'!$M$4:$M$61,1))))/((INDEX('IR data'!$M$4:$M$61,MATCH(G169,'IR data'!$M$4:$M$61,1)+1)-INDEX('IR data'!$M$4:$M$61,MATCH(G169,'IR data'!$M$4:$M$61,1))))) * (INDEX('IR data'!$N$4:$N$61,MATCH(G169,'IR data'!$M$4:$M$61,1))-(INDEX('IR data'!$N$4:$N$61,MATCH(G169,'IR data'!$M$4:$M$61,1)+1)))))</f>
        <v>0.97530348217021279</v>
      </c>
      <c r="I169" s="44">
        <f t="shared" si="17"/>
        <v>2.3879410831713334E-2</v>
      </c>
    </row>
    <row r="170" spans="1:9" x14ac:dyDescent="0.25">
      <c r="A170" s="45">
        <f t="shared" si="13"/>
        <v>45458</v>
      </c>
      <c r="B170" s="14" cm="1">
        <f t="array" ref="B170">_xlfn.IFNA(INDEX('IR data'!$D$4:$D$61,MATCH(A170,'IR data'!$C$4:$C$61,0)),((INDEX('IR data'!$D$4:$D$61,MATCH(A170,'IR data'!$C$4:$C$61,1)))-((A170-(INDEX('IR data'!$C$4:$C$61,MATCH(A170,'IR data'!$C$4:$C$61,1))))/((INDEX('IR data'!$C$4:$C$61,MATCH(A170,'IR data'!$C$4:$C$61,1)+1)-INDEX('IR data'!$C$4:$C$61,MATCH(A170,'IR data'!$C$4:$C$61,1))))) * (INDEX('IR data'!$D$4:$D$61,MATCH(A170,'IR data'!$C$4:$C$61,1))-(INDEX('IR data'!$D$4:$D$61,MATCH(A170,'IR data'!$C$4:$C$61,1)+1)))))</f>
        <v>0.97513356361538461</v>
      </c>
      <c r="C170" s="30">
        <f t="shared" si="14"/>
        <v>2.3901806662385675E-2</v>
      </c>
      <c r="D170" s="45">
        <f t="shared" si="15"/>
        <v>45518</v>
      </c>
      <c r="E170" s="14" cm="1">
        <f t="array" ref="E170">_xlfn.IFNA(INDEX('IR data'!$I$4:$I$61,MATCH(D170,'IR data'!$H$4:$H$61,0)),((INDEX('IR data'!$I$4:$I$61,MATCH(D170,'IR data'!$H$4:$H$61,1)))-((D170-(INDEX('IR data'!$H$4:$H$61,MATCH(D170,'IR data'!$H$4:$H$61,1))))/((INDEX('IR data'!$H$4:$H$61,MATCH(D170,'IR data'!$H$4:$H$61,1)+1)-INDEX('IR data'!$H$4:$H$61,MATCH(D170,'IR data'!$H$4:$H$61,1))))) * (INDEX('IR data'!$I$4:$I$61,MATCH(D170,'IR data'!$H$4:$H$61,1))-(INDEX('IR data'!$I$4:$I$61,MATCH(D170,'IR data'!$H$4:$H$61,1)+1)))))</f>
        <v>0.97504118982608701</v>
      </c>
      <c r="F170" s="30">
        <f t="shared" si="16"/>
        <v>2.3991728656668574E-2</v>
      </c>
      <c r="G170" s="45">
        <f t="shared" si="12"/>
        <v>45552</v>
      </c>
      <c r="H170" s="14" cm="1">
        <f t="array" ref="H170">_xlfn.IFNA(INDEX('IR data'!$N$4:$N$61,MATCH(G170,'IR data'!$M$4:$M$61,0)),((INDEX('IR data'!$N$4:$N$61,MATCH(G170,'IR data'!$M$4:$M$61,1)))-((G170-(INDEX('IR data'!$M$4:$M$61,MATCH(G170,'IR data'!$M$4:$M$61,1))))/((INDEX('IR data'!$M$4:$M$61,MATCH(G170,'IR data'!$M$4:$M$61,1)+1)-INDEX('IR data'!$M$4:$M$61,MATCH(G170,'IR data'!$M$4:$M$61,1))))) * (INDEX('IR data'!$N$4:$N$61,MATCH(G170,'IR data'!$M$4:$M$61,1))-(INDEX('IR data'!$N$4:$N$61,MATCH(G170,'IR data'!$M$4:$M$61,1)+1)))))</f>
        <v>0.97515536263829783</v>
      </c>
      <c r="I170" s="44">
        <f t="shared" si="17"/>
        <v>2.3880587473765244E-2</v>
      </c>
    </row>
    <row r="171" spans="1:9" x14ac:dyDescent="0.25">
      <c r="A171" s="45">
        <f t="shared" si="13"/>
        <v>45459</v>
      </c>
      <c r="B171" s="14" cm="1">
        <f t="array" ref="B171">_xlfn.IFNA(INDEX('IR data'!$D$4:$D$61,MATCH(A171,'IR data'!$C$4:$C$61,0)),((INDEX('IR data'!$D$4:$D$61,MATCH(A171,'IR data'!$C$4:$C$61,1)))-((A171-(INDEX('IR data'!$C$4:$C$61,MATCH(A171,'IR data'!$C$4:$C$61,1))))/((INDEX('IR data'!$C$4:$C$61,MATCH(A171,'IR data'!$C$4:$C$61,1)+1)-INDEX('IR data'!$C$4:$C$61,MATCH(A171,'IR data'!$C$4:$C$61,1))))) * (INDEX('IR data'!$D$4:$D$61,MATCH(A171,'IR data'!$C$4:$C$61,1))-(INDEX('IR data'!$D$4:$D$61,MATCH(A171,'IR data'!$C$4:$C$61,1)+1)))))</f>
        <v>0.97498935869230763</v>
      </c>
      <c r="C171" s="30">
        <f t="shared" si="14"/>
        <v>2.3899079553299694E-2</v>
      </c>
      <c r="D171" s="45">
        <f t="shared" si="15"/>
        <v>45519</v>
      </c>
      <c r="E171" s="14" cm="1">
        <f t="array" ref="E171">_xlfn.IFNA(INDEX('IR data'!$I$4:$I$61,MATCH(D171,'IR data'!$H$4:$H$61,0)),((INDEX('IR data'!$I$4:$I$61,MATCH(D171,'IR data'!$H$4:$H$61,1)))-((D171-(INDEX('IR data'!$H$4:$H$61,MATCH(D171,'IR data'!$H$4:$H$61,1))))/((INDEX('IR data'!$H$4:$H$61,MATCH(D171,'IR data'!$H$4:$H$61,1)+1)-INDEX('IR data'!$H$4:$H$61,MATCH(D171,'IR data'!$H$4:$H$61,1))))) * (INDEX('IR data'!$I$4:$I$61,MATCH(D171,'IR data'!$H$4:$H$61,1))-(INDEX('IR data'!$I$4:$I$61,MATCH(D171,'IR data'!$H$4:$H$61,1)+1)))))</f>
        <v>0.97489258973913051</v>
      </c>
      <c r="F171" s="30">
        <f t="shared" si="16"/>
        <v>2.3992733398754476E-2</v>
      </c>
      <c r="G171" s="45">
        <f t="shared" si="12"/>
        <v>45553</v>
      </c>
      <c r="H171" s="14" cm="1">
        <f t="array" ref="H171">_xlfn.IFNA(INDEX('IR data'!$N$4:$N$61,MATCH(G171,'IR data'!$M$4:$M$61,0)),((INDEX('IR data'!$N$4:$N$61,MATCH(G171,'IR data'!$M$4:$M$61,1)))-((G171-(INDEX('IR data'!$M$4:$M$61,MATCH(G171,'IR data'!$M$4:$M$61,1))))/((INDEX('IR data'!$M$4:$M$61,MATCH(G171,'IR data'!$M$4:$M$61,1)+1)-INDEX('IR data'!$M$4:$M$61,MATCH(G171,'IR data'!$M$4:$M$61,1))))) * (INDEX('IR data'!$N$4:$N$61,MATCH(G171,'IR data'!$M$4:$M$61,1))-(INDEX('IR data'!$N$4:$N$61,MATCH(G171,'IR data'!$M$4:$M$61,1)+1)))))</f>
        <v>0.97500724310638298</v>
      </c>
      <c r="I171" s="44">
        <f t="shared" si="17"/>
        <v>2.3881771877497123E-2</v>
      </c>
    </row>
    <row r="172" spans="1:9" x14ac:dyDescent="0.25">
      <c r="A172" s="45">
        <f t="shared" si="13"/>
        <v>45460</v>
      </c>
      <c r="B172" s="14" cm="1">
        <f t="array" ref="B172">_xlfn.IFNA(INDEX('IR data'!$D$4:$D$61,MATCH(A172,'IR data'!$C$4:$C$61,0)),((INDEX('IR data'!$D$4:$D$61,MATCH(A172,'IR data'!$C$4:$C$61,1)))-((A172-(INDEX('IR data'!$C$4:$C$61,MATCH(A172,'IR data'!$C$4:$C$61,1))))/((INDEX('IR data'!$C$4:$C$61,MATCH(A172,'IR data'!$C$4:$C$61,1)+1)-INDEX('IR data'!$C$4:$C$61,MATCH(A172,'IR data'!$C$4:$C$61,1))))) * (INDEX('IR data'!$D$4:$D$61,MATCH(A172,'IR data'!$C$4:$C$61,1))-(INDEX('IR data'!$D$4:$D$61,MATCH(A172,'IR data'!$C$4:$C$61,1)+1)))))</f>
        <v>0.97484515376923075</v>
      </c>
      <c r="C172" s="30">
        <f t="shared" si="14"/>
        <v>2.3896405236443864E-2</v>
      </c>
      <c r="D172" s="45">
        <f t="shared" si="15"/>
        <v>45520</v>
      </c>
      <c r="E172" s="14" cm="1">
        <f t="array" ref="E172">_xlfn.IFNA(INDEX('IR data'!$I$4:$I$61,MATCH(D172,'IR data'!$H$4:$H$61,0)),((INDEX('IR data'!$I$4:$I$61,MATCH(D172,'IR data'!$H$4:$H$61,1)))-((D172-(INDEX('IR data'!$H$4:$H$61,MATCH(D172,'IR data'!$H$4:$H$61,1))))/((INDEX('IR data'!$H$4:$H$61,MATCH(D172,'IR data'!$H$4:$H$61,1)+1)-INDEX('IR data'!$H$4:$H$61,MATCH(D172,'IR data'!$H$4:$H$61,1))))) * (INDEX('IR data'!$I$4:$I$61,MATCH(D172,'IR data'!$H$4:$H$61,1))-(INDEX('IR data'!$I$4:$I$61,MATCH(D172,'IR data'!$H$4:$H$61,1)+1)))))</f>
        <v>0.9747439896521739</v>
      </c>
      <c r="F172" s="30">
        <f t="shared" si="16"/>
        <v>2.399374804330354E-2</v>
      </c>
      <c r="G172" s="45">
        <f t="shared" si="12"/>
        <v>45554</v>
      </c>
      <c r="H172" s="14" cm="1">
        <f t="array" ref="H172">_xlfn.IFNA(INDEX('IR data'!$N$4:$N$61,MATCH(G172,'IR data'!$M$4:$M$61,0)),((INDEX('IR data'!$N$4:$N$61,MATCH(G172,'IR data'!$M$4:$M$61,1)))-((G172-(INDEX('IR data'!$M$4:$M$61,MATCH(G172,'IR data'!$M$4:$M$61,1))))/((INDEX('IR data'!$M$4:$M$61,MATCH(G172,'IR data'!$M$4:$M$61,1)+1)-INDEX('IR data'!$M$4:$M$61,MATCH(G172,'IR data'!$M$4:$M$61,1))))) * (INDEX('IR data'!$N$4:$N$61,MATCH(G172,'IR data'!$M$4:$M$61,1))-(INDEX('IR data'!$N$4:$N$61,MATCH(G172,'IR data'!$M$4:$M$61,1)+1)))))</f>
        <v>0.97485912357446802</v>
      </c>
      <c r="I172" s="44">
        <f t="shared" si="17"/>
        <v>2.388296391170347E-2</v>
      </c>
    </row>
    <row r="173" spans="1:9" x14ac:dyDescent="0.25">
      <c r="A173" s="45">
        <f t="shared" si="13"/>
        <v>45461</v>
      </c>
      <c r="B173" s="14" cm="1">
        <f t="array" ref="B173">_xlfn.IFNA(INDEX('IR data'!$D$4:$D$61,MATCH(A173,'IR data'!$C$4:$C$61,0)),((INDEX('IR data'!$D$4:$D$61,MATCH(A173,'IR data'!$C$4:$C$61,1)))-((A173-(INDEX('IR data'!$C$4:$C$61,MATCH(A173,'IR data'!$C$4:$C$61,1))))/((INDEX('IR data'!$C$4:$C$61,MATCH(A173,'IR data'!$C$4:$C$61,1)+1)-INDEX('IR data'!$C$4:$C$61,MATCH(A173,'IR data'!$C$4:$C$61,1))))) * (INDEX('IR data'!$D$4:$D$61,MATCH(A173,'IR data'!$C$4:$C$61,1))-(INDEX('IR data'!$D$4:$D$61,MATCH(A173,'IR data'!$C$4:$C$61,1)+1)))))</f>
        <v>0.97470094884615388</v>
      </c>
      <c r="C173" s="30">
        <f t="shared" si="14"/>
        <v>2.3893782786225937E-2</v>
      </c>
      <c r="D173" s="45">
        <f t="shared" si="15"/>
        <v>45521</v>
      </c>
      <c r="E173" s="14" cm="1">
        <f t="array" ref="E173">_xlfn.IFNA(INDEX('IR data'!$I$4:$I$61,MATCH(D173,'IR data'!$H$4:$H$61,0)),((INDEX('IR data'!$I$4:$I$61,MATCH(D173,'IR data'!$H$4:$H$61,1)))-((D173-(INDEX('IR data'!$H$4:$H$61,MATCH(D173,'IR data'!$H$4:$H$61,1))))/((INDEX('IR data'!$H$4:$H$61,MATCH(D173,'IR data'!$H$4:$H$61,1)+1)-INDEX('IR data'!$H$4:$H$61,MATCH(D173,'IR data'!$H$4:$H$61,1))))) * (INDEX('IR data'!$I$4:$I$61,MATCH(D173,'IR data'!$H$4:$H$61,1))-(INDEX('IR data'!$I$4:$I$61,MATCH(D173,'IR data'!$H$4:$H$61,1)+1)))))</f>
        <v>0.97459538956521741</v>
      </c>
      <c r="F173" s="30">
        <f t="shared" si="16"/>
        <v>2.3994772422172291E-2</v>
      </c>
      <c r="G173" s="45">
        <f t="shared" si="12"/>
        <v>45555</v>
      </c>
      <c r="H173" s="14" cm="1">
        <f t="array" ref="H173">_xlfn.IFNA(INDEX('IR data'!$N$4:$N$61,MATCH(G173,'IR data'!$M$4:$M$61,0)),((INDEX('IR data'!$N$4:$N$61,MATCH(G173,'IR data'!$M$4:$M$61,1)))-((G173-(INDEX('IR data'!$M$4:$M$61,MATCH(G173,'IR data'!$M$4:$M$61,1))))/((INDEX('IR data'!$M$4:$M$61,MATCH(G173,'IR data'!$M$4:$M$61,1)+1)-INDEX('IR data'!$M$4:$M$61,MATCH(G173,'IR data'!$M$4:$M$61,1))))) * (INDEX('IR data'!$N$4:$N$61,MATCH(G173,'IR data'!$M$4:$M$61,1))-(INDEX('IR data'!$N$4:$N$61,MATCH(G173,'IR data'!$M$4:$M$61,1)+1)))))</f>
        <v>0.97471100404255318</v>
      </c>
      <c r="I173" s="44">
        <f t="shared" si="17"/>
        <v>2.3884163448268537E-2</v>
      </c>
    </row>
    <row r="174" spans="1:9" x14ac:dyDescent="0.25">
      <c r="A174" s="45">
        <f t="shared" si="13"/>
        <v>45462</v>
      </c>
      <c r="B174" s="14" cm="1">
        <f t="array" ref="B174">_xlfn.IFNA(INDEX('IR data'!$D$4:$D$61,MATCH(A174,'IR data'!$C$4:$C$61,0)),((INDEX('IR data'!$D$4:$D$61,MATCH(A174,'IR data'!$C$4:$C$61,1)))-((A174-(INDEX('IR data'!$C$4:$C$61,MATCH(A174,'IR data'!$C$4:$C$61,1))))/((INDEX('IR data'!$C$4:$C$61,MATCH(A174,'IR data'!$C$4:$C$61,1)+1)-INDEX('IR data'!$C$4:$C$61,MATCH(A174,'IR data'!$C$4:$C$61,1))))) * (INDEX('IR data'!$D$4:$D$61,MATCH(A174,'IR data'!$C$4:$C$61,1))-(INDEX('IR data'!$D$4:$D$61,MATCH(A174,'IR data'!$C$4:$C$61,1)+1)))))</f>
        <v>0.9745567439230769</v>
      </c>
      <c r="C174" s="30">
        <f t="shared" si="14"/>
        <v>2.3891211298707627E-2</v>
      </c>
      <c r="D174" s="45">
        <f t="shared" si="15"/>
        <v>45522</v>
      </c>
      <c r="E174" s="14" cm="1">
        <f t="array" ref="E174">_xlfn.IFNA(INDEX('IR data'!$I$4:$I$61,MATCH(D174,'IR data'!$H$4:$H$61,0)),((INDEX('IR data'!$I$4:$I$61,MATCH(D174,'IR data'!$H$4:$H$61,1)))-((D174-(INDEX('IR data'!$H$4:$H$61,MATCH(D174,'IR data'!$H$4:$H$61,1))))/((INDEX('IR data'!$H$4:$H$61,MATCH(D174,'IR data'!$H$4:$H$61,1)+1)-INDEX('IR data'!$H$4:$H$61,MATCH(D174,'IR data'!$H$4:$H$61,1))))) * (INDEX('IR data'!$I$4:$I$61,MATCH(D174,'IR data'!$H$4:$H$61,1))-(INDEX('IR data'!$I$4:$I$61,MATCH(D174,'IR data'!$H$4:$H$61,1)+1)))))</f>
        <v>0.97444678947826091</v>
      </c>
      <c r="F174" s="30">
        <f t="shared" si="16"/>
        <v>2.3995806371153765E-2</v>
      </c>
      <c r="G174" s="45">
        <f t="shared" si="12"/>
        <v>45556</v>
      </c>
      <c r="H174" s="14" cm="1">
        <f t="array" ref="H174">_xlfn.IFNA(INDEX('IR data'!$N$4:$N$61,MATCH(G174,'IR data'!$M$4:$M$61,0)),((INDEX('IR data'!$N$4:$N$61,MATCH(G174,'IR data'!$M$4:$M$61,1)))-((G174-(INDEX('IR data'!$M$4:$M$61,MATCH(G174,'IR data'!$M$4:$M$61,1))))/((INDEX('IR data'!$M$4:$M$61,MATCH(G174,'IR data'!$M$4:$M$61,1)+1)-INDEX('IR data'!$M$4:$M$61,MATCH(G174,'IR data'!$M$4:$M$61,1))))) * (INDEX('IR data'!$N$4:$N$61,MATCH(G174,'IR data'!$M$4:$M$61,1))-(INDEX('IR data'!$N$4:$N$61,MATCH(G174,'IR data'!$M$4:$M$61,1)+1)))))</f>
        <v>0.97456288451063833</v>
      </c>
      <c r="I174" s="44">
        <f t="shared" si="17"/>
        <v>2.3885370362076708E-2</v>
      </c>
    </row>
    <row r="175" spans="1:9" x14ac:dyDescent="0.25">
      <c r="A175" s="45">
        <f t="shared" si="13"/>
        <v>45463</v>
      </c>
      <c r="B175" s="14" cm="1">
        <f t="array" ref="B175">_xlfn.IFNA(INDEX('IR data'!$D$4:$D$61,MATCH(A175,'IR data'!$C$4:$C$61,0)),((INDEX('IR data'!$D$4:$D$61,MATCH(A175,'IR data'!$C$4:$C$61,1)))-((A175-(INDEX('IR data'!$C$4:$C$61,MATCH(A175,'IR data'!$C$4:$C$61,1))))/((INDEX('IR data'!$C$4:$C$61,MATCH(A175,'IR data'!$C$4:$C$61,1)+1)-INDEX('IR data'!$C$4:$C$61,MATCH(A175,'IR data'!$C$4:$C$61,1))))) * (INDEX('IR data'!$D$4:$D$61,MATCH(A175,'IR data'!$C$4:$C$61,1))-(INDEX('IR data'!$D$4:$D$61,MATCH(A175,'IR data'!$C$4:$C$61,1)+1)))))</f>
        <v>0.97441253900000002</v>
      </c>
      <c r="C175" s="30">
        <f t="shared" si="14"/>
        <v>2.3888689890974805E-2</v>
      </c>
      <c r="D175" s="45">
        <f t="shared" si="15"/>
        <v>45523</v>
      </c>
      <c r="E175" s="14" cm="1">
        <f t="array" ref="E175">_xlfn.IFNA(INDEX('IR data'!$I$4:$I$61,MATCH(D175,'IR data'!$H$4:$H$61,0)),((INDEX('IR data'!$I$4:$I$61,MATCH(D175,'IR data'!$H$4:$H$61,1)))-((D175-(INDEX('IR data'!$H$4:$H$61,MATCH(D175,'IR data'!$H$4:$H$61,1))))/((INDEX('IR data'!$H$4:$H$61,MATCH(D175,'IR data'!$H$4:$H$61,1)+1)-INDEX('IR data'!$H$4:$H$61,MATCH(D175,'IR data'!$H$4:$H$61,1))))) * (INDEX('IR data'!$I$4:$I$61,MATCH(D175,'IR data'!$H$4:$H$61,1))-(INDEX('IR data'!$I$4:$I$61,MATCH(D175,'IR data'!$H$4:$H$61,1)+1)))))</f>
        <v>0.97429818939130441</v>
      </c>
      <c r="F175" s="30">
        <f t="shared" si="16"/>
        <v>2.3996849729862633E-2</v>
      </c>
      <c r="G175" s="45">
        <f t="shared" si="12"/>
        <v>45557</v>
      </c>
      <c r="H175" s="14" cm="1">
        <f t="array" ref="H175">_xlfn.IFNA(INDEX('IR data'!$N$4:$N$61,MATCH(G175,'IR data'!$M$4:$M$61,0)),((INDEX('IR data'!$N$4:$N$61,MATCH(G175,'IR data'!$M$4:$M$61,1)))-((G175-(INDEX('IR data'!$M$4:$M$61,MATCH(G175,'IR data'!$M$4:$M$61,1))))/((INDEX('IR data'!$M$4:$M$61,MATCH(G175,'IR data'!$M$4:$M$61,1)+1)-INDEX('IR data'!$M$4:$M$61,MATCH(G175,'IR data'!$M$4:$M$61,1))))) * (INDEX('IR data'!$N$4:$N$61,MATCH(G175,'IR data'!$M$4:$M$61,1))-(INDEX('IR data'!$N$4:$N$61,MATCH(G175,'IR data'!$M$4:$M$61,1)+1)))))</f>
        <v>0.97441476497872337</v>
      </c>
      <c r="I175" s="44">
        <f t="shared" si="17"/>
        <v>2.3886584530924997E-2</v>
      </c>
    </row>
    <row r="176" spans="1:9" x14ac:dyDescent="0.25">
      <c r="A176" s="45">
        <f t="shared" si="13"/>
        <v>45464</v>
      </c>
      <c r="B176" s="14" cm="1">
        <f t="array" ref="B176">_xlfn.IFNA(INDEX('IR data'!$D$4:$D$61,MATCH(A176,'IR data'!$C$4:$C$61,0)),((INDEX('IR data'!$D$4:$D$61,MATCH(A176,'IR data'!$C$4:$C$61,1)))-((A176-(INDEX('IR data'!$C$4:$C$61,MATCH(A176,'IR data'!$C$4:$C$61,1))))/((INDEX('IR data'!$C$4:$C$61,MATCH(A176,'IR data'!$C$4:$C$61,1)+1)-INDEX('IR data'!$C$4:$C$61,MATCH(A176,'IR data'!$C$4:$C$61,1))))) * (INDEX('IR data'!$D$4:$D$61,MATCH(A176,'IR data'!$C$4:$C$61,1))-(INDEX('IR data'!$D$4:$D$61,MATCH(A176,'IR data'!$C$4:$C$61,1)+1)))))</f>
        <v>0.97426833407692304</v>
      </c>
      <c r="C176" s="30">
        <f t="shared" si="14"/>
        <v>2.3886217700530579E-2</v>
      </c>
      <c r="D176" s="45">
        <f t="shared" si="15"/>
        <v>45524</v>
      </c>
      <c r="E176" s="14" cm="1">
        <f t="array" ref="E176">_xlfn.IFNA(INDEX('IR data'!$I$4:$I$61,MATCH(D176,'IR data'!$H$4:$H$61,0)),((INDEX('IR data'!$I$4:$I$61,MATCH(D176,'IR data'!$H$4:$H$61,1)))-((D176-(INDEX('IR data'!$H$4:$H$61,MATCH(D176,'IR data'!$H$4:$H$61,1))))/((INDEX('IR data'!$H$4:$H$61,MATCH(D176,'IR data'!$H$4:$H$61,1)+1)-INDEX('IR data'!$H$4:$H$61,MATCH(D176,'IR data'!$H$4:$H$61,1))))) * (INDEX('IR data'!$I$4:$I$61,MATCH(D176,'IR data'!$H$4:$H$61,1))-(INDEX('IR data'!$I$4:$I$61,MATCH(D176,'IR data'!$H$4:$H$61,1)+1)))))</f>
        <v>0.97414958930434781</v>
      </c>
      <c r="F176" s="30">
        <f t="shared" si="16"/>
        <v>2.399790234162499E-2</v>
      </c>
      <c r="G176" s="45">
        <f t="shared" si="12"/>
        <v>45558</v>
      </c>
      <c r="H176" s="14" cm="1">
        <f t="array" ref="H176">_xlfn.IFNA(INDEX('IR data'!$N$4:$N$61,MATCH(G176,'IR data'!$M$4:$M$61,0)),((INDEX('IR data'!$N$4:$N$61,MATCH(G176,'IR data'!$M$4:$M$61,1)))-((G176-(INDEX('IR data'!$M$4:$M$61,MATCH(G176,'IR data'!$M$4:$M$61,1))))/((INDEX('IR data'!$M$4:$M$61,MATCH(G176,'IR data'!$M$4:$M$61,1)+1)-INDEX('IR data'!$M$4:$M$61,MATCH(G176,'IR data'!$M$4:$M$61,1))))) * (INDEX('IR data'!$N$4:$N$61,MATCH(G176,'IR data'!$M$4:$M$61,1))-(INDEX('IR data'!$N$4:$N$61,MATCH(G176,'IR data'!$M$4:$M$61,1)+1)))))</f>
        <v>0.97426664544680852</v>
      </c>
      <c r="I176" s="44">
        <f t="shared" si="17"/>
        <v>2.3887805835438529E-2</v>
      </c>
    </row>
    <row r="177" spans="1:9" x14ac:dyDescent="0.25">
      <c r="A177" s="45">
        <f t="shared" si="13"/>
        <v>45465</v>
      </c>
      <c r="B177" s="14" cm="1">
        <f t="array" ref="B177">_xlfn.IFNA(INDEX('IR data'!$D$4:$D$61,MATCH(A177,'IR data'!$C$4:$C$61,0)),((INDEX('IR data'!$D$4:$D$61,MATCH(A177,'IR data'!$C$4:$C$61,1)))-((A177-(INDEX('IR data'!$C$4:$C$61,MATCH(A177,'IR data'!$C$4:$C$61,1))))/((INDEX('IR data'!$C$4:$C$61,MATCH(A177,'IR data'!$C$4:$C$61,1)+1)-INDEX('IR data'!$C$4:$C$61,MATCH(A177,'IR data'!$C$4:$C$61,1))))) * (INDEX('IR data'!$D$4:$D$61,MATCH(A177,'IR data'!$C$4:$C$61,1))-(INDEX('IR data'!$D$4:$D$61,MATCH(A177,'IR data'!$C$4:$C$61,1)+1)))))</f>
        <v>0.97412412915384616</v>
      </c>
      <c r="C177" s="30">
        <f t="shared" si="14"/>
        <v>2.3883793884707797E-2</v>
      </c>
      <c r="D177" s="45">
        <f t="shared" si="15"/>
        <v>45525</v>
      </c>
      <c r="E177" s="14" cm="1">
        <f t="array" ref="E177">_xlfn.IFNA(INDEX('IR data'!$I$4:$I$61,MATCH(D177,'IR data'!$H$4:$H$61,0)),((INDEX('IR data'!$I$4:$I$61,MATCH(D177,'IR data'!$H$4:$H$61,1)))-((D177-(INDEX('IR data'!$H$4:$H$61,MATCH(D177,'IR data'!$H$4:$H$61,1))))/((INDEX('IR data'!$H$4:$H$61,MATCH(D177,'IR data'!$H$4:$H$61,1)+1)-INDEX('IR data'!$H$4:$H$61,MATCH(D177,'IR data'!$H$4:$H$61,1))))) * (INDEX('IR data'!$I$4:$I$61,MATCH(D177,'IR data'!$H$4:$H$61,1))-(INDEX('IR data'!$I$4:$I$61,MATCH(D177,'IR data'!$H$4:$H$61,1)+1)))))</f>
        <v>0.97400098921739131</v>
      </c>
      <c r="F177" s="30">
        <f t="shared" si="16"/>
        <v>2.3998964053371267E-2</v>
      </c>
      <c r="G177" s="45">
        <f t="shared" si="12"/>
        <v>45559</v>
      </c>
      <c r="H177" s="14" cm="1">
        <f t="array" ref="H177">_xlfn.IFNA(INDEX('IR data'!$N$4:$N$61,MATCH(G177,'IR data'!$M$4:$M$61,0)),((INDEX('IR data'!$N$4:$N$61,MATCH(G177,'IR data'!$M$4:$M$61,1)))-((G177-(INDEX('IR data'!$M$4:$M$61,MATCH(G177,'IR data'!$M$4:$M$61,1))))/((INDEX('IR data'!$M$4:$M$61,MATCH(G177,'IR data'!$M$4:$M$61,1)+1)-INDEX('IR data'!$M$4:$M$61,MATCH(G177,'IR data'!$M$4:$M$61,1))))) * (INDEX('IR data'!$N$4:$N$61,MATCH(G177,'IR data'!$M$4:$M$61,1))-(INDEX('IR data'!$N$4:$N$61,MATCH(G177,'IR data'!$M$4:$M$61,1)+1)))))</f>
        <v>0.97411852591489356</v>
      </c>
      <c r="I177" s="44">
        <f t="shared" si="17"/>
        <v>2.3889034158990012E-2</v>
      </c>
    </row>
    <row r="178" spans="1:9" x14ac:dyDescent="0.25">
      <c r="A178" s="45">
        <f t="shared" si="13"/>
        <v>45466</v>
      </c>
      <c r="B178" s="14" cm="1">
        <f t="array" ref="B178">_xlfn.IFNA(INDEX('IR data'!$D$4:$D$61,MATCH(A178,'IR data'!$C$4:$C$61,0)),((INDEX('IR data'!$D$4:$D$61,MATCH(A178,'IR data'!$C$4:$C$61,1)))-((A178-(INDEX('IR data'!$C$4:$C$61,MATCH(A178,'IR data'!$C$4:$C$61,1))))/((INDEX('IR data'!$C$4:$C$61,MATCH(A178,'IR data'!$C$4:$C$61,1)+1)-INDEX('IR data'!$C$4:$C$61,MATCH(A178,'IR data'!$C$4:$C$61,1))))) * (INDEX('IR data'!$D$4:$D$61,MATCH(A178,'IR data'!$C$4:$C$61,1))-(INDEX('IR data'!$D$4:$D$61,MATCH(A178,'IR data'!$C$4:$C$61,1)+1)))))</f>
        <v>0.97397992423076918</v>
      </c>
      <c r="C178" s="30">
        <f t="shared" si="14"/>
        <v>2.3881417620103273E-2</v>
      </c>
      <c r="D178" s="45">
        <f t="shared" si="15"/>
        <v>45526</v>
      </c>
      <c r="E178" s="14" cm="1">
        <f t="array" ref="E178">_xlfn.IFNA(INDEX('IR data'!$I$4:$I$61,MATCH(D178,'IR data'!$H$4:$H$61,0)),((INDEX('IR data'!$I$4:$I$61,MATCH(D178,'IR data'!$H$4:$H$61,1)))-((D178-(INDEX('IR data'!$H$4:$H$61,MATCH(D178,'IR data'!$H$4:$H$61,1))))/((INDEX('IR data'!$H$4:$H$61,MATCH(D178,'IR data'!$H$4:$H$61,1)+1)-INDEX('IR data'!$H$4:$H$61,MATCH(D178,'IR data'!$H$4:$H$61,1))))) * (INDEX('IR data'!$I$4:$I$61,MATCH(D178,'IR data'!$H$4:$H$61,1))-(INDEX('IR data'!$I$4:$I$61,MATCH(D178,'IR data'!$H$4:$H$61,1)+1)))))</f>
        <v>0.97385238913043481</v>
      </c>
      <c r="F178" s="30">
        <f t="shared" si="16"/>
        <v>2.4000034715533886E-2</v>
      </c>
      <c r="G178" s="45">
        <f t="shared" si="12"/>
        <v>45560</v>
      </c>
      <c r="H178" s="14" cm="1">
        <f t="array" ref="H178">_xlfn.IFNA(INDEX('IR data'!$N$4:$N$61,MATCH(G178,'IR data'!$M$4:$M$61,0)),((INDEX('IR data'!$N$4:$N$61,MATCH(G178,'IR data'!$M$4:$M$61,1)))-((G178-(INDEX('IR data'!$M$4:$M$61,MATCH(G178,'IR data'!$M$4:$M$61,1))))/((INDEX('IR data'!$M$4:$M$61,MATCH(G178,'IR data'!$M$4:$M$61,1)+1)-INDEX('IR data'!$M$4:$M$61,MATCH(G178,'IR data'!$M$4:$M$61,1))))) * (INDEX('IR data'!$N$4:$N$61,MATCH(G178,'IR data'!$M$4:$M$61,1))-(INDEX('IR data'!$N$4:$N$61,MATCH(G178,'IR data'!$M$4:$M$61,1)+1)))))</f>
        <v>0.97397040638297872</v>
      </c>
      <c r="I178" s="44">
        <f t="shared" si="17"/>
        <v>2.3890269387620414E-2</v>
      </c>
    </row>
    <row r="179" spans="1:9" x14ac:dyDescent="0.25">
      <c r="A179" s="45">
        <f t="shared" si="13"/>
        <v>45467</v>
      </c>
      <c r="B179" s="14" cm="1">
        <f t="array" ref="B179">_xlfn.IFNA(INDEX('IR data'!$D$4:$D$61,MATCH(A179,'IR data'!$C$4:$C$61,0)),((INDEX('IR data'!$D$4:$D$61,MATCH(A179,'IR data'!$C$4:$C$61,1)))-((A179-(INDEX('IR data'!$C$4:$C$61,MATCH(A179,'IR data'!$C$4:$C$61,1))))/((INDEX('IR data'!$C$4:$C$61,MATCH(A179,'IR data'!$C$4:$C$61,1)+1)-INDEX('IR data'!$C$4:$C$61,MATCH(A179,'IR data'!$C$4:$C$61,1))))) * (INDEX('IR data'!$D$4:$D$61,MATCH(A179,'IR data'!$C$4:$C$61,1))-(INDEX('IR data'!$D$4:$D$61,MATCH(A179,'IR data'!$C$4:$C$61,1)+1)))))</f>
        <v>0.9738357193076923</v>
      </c>
      <c r="C179" s="30">
        <f t="shared" si="14"/>
        <v>2.3879088102029721E-2</v>
      </c>
      <c r="D179" s="45">
        <f t="shared" si="15"/>
        <v>45527</v>
      </c>
      <c r="E179" s="14" cm="1">
        <f t="array" ref="E179">_xlfn.IFNA(INDEX('IR data'!$I$4:$I$61,MATCH(D179,'IR data'!$H$4:$H$61,0)),((INDEX('IR data'!$I$4:$I$61,MATCH(D179,'IR data'!$H$4:$H$61,1)))-((D179-(INDEX('IR data'!$H$4:$H$61,MATCH(D179,'IR data'!$H$4:$H$61,1))))/((INDEX('IR data'!$H$4:$H$61,MATCH(D179,'IR data'!$H$4:$H$61,1)+1)-INDEX('IR data'!$H$4:$H$61,MATCH(D179,'IR data'!$H$4:$H$61,1))))) * (INDEX('IR data'!$I$4:$I$61,MATCH(D179,'IR data'!$H$4:$H$61,1))-(INDEX('IR data'!$I$4:$I$61,MATCH(D179,'IR data'!$H$4:$H$61,1)+1)))))</f>
        <v>0.97370378904347832</v>
      </c>
      <c r="F179" s="30">
        <f t="shared" si="16"/>
        <v>2.4001114181947343E-2</v>
      </c>
      <c r="G179" s="45">
        <f t="shared" si="12"/>
        <v>45561</v>
      </c>
      <c r="H179" s="14" cm="1">
        <f t="array" ref="H179">_xlfn.IFNA(INDEX('IR data'!$N$4:$N$61,MATCH(G179,'IR data'!$M$4:$M$61,0)),((INDEX('IR data'!$N$4:$N$61,MATCH(G179,'IR data'!$M$4:$M$61,1)))-((G179-(INDEX('IR data'!$M$4:$M$61,MATCH(G179,'IR data'!$M$4:$M$61,1))))/((INDEX('IR data'!$M$4:$M$61,MATCH(G179,'IR data'!$M$4:$M$61,1)+1)-INDEX('IR data'!$M$4:$M$61,MATCH(G179,'IR data'!$M$4:$M$61,1))))) * (INDEX('IR data'!$N$4:$N$61,MATCH(G179,'IR data'!$M$4:$M$61,1))-(INDEX('IR data'!$N$4:$N$61,MATCH(G179,'IR data'!$M$4:$M$61,1)+1)))))</f>
        <v>0.97382228685106387</v>
      </c>
      <c r="I179" s="44">
        <f t="shared" si="17"/>
        <v>2.3891511409963883E-2</v>
      </c>
    </row>
    <row r="180" spans="1:9" x14ac:dyDescent="0.25">
      <c r="A180" s="45">
        <f t="shared" si="13"/>
        <v>45468</v>
      </c>
      <c r="B180" s="14" cm="1">
        <f t="array" ref="B180">_xlfn.IFNA(INDEX('IR data'!$D$4:$D$61,MATCH(A180,'IR data'!$C$4:$C$61,0)),((INDEX('IR data'!$D$4:$D$61,MATCH(A180,'IR data'!$C$4:$C$61,1)))-((A180-(INDEX('IR data'!$C$4:$C$61,MATCH(A180,'IR data'!$C$4:$C$61,1))))/((INDEX('IR data'!$C$4:$C$61,MATCH(A180,'IR data'!$C$4:$C$61,1)+1)-INDEX('IR data'!$C$4:$C$61,MATCH(A180,'IR data'!$C$4:$C$61,1))))) * (INDEX('IR data'!$D$4:$D$61,MATCH(A180,'IR data'!$C$4:$C$61,1))-(INDEX('IR data'!$D$4:$D$61,MATCH(A180,'IR data'!$C$4:$C$61,1)+1)))))</f>
        <v>0.97369151438461543</v>
      </c>
      <c r="C180" s="30">
        <f t="shared" si="14"/>
        <v>2.3876804543987776E-2</v>
      </c>
      <c r="D180" s="45">
        <f t="shared" si="15"/>
        <v>45528</v>
      </c>
      <c r="E180" s="14" cm="1">
        <f t="array" ref="E180">_xlfn.IFNA(INDEX('IR data'!$I$4:$I$61,MATCH(D180,'IR data'!$H$4:$H$61,0)),((INDEX('IR data'!$I$4:$I$61,MATCH(D180,'IR data'!$H$4:$H$61,1)))-((D180-(INDEX('IR data'!$H$4:$H$61,MATCH(D180,'IR data'!$H$4:$H$61,1))))/((INDEX('IR data'!$H$4:$H$61,MATCH(D180,'IR data'!$H$4:$H$61,1)+1)-INDEX('IR data'!$H$4:$H$61,MATCH(D180,'IR data'!$H$4:$H$61,1))))) * (INDEX('IR data'!$I$4:$I$61,MATCH(D180,'IR data'!$H$4:$H$61,1))-(INDEX('IR data'!$I$4:$I$61,MATCH(D180,'IR data'!$H$4:$H$61,1)+1)))))</f>
        <v>0.97355518895652182</v>
      </c>
      <c r="F180" s="30">
        <f t="shared" si="16"/>
        <v>2.4002202309752248E-2</v>
      </c>
      <c r="G180" s="45">
        <f t="shared" si="12"/>
        <v>45562</v>
      </c>
      <c r="H180" s="14" cm="1">
        <f t="array" ref="H180">_xlfn.IFNA(INDEX('IR data'!$N$4:$N$61,MATCH(G180,'IR data'!$M$4:$M$61,0)),((INDEX('IR data'!$N$4:$N$61,MATCH(G180,'IR data'!$M$4:$M$61,1)))-((G180-(INDEX('IR data'!$M$4:$M$61,MATCH(G180,'IR data'!$M$4:$M$61,1))))/((INDEX('IR data'!$M$4:$M$61,MATCH(G180,'IR data'!$M$4:$M$61,1)+1)-INDEX('IR data'!$M$4:$M$61,MATCH(G180,'IR data'!$M$4:$M$61,1))))) * (INDEX('IR data'!$N$4:$N$61,MATCH(G180,'IR data'!$M$4:$M$61,1))-(INDEX('IR data'!$N$4:$N$61,MATCH(G180,'IR data'!$M$4:$M$61,1)+1)))))</f>
        <v>0.97367416731914891</v>
      </c>
      <c r="I180" s="44">
        <f t="shared" si="17"/>
        <v>2.3892760117174176E-2</v>
      </c>
    </row>
    <row r="181" spans="1:9" x14ac:dyDescent="0.25">
      <c r="A181" s="45">
        <f t="shared" si="13"/>
        <v>45469</v>
      </c>
      <c r="B181" s="14" cm="1">
        <f t="array" ref="B181">_xlfn.IFNA(INDEX('IR data'!$D$4:$D$61,MATCH(A181,'IR data'!$C$4:$C$61,0)),((INDEX('IR data'!$D$4:$D$61,MATCH(A181,'IR data'!$C$4:$C$61,1)))-((A181-(INDEX('IR data'!$C$4:$C$61,MATCH(A181,'IR data'!$C$4:$C$61,1))))/((INDEX('IR data'!$C$4:$C$61,MATCH(A181,'IR data'!$C$4:$C$61,1)+1)-INDEX('IR data'!$C$4:$C$61,MATCH(A181,'IR data'!$C$4:$C$61,1))))) * (INDEX('IR data'!$D$4:$D$61,MATCH(A181,'IR data'!$C$4:$C$61,1))-(INDEX('IR data'!$D$4:$D$61,MATCH(A181,'IR data'!$C$4:$C$61,1)+1)))))</f>
        <v>0.97354730946153845</v>
      </c>
      <c r="C181" s="30">
        <f t="shared" si="14"/>
        <v>2.3874566177154784E-2</v>
      </c>
      <c r="D181" s="45">
        <f t="shared" si="15"/>
        <v>45529</v>
      </c>
      <c r="E181" s="14" cm="1">
        <f t="array" ref="E181">_xlfn.IFNA(INDEX('IR data'!$I$4:$I$61,MATCH(D181,'IR data'!$H$4:$H$61,0)),((INDEX('IR data'!$I$4:$I$61,MATCH(D181,'IR data'!$H$4:$H$61,1)))-((D181-(INDEX('IR data'!$H$4:$H$61,MATCH(D181,'IR data'!$H$4:$H$61,1))))/((INDEX('IR data'!$H$4:$H$61,MATCH(D181,'IR data'!$H$4:$H$61,1)+1)-INDEX('IR data'!$H$4:$H$61,MATCH(D181,'IR data'!$H$4:$H$61,1))))) * (INDEX('IR data'!$I$4:$I$61,MATCH(D181,'IR data'!$H$4:$H$61,1))-(INDEX('IR data'!$I$4:$I$61,MATCH(D181,'IR data'!$H$4:$H$61,1)+1)))))</f>
        <v>0.97340658886956521</v>
      </c>
      <c r="F181" s="30">
        <f t="shared" si="16"/>
        <v>2.4003298959302508E-2</v>
      </c>
      <c r="G181" s="45">
        <f t="shared" si="12"/>
        <v>45563</v>
      </c>
      <c r="H181" s="14" cm="1">
        <f t="array" ref="H181">_xlfn.IFNA(INDEX('IR data'!$N$4:$N$61,MATCH(G181,'IR data'!$M$4:$M$61,0)),((INDEX('IR data'!$N$4:$N$61,MATCH(G181,'IR data'!$M$4:$M$61,1)))-((G181-(INDEX('IR data'!$M$4:$M$61,MATCH(G181,'IR data'!$M$4:$M$61,1))))/((INDEX('IR data'!$M$4:$M$61,MATCH(G181,'IR data'!$M$4:$M$61,1)+1)-INDEX('IR data'!$M$4:$M$61,MATCH(G181,'IR data'!$M$4:$M$61,1))))) * (INDEX('IR data'!$N$4:$N$61,MATCH(G181,'IR data'!$M$4:$M$61,1))-(INDEX('IR data'!$N$4:$N$61,MATCH(G181,'IR data'!$M$4:$M$61,1)+1)))))</f>
        <v>0.97352604778723406</v>
      </c>
      <c r="I181" s="44">
        <f t="shared" si="17"/>
        <v>2.3894015402853592E-2</v>
      </c>
    </row>
    <row r="182" spans="1:9" x14ac:dyDescent="0.25">
      <c r="A182" s="45">
        <f t="shared" si="13"/>
        <v>45470</v>
      </c>
      <c r="B182" s="14" cm="1">
        <f t="array" ref="B182">_xlfn.IFNA(INDEX('IR data'!$D$4:$D$61,MATCH(A182,'IR data'!$C$4:$C$61,0)),((INDEX('IR data'!$D$4:$D$61,MATCH(A182,'IR data'!$C$4:$C$61,1)))-((A182-(INDEX('IR data'!$C$4:$C$61,MATCH(A182,'IR data'!$C$4:$C$61,1))))/((INDEX('IR data'!$C$4:$C$61,MATCH(A182,'IR data'!$C$4:$C$61,1)+1)-INDEX('IR data'!$C$4:$C$61,MATCH(A182,'IR data'!$C$4:$C$61,1))))) * (INDEX('IR data'!$D$4:$D$61,MATCH(A182,'IR data'!$C$4:$C$61,1))-(INDEX('IR data'!$D$4:$D$61,MATCH(A182,'IR data'!$C$4:$C$61,1)+1)))))</f>
        <v>0.97340310453846157</v>
      </c>
      <c r="C182" s="30">
        <f t="shared" si="14"/>
        <v>2.3872372249890719E-2</v>
      </c>
      <c r="D182" s="45">
        <f t="shared" si="15"/>
        <v>45530</v>
      </c>
      <c r="E182" s="14" cm="1">
        <f t="array" ref="E182">_xlfn.IFNA(INDEX('IR data'!$I$4:$I$61,MATCH(D182,'IR data'!$H$4:$H$61,0)),((INDEX('IR data'!$I$4:$I$61,MATCH(D182,'IR data'!$H$4:$H$61,1)))-((D182-(INDEX('IR data'!$H$4:$H$61,MATCH(D182,'IR data'!$H$4:$H$61,1))))/((INDEX('IR data'!$H$4:$H$61,MATCH(D182,'IR data'!$H$4:$H$61,1)+1)-INDEX('IR data'!$H$4:$H$61,MATCH(D182,'IR data'!$H$4:$H$61,1))))) * (INDEX('IR data'!$I$4:$I$61,MATCH(D182,'IR data'!$H$4:$H$61,1))-(INDEX('IR data'!$I$4:$I$61,MATCH(D182,'IR data'!$H$4:$H$61,1)+1)))))</f>
        <v>0.97325798878260872</v>
      </c>
      <c r="F182" s="30">
        <f t="shared" si="16"/>
        <v>2.4004403994075222E-2</v>
      </c>
      <c r="G182" s="45">
        <f t="shared" si="12"/>
        <v>45564</v>
      </c>
      <c r="H182" s="14" cm="1">
        <f t="array" ref="H182">_xlfn.IFNA(INDEX('IR data'!$N$4:$N$61,MATCH(G182,'IR data'!$M$4:$M$61,0)),((INDEX('IR data'!$N$4:$N$61,MATCH(G182,'IR data'!$M$4:$M$61,1)))-((G182-(INDEX('IR data'!$M$4:$M$61,MATCH(G182,'IR data'!$M$4:$M$61,1))))/((INDEX('IR data'!$M$4:$M$61,MATCH(G182,'IR data'!$M$4:$M$61,1)+1)-INDEX('IR data'!$M$4:$M$61,MATCH(G182,'IR data'!$M$4:$M$61,1))))) * (INDEX('IR data'!$N$4:$N$61,MATCH(G182,'IR data'!$M$4:$M$61,1))-(INDEX('IR data'!$N$4:$N$61,MATCH(G182,'IR data'!$M$4:$M$61,1)+1)))))</f>
        <v>0.9733779282553191</v>
      </c>
      <c r="I182" s="44">
        <f t="shared" si="17"/>
        <v>2.3895277162985278E-2</v>
      </c>
    </row>
    <row r="183" spans="1:9" x14ac:dyDescent="0.25">
      <c r="A183" s="45">
        <f t="shared" si="13"/>
        <v>45471</v>
      </c>
      <c r="B183" s="14" cm="1">
        <f t="array" ref="B183">_xlfn.IFNA(INDEX('IR data'!$D$4:$D$61,MATCH(A183,'IR data'!$C$4:$C$61,0)),((INDEX('IR data'!$D$4:$D$61,MATCH(A183,'IR data'!$C$4:$C$61,1)))-((A183-(INDEX('IR data'!$C$4:$C$61,MATCH(A183,'IR data'!$C$4:$C$61,1))))/((INDEX('IR data'!$C$4:$C$61,MATCH(A183,'IR data'!$C$4:$C$61,1)+1)-INDEX('IR data'!$C$4:$C$61,MATCH(A183,'IR data'!$C$4:$C$61,1))))) * (INDEX('IR data'!$D$4:$D$61,MATCH(A183,'IR data'!$C$4:$C$61,1))-(INDEX('IR data'!$D$4:$D$61,MATCH(A183,'IR data'!$C$4:$C$61,1)+1)))))</f>
        <v>0.97325889961538459</v>
      </c>
      <c r="C183" s="30">
        <f t="shared" si="14"/>
        <v>2.3870222027261637E-2</v>
      </c>
      <c r="D183" s="45">
        <f t="shared" si="15"/>
        <v>45531</v>
      </c>
      <c r="E183" s="14" cm="1">
        <f t="array" ref="E183">_xlfn.IFNA(INDEX('IR data'!$I$4:$I$61,MATCH(D183,'IR data'!$H$4:$H$61,0)),((INDEX('IR data'!$I$4:$I$61,MATCH(D183,'IR data'!$H$4:$H$61,1)))-((D183-(INDEX('IR data'!$H$4:$H$61,MATCH(D183,'IR data'!$H$4:$H$61,1))))/((INDEX('IR data'!$H$4:$H$61,MATCH(D183,'IR data'!$H$4:$H$61,1)+1)-INDEX('IR data'!$H$4:$H$61,MATCH(D183,'IR data'!$H$4:$H$61,1))))) * (INDEX('IR data'!$I$4:$I$61,MATCH(D183,'IR data'!$H$4:$H$61,1))-(INDEX('IR data'!$I$4:$I$61,MATCH(D183,'IR data'!$H$4:$H$61,1)+1)))))</f>
        <v>0.97310938869565222</v>
      </c>
      <c r="F183" s="30">
        <f t="shared" si="16"/>
        <v>2.4005517280584473E-2</v>
      </c>
      <c r="G183" s="45">
        <f t="shared" si="12"/>
        <v>45565</v>
      </c>
      <c r="H183" s="14" cm="1">
        <f t="array" ref="H183">_xlfn.IFNA(INDEX('IR data'!$N$4:$N$61,MATCH(G183,'IR data'!$M$4:$M$61,0)),((INDEX('IR data'!$N$4:$N$61,MATCH(G183,'IR data'!$M$4:$M$61,1)))-((G183-(INDEX('IR data'!$M$4:$M$61,MATCH(G183,'IR data'!$M$4:$M$61,1))))/((INDEX('IR data'!$M$4:$M$61,MATCH(G183,'IR data'!$M$4:$M$61,1)+1)-INDEX('IR data'!$M$4:$M$61,MATCH(G183,'IR data'!$M$4:$M$61,1))))) * (INDEX('IR data'!$N$4:$N$61,MATCH(G183,'IR data'!$M$4:$M$61,1))-(INDEX('IR data'!$N$4:$N$61,MATCH(G183,'IR data'!$M$4:$M$61,1)+1)))))</f>
        <v>0.97322980872340425</v>
      </c>
      <c r="I183" s="44">
        <f t="shared" si="17"/>
        <v>2.3896545295866305E-2</v>
      </c>
    </row>
    <row r="184" spans="1:9" x14ac:dyDescent="0.25">
      <c r="A184" s="45">
        <f t="shared" si="13"/>
        <v>45472</v>
      </c>
      <c r="B184" s="14" cm="1">
        <f t="array" ref="B184">_xlfn.IFNA(INDEX('IR data'!$D$4:$D$61,MATCH(A184,'IR data'!$C$4:$C$61,0)),((INDEX('IR data'!$D$4:$D$61,MATCH(A184,'IR data'!$C$4:$C$61,1)))-((A184-(INDEX('IR data'!$C$4:$C$61,MATCH(A184,'IR data'!$C$4:$C$61,1))))/((INDEX('IR data'!$C$4:$C$61,MATCH(A184,'IR data'!$C$4:$C$61,1)+1)-INDEX('IR data'!$C$4:$C$61,MATCH(A184,'IR data'!$C$4:$C$61,1))))) * (INDEX('IR data'!$D$4:$D$61,MATCH(A184,'IR data'!$C$4:$C$61,1))-(INDEX('IR data'!$D$4:$D$61,MATCH(A184,'IR data'!$C$4:$C$61,1)+1)))))</f>
        <v>0.97311469469230771</v>
      </c>
      <c r="C184" s="30">
        <f t="shared" si="14"/>
        <v>2.3868114790577342E-2</v>
      </c>
      <c r="D184" s="45">
        <f t="shared" si="15"/>
        <v>45532</v>
      </c>
      <c r="E184" s="14" cm="1">
        <f t="array" ref="E184">_xlfn.IFNA(INDEX('IR data'!$I$4:$I$61,MATCH(D184,'IR data'!$H$4:$H$61,0)),((INDEX('IR data'!$I$4:$I$61,MATCH(D184,'IR data'!$H$4:$H$61,1)))-((D184-(INDEX('IR data'!$H$4:$H$61,MATCH(D184,'IR data'!$H$4:$H$61,1))))/((INDEX('IR data'!$H$4:$H$61,MATCH(D184,'IR data'!$H$4:$H$61,1)+1)-INDEX('IR data'!$H$4:$H$61,MATCH(D184,'IR data'!$H$4:$H$61,1))))) * (INDEX('IR data'!$I$4:$I$61,MATCH(D184,'IR data'!$H$4:$H$61,1))-(INDEX('IR data'!$I$4:$I$61,MATCH(D184,'IR data'!$H$4:$H$61,1)+1)))))</f>
        <v>0.97296078860869573</v>
      </c>
      <c r="F184" s="30">
        <f t="shared" si="16"/>
        <v>2.4006638688297083E-2</v>
      </c>
      <c r="G184" s="45">
        <f t="shared" si="12"/>
        <v>45566</v>
      </c>
      <c r="H184" s="14" cm="1">
        <f t="array" ref="H184">_xlfn.IFNA(INDEX('IR data'!$N$4:$N$61,MATCH(G184,'IR data'!$M$4:$M$61,0)),((INDEX('IR data'!$N$4:$N$61,MATCH(G184,'IR data'!$M$4:$M$61,1)))-((G184-(INDEX('IR data'!$M$4:$M$61,MATCH(G184,'IR data'!$M$4:$M$61,1))))/((INDEX('IR data'!$M$4:$M$61,MATCH(G184,'IR data'!$M$4:$M$61,1)+1)-INDEX('IR data'!$M$4:$M$61,MATCH(G184,'IR data'!$M$4:$M$61,1))))) * (INDEX('IR data'!$N$4:$N$61,MATCH(G184,'IR data'!$M$4:$M$61,1))-(INDEX('IR data'!$N$4:$N$61,MATCH(G184,'IR data'!$M$4:$M$61,1)+1)))))</f>
        <v>0.9730816891914893</v>
      </c>
      <c r="I184" s="44">
        <f t="shared" si="17"/>
        <v>2.3897819702044527E-2</v>
      </c>
    </row>
    <row r="185" spans="1:9" x14ac:dyDescent="0.25">
      <c r="A185" s="45">
        <f t="shared" si="13"/>
        <v>45473</v>
      </c>
      <c r="B185" s="14" cm="1">
        <f t="array" ref="B185">_xlfn.IFNA(INDEX('IR data'!$D$4:$D$61,MATCH(A185,'IR data'!$C$4:$C$61,0)),((INDEX('IR data'!$D$4:$D$61,MATCH(A185,'IR data'!$C$4:$C$61,1)))-((A185-(INDEX('IR data'!$C$4:$C$61,MATCH(A185,'IR data'!$C$4:$C$61,1))))/((INDEX('IR data'!$C$4:$C$61,MATCH(A185,'IR data'!$C$4:$C$61,1)+1)-INDEX('IR data'!$C$4:$C$61,MATCH(A185,'IR data'!$C$4:$C$61,1))))) * (INDEX('IR data'!$D$4:$D$61,MATCH(A185,'IR data'!$C$4:$C$61,1))-(INDEX('IR data'!$D$4:$D$61,MATCH(A185,'IR data'!$C$4:$C$61,1)+1)))))</f>
        <v>0.97297048976923073</v>
      </c>
      <c r="C185" s="30">
        <f t="shared" si="14"/>
        <v>2.3866049836945957E-2</v>
      </c>
      <c r="D185" s="45">
        <f t="shared" si="15"/>
        <v>45533</v>
      </c>
      <c r="E185" s="14" cm="1">
        <f t="array" ref="E185">_xlfn.IFNA(INDEX('IR data'!$I$4:$I$61,MATCH(D185,'IR data'!$H$4:$H$61,0)),((INDEX('IR data'!$I$4:$I$61,MATCH(D185,'IR data'!$H$4:$H$61,1)))-((D185-(INDEX('IR data'!$H$4:$H$61,MATCH(D185,'IR data'!$H$4:$H$61,1))))/((INDEX('IR data'!$H$4:$H$61,MATCH(D185,'IR data'!$H$4:$H$61,1)+1)-INDEX('IR data'!$H$4:$H$61,MATCH(D185,'IR data'!$H$4:$H$61,1))))) * (INDEX('IR data'!$I$4:$I$61,MATCH(D185,'IR data'!$H$4:$H$61,1))-(INDEX('IR data'!$I$4:$I$61,MATCH(D185,'IR data'!$H$4:$H$61,1)+1)))))</f>
        <v>0.97281218852173912</v>
      </c>
      <c r="F185" s="30">
        <f t="shared" si="16"/>
        <v>2.400776808955167E-2</v>
      </c>
      <c r="G185" s="45">
        <f t="shared" si="12"/>
        <v>45567</v>
      </c>
      <c r="H185" s="14" cm="1">
        <f t="array" ref="H185">_xlfn.IFNA(INDEX('IR data'!$N$4:$N$61,MATCH(G185,'IR data'!$M$4:$M$61,0)),((INDEX('IR data'!$N$4:$N$61,MATCH(G185,'IR data'!$M$4:$M$61,1)))-((G185-(INDEX('IR data'!$M$4:$M$61,MATCH(G185,'IR data'!$M$4:$M$61,1))))/((INDEX('IR data'!$M$4:$M$61,MATCH(G185,'IR data'!$M$4:$M$61,1)+1)-INDEX('IR data'!$M$4:$M$61,MATCH(G185,'IR data'!$M$4:$M$61,1))))) * (INDEX('IR data'!$N$4:$N$61,MATCH(G185,'IR data'!$M$4:$M$61,1))-(INDEX('IR data'!$N$4:$N$61,MATCH(G185,'IR data'!$M$4:$M$61,1)+1)))))</f>
        <v>0.97293356965957445</v>
      </c>
      <c r="I185" s="44">
        <f t="shared" si="17"/>
        <v>2.3899100284255976E-2</v>
      </c>
    </row>
    <row r="186" spans="1:9" x14ac:dyDescent="0.25">
      <c r="A186" s="45">
        <f t="shared" si="13"/>
        <v>45474</v>
      </c>
      <c r="B186" s="14" cm="1">
        <f t="array" ref="B186">_xlfn.IFNA(INDEX('IR data'!$D$4:$D$61,MATCH(A186,'IR data'!$C$4:$C$61,0)),((INDEX('IR data'!$D$4:$D$61,MATCH(A186,'IR data'!$C$4:$C$61,1)))-((A186-(INDEX('IR data'!$C$4:$C$61,MATCH(A186,'IR data'!$C$4:$C$61,1))))/((INDEX('IR data'!$C$4:$C$61,MATCH(A186,'IR data'!$C$4:$C$61,1)+1)-INDEX('IR data'!$C$4:$C$61,MATCH(A186,'IR data'!$C$4:$C$61,1))))) * (INDEX('IR data'!$D$4:$D$61,MATCH(A186,'IR data'!$C$4:$C$61,1))-(INDEX('IR data'!$D$4:$D$61,MATCH(A186,'IR data'!$C$4:$C$61,1)+1)))))</f>
        <v>0.97282628484615385</v>
      </c>
      <c r="C186" s="30">
        <f t="shared" si="14"/>
        <v>2.386402647884146E-2</v>
      </c>
      <c r="D186" s="45">
        <f t="shared" si="15"/>
        <v>45534</v>
      </c>
      <c r="E186" s="14" cm="1">
        <f t="array" ref="E186">_xlfn.IFNA(INDEX('IR data'!$I$4:$I$61,MATCH(D186,'IR data'!$H$4:$H$61,0)),((INDEX('IR data'!$I$4:$I$61,MATCH(D186,'IR data'!$H$4:$H$61,1)))-((D186-(INDEX('IR data'!$H$4:$H$61,MATCH(D186,'IR data'!$H$4:$H$61,1))))/((INDEX('IR data'!$H$4:$H$61,MATCH(D186,'IR data'!$H$4:$H$61,1)+1)-INDEX('IR data'!$H$4:$H$61,MATCH(D186,'IR data'!$H$4:$H$61,1))))) * (INDEX('IR data'!$I$4:$I$61,MATCH(D186,'IR data'!$H$4:$H$61,1))-(INDEX('IR data'!$I$4:$I$61,MATCH(D186,'IR data'!$H$4:$H$61,1)+1)))))</f>
        <v>0.97266358843478262</v>
      </c>
      <c r="F186" s="30">
        <f t="shared" si="16"/>
        <v>2.4008905359479804E-2</v>
      </c>
      <c r="G186" s="45">
        <f t="shared" si="12"/>
        <v>45568</v>
      </c>
      <c r="H186" s="14" cm="1">
        <f t="array" ref="H186">_xlfn.IFNA(INDEX('IR data'!$N$4:$N$61,MATCH(G186,'IR data'!$M$4:$M$61,0)),((INDEX('IR data'!$N$4:$N$61,MATCH(G186,'IR data'!$M$4:$M$61,1)))-((G186-(INDEX('IR data'!$M$4:$M$61,MATCH(G186,'IR data'!$M$4:$M$61,1))))/((INDEX('IR data'!$M$4:$M$61,MATCH(G186,'IR data'!$M$4:$M$61,1)+1)-INDEX('IR data'!$M$4:$M$61,MATCH(G186,'IR data'!$M$4:$M$61,1))))) * (INDEX('IR data'!$N$4:$N$61,MATCH(G186,'IR data'!$M$4:$M$61,1))-(INDEX('IR data'!$N$4:$N$61,MATCH(G186,'IR data'!$M$4:$M$61,1)+1)))))</f>
        <v>0.9727854501276596</v>
      </c>
      <c r="I186" s="44">
        <f t="shared" si="17"/>
        <v>2.3900386947365754E-2</v>
      </c>
    </row>
    <row r="187" spans="1:9" x14ac:dyDescent="0.25">
      <c r="A187" s="45">
        <f t="shared" si="13"/>
        <v>45475</v>
      </c>
      <c r="B187" s="14" cm="1">
        <f t="array" ref="B187">_xlfn.IFNA(INDEX('IR data'!$D$4:$D$61,MATCH(A187,'IR data'!$C$4:$C$61,0)),((INDEX('IR data'!$D$4:$D$61,MATCH(A187,'IR data'!$C$4:$C$61,1)))-((A187-(INDEX('IR data'!$C$4:$C$61,MATCH(A187,'IR data'!$C$4:$C$61,1))))/((INDEX('IR data'!$C$4:$C$61,MATCH(A187,'IR data'!$C$4:$C$61,1)+1)-INDEX('IR data'!$C$4:$C$61,MATCH(A187,'IR data'!$C$4:$C$61,1))))) * (INDEX('IR data'!$D$4:$D$61,MATCH(A187,'IR data'!$C$4:$C$61,1))-(INDEX('IR data'!$D$4:$D$61,MATCH(A187,'IR data'!$C$4:$C$61,1)+1)))))</f>
        <v>0.97268207992307687</v>
      </c>
      <c r="C187" s="30">
        <f t="shared" si="14"/>
        <v>2.3862044043686938E-2</v>
      </c>
      <c r="D187" s="45">
        <f t="shared" si="15"/>
        <v>45535</v>
      </c>
      <c r="E187" s="14" cm="1">
        <f t="array" ref="E187">_xlfn.IFNA(INDEX('IR data'!$I$4:$I$61,MATCH(D187,'IR data'!$H$4:$H$61,0)),((INDEX('IR data'!$I$4:$I$61,MATCH(D187,'IR data'!$H$4:$H$61,1)))-((D187-(INDEX('IR data'!$H$4:$H$61,MATCH(D187,'IR data'!$H$4:$H$61,1))))/((INDEX('IR data'!$H$4:$H$61,MATCH(D187,'IR data'!$H$4:$H$61,1)+1)-INDEX('IR data'!$H$4:$H$61,MATCH(D187,'IR data'!$H$4:$H$61,1))))) * (INDEX('IR data'!$I$4:$I$61,MATCH(D187,'IR data'!$H$4:$H$61,1))-(INDEX('IR data'!$I$4:$I$61,MATCH(D187,'IR data'!$H$4:$H$61,1)+1)))))</f>
        <v>0.97251498834782613</v>
      </c>
      <c r="F187" s="30">
        <f t="shared" si="16"/>
        <v>2.4010050375930684E-2</v>
      </c>
      <c r="G187" s="45">
        <f t="shared" si="12"/>
        <v>45569</v>
      </c>
      <c r="H187" s="14" cm="1">
        <f t="array" ref="H187">_xlfn.IFNA(INDEX('IR data'!$N$4:$N$61,MATCH(G187,'IR data'!$M$4:$M$61,0)),((INDEX('IR data'!$N$4:$N$61,MATCH(G187,'IR data'!$M$4:$M$61,1)))-((G187-(INDEX('IR data'!$M$4:$M$61,MATCH(G187,'IR data'!$M$4:$M$61,1))))/((INDEX('IR data'!$M$4:$M$61,MATCH(G187,'IR data'!$M$4:$M$61,1)+1)-INDEX('IR data'!$M$4:$M$61,MATCH(G187,'IR data'!$M$4:$M$61,1))))) * (INDEX('IR data'!$N$4:$N$61,MATCH(G187,'IR data'!$M$4:$M$61,1))-(INDEX('IR data'!$N$4:$N$61,MATCH(G187,'IR data'!$M$4:$M$61,1)+1)))))</f>
        <v>0.97263733059574464</v>
      </c>
      <c r="I187" s="44">
        <f t="shared" si="17"/>
        <v>2.3901679598309897E-2</v>
      </c>
    </row>
    <row r="188" spans="1:9" x14ac:dyDescent="0.25">
      <c r="A188" s="45">
        <f t="shared" si="13"/>
        <v>45476</v>
      </c>
      <c r="B188" s="14" cm="1">
        <f t="array" ref="B188">_xlfn.IFNA(INDEX('IR data'!$D$4:$D$61,MATCH(A188,'IR data'!$C$4:$C$61,0)),((INDEX('IR data'!$D$4:$D$61,MATCH(A188,'IR data'!$C$4:$C$61,1)))-((A188-(INDEX('IR data'!$C$4:$C$61,MATCH(A188,'IR data'!$C$4:$C$61,1))))/((INDEX('IR data'!$C$4:$C$61,MATCH(A188,'IR data'!$C$4:$C$61,1)+1)-INDEX('IR data'!$C$4:$C$61,MATCH(A188,'IR data'!$C$4:$C$61,1))))) * (INDEX('IR data'!$D$4:$D$61,MATCH(A188,'IR data'!$C$4:$C$61,1))-(INDEX('IR data'!$D$4:$D$61,MATCH(A188,'IR data'!$C$4:$C$61,1)+1)))))</f>
        <v>0.972537875</v>
      </c>
      <c r="C188" s="30">
        <f t="shared" si="14"/>
        <v>2.3860101873449783E-2</v>
      </c>
      <c r="D188" s="45">
        <f t="shared" si="15"/>
        <v>45536</v>
      </c>
      <c r="E188" s="14" cm="1">
        <f t="array" ref="E188">_xlfn.IFNA(INDEX('IR data'!$I$4:$I$61,MATCH(D188,'IR data'!$H$4:$H$61,0)),((INDEX('IR data'!$I$4:$I$61,MATCH(D188,'IR data'!$H$4:$H$61,1)))-((D188-(INDEX('IR data'!$H$4:$H$61,MATCH(D188,'IR data'!$H$4:$H$61,1))))/((INDEX('IR data'!$H$4:$H$61,MATCH(D188,'IR data'!$H$4:$H$61,1)+1)-INDEX('IR data'!$H$4:$H$61,MATCH(D188,'IR data'!$H$4:$H$61,1))))) * (INDEX('IR data'!$I$4:$I$61,MATCH(D188,'IR data'!$H$4:$H$61,1))-(INDEX('IR data'!$I$4:$I$61,MATCH(D188,'IR data'!$H$4:$H$61,1)+1)))))</f>
        <v>0.97236638826086963</v>
      </c>
      <c r="F188" s="30">
        <f t="shared" si="16"/>
        <v>2.4011203019397315E-2</v>
      </c>
      <c r="G188" s="45">
        <f t="shared" si="12"/>
        <v>45570</v>
      </c>
      <c r="H188" s="14" cm="1">
        <f t="array" ref="H188">_xlfn.IFNA(INDEX('IR data'!$N$4:$N$61,MATCH(G188,'IR data'!$M$4:$M$61,0)),((INDEX('IR data'!$N$4:$N$61,MATCH(G188,'IR data'!$M$4:$M$61,1)))-((G188-(INDEX('IR data'!$M$4:$M$61,MATCH(G188,'IR data'!$M$4:$M$61,1))))/((INDEX('IR data'!$M$4:$M$61,MATCH(G188,'IR data'!$M$4:$M$61,1)+1)-INDEX('IR data'!$M$4:$M$61,MATCH(G188,'IR data'!$M$4:$M$61,1))))) * (INDEX('IR data'!$N$4:$N$61,MATCH(G188,'IR data'!$M$4:$M$61,1))-(INDEX('IR data'!$N$4:$N$61,MATCH(G188,'IR data'!$M$4:$M$61,1)+1)))))</f>
        <v>0.97248921106382979</v>
      </c>
      <c r="I188" s="44">
        <f t="shared" si="17"/>
        <v>2.3902978146039096E-2</v>
      </c>
    </row>
    <row r="189" spans="1:9" x14ac:dyDescent="0.25">
      <c r="A189" s="45">
        <f t="shared" si="13"/>
        <v>45477</v>
      </c>
      <c r="B189" s="14" cm="1">
        <f t="array" ref="B189">_xlfn.IFNA(INDEX('IR data'!$D$4:$D$61,MATCH(A189,'IR data'!$C$4:$C$61,0)),((INDEX('IR data'!$D$4:$D$61,MATCH(A189,'IR data'!$C$4:$C$61,1)))-((A189-(INDEX('IR data'!$C$4:$C$61,MATCH(A189,'IR data'!$C$4:$C$61,1))))/((INDEX('IR data'!$C$4:$C$61,MATCH(A189,'IR data'!$C$4:$C$61,1)+1)-INDEX('IR data'!$C$4:$C$61,MATCH(A189,'IR data'!$C$4:$C$61,1))))) * (INDEX('IR data'!$D$4:$D$61,MATCH(A189,'IR data'!$C$4:$C$61,1))-(INDEX('IR data'!$D$4:$D$61,MATCH(A189,'IR data'!$C$4:$C$61,1)+1)))))</f>
        <v>0.97241202186956521</v>
      </c>
      <c r="C189" s="30">
        <f t="shared" si="14"/>
        <v>2.3842115233910433E-2</v>
      </c>
      <c r="D189" s="45">
        <f t="shared" si="15"/>
        <v>45537</v>
      </c>
      <c r="E189" s="14" cm="1">
        <f t="array" ref="E189">_xlfn.IFNA(INDEX('IR data'!$I$4:$I$61,MATCH(D189,'IR data'!$H$4:$H$61,0)),((INDEX('IR data'!$I$4:$I$61,MATCH(D189,'IR data'!$H$4:$H$61,1)))-((D189-(INDEX('IR data'!$H$4:$H$61,MATCH(D189,'IR data'!$H$4:$H$61,1))))/((INDEX('IR data'!$H$4:$H$61,MATCH(D189,'IR data'!$H$4:$H$61,1)+1)-INDEX('IR data'!$H$4:$H$61,MATCH(D189,'IR data'!$H$4:$H$61,1))))) * (INDEX('IR data'!$I$4:$I$61,MATCH(D189,'IR data'!$H$4:$H$61,1))-(INDEX('IR data'!$I$4:$I$61,MATCH(D189,'IR data'!$H$4:$H$61,1)+1)))))</f>
        <v>0.97221778817391302</v>
      </c>
      <c r="F189" s="30">
        <f t="shared" si="16"/>
        <v>2.4012363172945639E-2</v>
      </c>
      <c r="G189" s="45">
        <f t="shared" si="12"/>
        <v>45571</v>
      </c>
      <c r="H189" s="14" cm="1">
        <f t="array" ref="H189">_xlfn.IFNA(INDEX('IR data'!$N$4:$N$61,MATCH(G189,'IR data'!$M$4:$M$61,0)),((INDEX('IR data'!$N$4:$N$61,MATCH(G189,'IR data'!$M$4:$M$61,1)))-((G189-(INDEX('IR data'!$M$4:$M$61,MATCH(G189,'IR data'!$M$4:$M$61,1))))/((INDEX('IR data'!$M$4:$M$61,MATCH(G189,'IR data'!$M$4:$M$61,1)+1)-INDEX('IR data'!$M$4:$M$61,MATCH(G189,'IR data'!$M$4:$M$61,1))))) * (INDEX('IR data'!$N$4:$N$61,MATCH(G189,'IR data'!$M$4:$M$61,1))-(INDEX('IR data'!$N$4:$N$61,MATCH(G189,'IR data'!$M$4:$M$61,1)+1)))))</f>
        <v>0.97234109153191484</v>
      </c>
      <c r="I189" s="44">
        <f t="shared" si="17"/>
        <v>2.3904282501465236E-2</v>
      </c>
    </row>
    <row r="190" spans="1:9" x14ac:dyDescent="0.25">
      <c r="A190" s="45">
        <f t="shared" si="13"/>
        <v>45478</v>
      </c>
      <c r="B190" s="14" cm="1">
        <f t="array" ref="B190">_xlfn.IFNA(INDEX('IR data'!$D$4:$D$61,MATCH(A190,'IR data'!$C$4:$C$61,0)),((INDEX('IR data'!$D$4:$D$61,MATCH(A190,'IR data'!$C$4:$C$61,1)))-((A190-(INDEX('IR data'!$C$4:$C$61,MATCH(A190,'IR data'!$C$4:$C$61,1))))/((INDEX('IR data'!$C$4:$C$61,MATCH(A190,'IR data'!$C$4:$C$61,1)+1)-INDEX('IR data'!$C$4:$C$61,MATCH(A190,'IR data'!$C$4:$C$61,1))))) * (INDEX('IR data'!$D$4:$D$61,MATCH(A190,'IR data'!$C$4:$C$61,1))-(INDEX('IR data'!$D$4:$D$61,MATCH(A190,'IR data'!$C$4:$C$61,1)+1)))))</f>
        <v>0.97228616873913043</v>
      </c>
      <c r="C190" s="30">
        <f t="shared" si="14"/>
        <v>2.3824335164018103E-2</v>
      </c>
      <c r="D190" s="45">
        <f t="shared" si="15"/>
        <v>45538</v>
      </c>
      <c r="E190" s="14" cm="1">
        <f t="array" ref="E190">_xlfn.IFNA(INDEX('IR data'!$I$4:$I$61,MATCH(D190,'IR data'!$H$4:$H$61,0)),((INDEX('IR data'!$I$4:$I$61,MATCH(D190,'IR data'!$H$4:$H$61,1)))-((D190-(INDEX('IR data'!$H$4:$H$61,MATCH(D190,'IR data'!$H$4:$H$61,1))))/((INDEX('IR data'!$H$4:$H$61,MATCH(D190,'IR data'!$H$4:$H$61,1)+1)-INDEX('IR data'!$H$4:$H$61,MATCH(D190,'IR data'!$H$4:$H$61,1))))) * (INDEX('IR data'!$I$4:$I$61,MATCH(D190,'IR data'!$H$4:$H$61,1))-(INDEX('IR data'!$I$4:$I$61,MATCH(D190,'IR data'!$H$4:$H$61,1)+1)))))</f>
        <v>0.97206918808695653</v>
      </c>
      <c r="F190" s="30">
        <f t="shared" si="16"/>
        <v>2.4013530722145328E-2</v>
      </c>
      <c r="G190" s="45">
        <f t="shared" si="12"/>
        <v>45572</v>
      </c>
      <c r="H190" s="14" cm="1">
        <f t="array" ref="H190">_xlfn.IFNA(INDEX('IR data'!$N$4:$N$61,MATCH(G190,'IR data'!$M$4:$M$61,0)),((INDEX('IR data'!$N$4:$N$61,MATCH(G190,'IR data'!$M$4:$M$61,1)))-((G190-(INDEX('IR data'!$M$4:$M$61,MATCH(G190,'IR data'!$M$4:$M$61,1))))/((INDEX('IR data'!$M$4:$M$61,MATCH(G190,'IR data'!$M$4:$M$61,1)+1)-INDEX('IR data'!$M$4:$M$61,MATCH(G190,'IR data'!$M$4:$M$61,1))))) * (INDEX('IR data'!$N$4:$N$61,MATCH(G190,'IR data'!$M$4:$M$61,1))-(INDEX('IR data'!$N$4:$N$61,MATCH(G190,'IR data'!$M$4:$M$61,1)+1)))))</f>
        <v>0.97219297199999999</v>
      </c>
      <c r="I190" s="44">
        <f t="shared" si="17"/>
        <v>2.3905592577408173E-2</v>
      </c>
    </row>
    <row r="191" spans="1:9" x14ac:dyDescent="0.25">
      <c r="A191" s="45">
        <f t="shared" si="13"/>
        <v>45479</v>
      </c>
      <c r="B191" s="14" cm="1">
        <f t="array" ref="B191">_xlfn.IFNA(INDEX('IR data'!$D$4:$D$61,MATCH(A191,'IR data'!$C$4:$C$61,0)),((INDEX('IR data'!$D$4:$D$61,MATCH(A191,'IR data'!$C$4:$C$61,1)))-((A191-(INDEX('IR data'!$C$4:$C$61,MATCH(A191,'IR data'!$C$4:$C$61,1))))/((INDEX('IR data'!$C$4:$C$61,MATCH(A191,'IR data'!$C$4:$C$61,1)+1)-INDEX('IR data'!$C$4:$C$61,MATCH(A191,'IR data'!$C$4:$C$61,1))))) * (INDEX('IR data'!$D$4:$D$61,MATCH(A191,'IR data'!$C$4:$C$61,1))-(INDEX('IR data'!$D$4:$D$61,MATCH(A191,'IR data'!$C$4:$C$61,1)+1)))))</f>
        <v>0.97216031560869565</v>
      </c>
      <c r="C191" s="30">
        <f t="shared" si="14"/>
        <v>2.380675837110522E-2</v>
      </c>
      <c r="D191" s="45">
        <f t="shared" si="15"/>
        <v>45539</v>
      </c>
      <c r="E191" s="14" cm="1">
        <f t="array" ref="E191">_xlfn.IFNA(INDEX('IR data'!$I$4:$I$61,MATCH(D191,'IR data'!$H$4:$H$61,0)),((INDEX('IR data'!$I$4:$I$61,MATCH(D191,'IR data'!$H$4:$H$61,1)))-((D191-(INDEX('IR data'!$H$4:$H$61,MATCH(D191,'IR data'!$H$4:$H$61,1))))/((INDEX('IR data'!$H$4:$H$61,MATCH(D191,'IR data'!$H$4:$H$61,1)+1)-INDEX('IR data'!$H$4:$H$61,MATCH(D191,'IR data'!$H$4:$H$61,1))))) * (INDEX('IR data'!$I$4:$I$61,MATCH(D191,'IR data'!$H$4:$H$61,1))-(INDEX('IR data'!$I$4:$I$61,MATCH(D191,'IR data'!$H$4:$H$61,1)+1)))))</f>
        <v>0.97192058800000003</v>
      </c>
      <c r="F191" s="30">
        <f t="shared" si="16"/>
        <v>2.4014705555003804E-2</v>
      </c>
      <c r="G191" s="45">
        <f t="shared" si="12"/>
        <v>45573</v>
      </c>
      <c r="H191" s="14" cm="1">
        <f t="array" ref="H191">_xlfn.IFNA(INDEX('IR data'!$N$4:$N$61,MATCH(G191,'IR data'!$M$4:$M$61,0)),((INDEX('IR data'!$N$4:$N$61,MATCH(G191,'IR data'!$M$4:$M$61,1)))-((G191-(INDEX('IR data'!$M$4:$M$61,MATCH(G191,'IR data'!$M$4:$M$61,1))))/((INDEX('IR data'!$M$4:$M$61,MATCH(G191,'IR data'!$M$4:$M$61,1)+1)-INDEX('IR data'!$M$4:$M$61,MATCH(G191,'IR data'!$M$4:$M$61,1))))) * (INDEX('IR data'!$N$4:$N$61,MATCH(G191,'IR data'!$M$4:$M$61,1))-(INDEX('IR data'!$N$4:$N$61,MATCH(G191,'IR data'!$M$4:$M$61,1)+1)))))</f>
        <v>0.97205710589010985</v>
      </c>
      <c r="I191" s="44">
        <f t="shared" si="17"/>
        <v>2.3896279404336484E-2</v>
      </c>
    </row>
    <row r="192" spans="1:9" x14ac:dyDescent="0.25">
      <c r="A192" s="45">
        <f t="shared" si="13"/>
        <v>45480</v>
      </c>
      <c r="B192" s="14" cm="1">
        <f t="array" ref="B192">_xlfn.IFNA(INDEX('IR data'!$D$4:$D$61,MATCH(A192,'IR data'!$C$4:$C$61,0)),((INDEX('IR data'!$D$4:$D$61,MATCH(A192,'IR data'!$C$4:$C$61,1)))-((A192-(INDEX('IR data'!$C$4:$C$61,MATCH(A192,'IR data'!$C$4:$C$61,1))))/((INDEX('IR data'!$C$4:$C$61,MATCH(A192,'IR data'!$C$4:$C$61,1)+1)-INDEX('IR data'!$C$4:$C$61,MATCH(A192,'IR data'!$C$4:$C$61,1))))) * (INDEX('IR data'!$D$4:$D$61,MATCH(A192,'IR data'!$C$4:$C$61,1))-(INDEX('IR data'!$D$4:$D$61,MATCH(A192,'IR data'!$C$4:$C$61,1)+1)))))</f>
        <v>0.97203446247826086</v>
      </c>
      <c r="C192" s="30">
        <f t="shared" si="14"/>
        <v>2.3789381632191704E-2</v>
      </c>
      <c r="D192" s="45">
        <f t="shared" si="15"/>
        <v>45540</v>
      </c>
      <c r="E192" s="14" cm="1">
        <f t="array" ref="E192">_xlfn.IFNA(INDEX('IR data'!$I$4:$I$61,MATCH(D192,'IR data'!$H$4:$H$61,0)),((INDEX('IR data'!$I$4:$I$61,MATCH(D192,'IR data'!$H$4:$H$61,1)))-((D192-(INDEX('IR data'!$H$4:$H$61,MATCH(D192,'IR data'!$H$4:$H$61,1))))/((INDEX('IR data'!$H$4:$H$61,MATCH(D192,'IR data'!$H$4:$H$61,1)+1)-INDEX('IR data'!$H$4:$H$61,MATCH(D192,'IR data'!$H$4:$H$61,1))))) * (INDEX('IR data'!$I$4:$I$61,MATCH(D192,'IR data'!$H$4:$H$61,1))-(INDEX('IR data'!$I$4:$I$61,MATCH(D192,'IR data'!$H$4:$H$61,1)+1)))))</f>
        <v>0.97178481565934072</v>
      </c>
      <c r="F192" s="30">
        <f t="shared" si="16"/>
        <v>2.400481626516144E-2</v>
      </c>
      <c r="G192" s="45">
        <f t="shared" si="12"/>
        <v>45574</v>
      </c>
      <c r="H192" s="14" cm="1">
        <f t="array" ref="H192">_xlfn.IFNA(INDEX('IR data'!$N$4:$N$61,MATCH(G192,'IR data'!$M$4:$M$61,0)),((INDEX('IR data'!$N$4:$N$61,MATCH(G192,'IR data'!$M$4:$M$61,1)))-((G192-(INDEX('IR data'!$M$4:$M$61,MATCH(G192,'IR data'!$M$4:$M$61,1))))/((INDEX('IR data'!$M$4:$M$61,MATCH(G192,'IR data'!$M$4:$M$61,1)+1)-INDEX('IR data'!$M$4:$M$61,MATCH(G192,'IR data'!$M$4:$M$61,1))))) * (INDEX('IR data'!$N$4:$N$61,MATCH(G192,'IR data'!$M$4:$M$61,1))-(INDEX('IR data'!$N$4:$N$61,MATCH(G192,'IR data'!$M$4:$M$61,1)+1)))))</f>
        <v>0.97192123978021971</v>
      </c>
      <c r="I192" s="44">
        <f t="shared" si="17"/>
        <v>2.3887081168649526E-2</v>
      </c>
    </row>
    <row r="193" spans="1:9" x14ac:dyDescent="0.25">
      <c r="A193" s="45">
        <f t="shared" si="13"/>
        <v>45481</v>
      </c>
      <c r="B193" s="14" cm="1">
        <f t="array" ref="B193">_xlfn.IFNA(INDEX('IR data'!$D$4:$D$61,MATCH(A193,'IR data'!$C$4:$C$61,0)),((INDEX('IR data'!$D$4:$D$61,MATCH(A193,'IR data'!$C$4:$C$61,1)))-((A193-(INDEX('IR data'!$C$4:$C$61,MATCH(A193,'IR data'!$C$4:$C$61,1))))/((INDEX('IR data'!$C$4:$C$61,MATCH(A193,'IR data'!$C$4:$C$61,1)+1)-INDEX('IR data'!$C$4:$C$61,MATCH(A193,'IR data'!$C$4:$C$61,1))))) * (INDEX('IR data'!$D$4:$D$61,MATCH(A193,'IR data'!$C$4:$C$61,1))-(INDEX('IR data'!$D$4:$D$61,MATCH(A193,'IR data'!$C$4:$C$61,1)+1)))))</f>
        <v>0.97190860934782608</v>
      </c>
      <c r="C193" s="30">
        <f t="shared" si="14"/>
        <v>2.3772201792151094E-2</v>
      </c>
      <c r="D193" s="45">
        <f t="shared" si="15"/>
        <v>45541</v>
      </c>
      <c r="E193" s="14" cm="1">
        <f t="array" ref="E193">_xlfn.IFNA(INDEX('IR data'!$I$4:$I$61,MATCH(D193,'IR data'!$H$4:$H$61,0)),((INDEX('IR data'!$I$4:$I$61,MATCH(D193,'IR data'!$H$4:$H$61,1)))-((D193-(INDEX('IR data'!$H$4:$H$61,MATCH(D193,'IR data'!$H$4:$H$61,1))))/((INDEX('IR data'!$H$4:$H$61,MATCH(D193,'IR data'!$H$4:$H$61,1)+1)-INDEX('IR data'!$H$4:$H$61,MATCH(D193,'IR data'!$H$4:$H$61,1))))) * (INDEX('IR data'!$I$4:$I$61,MATCH(D193,'IR data'!$H$4:$H$61,1))-(INDEX('IR data'!$I$4:$I$61,MATCH(D193,'IR data'!$H$4:$H$61,1)+1)))))</f>
        <v>0.97164904331868129</v>
      </c>
      <c r="F193" s="30">
        <f t="shared" si="16"/>
        <v>2.3995047358789785E-2</v>
      </c>
      <c r="G193" s="45">
        <f t="shared" si="12"/>
        <v>45575</v>
      </c>
      <c r="H193" s="14" cm="1">
        <f t="array" ref="H193">_xlfn.IFNA(INDEX('IR data'!$N$4:$N$61,MATCH(G193,'IR data'!$M$4:$M$61,0)),((INDEX('IR data'!$N$4:$N$61,MATCH(G193,'IR data'!$M$4:$M$61,1)))-((G193-(INDEX('IR data'!$M$4:$M$61,MATCH(G193,'IR data'!$M$4:$M$61,1))))/((INDEX('IR data'!$M$4:$M$61,MATCH(G193,'IR data'!$M$4:$M$61,1)+1)-INDEX('IR data'!$M$4:$M$61,MATCH(G193,'IR data'!$M$4:$M$61,1))))) * (INDEX('IR data'!$N$4:$N$61,MATCH(G193,'IR data'!$M$4:$M$61,1))-(INDEX('IR data'!$N$4:$N$61,MATCH(G193,'IR data'!$M$4:$M$61,1)+1)))))</f>
        <v>0.97178537367032969</v>
      </c>
      <c r="I193" s="44">
        <f t="shared" si="17"/>
        <v>2.3877996060103646E-2</v>
      </c>
    </row>
    <row r="194" spans="1:9" x14ac:dyDescent="0.25">
      <c r="A194" s="45">
        <f t="shared" si="13"/>
        <v>45482</v>
      </c>
      <c r="B194" s="14" cm="1">
        <f t="array" ref="B194">_xlfn.IFNA(INDEX('IR data'!$D$4:$D$61,MATCH(A194,'IR data'!$C$4:$C$61,0)),((INDEX('IR data'!$D$4:$D$61,MATCH(A194,'IR data'!$C$4:$C$61,1)))-((A194-(INDEX('IR data'!$C$4:$C$61,MATCH(A194,'IR data'!$C$4:$C$61,1))))/((INDEX('IR data'!$C$4:$C$61,MATCH(A194,'IR data'!$C$4:$C$61,1)+1)-INDEX('IR data'!$C$4:$C$61,MATCH(A194,'IR data'!$C$4:$C$61,1))))) * (INDEX('IR data'!$D$4:$D$61,MATCH(A194,'IR data'!$C$4:$C$61,1))-(INDEX('IR data'!$D$4:$D$61,MATCH(A194,'IR data'!$C$4:$C$61,1)+1)))))</f>
        <v>0.9717827562173913</v>
      </c>
      <c r="C194" s="30">
        <f t="shared" si="14"/>
        <v>2.3755215761934279E-2</v>
      </c>
      <c r="D194" s="45">
        <f t="shared" si="15"/>
        <v>45542</v>
      </c>
      <c r="E194" s="14" cm="1">
        <f t="array" ref="E194">_xlfn.IFNA(INDEX('IR data'!$I$4:$I$61,MATCH(D194,'IR data'!$H$4:$H$61,0)),((INDEX('IR data'!$I$4:$I$61,MATCH(D194,'IR data'!$H$4:$H$61,1)))-((D194-(INDEX('IR data'!$H$4:$H$61,MATCH(D194,'IR data'!$H$4:$H$61,1))))/((INDEX('IR data'!$H$4:$H$61,MATCH(D194,'IR data'!$H$4:$H$61,1)+1)-INDEX('IR data'!$H$4:$H$61,MATCH(D194,'IR data'!$H$4:$H$61,1))))) * (INDEX('IR data'!$I$4:$I$61,MATCH(D194,'IR data'!$H$4:$H$61,1))-(INDEX('IR data'!$I$4:$I$61,MATCH(D194,'IR data'!$H$4:$H$61,1)+1)))))</f>
        <v>0.97151327097802198</v>
      </c>
      <c r="F194" s="30">
        <f t="shared" si="16"/>
        <v>2.3985396949576604E-2</v>
      </c>
      <c r="G194" s="45">
        <f t="shared" si="12"/>
        <v>45576</v>
      </c>
      <c r="H194" s="14" cm="1">
        <f t="array" ref="H194">_xlfn.IFNA(INDEX('IR data'!$N$4:$N$61,MATCH(G194,'IR data'!$M$4:$M$61,0)),((INDEX('IR data'!$N$4:$N$61,MATCH(G194,'IR data'!$M$4:$M$61,1)))-((G194-(INDEX('IR data'!$M$4:$M$61,MATCH(G194,'IR data'!$M$4:$M$61,1))))/((INDEX('IR data'!$M$4:$M$61,MATCH(G194,'IR data'!$M$4:$M$61,1)+1)-INDEX('IR data'!$M$4:$M$61,MATCH(G194,'IR data'!$M$4:$M$61,1))))) * (INDEX('IR data'!$N$4:$N$61,MATCH(G194,'IR data'!$M$4:$M$61,1))-(INDEX('IR data'!$N$4:$N$61,MATCH(G194,'IR data'!$M$4:$M$61,1)+1)))))</f>
        <v>0.97164950756043955</v>
      </c>
      <c r="I194" s="44">
        <f t="shared" si="17"/>
        <v>2.3869022306368236E-2</v>
      </c>
    </row>
    <row r="195" spans="1:9" x14ac:dyDescent="0.25">
      <c r="A195" s="45">
        <f t="shared" si="13"/>
        <v>45483</v>
      </c>
      <c r="B195" s="14" cm="1">
        <f t="array" ref="B195">_xlfn.IFNA(INDEX('IR data'!$D$4:$D$61,MATCH(A195,'IR data'!$C$4:$C$61,0)),((INDEX('IR data'!$D$4:$D$61,MATCH(A195,'IR data'!$C$4:$C$61,1)))-((A195-(INDEX('IR data'!$C$4:$C$61,MATCH(A195,'IR data'!$C$4:$C$61,1))))/((INDEX('IR data'!$C$4:$C$61,MATCH(A195,'IR data'!$C$4:$C$61,1)+1)-INDEX('IR data'!$C$4:$C$61,MATCH(A195,'IR data'!$C$4:$C$61,1))))) * (INDEX('IR data'!$D$4:$D$61,MATCH(A195,'IR data'!$C$4:$C$61,1))-(INDEX('IR data'!$D$4:$D$61,MATCH(A195,'IR data'!$C$4:$C$61,1)+1)))))</f>
        <v>0.97165690308695651</v>
      </c>
      <c r="C195" s="30">
        <f t="shared" si="14"/>
        <v>2.3738420516848727E-2</v>
      </c>
      <c r="D195" s="45">
        <f t="shared" si="15"/>
        <v>45543</v>
      </c>
      <c r="E195" s="14" cm="1">
        <f t="array" ref="E195">_xlfn.IFNA(INDEX('IR data'!$I$4:$I$61,MATCH(D195,'IR data'!$H$4:$H$61,0)),((INDEX('IR data'!$I$4:$I$61,MATCH(D195,'IR data'!$H$4:$H$61,1)))-((D195-(INDEX('IR data'!$H$4:$H$61,MATCH(D195,'IR data'!$H$4:$H$61,1))))/((INDEX('IR data'!$H$4:$H$61,MATCH(D195,'IR data'!$H$4:$H$61,1)+1)-INDEX('IR data'!$H$4:$H$61,MATCH(D195,'IR data'!$H$4:$H$61,1))))) * (INDEX('IR data'!$I$4:$I$61,MATCH(D195,'IR data'!$H$4:$H$61,1))-(INDEX('IR data'!$I$4:$I$61,MATCH(D195,'IR data'!$H$4:$H$61,1)+1)))))</f>
        <v>0.97137749863736267</v>
      </c>
      <c r="F195" s="30">
        <f t="shared" si="16"/>
        <v>2.3975863190510011E-2</v>
      </c>
      <c r="G195" s="45">
        <f t="shared" ref="G195:G258" si="18">G194+1</f>
        <v>45577</v>
      </c>
      <c r="H195" s="14" cm="1">
        <f t="array" ref="H195">_xlfn.IFNA(INDEX('IR data'!$N$4:$N$61,MATCH(G195,'IR data'!$M$4:$M$61,0)),((INDEX('IR data'!$N$4:$N$61,MATCH(G195,'IR data'!$M$4:$M$61,1)))-((G195-(INDEX('IR data'!$M$4:$M$61,MATCH(G195,'IR data'!$M$4:$M$61,1))))/((INDEX('IR data'!$M$4:$M$61,MATCH(G195,'IR data'!$M$4:$M$61,1)+1)-INDEX('IR data'!$M$4:$M$61,MATCH(G195,'IR data'!$M$4:$M$61,1))))) * (INDEX('IR data'!$N$4:$N$61,MATCH(G195,'IR data'!$M$4:$M$61,1))-(INDEX('IR data'!$N$4:$N$61,MATCH(G195,'IR data'!$M$4:$M$61,1)+1)))))</f>
        <v>0.97151364145054941</v>
      </c>
      <c r="I195" s="44">
        <f t="shared" si="17"/>
        <v>2.3860158172037845E-2</v>
      </c>
    </row>
    <row r="196" spans="1:9" x14ac:dyDescent="0.25">
      <c r="A196" s="45">
        <f t="shared" si="13"/>
        <v>45484</v>
      </c>
      <c r="B196" s="14" cm="1">
        <f t="array" ref="B196">_xlfn.IFNA(INDEX('IR data'!$D$4:$D$61,MATCH(A196,'IR data'!$C$4:$C$61,0)),((INDEX('IR data'!$D$4:$D$61,MATCH(A196,'IR data'!$C$4:$C$61,1)))-((A196-(INDEX('IR data'!$C$4:$C$61,MATCH(A196,'IR data'!$C$4:$C$61,1))))/((INDEX('IR data'!$C$4:$C$61,MATCH(A196,'IR data'!$C$4:$C$61,1)+1)-INDEX('IR data'!$C$4:$C$61,MATCH(A196,'IR data'!$C$4:$C$61,1))))) * (INDEX('IR data'!$D$4:$D$61,MATCH(A196,'IR data'!$C$4:$C$61,1))-(INDEX('IR data'!$D$4:$D$61,MATCH(A196,'IR data'!$C$4:$C$61,1)+1)))))</f>
        <v>0.97153104995652173</v>
      </c>
      <c r="C196" s="30">
        <f t="shared" si="14"/>
        <v>2.3721813094891211E-2</v>
      </c>
      <c r="D196" s="45">
        <f t="shared" si="15"/>
        <v>45544</v>
      </c>
      <c r="E196" s="14" cm="1">
        <f t="array" ref="E196">_xlfn.IFNA(INDEX('IR data'!$I$4:$I$61,MATCH(D196,'IR data'!$H$4:$H$61,0)),((INDEX('IR data'!$I$4:$I$61,MATCH(D196,'IR data'!$H$4:$H$61,1)))-((D196-(INDEX('IR data'!$H$4:$H$61,MATCH(D196,'IR data'!$H$4:$H$61,1))))/((INDEX('IR data'!$H$4:$H$61,MATCH(D196,'IR data'!$H$4:$H$61,1)+1)-INDEX('IR data'!$H$4:$H$61,MATCH(D196,'IR data'!$H$4:$H$61,1))))) * (INDEX('IR data'!$I$4:$I$61,MATCH(D196,'IR data'!$H$4:$H$61,1))-(INDEX('IR data'!$I$4:$I$61,MATCH(D196,'IR data'!$H$4:$H$61,1)+1)))))</f>
        <v>0.97124172629670336</v>
      </c>
      <c r="F196" s="30">
        <f t="shared" si="16"/>
        <v>2.3966444272859936E-2</v>
      </c>
      <c r="G196" s="45">
        <f t="shared" si="18"/>
        <v>45578</v>
      </c>
      <c r="H196" s="14" cm="1">
        <f t="array" ref="H196">_xlfn.IFNA(INDEX('IR data'!$N$4:$N$61,MATCH(G196,'IR data'!$M$4:$M$61,0)),((INDEX('IR data'!$N$4:$N$61,MATCH(G196,'IR data'!$M$4:$M$61,1)))-((G196-(INDEX('IR data'!$M$4:$M$61,MATCH(G196,'IR data'!$M$4:$M$61,1))))/((INDEX('IR data'!$M$4:$M$61,MATCH(G196,'IR data'!$M$4:$M$61,1)+1)-INDEX('IR data'!$M$4:$M$61,MATCH(G196,'IR data'!$M$4:$M$61,1))))) * (INDEX('IR data'!$N$4:$N$61,MATCH(G196,'IR data'!$M$4:$M$61,1))-(INDEX('IR data'!$N$4:$N$61,MATCH(G196,'IR data'!$M$4:$M$61,1)+1)))))</f>
        <v>0.97137777534065928</v>
      </c>
      <c r="I196" s="44">
        <f t="shared" si="17"/>
        <v>2.3851401957675954E-2</v>
      </c>
    </row>
    <row r="197" spans="1:9" x14ac:dyDescent="0.25">
      <c r="A197" s="45">
        <f t="shared" ref="A197:A260" si="19">A196+1</f>
        <v>45485</v>
      </c>
      <c r="B197" s="14" cm="1">
        <f t="array" ref="B197">_xlfn.IFNA(INDEX('IR data'!$D$4:$D$61,MATCH(A197,'IR data'!$C$4:$C$61,0)),((INDEX('IR data'!$D$4:$D$61,MATCH(A197,'IR data'!$C$4:$C$61,1)))-((A197-(INDEX('IR data'!$C$4:$C$61,MATCH(A197,'IR data'!$C$4:$C$61,1))))/((INDEX('IR data'!$C$4:$C$61,MATCH(A197,'IR data'!$C$4:$C$61,1)+1)-INDEX('IR data'!$C$4:$C$61,MATCH(A197,'IR data'!$C$4:$C$61,1))))) * (INDEX('IR data'!$D$4:$D$61,MATCH(A197,'IR data'!$C$4:$C$61,1))-(INDEX('IR data'!$D$4:$D$61,MATCH(A197,'IR data'!$C$4:$C$61,1)+1)))))</f>
        <v>0.97140519682608695</v>
      </c>
      <c r="C197" s="30">
        <f t="shared" ref="C197:C260" si="20">-LOG(B197)/YEARFRAC($B$1, A197, 3)</f>
        <v>2.3705390595132141E-2</v>
      </c>
      <c r="D197" s="45">
        <f t="shared" ref="D197:D260" si="21">D196+1</f>
        <v>45545</v>
      </c>
      <c r="E197" s="14" cm="1">
        <f t="array" ref="E197">_xlfn.IFNA(INDEX('IR data'!$I$4:$I$61,MATCH(D197,'IR data'!$H$4:$H$61,0)),((INDEX('IR data'!$I$4:$I$61,MATCH(D197,'IR data'!$H$4:$H$61,1)))-((D197-(INDEX('IR data'!$H$4:$H$61,MATCH(D197,'IR data'!$H$4:$H$61,1))))/((INDEX('IR data'!$H$4:$H$61,MATCH(D197,'IR data'!$H$4:$H$61,1)+1)-INDEX('IR data'!$H$4:$H$61,MATCH(D197,'IR data'!$H$4:$H$61,1))))) * (INDEX('IR data'!$I$4:$I$61,MATCH(D197,'IR data'!$H$4:$H$61,1))-(INDEX('IR data'!$I$4:$I$61,MATCH(D197,'IR data'!$H$4:$H$61,1)+1)))))</f>
        <v>0.97110595395604393</v>
      </c>
      <c r="F197" s="30">
        <f t="shared" ref="F197:F260" si="22">-LOG(E197)/YEARFRAC($E$1, D197, 3)</f>
        <v>2.3957138425191697E-2</v>
      </c>
      <c r="G197" s="45">
        <f t="shared" si="18"/>
        <v>45579</v>
      </c>
      <c r="H197" s="14" cm="1">
        <f t="array" ref="H197">_xlfn.IFNA(INDEX('IR data'!$N$4:$N$61,MATCH(G197,'IR data'!$M$4:$M$61,0)),((INDEX('IR data'!$N$4:$N$61,MATCH(G197,'IR data'!$M$4:$M$61,1)))-((G197-(INDEX('IR data'!$M$4:$M$61,MATCH(G197,'IR data'!$M$4:$M$61,1))))/((INDEX('IR data'!$M$4:$M$61,MATCH(G197,'IR data'!$M$4:$M$61,1)+1)-INDEX('IR data'!$M$4:$M$61,MATCH(G197,'IR data'!$M$4:$M$61,1))))) * (INDEX('IR data'!$N$4:$N$61,MATCH(G197,'IR data'!$M$4:$M$61,1))-(INDEX('IR data'!$N$4:$N$61,MATCH(G197,'IR data'!$M$4:$M$61,1)+1)))))</f>
        <v>0.97124190923076925</v>
      </c>
      <c r="I197" s="44">
        <f t="shared" ref="I197:I260" si="23">-LOG(H197)/YEARFRAC($H$1, G197, 3)</f>
        <v>2.3842751998887766E-2</v>
      </c>
    </row>
    <row r="198" spans="1:9" x14ac:dyDescent="0.25">
      <c r="A198" s="45">
        <f t="shared" si="19"/>
        <v>45486</v>
      </c>
      <c r="B198" s="14" cm="1">
        <f t="array" ref="B198">_xlfn.IFNA(INDEX('IR data'!$D$4:$D$61,MATCH(A198,'IR data'!$C$4:$C$61,0)),((INDEX('IR data'!$D$4:$D$61,MATCH(A198,'IR data'!$C$4:$C$61,1)))-((A198-(INDEX('IR data'!$C$4:$C$61,MATCH(A198,'IR data'!$C$4:$C$61,1))))/((INDEX('IR data'!$C$4:$C$61,MATCH(A198,'IR data'!$C$4:$C$61,1)+1)-INDEX('IR data'!$C$4:$C$61,MATCH(A198,'IR data'!$C$4:$C$61,1))))) * (INDEX('IR data'!$D$4:$D$61,MATCH(A198,'IR data'!$C$4:$C$61,1))-(INDEX('IR data'!$D$4:$D$61,MATCH(A198,'IR data'!$C$4:$C$61,1)+1)))))</f>
        <v>0.97127934369565216</v>
      </c>
      <c r="C198" s="30">
        <f t="shared" si="20"/>
        <v>2.3689150176149528E-2</v>
      </c>
      <c r="D198" s="45">
        <f t="shared" si="21"/>
        <v>45546</v>
      </c>
      <c r="E198" s="14" cm="1">
        <f t="array" ref="E198">_xlfn.IFNA(INDEX('IR data'!$I$4:$I$61,MATCH(D198,'IR data'!$H$4:$H$61,0)),((INDEX('IR data'!$I$4:$I$61,MATCH(D198,'IR data'!$H$4:$H$61,1)))-((D198-(INDEX('IR data'!$H$4:$H$61,MATCH(D198,'IR data'!$H$4:$H$61,1))))/((INDEX('IR data'!$H$4:$H$61,MATCH(D198,'IR data'!$H$4:$H$61,1)+1)-INDEX('IR data'!$H$4:$H$61,MATCH(D198,'IR data'!$H$4:$H$61,1))))) * (INDEX('IR data'!$I$4:$I$61,MATCH(D198,'IR data'!$H$4:$H$61,1))-(INDEX('IR data'!$I$4:$I$61,MATCH(D198,'IR data'!$H$4:$H$61,1)+1)))))</f>
        <v>0.97097018161538462</v>
      </c>
      <c r="F198" s="30">
        <f t="shared" si="22"/>
        <v>2.39479439124093E-2</v>
      </c>
      <c r="G198" s="45">
        <f t="shared" si="18"/>
        <v>45580</v>
      </c>
      <c r="H198" s="14" cm="1">
        <f t="array" ref="H198">_xlfn.IFNA(INDEX('IR data'!$N$4:$N$61,MATCH(G198,'IR data'!$M$4:$M$61,0)),((INDEX('IR data'!$N$4:$N$61,MATCH(G198,'IR data'!$M$4:$M$61,1)))-((G198-(INDEX('IR data'!$M$4:$M$61,MATCH(G198,'IR data'!$M$4:$M$61,1))))/((INDEX('IR data'!$M$4:$M$61,MATCH(G198,'IR data'!$M$4:$M$61,1)+1)-INDEX('IR data'!$M$4:$M$61,MATCH(G198,'IR data'!$M$4:$M$61,1))))) * (INDEX('IR data'!$N$4:$N$61,MATCH(G198,'IR data'!$M$4:$M$61,1))-(INDEX('IR data'!$N$4:$N$61,MATCH(G198,'IR data'!$M$4:$M$61,1)+1)))))</f>
        <v>0.97110604312087911</v>
      </c>
      <c r="I198" s="44">
        <f t="shared" si="23"/>
        <v>2.3834206665422051E-2</v>
      </c>
    </row>
    <row r="199" spans="1:9" x14ac:dyDescent="0.25">
      <c r="A199" s="45">
        <f t="shared" si="19"/>
        <v>45487</v>
      </c>
      <c r="B199" s="14" cm="1">
        <f t="array" ref="B199">_xlfn.IFNA(INDEX('IR data'!$D$4:$D$61,MATCH(A199,'IR data'!$C$4:$C$61,0)),((INDEX('IR data'!$D$4:$D$61,MATCH(A199,'IR data'!$C$4:$C$61,1)))-((A199-(INDEX('IR data'!$C$4:$C$61,MATCH(A199,'IR data'!$C$4:$C$61,1))))/((INDEX('IR data'!$C$4:$C$61,MATCH(A199,'IR data'!$C$4:$C$61,1)+1)-INDEX('IR data'!$C$4:$C$61,MATCH(A199,'IR data'!$C$4:$C$61,1))))) * (INDEX('IR data'!$D$4:$D$61,MATCH(A199,'IR data'!$C$4:$C$61,1))-(INDEX('IR data'!$D$4:$D$61,MATCH(A199,'IR data'!$C$4:$C$61,1)+1)))))</f>
        <v>0.97115349056521738</v>
      </c>
      <c r="C199" s="30">
        <f t="shared" si="20"/>
        <v>2.3673089054510953E-2</v>
      </c>
      <c r="D199" s="45">
        <f t="shared" si="21"/>
        <v>45547</v>
      </c>
      <c r="E199" s="14" cm="1">
        <f t="array" ref="E199">_xlfn.IFNA(INDEX('IR data'!$I$4:$I$61,MATCH(D199,'IR data'!$H$4:$H$61,0)),((INDEX('IR data'!$I$4:$I$61,MATCH(D199,'IR data'!$H$4:$H$61,1)))-((D199-(INDEX('IR data'!$H$4:$H$61,MATCH(D199,'IR data'!$H$4:$H$61,1))))/((INDEX('IR data'!$H$4:$H$61,MATCH(D199,'IR data'!$H$4:$H$61,1)+1)-INDEX('IR data'!$H$4:$H$61,MATCH(D199,'IR data'!$H$4:$H$61,1))))) * (INDEX('IR data'!$I$4:$I$61,MATCH(D199,'IR data'!$H$4:$H$61,1))-(INDEX('IR data'!$I$4:$I$61,MATCH(D199,'IR data'!$H$4:$H$61,1)+1)))))</f>
        <v>0.97083440927472531</v>
      </c>
      <c r="F199" s="30">
        <f t="shared" si="22"/>
        <v>2.3938859034829004E-2</v>
      </c>
      <c r="G199" s="45">
        <f t="shared" si="18"/>
        <v>45581</v>
      </c>
      <c r="H199" s="14" cm="1">
        <f t="array" ref="H199">_xlfn.IFNA(INDEX('IR data'!$N$4:$N$61,MATCH(G199,'IR data'!$M$4:$M$61,0)),((INDEX('IR data'!$N$4:$N$61,MATCH(G199,'IR data'!$M$4:$M$61,1)))-((G199-(INDEX('IR data'!$M$4:$M$61,MATCH(G199,'IR data'!$M$4:$M$61,1))))/((INDEX('IR data'!$M$4:$M$61,MATCH(G199,'IR data'!$M$4:$M$61,1)+1)-INDEX('IR data'!$M$4:$M$61,MATCH(G199,'IR data'!$M$4:$M$61,1))))) * (INDEX('IR data'!$N$4:$N$61,MATCH(G199,'IR data'!$M$4:$M$61,1))-(INDEX('IR data'!$N$4:$N$61,MATCH(G199,'IR data'!$M$4:$M$61,1)+1)))))</f>
        <v>0.97097017701098898</v>
      </c>
      <c r="I199" s="44">
        <f t="shared" si="23"/>
        <v>2.3825764360299588E-2</v>
      </c>
    </row>
    <row r="200" spans="1:9" x14ac:dyDescent="0.25">
      <c r="A200" s="45">
        <f t="shared" si="19"/>
        <v>45488</v>
      </c>
      <c r="B200" s="14" cm="1">
        <f t="array" ref="B200">_xlfn.IFNA(INDEX('IR data'!$D$4:$D$61,MATCH(A200,'IR data'!$C$4:$C$61,0)),((INDEX('IR data'!$D$4:$D$61,MATCH(A200,'IR data'!$C$4:$C$61,1)))-((A200-(INDEX('IR data'!$C$4:$C$61,MATCH(A200,'IR data'!$C$4:$C$61,1))))/((INDEX('IR data'!$C$4:$C$61,MATCH(A200,'IR data'!$C$4:$C$61,1)+1)-INDEX('IR data'!$C$4:$C$61,MATCH(A200,'IR data'!$C$4:$C$61,1))))) * (INDEX('IR data'!$D$4:$D$61,MATCH(A200,'IR data'!$C$4:$C$61,1))-(INDEX('IR data'!$D$4:$D$61,MATCH(A200,'IR data'!$C$4:$C$61,1)+1)))))</f>
        <v>0.9710276374347826</v>
      </c>
      <c r="C200" s="30">
        <f t="shared" si="20"/>
        <v>2.3657204503301766E-2</v>
      </c>
      <c r="D200" s="45">
        <f t="shared" si="21"/>
        <v>45548</v>
      </c>
      <c r="E200" s="14" cm="1">
        <f t="array" ref="E200">_xlfn.IFNA(INDEX('IR data'!$I$4:$I$61,MATCH(D200,'IR data'!$H$4:$H$61,0)),((INDEX('IR data'!$I$4:$I$61,MATCH(D200,'IR data'!$H$4:$H$61,1)))-((D200-(INDEX('IR data'!$H$4:$H$61,MATCH(D200,'IR data'!$H$4:$H$61,1))))/((INDEX('IR data'!$H$4:$H$61,MATCH(D200,'IR data'!$H$4:$H$61,1)+1)-INDEX('IR data'!$H$4:$H$61,MATCH(D200,'IR data'!$H$4:$H$61,1))))) * (INDEX('IR data'!$I$4:$I$61,MATCH(D200,'IR data'!$H$4:$H$61,1))-(INDEX('IR data'!$I$4:$I$61,MATCH(D200,'IR data'!$H$4:$H$61,1)+1)))))</f>
        <v>0.97069863693406599</v>
      </c>
      <c r="F200" s="30">
        <f t="shared" si="22"/>
        <v>2.3929882127280179E-2</v>
      </c>
      <c r="G200" s="45">
        <f t="shared" si="18"/>
        <v>45582</v>
      </c>
      <c r="H200" s="14" cm="1">
        <f t="array" ref="H200">_xlfn.IFNA(INDEX('IR data'!$N$4:$N$61,MATCH(G200,'IR data'!$M$4:$M$61,0)),((INDEX('IR data'!$N$4:$N$61,MATCH(G200,'IR data'!$M$4:$M$61,1)))-((G200-(INDEX('IR data'!$M$4:$M$61,MATCH(G200,'IR data'!$M$4:$M$61,1))))/((INDEX('IR data'!$M$4:$M$61,MATCH(G200,'IR data'!$M$4:$M$61,1)+1)-INDEX('IR data'!$M$4:$M$61,MATCH(G200,'IR data'!$M$4:$M$61,1))))) * (INDEX('IR data'!$N$4:$N$61,MATCH(G200,'IR data'!$M$4:$M$61,1))-(INDEX('IR data'!$N$4:$N$61,MATCH(G200,'IR data'!$M$4:$M$61,1)+1)))))</f>
        <v>0.97083431090109884</v>
      </c>
      <c r="I200" s="44">
        <f t="shared" si="23"/>
        <v>2.3817423518969084E-2</v>
      </c>
    </row>
    <row r="201" spans="1:9" x14ac:dyDescent="0.25">
      <c r="A201" s="45">
        <f t="shared" si="19"/>
        <v>45489</v>
      </c>
      <c r="B201" s="14" cm="1">
        <f t="array" ref="B201">_xlfn.IFNA(INDEX('IR data'!$D$4:$D$61,MATCH(A201,'IR data'!$C$4:$C$61,0)),((INDEX('IR data'!$D$4:$D$61,MATCH(A201,'IR data'!$C$4:$C$61,1)))-((A201-(INDEX('IR data'!$C$4:$C$61,MATCH(A201,'IR data'!$C$4:$C$61,1))))/((INDEX('IR data'!$C$4:$C$61,MATCH(A201,'IR data'!$C$4:$C$61,1)+1)-INDEX('IR data'!$C$4:$C$61,MATCH(A201,'IR data'!$C$4:$C$61,1))))) * (INDEX('IR data'!$D$4:$D$61,MATCH(A201,'IR data'!$C$4:$C$61,1))-(INDEX('IR data'!$D$4:$D$61,MATCH(A201,'IR data'!$C$4:$C$61,1)+1)))))</f>
        <v>0.97090178430434781</v>
      </c>
      <c r="C201" s="30">
        <f t="shared" si="20"/>
        <v>2.3641493850697842E-2</v>
      </c>
      <c r="D201" s="45">
        <f t="shared" si="21"/>
        <v>45549</v>
      </c>
      <c r="E201" s="14" cm="1">
        <f t="array" ref="E201">_xlfn.IFNA(INDEX('IR data'!$I$4:$I$61,MATCH(D201,'IR data'!$H$4:$H$61,0)),((INDEX('IR data'!$I$4:$I$61,MATCH(D201,'IR data'!$H$4:$H$61,1)))-((D201-(INDEX('IR data'!$H$4:$H$61,MATCH(D201,'IR data'!$H$4:$H$61,1))))/((INDEX('IR data'!$H$4:$H$61,MATCH(D201,'IR data'!$H$4:$H$61,1)+1)-INDEX('IR data'!$H$4:$H$61,MATCH(D201,'IR data'!$H$4:$H$61,1))))) * (INDEX('IR data'!$I$4:$I$61,MATCH(D201,'IR data'!$H$4:$H$61,1))-(INDEX('IR data'!$I$4:$I$61,MATCH(D201,'IR data'!$H$4:$H$61,1)+1)))))</f>
        <v>0.97056286459340657</v>
      </c>
      <c r="F201" s="30">
        <f t="shared" si="22"/>
        <v>2.3921011558233923E-2</v>
      </c>
      <c r="G201" s="45">
        <f t="shared" si="18"/>
        <v>45583</v>
      </c>
      <c r="H201" s="14" cm="1">
        <f t="array" ref="H201">_xlfn.IFNA(INDEX('IR data'!$N$4:$N$61,MATCH(G201,'IR data'!$M$4:$M$61,0)),((INDEX('IR data'!$N$4:$N$61,MATCH(G201,'IR data'!$M$4:$M$61,1)))-((G201-(INDEX('IR data'!$M$4:$M$61,MATCH(G201,'IR data'!$M$4:$M$61,1))))/((INDEX('IR data'!$M$4:$M$61,MATCH(G201,'IR data'!$M$4:$M$61,1)+1)-INDEX('IR data'!$M$4:$M$61,MATCH(G201,'IR data'!$M$4:$M$61,1))))) * (INDEX('IR data'!$N$4:$N$61,MATCH(G201,'IR data'!$M$4:$M$61,1))-(INDEX('IR data'!$N$4:$N$61,MATCH(G201,'IR data'!$M$4:$M$61,1)+1)))))</f>
        <v>0.97069844479120881</v>
      </c>
      <c r="I201" s="44">
        <f t="shared" si="23"/>
        <v>2.3809182608488088E-2</v>
      </c>
    </row>
    <row r="202" spans="1:9" x14ac:dyDescent="0.25">
      <c r="A202" s="45">
        <f t="shared" si="19"/>
        <v>45490</v>
      </c>
      <c r="B202" s="14" cm="1">
        <f t="array" ref="B202">_xlfn.IFNA(INDEX('IR data'!$D$4:$D$61,MATCH(A202,'IR data'!$C$4:$C$61,0)),((INDEX('IR data'!$D$4:$D$61,MATCH(A202,'IR data'!$C$4:$C$61,1)))-((A202-(INDEX('IR data'!$C$4:$C$61,MATCH(A202,'IR data'!$C$4:$C$61,1))))/((INDEX('IR data'!$C$4:$C$61,MATCH(A202,'IR data'!$C$4:$C$61,1)+1)-INDEX('IR data'!$C$4:$C$61,MATCH(A202,'IR data'!$C$4:$C$61,1))))) * (INDEX('IR data'!$D$4:$D$61,MATCH(A202,'IR data'!$C$4:$C$61,1))-(INDEX('IR data'!$D$4:$D$61,MATCH(A202,'IR data'!$C$4:$C$61,1)+1)))))</f>
        <v>0.97077593117391303</v>
      </c>
      <c r="C202" s="30">
        <f t="shared" si="20"/>
        <v>2.3625954478581422E-2</v>
      </c>
      <c r="D202" s="45">
        <f t="shared" si="21"/>
        <v>45550</v>
      </c>
      <c r="E202" s="14" cm="1">
        <f t="array" ref="E202">_xlfn.IFNA(INDEX('IR data'!$I$4:$I$61,MATCH(D202,'IR data'!$H$4:$H$61,0)),((INDEX('IR data'!$I$4:$I$61,MATCH(D202,'IR data'!$H$4:$H$61,1)))-((D202-(INDEX('IR data'!$H$4:$H$61,MATCH(D202,'IR data'!$H$4:$H$61,1))))/((INDEX('IR data'!$H$4:$H$61,MATCH(D202,'IR data'!$H$4:$H$61,1)+1)-INDEX('IR data'!$H$4:$H$61,MATCH(D202,'IR data'!$H$4:$H$61,1))))) * (INDEX('IR data'!$I$4:$I$61,MATCH(D202,'IR data'!$H$4:$H$61,1))-(INDEX('IR data'!$I$4:$I$61,MATCH(D202,'IR data'!$H$4:$H$61,1)+1)))))</f>
        <v>0.97042709225274726</v>
      </c>
      <c r="F202" s="30">
        <f t="shared" si="22"/>
        <v>2.3912245728957449E-2</v>
      </c>
      <c r="G202" s="45">
        <f t="shared" si="18"/>
        <v>45584</v>
      </c>
      <c r="H202" s="14" cm="1">
        <f t="array" ref="H202">_xlfn.IFNA(INDEX('IR data'!$N$4:$N$61,MATCH(G202,'IR data'!$M$4:$M$61,0)),((INDEX('IR data'!$N$4:$N$61,MATCH(G202,'IR data'!$M$4:$M$61,1)))-((G202-(INDEX('IR data'!$M$4:$M$61,MATCH(G202,'IR data'!$M$4:$M$61,1))))/((INDEX('IR data'!$M$4:$M$61,MATCH(G202,'IR data'!$M$4:$M$61,1)+1)-INDEX('IR data'!$M$4:$M$61,MATCH(G202,'IR data'!$M$4:$M$61,1))))) * (INDEX('IR data'!$N$4:$N$61,MATCH(G202,'IR data'!$M$4:$M$61,1))-(INDEX('IR data'!$N$4:$N$61,MATCH(G202,'IR data'!$M$4:$M$61,1)+1)))))</f>
        <v>0.97056257868131868</v>
      </c>
      <c r="I202" s="44">
        <f t="shared" si="23"/>
        <v>2.3801040126729161E-2</v>
      </c>
    </row>
    <row r="203" spans="1:9" x14ac:dyDescent="0.25">
      <c r="A203" s="45">
        <f t="shared" si="19"/>
        <v>45491</v>
      </c>
      <c r="B203" s="14" cm="1">
        <f t="array" ref="B203">_xlfn.IFNA(INDEX('IR data'!$D$4:$D$61,MATCH(A203,'IR data'!$C$4:$C$61,0)),((INDEX('IR data'!$D$4:$D$61,MATCH(A203,'IR data'!$C$4:$C$61,1)))-((A203-(INDEX('IR data'!$C$4:$C$61,MATCH(A203,'IR data'!$C$4:$C$61,1))))/((INDEX('IR data'!$C$4:$C$61,MATCH(A203,'IR data'!$C$4:$C$61,1)+1)-INDEX('IR data'!$C$4:$C$61,MATCH(A203,'IR data'!$C$4:$C$61,1))))) * (INDEX('IR data'!$D$4:$D$61,MATCH(A203,'IR data'!$C$4:$C$61,1))-(INDEX('IR data'!$D$4:$D$61,MATCH(A203,'IR data'!$C$4:$C$61,1)+1)))))</f>
        <v>0.97065007804347825</v>
      </c>
      <c r="C203" s="30">
        <f t="shared" si="20"/>
        <v>2.361058382119844E-2</v>
      </c>
      <c r="D203" s="45">
        <f t="shared" si="21"/>
        <v>45551</v>
      </c>
      <c r="E203" s="14" cm="1">
        <f t="array" ref="E203">_xlfn.IFNA(INDEX('IR data'!$I$4:$I$61,MATCH(D203,'IR data'!$H$4:$H$61,0)),((INDEX('IR data'!$I$4:$I$61,MATCH(D203,'IR data'!$H$4:$H$61,1)))-((D203-(INDEX('IR data'!$H$4:$H$61,MATCH(D203,'IR data'!$H$4:$H$61,1))))/((INDEX('IR data'!$H$4:$H$61,MATCH(D203,'IR data'!$H$4:$H$61,1)+1)-INDEX('IR data'!$H$4:$H$61,MATCH(D203,'IR data'!$H$4:$H$61,1))))) * (INDEX('IR data'!$I$4:$I$61,MATCH(D203,'IR data'!$H$4:$H$61,1))-(INDEX('IR data'!$I$4:$I$61,MATCH(D203,'IR data'!$H$4:$H$61,1)+1)))))</f>
        <v>0.97029131991208795</v>
      </c>
      <c r="F203" s="30">
        <f t="shared" si="22"/>
        <v>2.390358307269471E-2</v>
      </c>
      <c r="G203" s="45">
        <f t="shared" si="18"/>
        <v>45585</v>
      </c>
      <c r="H203" s="14" cm="1">
        <f t="array" ref="H203">_xlfn.IFNA(INDEX('IR data'!$N$4:$N$61,MATCH(G203,'IR data'!$M$4:$M$61,0)),((INDEX('IR data'!$N$4:$N$61,MATCH(G203,'IR data'!$M$4:$M$61,1)))-((G203-(INDEX('IR data'!$M$4:$M$61,MATCH(G203,'IR data'!$M$4:$M$61,1))))/((INDEX('IR data'!$M$4:$M$61,MATCH(G203,'IR data'!$M$4:$M$61,1)+1)-INDEX('IR data'!$M$4:$M$61,MATCH(G203,'IR data'!$M$4:$M$61,1))))) * (INDEX('IR data'!$N$4:$N$61,MATCH(G203,'IR data'!$M$4:$M$61,1))-(INDEX('IR data'!$N$4:$N$61,MATCH(G203,'IR data'!$M$4:$M$61,1)+1)))))</f>
        <v>0.97042671257142854</v>
      </c>
      <c r="I203" s="44">
        <f t="shared" si="23"/>
        <v>2.3792994601608979E-2</v>
      </c>
    </row>
    <row r="204" spans="1:9" x14ac:dyDescent="0.25">
      <c r="A204" s="45">
        <f t="shared" si="19"/>
        <v>45492</v>
      </c>
      <c r="B204" s="14" cm="1">
        <f t="array" ref="B204">_xlfn.IFNA(INDEX('IR data'!$D$4:$D$61,MATCH(A204,'IR data'!$C$4:$C$61,0)),((INDEX('IR data'!$D$4:$D$61,MATCH(A204,'IR data'!$C$4:$C$61,1)))-((A204-(INDEX('IR data'!$C$4:$C$61,MATCH(A204,'IR data'!$C$4:$C$61,1))))/((INDEX('IR data'!$C$4:$C$61,MATCH(A204,'IR data'!$C$4:$C$61,1)+1)-INDEX('IR data'!$C$4:$C$61,MATCH(A204,'IR data'!$C$4:$C$61,1))))) * (INDEX('IR data'!$D$4:$D$61,MATCH(A204,'IR data'!$C$4:$C$61,1))-(INDEX('IR data'!$D$4:$D$61,MATCH(A204,'IR data'!$C$4:$C$61,1)+1)))))</f>
        <v>0.97052422491304347</v>
      </c>
      <c r="C204" s="30">
        <f t="shared" si="20"/>
        <v>2.3595379363855955E-2</v>
      </c>
      <c r="D204" s="45">
        <f t="shared" si="21"/>
        <v>45552</v>
      </c>
      <c r="E204" s="14" cm="1">
        <f t="array" ref="E204">_xlfn.IFNA(INDEX('IR data'!$I$4:$I$61,MATCH(D204,'IR data'!$H$4:$H$61,0)),((INDEX('IR data'!$I$4:$I$61,MATCH(D204,'IR data'!$H$4:$H$61,1)))-((D204-(INDEX('IR data'!$H$4:$H$61,MATCH(D204,'IR data'!$H$4:$H$61,1))))/((INDEX('IR data'!$H$4:$H$61,MATCH(D204,'IR data'!$H$4:$H$61,1)+1)-INDEX('IR data'!$H$4:$H$61,MATCH(D204,'IR data'!$H$4:$H$61,1))))) * (INDEX('IR data'!$I$4:$I$61,MATCH(D204,'IR data'!$H$4:$H$61,1))-(INDEX('IR data'!$I$4:$I$61,MATCH(D204,'IR data'!$H$4:$H$61,1)+1)))))</f>
        <v>0.97015554757142863</v>
      </c>
      <c r="F204" s="30">
        <f t="shared" si="22"/>
        <v>2.3895022053870618E-2</v>
      </c>
      <c r="G204" s="45">
        <f t="shared" si="18"/>
        <v>45586</v>
      </c>
      <c r="H204" s="14" cm="1">
        <f t="array" ref="H204">_xlfn.IFNA(INDEX('IR data'!$N$4:$N$61,MATCH(G204,'IR data'!$M$4:$M$61,0)),((INDEX('IR data'!$N$4:$N$61,MATCH(G204,'IR data'!$M$4:$M$61,1)))-((G204-(INDEX('IR data'!$M$4:$M$61,MATCH(G204,'IR data'!$M$4:$M$61,1))))/((INDEX('IR data'!$M$4:$M$61,MATCH(G204,'IR data'!$M$4:$M$61,1)+1)-INDEX('IR data'!$M$4:$M$61,MATCH(G204,'IR data'!$M$4:$M$61,1))))) * (INDEX('IR data'!$N$4:$N$61,MATCH(G204,'IR data'!$M$4:$M$61,1))-(INDEX('IR data'!$N$4:$N$61,MATCH(G204,'IR data'!$M$4:$M$61,1)+1)))))</f>
        <v>0.9702908464615384</v>
      </c>
      <c r="I204" s="44">
        <f t="shared" si="23"/>
        <v>2.3785044590341312E-2</v>
      </c>
    </row>
    <row r="205" spans="1:9" x14ac:dyDescent="0.25">
      <c r="A205" s="45">
        <f t="shared" si="19"/>
        <v>45493</v>
      </c>
      <c r="B205" s="14" cm="1">
        <f t="array" ref="B205">_xlfn.IFNA(INDEX('IR data'!$D$4:$D$61,MATCH(A205,'IR data'!$C$4:$C$61,0)),((INDEX('IR data'!$D$4:$D$61,MATCH(A205,'IR data'!$C$4:$C$61,1)))-((A205-(INDEX('IR data'!$C$4:$C$61,MATCH(A205,'IR data'!$C$4:$C$61,1))))/((INDEX('IR data'!$C$4:$C$61,MATCH(A205,'IR data'!$C$4:$C$61,1)+1)-INDEX('IR data'!$C$4:$C$61,MATCH(A205,'IR data'!$C$4:$C$61,1))))) * (INDEX('IR data'!$D$4:$D$61,MATCH(A205,'IR data'!$C$4:$C$61,1))-(INDEX('IR data'!$D$4:$D$61,MATCH(A205,'IR data'!$C$4:$C$61,1)+1)))))</f>
        <v>0.97039837178260868</v>
      </c>
      <c r="C205" s="30">
        <f t="shared" si="20"/>
        <v>2.3580338641658247E-2</v>
      </c>
      <c r="D205" s="45">
        <f t="shared" si="21"/>
        <v>45553</v>
      </c>
      <c r="E205" s="14" cm="1">
        <f t="array" ref="E205">_xlfn.IFNA(INDEX('IR data'!$I$4:$I$61,MATCH(D205,'IR data'!$H$4:$H$61,0)),((INDEX('IR data'!$I$4:$I$61,MATCH(D205,'IR data'!$H$4:$H$61,1)))-((D205-(INDEX('IR data'!$H$4:$H$61,MATCH(D205,'IR data'!$H$4:$H$61,1))))/((INDEX('IR data'!$H$4:$H$61,MATCH(D205,'IR data'!$H$4:$H$61,1)+1)-INDEX('IR data'!$H$4:$H$61,MATCH(D205,'IR data'!$H$4:$H$61,1))))) * (INDEX('IR data'!$I$4:$I$61,MATCH(D205,'IR data'!$H$4:$H$61,1))-(INDEX('IR data'!$I$4:$I$61,MATCH(D205,'IR data'!$H$4:$H$61,1)+1)))))</f>
        <v>0.97001977523076921</v>
      </c>
      <c r="F205" s="30">
        <f t="shared" si="22"/>
        <v>2.3886561167319402E-2</v>
      </c>
      <c r="G205" s="45">
        <f t="shared" si="18"/>
        <v>45587</v>
      </c>
      <c r="H205" s="14" cm="1">
        <f t="array" ref="H205">_xlfn.IFNA(INDEX('IR data'!$N$4:$N$61,MATCH(G205,'IR data'!$M$4:$M$61,0)),((INDEX('IR data'!$N$4:$N$61,MATCH(G205,'IR data'!$M$4:$M$61,1)))-((G205-(INDEX('IR data'!$M$4:$M$61,MATCH(G205,'IR data'!$M$4:$M$61,1))))/((INDEX('IR data'!$M$4:$M$61,MATCH(G205,'IR data'!$M$4:$M$61,1)+1)-INDEX('IR data'!$M$4:$M$61,MATCH(G205,'IR data'!$M$4:$M$61,1))))) * (INDEX('IR data'!$N$4:$N$61,MATCH(G205,'IR data'!$M$4:$M$61,1))-(INDEX('IR data'!$N$4:$N$61,MATCH(G205,'IR data'!$M$4:$M$61,1)+1)))))</f>
        <v>0.97015498035164838</v>
      </c>
      <c r="I205" s="44">
        <f t="shared" si="23"/>
        <v>2.3777188678711671E-2</v>
      </c>
    </row>
    <row r="206" spans="1:9" x14ac:dyDescent="0.25">
      <c r="A206" s="45">
        <f t="shared" si="19"/>
        <v>45494</v>
      </c>
      <c r="B206" s="14" cm="1">
        <f t="array" ref="B206">_xlfn.IFNA(INDEX('IR data'!$D$4:$D$61,MATCH(A206,'IR data'!$C$4:$C$61,0)),((INDEX('IR data'!$D$4:$D$61,MATCH(A206,'IR data'!$C$4:$C$61,1)))-((A206-(INDEX('IR data'!$C$4:$C$61,MATCH(A206,'IR data'!$C$4:$C$61,1))))/((INDEX('IR data'!$C$4:$C$61,MATCH(A206,'IR data'!$C$4:$C$61,1)+1)-INDEX('IR data'!$C$4:$C$61,MATCH(A206,'IR data'!$C$4:$C$61,1))))) * (INDEX('IR data'!$D$4:$D$61,MATCH(A206,'IR data'!$C$4:$C$61,1))-(INDEX('IR data'!$D$4:$D$61,MATCH(A206,'IR data'!$C$4:$C$61,1)+1)))))</f>
        <v>0.9702725186521739</v>
      </c>
      <c r="C206" s="30">
        <f t="shared" si="20"/>
        <v>2.3565459238280295E-2</v>
      </c>
      <c r="D206" s="45">
        <f t="shared" si="21"/>
        <v>45554</v>
      </c>
      <c r="E206" s="14" cm="1">
        <f t="array" ref="E206">_xlfn.IFNA(INDEX('IR data'!$I$4:$I$61,MATCH(D206,'IR data'!$H$4:$H$61,0)),((INDEX('IR data'!$I$4:$I$61,MATCH(D206,'IR data'!$H$4:$H$61,1)))-((D206-(INDEX('IR data'!$H$4:$H$61,MATCH(D206,'IR data'!$H$4:$H$61,1))))/((INDEX('IR data'!$H$4:$H$61,MATCH(D206,'IR data'!$H$4:$H$61,1)+1)-INDEX('IR data'!$H$4:$H$61,MATCH(D206,'IR data'!$H$4:$H$61,1))))) * (INDEX('IR data'!$I$4:$I$61,MATCH(D206,'IR data'!$H$4:$H$61,1))-(INDEX('IR data'!$I$4:$I$61,MATCH(D206,'IR data'!$H$4:$H$61,1)+1)))))</f>
        <v>0.9698840028901099</v>
      </c>
      <c r="F206" s="30">
        <f t="shared" si="22"/>
        <v>2.3878198937535251E-2</v>
      </c>
      <c r="G206" s="45">
        <f t="shared" si="18"/>
        <v>45588</v>
      </c>
      <c r="H206" s="14" cm="1">
        <f t="array" ref="H206">_xlfn.IFNA(INDEX('IR data'!$N$4:$N$61,MATCH(G206,'IR data'!$M$4:$M$61,0)),((INDEX('IR data'!$N$4:$N$61,MATCH(G206,'IR data'!$M$4:$M$61,1)))-((G206-(INDEX('IR data'!$M$4:$M$61,MATCH(G206,'IR data'!$M$4:$M$61,1))))/((INDEX('IR data'!$M$4:$M$61,MATCH(G206,'IR data'!$M$4:$M$61,1)+1)-INDEX('IR data'!$M$4:$M$61,MATCH(G206,'IR data'!$M$4:$M$61,1))))) * (INDEX('IR data'!$N$4:$N$61,MATCH(G206,'IR data'!$M$4:$M$61,1))-(INDEX('IR data'!$N$4:$N$61,MATCH(G206,'IR data'!$M$4:$M$61,1)+1)))))</f>
        <v>0.97001911424175824</v>
      </c>
      <c r="I206" s="44">
        <f t="shared" si="23"/>
        <v>2.3769425480373921E-2</v>
      </c>
    </row>
    <row r="207" spans="1:9" x14ac:dyDescent="0.25">
      <c r="A207" s="45">
        <f t="shared" si="19"/>
        <v>45495</v>
      </c>
      <c r="B207" s="14" cm="1">
        <f t="array" ref="B207">_xlfn.IFNA(INDEX('IR data'!$D$4:$D$61,MATCH(A207,'IR data'!$C$4:$C$61,0)),((INDEX('IR data'!$D$4:$D$61,MATCH(A207,'IR data'!$C$4:$C$61,1)))-((A207-(INDEX('IR data'!$C$4:$C$61,MATCH(A207,'IR data'!$C$4:$C$61,1))))/((INDEX('IR data'!$C$4:$C$61,MATCH(A207,'IR data'!$C$4:$C$61,1)+1)-INDEX('IR data'!$C$4:$C$61,MATCH(A207,'IR data'!$C$4:$C$61,1))))) * (INDEX('IR data'!$D$4:$D$61,MATCH(A207,'IR data'!$C$4:$C$61,1))-(INDEX('IR data'!$D$4:$D$61,MATCH(A207,'IR data'!$C$4:$C$61,1)+1)))))</f>
        <v>0.97014666552173912</v>
      </c>
      <c r="C207" s="30">
        <f t="shared" si="20"/>
        <v>2.3550738784777338E-2</v>
      </c>
      <c r="D207" s="45">
        <f t="shared" si="21"/>
        <v>45555</v>
      </c>
      <c r="E207" s="14" cm="1">
        <f t="array" ref="E207">_xlfn.IFNA(INDEX('IR data'!$I$4:$I$61,MATCH(D207,'IR data'!$H$4:$H$61,0)),((INDEX('IR data'!$I$4:$I$61,MATCH(D207,'IR data'!$H$4:$H$61,1)))-((D207-(INDEX('IR data'!$H$4:$H$61,MATCH(D207,'IR data'!$H$4:$H$61,1))))/((INDEX('IR data'!$H$4:$H$61,MATCH(D207,'IR data'!$H$4:$H$61,1)+1)-INDEX('IR data'!$H$4:$H$61,MATCH(D207,'IR data'!$H$4:$H$61,1))))) * (INDEX('IR data'!$I$4:$I$61,MATCH(D207,'IR data'!$H$4:$H$61,1))-(INDEX('IR data'!$I$4:$I$61,MATCH(D207,'IR data'!$H$4:$H$61,1)+1)))))</f>
        <v>0.96974823054945058</v>
      </c>
      <c r="F207" s="30">
        <f t="shared" si="22"/>
        <v>2.3869933917945917E-2</v>
      </c>
      <c r="G207" s="45">
        <f t="shared" si="18"/>
        <v>45589</v>
      </c>
      <c r="H207" s="14" cm="1">
        <f t="array" ref="H207">_xlfn.IFNA(INDEX('IR data'!$N$4:$N$61,MATCH(G207,'IR data'!$M$4:$M$61,0)),((INDEX('IR data'!$N$4:$N$61,MATCH(G207,'IR data'!$M$4:$M$61,1)))-((G207-(INDEX('IR data'!$M$4:$M$61,MATCH(G207,'IR data'!$M$4:$M$61,1))))/((INDEX('IR data'!$M$4:$M$61,MATCH(G207,'IR data'!$M$4:$M$61,1)+1)-INDEX('IR data'!$M$4:$M$61,MATCH(G207,'IR data'!$M$4:$M$61,1))))) * (INDEX('IR data'!$N$4:$N$61,MATCH(G207,'IR data'!$M$4:$M$61,1))-(INDEX('IR data'!$N$4:$N$61,MATCH(G207,'IR data'!$M$4:$M$61,1)+1)))))</f>
        <v>0.9698832481318681</v>
      </c>
      <c r="I207" s="44">
        <f t="shared" si="23"/>
        <v>2.3761753636166744E-2</v>
      </c>
    </row>
    <row r="208" spans="1:9" x14ac:dyDescent="0.25">
      <c r="A208" s="45">
        <f t="shared" si="19"/>
        <v>45496</v>
      </c>
      <c r="B208" s="14" cm="1">
        <f t="array" ref="B208">_xlfn.IFNA(INDEX('IR data'!$D$4:$D$61,MATCH(A208,'IR data'!$C$4:$C$61,0)),((INDEX('IR data'!$D$4:$D$61,MATCH(A208,'IR data'!$C$4:$C$61,1)))-((A208-(INDEX('IR data'!$C$4:$C$61,MATCH(A208,'IR data'!$C$4:$C$61,1))))/((INDEX('IR data'!$C$4:$C$61,MATCH(A208,'IR data'!$C$4:$C$61,1)+1)-INDEX('IR data'!$C$4:$C$61,MATCH(A208,'IR data'!$C$4:$C$61,1))))) * (INDEX('IR data'!$D$4:$D$61,MATCH(A208,'IR data'!$C$4:$C$61,1))-(INDEX('IR data'!$D$4:$D$61,MATCH(A208,'IR data'!$C$4:$C$61,1)+1)))))</f>
        <v>0.97002081239130433</v>
      </c>
      <c r="C208" s="30">
        <f t="shared" si="20"/>
        <v>2.3536174958429221E-2</v>
      </c>
      <c r="D208" s="45">
        <f t="shared" si="21"/>
        <v>45556</v>
      </c>
      <c r="E208" s="14" cm="1">
        <f t="array" ref="E208">_xlfn.IFNA(INDEX('IR data'!$I$4:$I$61,MATCH(D208,'IR data'!$H$4:$H$61,0)),((INDEX('IR data'!$I$4:$I$61,MATCH(D208,'IR data'!$H$4:$H$61,1)))-((D208-(INDEX('IR data'!$H$4:$H$61,MATCH(D208,'IR data'!$H$4:$H$61,1))))/((INDEX('IR data'!$H$4:$H$61,MATCH(D208,'IR data'!$H$4:$H$61,1)+1)-INDEX('IR data'!$H$4:$H$61,MATCH(D208,'IR data'!$H$4:$H$61,1))))) * (INDEX('IR data'!$I$4:$I$61,MATCH(D208,'IR data'!$H$4:$H$61,1))-(INDEX('IR data'!$I$4:$I$61,MATCH(D208,'IR data'!$H$4:$H$61,1)+1)))))</f>
        <v>0.96961245820879127</v>
      </c>
      <c r="F208" s="30">
        <f t="shared" si="22"/>
        <v>2.3861764690206622E-2</v>
      </c>
      <c r="G208" s="45">
        <f t="shared" si="18"/>
        <v>45590</v>
      </c>
      <c r="H208" s="14" cm="1">
        <f t="array" ref="H208">_xlfn.IFNA(INDEX('IR data'!$N$4:$N$61,MATCH(G208,'IR data'!$M$4:$M$61,0)),((INDEX('IR data'!$N$4:$N$61,MATCH(G208,'IR data'!$M$4:$M$61,1)))-((G208-(INDEX('IR data'!$M$4:$M$61,MATCH(G208,'IR data'!$M$4:$M$61,1))))/((INDEX('IR data'!$M$4:$M$61,MATCH(G208,'IR data'!$M$4:$M$61,1)+1)-INDEX('IR data'!$M$4:$M$61,MATCH(G208,'IR data'!$M$4:$M$61,1))))) * (INDEX('IR data'!$N$4:$N$61,MATCH(G208,'IR data'!$M$4:$M$61,1))-(INDEX('IR data'!$N$4:$N$61,MATCH(G208,'IR data'!$M$4:$M$61,1)+1)))))</f>
        <v>0.96974738202197797</v>
      </c>
      <c r="I208" s="44">
        <f t="shared" si="23"/>
        <v>2.3754171813450881E-2</v>
      </c>
    </row>
    <row r="209" spans="1:9" x14ac:dyDescent="0.25">
      <c r="A209" s="45">
        <f t="shared" si="19"/>
        <v>45497</v>
      </c>
      <c r="B209" s="14" cm="1">
        <f t="array" ref="B209">_xlfn.IFNA(INDEX('IR data'!$D$4:$D$61,MATCH(A209,'IR data'!$C$4:$C$61,0)),((INDEX('IR data'!$D$4:$D$61,MATCH(A209,'IR data'!$C$4:$C$61,1)))-((A209-(INDEX('IR data'!$C$4:$C$61,MATCH(A209,'IR data'!$C$4:$C$61,1))))/((INDEX('IR data'!$C$4:$C$61,MATCH(A209,'IR data'!$C$4:$C$61,1)+1)-INDEX('IR data'!$C$4:$C$61,MATCH(A209,'IR data'!$C$4:$C$61,1))))) * (INDEX('IR data'!$D$4:$D$61,MATCH(A209,'IR data'!$C$4:$C$61,1))-(INDEX('IR data'!$D$4:$D$61,MATCH(A209,'IR data'!$C$4:$C$61,1)+1)))))</f>
        <v>0.96989495926086955</v>
      </c>
      <c r="C209" s="30">
        <f t="shared" si="20"/>
        <v>2.352176548161846E-2</v>
      </c>
      <c r="D209" s="45">
        <f t="shared" si="21"/>
        <v>45557</v>
      </c>
      <c r="E209" s="14" cm="1">
        <f t="array" ref="E209">_xlfn.IFNA(INDEX('IR data'!$I$4:$I$61,MATCH(D209,'IR data'!$H$4:$H$61,0)),((INDEX('IR data'!$I$4:$I$61,MATCH(D209,'IR data'!$H$4:$H$61,1)))-((D209-(INDEX('IR data'!$H$4:$H$61,MATCH(D209,'IR data'!$H$4:$H$61,1))))/((INDEX('IR data'!$H$4:$H$61,MATCH(D209,'IR data'!$H$4:$H$61,1)+1)-INDEX('IR data'!$H$4:$H$61,MATCH(D209,'IR data'!$H$4:$H$61,1))))) * (INDEX('IR data'!$I$4:$I$61,MATCH(D209,'IR data'!$H$4:$H$61,1))-(INDEX('IR data'!$I$4:$I$61,MATCH(D209,'IR data'!$H$4:$H$61,1)+1)))))</f>
        <v>0.96947668586813185</v>
      </c>
      <c r="F209" s="30">
        <f t="shared" si="22"/>
        <v>2.3853689863515146E-2</v>
      </c>
      <c r="G209" s="45">
        <f t="shared" si="18"/>
        <v>45591</v>
      </c>
      <c r="H209" s="14" cm="1">
        <f t="array" ref="H209">_xlfn.IFNA(INDEX('IR data'!$N$4:$N$61,MATCH(G209,'IR data'!$M$4:$M$61,0)),((INDEX('IR data'!$N$4:$N$61,MATCH(G209,'IR data'!$M$4:$M$61,1)))-((G209-(INDEX('IR data'!$M$4:$M$61,MATCH(G209,'IR data'!$M$4:$M$61,1))))/((INDEX('IR data'!$M$4:$M$61,MATCH(G209,'IR data'!$M$4:$M$61,1)+1)-INDEX('IR data'!$M$4:$M$61,MATCH(G209,'IR data'!$M$4:$M$61,1))))) * (INDEX('IR data'!$N$4:$N$61,MATCH(G209,'IR data'!$M$4:$M$61,1))-(INDEX('IR data'!$N$4:$N$61,MATCH(G209,'IR data'!$M$4:$M$61,1)+1)))))</f>
        <v>0.96961151591208794</v>
      </c>
      <c r="I209" s="44">
        <f t="shared" si="23"/>
        <v>2.3746678705465273E-2</v>
      </c>
    </row>
    <row r="210" spans="1:9" x14ac:dyDescent="0.25">
      <c r="A210" s="45">
        <f t="shared" si="19"/>
        <v>45498</v>
      </c>
      <c r="B210" s="14" cm="1">
        <f t="array" ref="B210">_xlfn.IFNA(INDEX('IR data'!$D$4:$D$61,MATCH(A210,'IR data'!$C$4:$C$61,0)),((INDEX('IR data'!$D$4:$D$61,MATCH(A210,'IR data'!$C$4:$C$61,1)))-((A210-(INDEX('IR data'!$C$4:$C$61,MATCH(A210,'IR data'!$C$4:$C$61,1))))/((INDEX('IR data'!$C$4:$C$61,MATCH(A210,'IR data'!$C$4:$C$61,1)+1)-INDEX('IR data'!$C$4:$C$61,MATCH(A210,'IR data'!$C$4:$C$61,1))))) * (INDEX('IR data'!$D$4:$D$61,MATCH(A210,'IR data'!$C$4:$C$61,1))-(INDEX('IR data'!$D$4:$D$61,MATCH(A210,'IR data'!$C$4:$C$61,1)+1)))))</f>
        <v>0.96976910613043477</v>
      </c>
      <c r="C210" s="30">
        <f t="shared" si="20"/>
        <v>2.3507508120740813E-2</v>
      </c>
      <c r="D210" s="45">
        <f t="shared" si="21"/>
        <v>45558</v>
      </c>
      <c r="E210" s="14" cm="1">
        <f t="array" ref="E210">_xlfn.IFNA(INDEX('IR data'!$I$4:$I$61,MATCH(D210,'IR data'!$H$4:$H$61,0)),((INDEX('IR data'!$I$4:$I$61,MATCH(D210,'IR data'!$H$4:$H$61,1)))-((D210-(INDEX('IR data'!$H$4:$H$61,MATCH(D210,'IR data'!$H$4:$H$61,1))))/((INDEX('IR data'!$H$4:$H$61,MATCH(D210,'IR data'!$H$4:$H$61,1)+1)-INDEX('IR data'!$H$4:$H$61,MATCH(D210,'IR data'!$H$4:$H$61,1))))) * (INDEX('IR data'!$I$4:$I$61,MATCH(D210,'IR data'!$H$4:$H$61,1))-(INDEX('IR data'!$I$4:$I$61,MATCH(D210,'IR data'!$H$4:$H$61,1)+1)))))</f>
        <v>0.96934091352747254</v>
      </c>
      <c r="F210" s="30">
        <f t="shared" si="22"/>
        <v>2.3845708073946155E-2</v>
      </c>
      <c r="G210" s="45">
        <f t="shared" si="18"/>
        <v>45592</v>
      </c>
      <c r="H210" s="14" cm="1">
        <f t="array" ref="H210">_xlfn.IFNA(INDEX('IR data'!$N$4:$N$61,MATCH(G210,'IR data'!$M$4:$M$61,0)),((INDEX('IR data'!$N$4:$N$61,MATCH(G210,'IR data'!$M$4:$M$61,1)))-((G210-(INDEX('IR data'!$M$4:$M$61,MATCH(G210,'IR data'!$M$4:$M$61,1))))/((INDEX('IR data'!$M$4:$M$61,MATCH(G210,'IR data'!$M$4:$M$61,1)+1)-INDEX('IR data'!$M$4:$M$61,MATCH(G210,'IR data'!$M$4:$M$61,1))))) * (INDEX('IR data'!$N$4:$N$61,MATCH(G210,'IR data'!$M$4:$M$61,1))-(INDEX('IR data'!$N$4:$N$61,MATCH(G210,'IR data'!$M$4:$M$61,1)+1)))))</f>
        <v>0.9694756498021978</v>
      </c>
      <c r="I210" s="44">
        <f t="shared" si="23"/>
        <v>2.373927303070231E-2</v>
      </c>
    </row>
    <row r="211" spans="1:9" x14ac:dyDescent="0.25">
      <c r="A211" s="45">
        <f t="shared" si="19"/>
        <v>45499</v>
      </c>
      <c r="B211" s="14" cm="1">
        <f t="array" ref="B211">_xlfn.IFNA(INDEX('IR data'!$D$4:$D$61,MATCH(A211,'IR data'!$C$4:$C$61,0)),((INDEX('IR data'!$D$4:$D$61,MATCH(A211,'IR data'!$C$4:$C$61,1)))-((A211-(INDEX('IR data'!$C$4:$C$61,MATCH(A211,'IR data'!$C$4:$C$61,1))))/((INDEX('IR data'!$C$4:$C$61,MATCH(A211,'IR data'!$C$4:$C$61,1)+1)-INDEX('IR data'!$C$4:$C$61,MATCH(A211,'IR data'!$C$4:$C$61,1))))) * (INDEX('IR data'!$D$4:$D$61,MATCH(A211,'IR data'!$C$4:$C$61,1))-(INDEX('IR data'!$D$4:$D$61,MATCH(A211,'IR data'!$C$4:$C$61,1)+1)))))</f>
        <v>0.96964325299999998</v>
      </c>
      <c r="C211" s="30">
        <f t="shared" si="20"/>
        <v>2.3493400685147263E-2</v>
      </c>
      <c r="D211" s="45">
        <f t="shared" si="21"/>
        <v>45559</v>
      </c>
      <c r="E211" s="14" cm="1">
        <f t="array" ref="E211">_xlfn.IFNA(INDEX('IR data'!$I$4:$I$61,MATCH(D211,'IR data'!$H$4:$H$61,0)),((INDEX('IR data'!$I$4:$I$61,MATCH(D211,'IR data'!$H$4:$H$61,1)))-((D211-(INDEX('IR data'!$H$4:$H$61,MATCH(D211,'IR data'!$H$4:$H$61,1))))/((INDEX('IR data'!$H$4:$H$61,MATCH(D211,'IR data'!$H$4:$H$61,1)+1)-INDEX('IR data'!$H$4:$H$61,MATCH(D211,'IR data'!$H$4:$H$61,1))))) * (INDEX('IR data'!$I$4:$I$61,MATCH(D211,'IR data'!$H$4:$H$61,1))-(INDEX('IR data'!$I$4:$I$61,MATCH(D211,'IR data'!$H$4:$H$61,1)+1)))))</f>
        <v>0.96920514118681322</v>
      </c>
      <c r="F211" s="30">
        <f t="shared" si="22"/>
        <v>2.3837817983805694E-2</v>
      </c>
      <c r="G211" s="45">
        <f t="shared" si="18"/>
        <v>45593</v>
      </c>
      <c r="H211" s="14" cm="1">
        <f t="array" ref="H211">_xlfn.IFNA(INDEX('IR data'!$N$4:$N$61,MATCH(G211,'IR data'!$M$4:$M$61,0)),((INDEX('IR data'!$N$4:$N$61,MATCH(G211,'IR data'!$M$4:$M$61,1)))-((G211-(INDEX('IR data'!$M$4:$M$61,MATCH(G211,'IR data'!$M$4:$M$61,1))))/((INDEX('IR data'!$M$4:$M$61,MATCH(G211,'IR data'!$M$4:$M$61,1)+1)-INDEX('IR data'!$M$4:$M$61,MATCH(G211,'IR data'!$M$4:$M$61,1))))) * (INDEX('IR data'!$N$4:$N$61,MATCH(G211,'IR data'!$M$4:$M$61,1))-(INDEX('IR data'!$N$4:$N$61,MATCH(G211,'IR data'!$M$4:$M$61,1)+1)))))</f>
        <v>0.96933978369230767</v>
      </c>
      <c r="I211" s="44">
        <f t="shared" si="23"/>
        <v>2.3731953532300263E-2</v>
      </c>
    </row>
    <row r="212" spans="1:9" x14ac:dyDescent="0.25">
      <c r="A212" s="45">
        <f t="shared" si="19"/>
        <v>45500</v>
      </c>
      <c r="B212" s="14" cm="1">
        <f t="array" ref="B212">_xlfn.IFNA(INDEX('IR data'!$D$4:$D$61,MATCH(A212,'IR data'!$C$4:$C$61,0)),((INDEX('IR data'!$D$4:$D$61,MATCH(A212,'IR data'!$C$4:$C$61,1)))-((A212-(INDEX('IR data'!$C$4:$C$61,MATCH(A212,'IR data'!$C$4:$C$61,1))))/((INDEX('IR data'!$C$4:$C$61,MATCH(A212,'IR data'!$C$4:$C$61,1)+1)-INDEX('IR data'!$C$4:$C$61,MATCH(A212,'IR data'!$C$4:$C$61,1))))) * (INDEX('IR data'!$D$4:$D$61,MATCH(A212,'IR data'!$C$4:$C$61,1))-(INDEX('IR data'!$D$4:$D$61,MATCH(A212,'IR data'!$C$4:$C$61,1)+1)))))</f>
        <v>0.9695173998695652</v>
      </c>
      <c r="C212" s="30">
        <f t="shared" si="20"/>
        <v>2.3479441026116363E-2</v>
      </c>
      <c r="D212" s="45">
        <f t="shared" si="21"/>
        <v>45560</v>
      </c>
      <c r="E212" s="14" cm="1">
        <f t="array" ref="E212">_xlfn.IFNA(INDEX('IR data'!$I$4:$I$61,MATCH(D212,'IR data'!$H$4:$H$61,0)),((INDEX('IR data'!$I$4:$I$61,MATCH(D212,'IR data'!$H$4:$H$61,1)))-((D212-(INDEX('IR data'!$H$4:$H$61,MATCH(D212,'IR data'!$H$4:$H$61,1))))/((INDEX('IR data'!$H$4:$H$61,MATCH(D212,'IR data'!$H$4:$H$61,1)+1)-INDEX('IR data'!$H$4:$H$61,MATCH(D212,'IR data'!$H$4:$H$61,1))))) * (INDEX('IR data'!$I$4:$I$61,MATCH(D212,'IR data'!$H$4:$H$61,1))-(INDEX('IR data'!$I$4:$I$61,MATCH(D212,'IR data'!$H$4:$H$61,1)+1)))))</f>
        <v>0.96906936884615391</v>
      </c>
      <c r="F212" s="30">
        <f t="shared" si="22"/>
        <v>2.3830018281003253E-2</v>
      </c>
      <c r="G212" s="45">
        <f t="shared" si="18"/>
        <v>45594</v>
      </c>
      <c r="H212" s="14" cm="1">
        <f t="array" ref="H212">_xlfn.IFNA(INDEX('IR data'!$N$4:$N$61,MATCH(G212,'IR data'!$M$4:$M$61,0)),((INDEX('IR data'!$N$4:$N$61,MATCH(G212,'IR data'!$M$4:$M$61,1)))-((G212-(INDEX('IR data'!$M$4:$M$61,MATCH(G212,'IR data'!$M$4:$M$61,1))))/((INDEX('IR data'!$M$4:$M$61,MATCH(G212,'IR data'!$M$4:$M$61,1)+1)-INDEX('IR data'!$M$4:$M$61,MATCH(G212,'IR data'!$M$4:$M$61,1))))) * (INDEX('IR data'!$N$4:$N$61,MATCH(G212,'IR data'!$M$4:$M$61,1))-(INDEX('IR data'!$N$4:$N$61,MATCH(G212,'IR data'!$M$4:$M$61,1)+1)))))</f>
        <v>0.96920391758241753</v>
      </c>
      <c r="I212" s="44">
        <f t="shared" si="23"/>
        <v>2.3724718977454012E-2</v>
      </c>
    </row>
    <row r="213" spans="1:9" x14ac:dyDescent="0.25">
      <c r="A213" s="45">
        <f t="shared" si="19"/>
        <v>45501</v>
      </c>
      <c r="B213" s="14" cm="1">
        <f t="array" ref="B213">_xlfn.IFNA(INDEX('IR data'!$D$4:$D$61,MATCH(A213,'IR data'!$C$4:$C$61,0)),((INDEX('IR data'!$D$4:$D$61,MATCH(A213,'IR data'!$C$4:$C$61,1)))-((A213-(INDEX('IR data'!$C$4:$C$61,MATCH(A213,'IR data'!$C$4:$C$61,1))))/((INDEX('IR data'!$C$4:$C$61,MATCH(A213,'IR data'!$C$4:$C$61,1)+1)-INDEX('IR data'!$C$4:$C$61,MATCH(A213,'IR data'!$C$4:$C$61,1))))) * (INDEX('IR data'!$D$4:$D$61,MATCH(A213,'IR data'!$C$4:$C$61,1))-(INDEX('IR data'!$D$4:$D$61,MATCH(A213,'IR data'!$C$4:$C$61,1)+1)))))</f>
        <v>0.96939154673913042</v>
      </c>
      <c r="C213" s="30">
        <f t="shared" si="20"/>
        <v>2.3465627035856005E-2</v>
      </c>
      <c r="D213" s="45">
        <f t="shared" si="21"/>
        <v>45561</v>
      </c>
      <c r="E213" s="14" cm="1">
        <f t="array" ref="E213">_xlfn.IFNA(INDEX('IR data'!$I$4:$I$61,MATCH(D213,'IR data'!$H$4:$H$61,0)),((INDEX('IR data'!$I$4:$I$61,MATCH(D213,'IR data'!$H$4:$H$61,1)))-((D213-(INDEX('IR data'!$H$4:$H$61,MATCH(D213,'IR data'!$H$4:$H$61,1))))/((INDEX('IR data'!$H$4:$H$61,MATCH(D213,'IR data'!$H$4:$H$61,1)+1)-INDEX('IR data'!$H$4:$H$61,MATCH(D213,'IR data'!$H$4:$H$61,1))))) * (INDEX('IR data'!$I$4:$I$61,MATCH(D213,'IR data'!$H$4:$H$61,1))-(INDEX('IR data'!$I$4:$I$61,MATCH(D213,'IR data'!$H$4:$H$61,1)+1)))))</f>
        <v>0.96893359650549449</v>
      </c>
      <c r="F213" s="30">
        <f t="shared" si="22"/>
        <v>2.3822307678442362E-2</v>
      </c>
      <c r="G213" s="45">
        <f t="shared" si="18"/>
        <v>45595</v>
      </c>
      <c r="H213" s="14" cm="1">
        <f t="array" ref="H213">_xlfn.IFNA(INDEX('IR data'!$N$4:$N$61,MATCH(G213,'IR data'!$M$4:$M$61,0)),((INDEX('IR data'!$N$4:$N$61,MATCH(G213,'IR data'!$M$4:$M$61,1)))-((G213-(INDEX('IR data'!$M$4:$M$61,MATCH(G213,'IR data'!$M$4:$M$61,1))))/((INDEX('IR data'!$M$4:$M$61,MATCH(G213,'IR data'!$M$4:$M$61,1)+1)-INDEX('IR data'!$M$4:$M$61,MATCH(G213,'IR data'!$M$4:$M$61,1))))) * (INDEX('IR data'!$N$4:$N$61,MATCH(G213,'IR data'!$M$4:$M$61,1))-(INDEX('IR data'!$N$4:$N$61,MATCH(G213,'IR data'!$M$4:$M$61,1)+1)))))</f>
        <v>0.9690680514725275</v>
      </c>
      <c r="I213" s="44">
        <f t="shared" si="23"/>
        <v>2.37175681568421E-2</v>
      </c>
    </row>
    <row r="214" spans="1:9" x14ac:dyDescent="0.25">
      <c r="A214" s="45">
        <f t="shared" si="19"/>
        <v>45502</v>
      </c>
      <c r="B214" s="14" cm="1">
        <f t="array" ref="B214">_xlfn.IFNA(INDEX('IR data'!$D$4:$D$61,MATCH(A214,'IR data'!$C$4:$C$61,0)),((INDEX('IR data'!$D$4:$D$61,MATCH(A214,'IR data'!$C$4:$C$61,1)))-((A214-(INDEX('IR data'!$C$4:$C$61,MATCH(A214,'IR data'!$C$4:$C$61,1))))/((INDEX('IR data'!$C$4:$C$61,MATCH(A214,'IR data'!$C$4:$C$61,1)+1)-INDEX('IR data'!$C$4:$C$61,MATCH(A214,'IR data'!$C$4:$C$61,1))))) * (INDEX('IR data'!$D$4:$D$61,MATCH(A214,'IR data'!$C$4:$C$61,1))-(INDEX('IR data'!$D$4:$D$61,MATCH(A214,'IR data'!$C$4:$C$61,1)+1)))))</f>
        <v>0.96926569360869563</v>
      </c>
      <c r="C214" s="30">
        <f t="shared" si="20"/>
        <v>2.3451956646533486E-2</v>
      </c>
      <c r="D214" s="45">
        <f t="shared" si="21"/>
        <v>45562</v>
      </c>
      <c r="E214" s="14" cm="1">
        <f t="array" ref="E214">_xlfn.IFNA(INDEX('IR data'!$I$4:$I$61,MATCH(D214,'IR data'!$H$4:$H$61,0)),((INDEX('IR data'!$I$4:$I$61,MATCH(D214,'IR data'!$H$4:$H$61,1)))-((D214-(INDEX('IR data'!$H$4:$H$61,MATCH(D214,'IR data'!$H$4:$H$61,1))))/((INDEX('IR data'!$H$4:$H$61,MATCH(D214,'IR data'!$H$4:$H$61,1)+1)-INDEX('IR data'!$H$4:$H$61,MATCH(D214,'IR data'!$H$4:$H$61,1))))) * (INDEX('IR data'!$I$4:$I$61,MATCH(D214,'IR data'!$H$4:$H$61,1))-(INDEX('IR data'!$I$4:$I$61,MATCH(D214,'IR data'!$H$4:$H$61,1)+1)))))</f>
        <v>0.96879782416483518</v>
      </c>
      <c r="F214" s="30">
        <f t="shared" si="22"/>
        <v>2.3814684913427957E-2</v>
      </c>
      <c r="G214" s="45">
        <f t="shared" si="18"/>
        <v>45596</v>
      </c>
      <c r="H214" s="14" cm="1">
        <f t="array" ref="H214">_xlfn.IFNA(INDEX('IR data'!$N$4:$N$61,MATCH(G214,'IR data'!$M$4:$M$61,0)),((INDEX('IR data'!$N$4:$N$61,MATCH(G214,'IR data'!$M$4:$M$61,1)))-((G214-(INDEX('IR data'!$M$4:$M$61,MATCH(G214,'IR data'!$M$4:$M$61,1))))/((INDEX('IR data'!$M$4:$M$61,MATCH(G214,'IR data'!$M$4:$M$61,1)+1)-INDEX('IR data'!$M$4:$M$61,MATCH(G214,'IR data'!$M$4:$M$61,1))))) * (INDEX('IR data'!$N$4:$N$61,MATCH(G214,'IR data'!$M$4:$M$61,1))-(INDEX('IR data'!$N$4:$N$61,MATCH(G214,'IR data'!$M$4:$M$61,1)+1)))))</f>
        <v>0.96893218536263737</v>
      </c>
      <c r="I214" s="44">
        <f t="shared" si="23"/>
        <v>2.3710499884070597E-2</v>
      </c>
    </row>
    <row r="215" spans="1:9" x14ac:dyDescent="0.25">
      <c r="A215" s="45">
        <f t="shared" si="19"/>
        <v>45503</v>
      </c>
      <c r="B215" s="14" cm="1">
        <f t="array" ref="B215">_xlfn.IFNA(INDEX('IR data'!$D$4:$D$61,MATCH(A215,'IR data'!$C$4:$C$61,0)),((INDEX('IR data'!$D$4:$D$61,MATCH(A215,'IR data'!$C$4:$C$61,1)))-((A215-(INDEX('IR data'!$C$4:$C$61,MATCH(A215,'IR data'!$C$4:$C$61,1))))/((INDEX('IR data'!$C$4:$C$61,MATCH(A215,'IR data'!$C$4:$C$61,1)+1)-INDEX('IR data'!$C$4:$C$61,MATCH(A215,'IR data'!$C$4:$C$61,1))))) * (INDEX('IR data'!$D$4:$D$61,MATCH(A215,'IR data'!$C$4:$C$61,1))-(INDEX('IR data'!$D$4:$D$61,MATCH(A215,'IR data'!$C$4:$C$61,1)+1)))))</f>
        <v>0.96913984047826085</v>
      </c>
      <c r="C215" s="30">
        <f t="shared" si="20"/>
        <v>2.34384278293331E-2</v>
      </c>
      <c r="D215" s="45">
        <f t="shared" si="21"/>
        <v>45563</v>
      </c>
      <c r="E215" s="14" cm="1">
        <f t="array" ref="E215">_xlfn.IFNA(INDEX('IR data'!$I$4:$I$61,MATCH(D215,'IR data'!$H$4:$H$61,0)),((INDEX('IR data'!$I$4:$I$61,MATCH(D215,'IR data'!$H$4:$H$61,1)))-((D215-(INDEX('IR data'!$H$4:$H$61,MATCH(D215,'IR data'!$H$4:$H$61,1))))/((INDEX('IR data'!$H$4:$H$61,MATCH(D215,'IR data'!$H$4:$H$61,1)+1)-INDEX('IR data'!$H$4:$H$61,MATCH(D215,'IR data'!$H$4:$H$61,1))))) * (INDEX('IR data'!$I$4:$I$61,MATCH(D215,'IR data'!$H$4:$H$61,1))-(INDEX('IR data'!$I$4:$I$61,MATCH(D215,'IR data'!$H$4:$H$61,1)+1)))))</f>
        <v>0.96866205182417586</v>
      </c>
      <c r="F215" s="30">
        <f t="shared" si="22"/>
        <v>2.3807148747091399E-2</v>
      </c>
      <c r="G215" s="45">
        <f t="shared" si="18"/>
        <v>45597</v>
      </c>
      <c r="H215" s="14" cm="1">
        <f t="array" ref="H215">_xlfn.IFNA(INDEX('IR data'!$N$4:$N$61,MATCH(G215,'IR data'!$M$4:$M$61,0)),((INDEX('IR data'!$N$4:$N$61,MATCH(G215,'IR data'!$M$4:$M$61,1)))-((G215-(INDEX('IR data'!$M$4:$M$61,MATCH(G215,'IR data'!$M$4:$M$61,1))))/((INDEX('IR data'!$M$4:$M$61,MATCH(G215,'IR data'!$M$4:$M$61,1)+1)-INDEX('IR data'!$M$4:$M$61,MATCH(G215,'IR data'!$M$4:$M$61,1))))) * (INDEX('IR data'!$N$4:$N$61,MATCH(G215,'IR data'!$M$4:$M$61,1))-(INDEX('IR data'!$N$4:$N$61,MATCH(G215,'IR data'!$M$4:$M$61,1)+1)))))</f>
        <v>0.96879631925274723</v>
      </c>
      <c r="I215" s="44">
        <f t="shared" si="23"/>
        <v>2.3703512995131848E-2</v>
      </c>
    </row>
    <row r="216" spans="1:9" x14ac:dyDescent="0.25">
      <c r="A216" s="45">
        <f t="shared" si="19"/>
        <v>45504</v>
      </c>
      <c r="B216" s="14" cm="1">
        <f t="array" ref="B216">_xlfn.IFNA(INDEX('IR data'!$D$4:$D$61,MATCH(A216,'IR data'!$C$4:$C$61,0)),((INDEX('IR data'!$D$4:$D$61,MATCH(A216,'IR data'!$C$4:$C$61,1)))-((A216-(INDEX('IR data'!$C$4:$C$61,MATCH(A216,'IR data'!$C$4:$C$61,1))))/((INDEX('IR data'!$C$4:$C$61,MATCH(A216,'IR data'!$C$4:$C$61,1)+1)-INDEX('IR data'!$C$4:$C$61,MATCH(A216,'IR data'!$C$4:$C$61,1))))) * (INDEX('IR data'!$D$4:$D$61,MATCH(A216,'IR data'!$C$4:$C$61,1))-(INDEX('IR data'!$D$4:$D$61,MATCH(A216,'IR data'!$C$4:$C$61,1)+1)))))</f>
        <v>0.96901398734782607</v>
      </c>
      <c r="C216" s="30">
        <f t="shared" si="20"/>
        <v>2.3425038593540223E-2</v>
      </c>
      <c r="D216" s="45">
        <f t="shared" si="21"/>
        <v>45564</v>
      </c>
      <c r="E216" s="14" cm="1">
        <f t="array" ref="E216">_xlfn.IFNA(INDEX('IR data'!$I$4:$I$61,MATCH(D216,'IR data'!$H$4:$H$61,0)),((INDEX('IR data'!$I$4:$I$61,MATCH(D216,'IR data'!$H$4:$H$61,1)))-((D216-(INDEX('IR data'!$H$4:$H$61,MATCH(D216,'IR data'!$H$4:$H$61,1))))/((INDEX('IR data'!$H$4:$H$61,MATCH(D216,'IR data'!$H$4:$H$61,1)+1)-INDEX('IR data'!$H$4:$H$61,MATCH(D216,'IR data'!$H$4:$H$61,1))))) * (INDEX('IR data'!$I$4:$I$61,MATCH(D216,'IR data'!$H$4:$H$61,1))-(INDEX('IR data'!$I$4:$I$61,MATCH(D216,'IR data'!$H$4:$H$61,1)+1)))))</f>
        <v>0.96852627948351655</v>
      </c>
      <c r="F216" s="30">
        <f t="shared" si="22"/>
        <v>2.3799697963830819E-2</v>
      </c>
      <c r="G216" s="45">
        <f t="shared" si="18"/>
        <v>45598</v>
      </c>
      <c r="H216" s="14" cm="1">
        <f t="array" ref="H216">_xlfn.IFNA(INDEX('IR data'!$N$4:$N$61,MATCH(G216,'IR data'!$M$4:$M$61,0)),((INDEX('IR data'!$N$4:$N$61,MATCH(G216,'IR data'!$M$4:$M$61,1)))-((G216-(INDEX('IR data'!$M$4:$M$61,MATCH(G216,'IR data'!$M$4:$M$61,1))))/((INDEX('IR data'!$M$4:$M$61,MATCH(G216,'IR data'!$M$4:$M$61,1)+1)-INDEX('IR data'!$M$4:$M$61,MATCH(G216,'IR data'!$M$4:$M$61,1))))) * (INDEX('IR data'!$N$4:$N$61,MATCH(G216,'IR data'!$M$4:$M$61,1))-(INDEX('IR data'!$N$4:$N$61,MATCH(G216,'IR data'!$M$4:$M$61,1)+1)))))</f>
        <v>0.96866045314285709</v>
      </c>
      <c r="I216" s="44">
        <f t="shared" si="23"/>
        <v>2.3696606347879283E-2</v>
      </c>
    </row>
    <row r="217" spans="1:9" x14ac:dyDescent="0.25">
      <c r="A217" s="45">
        <f t="shared" si="19"/>
        <v>45505</v>
      </c>
      <c r="B217" s="14" cm="1">
        <f t="array" ref="B217">_xlfn.IFNA(INDEX('IR data'!$D$4:$D$61,MATCH(A217,'IR data'!$C$4:$C$61,0)),((INDEX('IR data'!$D$4:$D$61,MATCH(A217,'IR data'!$C$4:$C$61,1)))-((A217-(INDEX('IR data'!$C$4:$C$61,MATCH(A217,'IR data'!$C$4:$C$61,1))))/((INDEX('IR data'!$C$4:$C$61,MATCH(A217,'IR data'!$C$4:$C$61,1)+1)-INDEX('IR data'!$C$4:$C$61,MATCH(A217,'IR data'!$C$4:$C$61,1))))) * (INDEX('IR data'!$D$4:$D$61,MATCH(A217,'IR data'!$C$4:$C$61,1))-(INDEX('IR data'!$D$4:$D$61,MATCH(A217,'IR data'!$C$4:$C$61,1)+1)))))</f>
        <v>0.96888813421739128</v>
      </c>
      <c r="C217" s="30">
        <f t="shared" si="20"/>
        <v>2.3411786985651127E-2</v>
      </c>
      <c r="D217" s="45">
        <f t="shared" si="21"/>
        <v>45565</v>
      </c>
      <c r="E217" s="14" cm="1">
        <f t="array" ref="E217">_xlfn.IFNA(INDEX('IR data'!$I$4:$I$61,MATCH(D217,'IR data'!$H$4:$H$61,0)),((INDEX('IR data'!$I$4:$I$61,MATCH(D217,'IR data'!$H$4:$H$61,1)))-((D217-(INDEX('IR data'!$H$4:$H$61,MATCH(D217,'IR data'!$H$4:$H$61,1))))/((INDEX('IR data'!$H$4:$H$61,MATCH(D217,'IR data'!$H$4:$H$61,1)+1)-INDEX('IR data'!$H$4:$H$61,MATCH(D217,'IR data'!$H$4:$H$61,1))))) * (INDEX('IR data'!$I$4:$I$61,MATCH(D217,'IR data'!$H$4:$H$61,1))-(INDEX('IR data'!$I$4:$I$61,MATCH(D217,'IR data'!$H$4:$H$61,1)+1)))))</f>
        <v>0.96839050714285713</v>
      </c>
      <c r="F217" s="30">
        <f t="shared" si="22"/>
        <v>2.3792331370767691E-2</v>
      </c>
      <c r="G217" s="45">
        <f t="shared" si="18"/>
        <v>45599</v>
      </c>
      <c r="H217" s="14" cm="1">
        <f t="array" ref="H217">_xlfn.IFNA(INDEX('IR data'!$N$4:$N$61,MATCH(G217,'IR data'!$M$4:$M$61,0)),((INDEX('IR data'!$N$4:$N$61,MATCH(G217,'IR data'!$M$4:$M$61,1)))-((G217-(INDEX('IR data'!$M$4:$M$61,MATCH(G217,'IR data'!$M$4:$M$61,1))))/((INDEX('IR data'!$M$4:$M$61,MATCH(G217,'IR data'!$M$4:$M$61,1)+1)-INDEX('IR data'!$M$4:$M$61,MATCH(G217,'IR data'!$M$4:$M$61,1))))) * (INDEX('IR data'!$N$4:$N$61,MATCH(G217,'IR data'!$M$4:$M$61,1))-(INDEX('IR data'!$N$4:$N$61,MATCH(G217,'IR data'!$M$4:$M$61,1)+1)))))</f>
        <v>0.96852458703296707</v>
      </c>
      <c r="I217" s="44">
        <f t="shared" si="23"/>
        <v>2.3689778821516533E-2</v>
      </c>
    </row>
    <row r="218" spans="1:9" x14ac:dyDescent="0.25">
      <c r="A218" s="45">
        <f t="shared" si="19"/>
        <v>45506</v>
      </c>
      <c r="B218" s="14" cm="1">
        <f t="array" ref="B218">_xlfn.IFNA(INDEX('IR data'!$D$4:$D$61,MATCH(A218,'IR data'!$C$4:$C$61,0)),((INDEX('IR data'!$D$4:$D$61,MATCH(A218,'IR data'!$C$4:$C$61,1)))-((A218-(INDEX('IR data'!$C$4:$C$61,MATCH(A218,'IR data'!$C$4:$C$61,1))))/((INDEX('IR data'!$C$4:$C$61,MATCH(A218,'IR data'!$C$4:$C$61,1)+1)-INDEX('IR data'!$C$4:$C$61,MATCH(A218,'IR data'!$C$4:$C$61,1))))) * (INDEX('IR data'!$D$4:$D$61,MATCH(A218,'IR data'!$C$4:$C$61,1))-(INDEX('IR data'!$D$4:$D$61,MATCH(A218,'IR data'!$C$4:$C$61,1)+1)))))</f>
        <v>0.9687622810869565</v>
      </c>
      <c r="C218" s="30">
        <f t="shared" si="20"/>
        <v>2.3398671088507593E-2</v>
      </c>
      <c r="D218" s="45">
        <f t="shared" si="21"/>
        <v>45566</v>
      </c>
      <c r="E218" s="14" cm="1">
        <f t="array" ref="E218">_xlfn.IFNA(INDEX('IR data'!$I$4:$I$61,MATCH(D218,'IR data'!$H$4:$H$61,0)),((INDEX('IR data'!$I$4:$I$61,MATCH(D218,'IR data'!$H$4:$H$61,1)))-((D218-(INDEX('IR data'!$H$4:$H$61,MATCH(D218,'IR data'!$H$4:$H$61,1))))/((INDEX('IR data'!$H$4:$H$61,MATCH(D218,'IR data'!$H$4:$H$61,1)+1)-INDEX('IR data'!$H$4:$H$61,MATCH(D218,'IR data'!$H$4:$H$61,1))))) * (INDEX('IR data'!$I$4:$I$61,MATCH(D218,'IR data'!$H$4:$H$61,1))-(INDEX('IR data'!$I$4:$I$61,MATCH(D218,'IR data'!$H$4:$H$61,1)+1)))))</f>
        <v>0.96825473480219781</v>
      </c>
      <c r="F218" s="30">
        <f t="shared" si="22"/>
        <v>2.3785047797218024E-2</v>
      </c>
      <c r="G218" s="45">
        <f t="shared" si="18"/>
        <v>45600</v>
      </c>
      <c r="H218" s="14" cm="1">
        <f t="array" ref="H218">_xlfn.IFNA(INDEX('IR data'!$N$4:$N$61,MATCH(G218,'IR data'!$M$4:$M$61,0)),((INDEX('IR data'!$N$4:$N$61,MATCH(G218,'IR data'!$M$4:$M$61,1)))-((G218-(INDEX('IR data'!$M$4:$M$61,MATCH(G218,'IR data'!$M$4:$M$61,1))))/((INDEX('IR data'!$M$4:$M$61,MATCH(G218,'IR data'!$M$4:$M$61,1)+1)-INDEX('IR data'!$M$4:$M$61,MATCH(G218,'IR data'!$M$4:$M$61,1))))) * (INDEX('IR data'!$N$4:$N$61,MATCH(G218,'IR data'!$M$4:$M$61,1))-(INDEX('IR data'!$N$4:$N$61,MATCH(G218,'IR data'!$M$4:$M$61,1)+1)))))</f>
        <v>0.96838872092307693</v>
      </c>
      <c r="I218" s="44">
        <f t="shared" si="23"/>
        <v>2.3683029316101206E-2</v>
      </c>
    </row>
    <row r="219" spans="1:9" x14ac:dyDescent="0.25">
      <c r="A219" s="45">
        <f t="shared" si="19"/>
        <v>45507</v>
      </c>
      <c r="B219" s="14" cm="1">
        <f t="array" ref="B219">_xlfn.IFNA(INDEX('IR data'!$D$4:$D$61,MATCH(A219,'IR data'!$C$4:$C$61,0)),((INDEX('IR data'!$D$4:$D$61,MATCH(A219,'IR data'!$C$4:$C$61,1)))-((A219-(INDEX('IR data'!$C$4:$C$61,MATCH(A219,'IR data'!$C$4:$C$61,1))))/((INDEX('IR data'!$C$4:$C$61,MATCH(A219,'IR data'!$C$4:$C$61,1)+1)-INDEX('IR data'!$C$4:$C$61,MATCH(A219,'IR data'!$C$4:$C$61,1))))) * (INDEX('IR data'!$D$4:$D$61,MATCH(A219,'IR data'!$C$4:$C$61,1))-(INDEX('IR data'!$D$4:$D$61,MATCH(A219,'IR data'!$C$4:$C$61,1)+1)))))</f>
        <v>0.96863642795652172</v>
      </c>
      <c r="C219" s="30">
        <f t="shared" si="20"/>
        <v>2.338568902045559E-2</v>
      </c>
      <c r="D219" s="45">
        <f t="shared" si="21"/>
        <v>45567</v>
      </c>
      <c r="E219" s="14" cm="1">
        <f t="array" ref="E219">_xlfn.IFNA(INDEX('IR data'!$I$4:$I$61,MATCH(D219,'IR data'!$H$4:$H$61,0)),((INDEX('IR data'!$I$4:$I$61,MATCH(D219,'IR data'!$H$4:$H$61,1)))-((D219-(INDEX('IR data'!$H$4:$H$61,MATCH(D219,'IR data'!$H$4:$H$61,1))))/((INDEX('IR data'!$H$4:$H$61,MATCH(D219,'IR data'!$H$4:$H$61,1)+1)-INDEX('IR data'!$H$4:$H$61,MATCH(D219,'IR data'!$H$4:$H$61,1))))) * (INDEX('IR data'!$I$4:$I$61,MATCH(D219,'IR data'!$H$4:$H$61,1))-(INDEX('IR data'!$I$4:$I$61,MATCH(D219,'IR data'!$H$4:$H$61,1)+1)))))</f>
        <v>0.9681189624615385</v>
      </c>
      <c r="F219" s="30">
        <f t="shared" si="22"/>
        <v>2.3777846094179114E-2</v>
      </c>
      <c r="G219" s="45">
        <f t="shared" si="18"/>
        <v>45601</v>
      </c>
      <c r="H219" s="14" cm="1">
        <f t="array" ref="H219">_xlfn.IFNA(INDEX('IR data'!$N$4:$N$61,MATCH(G219,'IR data'!$M$4:$M$61,0)),((INDEX('IR data'!$N$4:$N$61,MATCH(G219,'IR data'!$M$4:$M$61,1)))-((G219-(INDEX('IR data'!$M$4:$M$61,MATCH(G219,'IR data'!$M$4:$M$61,1))))/((INDEX('IR data'!$M$4:$M$61,MATCH(G219,'IR data'!$M$4:$M$61,1)+1)-INDEX('IR data'!$M$4:$M$61,MATCH(G219,'IR data'!$M$4:$M$61,1))))) * (INDEX('IR data'!$N$4:$N$61,MATCH(G219,'IR data'!$M$4:$M$61,1))-(INDEX('IR data'!$N$4:$N$61,MATCH(G219,'IR data'!$M$4:$M$61,1)+1)))))</f>
        <v>0.96825285481318679</v>
      </c>
      <c r="I219" s="44">
        <f t="shared" si="23"/>
        <v>2.3676356752061655E-2</v>
      </c>
    </row>
    <row r="220" spans="1:9" x14ac:dyDescent="0.25">
      <c r="A220" s="45">
        <f t="shared" si="19"/>
        <v>45508</v>
      </c>
      <c r="B220" s="14" cm="1">
        <f t="array" ref="B220">_xlfn.IFNA(INDEX('IR data'!$D$4:$D$61,MATCH(A220,'IR data'!$C$4:$C$61,0)),((INDEX('IR data'!$D$4:$D$61,MATCH(A220,'IR data'!$C$4:$C$61,1)))-((A220-(INDEX('IR data'!$C$4:$C$61,MATCH(A220,'IR data'!$C$4:$C$61,1))))/((INDEX('IR data'!$C$4:$C$61,MATCH(A220,'IR data'!$C$4:$C$61,1)+1)-INDEX('IR data'!$C$4:$C$61,MATCH(A220,'IR data'!$C$4:$C$61,1))))) * (INDEX('IR data'!$D$4:$D$61,MATCH(A220,'IR data'!$C$4:$C$61,1))-(INDEX('IR data'!$D$4:$D$61,MATCH(A220,'IR data'!$C$4:$C$61,1)+1)))))</f>
        <v>0.96851057482608693</v>
      </c>
      <c r="C220" s="30">
        <f t="shared" si="20"/>
        <v>2.3372838934527192E-2</v>
      </c>
      <c r="D220" s="45">
        <f t="shared" si="21"/>
        <v>45568</v>
      </c>
      <c r="E220" s="14" cm="1">
        <f t="array" ref="E220">_xlfn.IFNA(INDEX('IR data'!$I$4:$I$61,MATCH(D220,'IR data'!$H$4:$H$61,0)),((INDEX('IR data'!$I$4:$I$61,MATCH(D220,'IR data'!$H$4:$H$61,1)))-((D220-(INDEX('IR data'!$H$4:$H$61,MATCH(D220,'IR data'!$H$4:$H$61,1))))/((INDEX('IR data'!$H$4:$H$61,MATCH(D220,'IR data'!$H$4:$H$61,1)+1)-INDEX('IR data'!$H$4:$H$61,MATCH(D220,'IR data'!$H$4:$H$61,1))))) * (INDEX('IR data'!$I$4:$I$61,MATCH(D220,'IR data'!$H$4:$H$61,1))-(INDEX('IR data'!$I$4:$I$61,MATCH(D220,'IR data'!$H$4:$H$61,1)+1)))))</f>
        <v>0.96798319012087919</v>
      </c>
      <c r="F220" s="30">
        <f t="shared" si="22"/>
        <v>2.3770725133829645E-2</v>
      </c>
      <c r="G220" s="45">
        <f t="shared" si="18"/>
        <v>45602</v>
      </c>
      <c r="H220" s="14" cm="1">
        <f t="array" ref="H220">_xlfn.IFNA(INDEX('IR data'!$N$4:$N$61,MATCH(G220,'IR data'!$M$4:$M$61,0)),((INDEX('IR data'!$N$4:$N$61,MATCH(G220,'IR data'!$M$4:$M$61,1)))-((G220-(INDEX('IR data'!$M$4:$M$61,MATCH(G220,'IR data'!$M$4:$M$61,1))))/((INDEX('IR data'!$M$4:$M$61,MATCH(G220,'IR data'!$M$4:$M$61,1)+1)-INDEX('IR data'!$M$4:$M$61,MATCH(G220,'IR data'!$M$4:$M$61,1))))) * (INDEX('IR data'!$N$4:$N$61,MATCH(G220,'IR data'!$M$4:$M$61,1))-(INDEX('IR data'!$N$4:$N$61,MATCH(G220,'IR data'!$M$4:$M$61,1)+1)))))</f>
        <v>0.96811698870329665</v>
      </c>
      <c r="I220" s="44">
        <f t="shared" si="23"/>
        <v>2.3669760069727971E-2</v>
      </c>
    </row>
    <row r="221" spans="1:9" x14ac:dyDescent="0.25">
      <c r="A221" s="45">
        <f t="shared" si="19"/>
        <v>45509</v>
      </c>
      <c r="B221" s="14" cm="1">
        <f t="array" ref="B221">_xlfn.IFNA(INDEX('IR data'!$D$4:$D$61,MATCH(A221,'IR data'!$C$4:$C$61,0)),((INDEX('IR data'!$D$4:$D$61,MATCH(A221,'IR data'!$C$4:$C$61,1)))-((A221-(INDEX('IR data'!$C$4:$C$61,MATCH(A221,'IR data'!$C$4:$C$61,1))))/((INDEX('IR data'!$C$4:$C$61,MATCH(A221,'IR data'!$C$4:$C$61,1)+1)-INDEX('IR data'!$C$4:$C$61,MATCH(A221,'IR data'!$C$4:$C$61,1))))) * (INDEX('IR data'!$D$4:$D$61,MATCH(A221,'IR data'!$C$4:$C$61,1))-(INDEX('IR data'!$D$4:$D$61,MATCH(A221,'IR data'!$C$4:$C$61,1)+1)))))</f>
        <v>0.96838472169565215</v>
      </c>
      <c r="C221" s="30">
        <f t="shared" si="20"/>
        <v>2.336011901764504E-2</v>
      </c>
      <c r="D221" s="45">
        <f t="shared" si="21"/>
        <v>45569</v>
      </c>
      <c r="E221" s="14" cm="1">
        <f t="array" ref="E221">_xlfn.IFNA(INDEX('IR data'!$I$4:$I$61,MATCH(D221,'IR data'!$H$4:$H$61,0)),((INDEX('IR data'!$I$4:$I$61,MATCH(D221,'IR data'!$H$4:$H$61,1)))-((D221-(INDEX('IR data'!$H$4:$H$61,MATCH(D221,'IR data'!$H$4:$H$61,1))))/((INDEX('IR data'!$H$4:$H$61,MATCH(D221,'IR data'!$H$4:$H$61,1)+1)-INDEX('IR data'!$H$4:$H$61,MATCH(D221,'IR data'!$H$4:$H$61,1))))) * (INDEX('IR data'!$I$4:$I$61,MATCH(D221,'IR data'!$H$4:$H$61,1))-(INDEX('IR data'!$I$4:$I$61,MATCH(D221,'IR data'!$H$4:$H$61,1)+1)))))</f>
        <v>0.96784741778021977</v>
      </c>
      <c r="F221" s="30">
        <f t="shared" si="22"/>
        <v>2.3763683809044037E-2</v>
      </c>
      <c r="G221" s="45">
        <f t="shared" si="18"/>
        <v>45603</v>
      </c>
      <c r="H221" s="14" cm="1">
        <f t="array" ref="H221">_xlfn.IFNA(INDEX('IR data'!$N$4:$N$61,MATCH(G221,'IR data'!$M$4:$M$61,0)),((INDEX('IR data'!$N$4:$N$61,MATCH(G221,'IR data'!$M$4:$M$61,1)))-((G221-(INDEX('IR data'!$M$4:$M$61,MATCH(G221,'IR data'!$M$4:$M$61,1))))/((INDEX('IR data'!$M$4:$M$61,MATCH(G221,'IR data'!$M$4:$M$61,1)+1)-INDEX('IR data'!$M$4:$M$61,MATCH(G221,'IR data'!$M$4:$M$61,1))))) * (INDEX('IR data'!$N$4:$N$61,MATCH(G221,'IR data'!$M$4:$M$61,1))-(INDEX('IR data'!$N$4:$N$61,MATCH(G221,'IR data'!$M$4:$M$61,1)+1)))))</f>
        <v>0.96798112259340652</v>
      </c>
      <c r="I221" s="44">
        <f t="shared" si="23"/>
        <v>2.3663238228875408E-2</v>
      </c>
    </row>
    <row r="222" spans="1:9" x14ac:dyDescent="0.25">
      <c r="A222" s="45">
        <f t="shared" si="19"/>
        <v>45510</v>
      </c>
      <c r="B222" s="14" cm="1">
        <f t="array" ref="B222">_xlfn.IFNA(INDEX('IR data'!$D$4:$D$61,MATCH(A222,'IR data'!$C$4:$C$61,0)),((INDEX('IR data'!$D$4:$D$61,MATCH(A222,'IR data'!$C$4:$C$61,1)))-((A222-(INDEX('IR data'!$C$4:$C$61,MATCH(A222,'IR data'!$C$4:$C$61,1))))/((INDEX('IR data'!$C$4:$C$61,MATCH(A222,'IR data'!$C$4:$C$61,1)+1)-INDEX('IR data'!$C$4:$C$61,MATCH(A222,'IR data'!$C$4:$C$61,1))))) * (INDEX('IR data'!$D$4:$D$61,MATCH(A222,'IR data'!$C$4:$C$61,1))-(INDEX('IR data'!$D$4:$D$61,MATCH(A222,'IR data'!$C$4:$C$61,1)+1)))))</f>
        <v>0.96825886856521737</v>
      </c>
      <c r="C222" s="30">
        <f t="shared" si="20"/>
        <v>2.3347527489848592E-2</v>
      </c>
      <c r="D222" s="45">
        <f t="shared" si="21"/>
        <v>45570</v>
      </c>
      <c r="E222" s="14" cm="1">
        <f t="array" ref="E222">_xlfn.IFNA(INDEX('IR data'!$I$4:$I$61,MATCH(D222,'IR data'!$H$4:$H$61,0)),((INDEX('IR data'!$I$4:$I$61,MATCH(D222,'IR data'!$H$4:$H$61,1)))-((D222-(INDEX('IR data'!$H$4:$H$61,MATCH(D222,'IR data'!$H$4:$H$61,1))))/((INDEX('IR data'!$H$4:$H$61,MATCH(D222,'IR data'!$H$4:$H$61,1)+1)-INDEX('IR data'!$H$4:$H$61,MATCH(D222,'IR data'!$H$4:$H$61,1))))) * (INDEX('IR data'!$I$4:$I$61,MATCH(D222,'IR data'!$H$4:$H$61,1))-(INDEX('IR data'!$I$4:$I$61,MATCH(D222,'IR data'!$H$4:$H$61,1)+1)))))</f>
        <v>0.96771164543956045</v>
      </c>
      <c r="F222" s="30">
        <f t="shared" si="22"/>
        <v>2.375672103291962E-2</v>
      </c>
      <c r="G222" s="45">
        <f t="shared" si="18"/>
        <v>45604</v>
      </c>
      <c r="H222" s="14" cm="1">
        <f t="array" ref="H222">_xlfn.IFNA(INDEX('IR data'!$N$4:$N$61,MATCH(G222,'IR data'!$M$4:$M$61,0)),((INDEX('IR data'!$N$4:$N$61,MATCH(G222,'IR data'!$M$4:$M$61,1)))-((G222-(INDEX('IR data'!$M$4:$M$61,MATCH(G222,'IR data'!$M$4:$M$61,1))))/((INDEX('IR data'!$M$4:$M$61,MATCH(G222,'IR data'!$M$4:$M$61,1)+1)-INDEX('IR data'!$M$4:$M$61,MATCH(G222,'IR data'!$M$4:$M$61,1))))) * (INDEX('IR data'!$N$4:$N$61,MATCH(G222,'IR data'!$M$4:$M$61,1))-(INDEX('IR data'!$N$4:$N$61,MATCH(G222,'IR data'!$M$4:$M$61,1)+1)))))</f>
        <v>0.96784525648351649</v>
      </c>
      <c r="I222" s="44">
        <f t="shared" si="23"/>
        <v>2.3656790208280373E-2</v>
      </c>
    </row>
    <row r="223" spans="1:9" x14ac:dyDescent="0.25">
      <c r="A223" s="45">
        <f t="shared" si="19"/>
        <v>45511</v>
      </c>
      <c r="B223" s="14" cm="1">
        <f t="array" ref="B223">_xlfn.IFNA(INDEX('IR data'!$D$4:$D$61,MATCH(A223,'IR data'!$C$4:$C$61,0)),((INDEX('IR data'!$D$4:$D$61,MATCH(A223,'IR data'!$C$4:$C$61,1)))-((A223-(INDEX('IR data'!$C$4:$C$61,MATCH(A223,'IR data'!$C$4:$C$61,1))))/((INDEX('IR data'!$C$4:$C$61,MATCH(A223,'IR data'!$C$4:$C$61,1)+1)-INDEX('IR data'!$C$4:$C$61,MATCH(A223,'IR data'!$C$4:$C$61,1))))) * (INDEX('IR data'!$D$4:$D$61,MATCH(A223,'IR data'!$C$4:$C$61,1))-(INDEX('IR data'!$D$4:$D$61,MATCH(A223,'IR data'!$C$4:$C$61,1)+1)))))</f>
        <v>0.96813301543478258</v>
      </c>
      <c r="C223" s="30">
        <f t="shared" si="20"/>
        <v>2.3335062603541443E-2</v>
      </c>
      <c r="D223" s="45">
        <f t="shared" si="21"/>
        <v>45571</v>
      </c>
      <c r="E223" s="14" cm="1">
        <f t="array" ref="E223">_xlfn.IFNA(INDEX('IR data'!$I$4:$I$61,MATCH(D223,'IR data'!$H$4:$H$61,0)),((INDEX('IR data'!$I$4:$I$61,MATCH(D223,'IR data'!$H$4:$H$61,1)))-((D223-(INDEX('IR data'!$H$4:$H$61,MATCH(D223,'IR data'!$H$4:$H$61,1))))/((INDEX('IR data'!$H$4:$H$61,MATCH(D223,'IR data'!$H$4:$H$61,1)+1)-INDEX('IR data'!$H$4:$H$61,MATCH(D223,'IR data'!$H$4:$H$61,1))))) * (INDEX('IR data'!$I$4:$I$61,MATCH(D223,'IR data'!$H$4:$H$61,1))-(INDEX('IR data'!$I$4:$I$61,MATCH(D223,'IR data'!$H$4:$H$61,1)+1)))))</f>
        <v>0.96757587309890114</v>
      </c>
      <c r="F223" s="30">
        <f t="shared" si="22"/>
        <v>2.3749835738317501E-2</v>
      </c>
      <c r="G223" s="45">
        <f t="shared" si="18"/>
        <v>45605</v>
      </c>
      <c r="H223" s="14" cm="1">
        <f t="array" ref="H223">_xlfn.IFNA(INDEX('IR data'!$N$4:$N$61,MATCH(G223,'IR data'!$M$4:$M$61,0)),((INDEX('IR data'!$N$4:$N$61,MATCH(G223,'IR data'!$M$4:$M$61,1)))-((G223-(INDEX('IR data'!$M$4:$M$61,MATCH(G223,'IR data'!$M$4:$M$61,1))))/((INDEX('IR data'!$M$4:$M$61,MATCH(G223,'IR data'!$M$4:$M$61,1)+1)-INDEX('IR data'!$M$4:$M$61,MATCH(G223,'IR data'!$M$4:$M$61,1))))) * (INDEX('IR data'!$N$4:$N$61,MATCH(G223,'IR data'!$M$4:$M$61,1))-(INDEX('IR data'!$N$4:$N$61,MATCH(G223,'IR data'!$M$4:$M$61,1)+1)))))</f>
        <v>0.96770939037362635</v>
      </c>
      <c r="I223" s="44">
        <f t="shared" si="23"/>
        <v>2.3650415005288881E-2</v>
      </c>
    </row>
    <row r="224" spans="1:9" x14ac:dyDescent="0.25">
      <c r="A224" s="45">
        <f t="shared" si="19"/>
        <v>45512</v>
      </c>
      <c r="B224" s="14" cm="1">
        <f t="array" ref="B224">_xlfn.IFNA(INDEX('IR data'!$D$4:$D$61,MATCH(A224,'IR data'!$C$4:$C$61,0)),((INDEX('IR data'!$D$4:$D$61,MATCH(A224,'IR data'!$C$4:$C$61,1)))-((A224-(INDEX('IR data'!$C$4:$C$61,MATCH(A224,'IR data'!$C$4:$C$61,1))))/((INDEX('IR data'!$C$4:$C$61,MATCH(A224,'IR data'!$C$4:$C$61,1)+1)-INDEX('IR data'!$C$4:$C$61,MATCH(A224,'IR data'!$C$4:$C$61,1))))) * (INDEX('IR data'!$D$4:$D$61,MATCH(A224,'IR data'!$C$4:$C$61,1))-(INDEX('IR data'!$D$4:$D$61,MATCH(A224,'IR data'!$C$4:$C$61,1)+1)))))</f>
        <v>0.9680071623043478</v>
      </c>
      <c r="C224" s="30">
        <f t="shared" si="20"/>
        <v>2.3322722642759128E-2</v>
      </c>
      <c r="D224" s="45">
        <f t="shared" si="21"/>
        <v>45572</v>
      </c>
      <c r="E224" s="14" cm="1">
        <f t="array" ref="E224">_xlfn.IFNA(INDEX('IR data'!$I$4:$I$61,MATCH(D224,'IR data'!$H$4:$H$61,0)),((INDEX('IR data'!$I$4:$I$61,MATCH(D224,'IR data'!$H$4:$H$61,1)))-((D224-(INDEX('IR data'!$H$4:$H$61,MATCH(D224,'IR data'!$H$4:$H$61,1))))/((INDEX('IR data'!$H$4:$H$61,MATCH(D224,'IR data'!$H$4:$H$61,1)+1)-INDEX('IR data'!$H$4:$H$61,MATCH(D224,'IR data'!$H$4:$H$61,1))))) * (INDEX('IR data'!$I$4:$I$61,MATCH(D224,'IR data'!$H$4:$H$61,1))-(INDEX('IR data'!$I$4:$I$61,MATCH(D224,'IR data'!$H$4:$H$61,1)+1)))))</f>
        <v>0.96744010075824183</v>
      </c>
      <c r="F224" s="30">
        <f t="shared" si="22"/>
        <v>2.3743026877415117E-2</v>
      </c>
      <c r="G224" s="45">
        <f t="shared" si="18"/>
        <v>45606</v>
      </c>
      <c r="H224" s="14" cm="1">
        <f t="array" ref="H224">_xlfn.IFNA(INDEX('IR data'!$N$4:$N$61,MATCH(G224,'IR data'!$M$4:$M$61,0)),((INDEX('IR data'!$N$4:$N$61,MATCH(G224,'IR data'!$M$4:$M$61,1)))-((G224-(INDEX('IR data'!$M$4:$M$61,MATCH(G224,'IR data'!$M$4:$M$61,1))))/((INDEX('IR data'!$M$4:$M$61,MATCH(G224,'IR data'!$M$4:$M$61,1)+1)-INDEX('IR data'!$M$4:$M$61,MATCH(G224,'IR data'!$M$4:$M$61,1))))) * (INDEX('IR data'!$N$4:$N$61,MATCH(G224,'IR data'!$M$4:$M$61,1))-(INDEX('IR data'!$N$4:$N$61,MATCH(G224,'IR data'!$M$4:$M$61,1)+1)))))</f>
        <v>0.96757352426373622</v>
      </c>
      <c r="I224" s="44">
        <f t="shared" si="23"/>
        <v>2.3644111635395981E-2</v>
      </c>
    </row>
    <row r="225" spans="1:9" x14ac:dyDescent="0.25">
      <c r="A225" s="45">
        <f t="shared" si="19"/>
        <v>45513</v>
      </c>
      <c r="B225" s="14" cm="1">
        <f t="array" ref="B225">_xlfn.IFNA(INDEX('IR data'!$D$4:$D$61,MATCH(A225,'IR data'!$C$4:$C$61,0)),((INDEX('IR data'!$D$4:$D$61,MATCH(A225,'IR data'!$C$4:$C$61,1)))-((A225-(INDEX('IR data'!$C$4:$C$61,MATCH(A225,'IR data'!$C$4:$C$61,1))))/((INDEX('IR data'!$C$4:$C$61,MATCH(A225,'IR data'!$C$4:$C$61,1)+1)-INDEX('IR data'!$C$4:$C$61,MATCH(A225,'IR data'!$C$4:$C$61,1))))) * (INDEX('IR data'!$D$4:$D$61,MATCH(A225,'IR data'!$C$4:$C$61,1))-(INDEX('IR data'!$D$4:$D$61,MATCH(A225,'IR data'!$C$4:$C$61,1)+1)))))</f>
        <v>0.96788130917391302</v>
      </c>
      <c r="C225" s="30">
        <f t="shared" si="20"/>
        <v>2.3310505922456679E-2</v>
      </c>
      <c r="D225" s="45">
        <f t="shared" si="21"/>
        <v>45573</v>
      </c>
      <c r="E225" s="14" cm="1">
        <f t="array" ref="E225">_xlfn.IFNA(INDEX('IR data'!$I$4:$I$61,MATCH(D225,'IR data'!$H$4:$H$61,0)),((INDEX('IR data'!$I$4:$I$61,MATCH(D225,'IR data'!$H$4:$H$61,1)))-((D225-(INDEX('IR data'!$H$4:$H$61,MATCH(D225,'IR data'!$H$4:$H$61,1))))/((INDEX('IR data'!$H$4:$H$61,MATCH(D225,'IR data'!$H$4:$H$61,1)+1)-INDEX('IR data'!$H$4:$H$61,MATCH(D225,'IR data'!$H$4:$H$61,1))))) * (INDEX('IR data'!$I$4:$I$61,MATCH(D225,'IR data'!$H$4:$H$61,1))-(INDEX('IR data'!$I$4:$I$61,MATCH(D225,'IR data'!$H$4:$H$61,1)+1)))))</f>
        <v>0.9673043284175824</v>
      </c>
      <c r="F225" s="30">
        <f t="shared" si="22"/>
        <v>2.3736293421271318E-2</v>
      </c>
      <c r="G225" s="45">
        <f t="shared" si="18"/>
        <v>45607</v>
      </c>
      <c r="H225" s="14" cm="1">
        <f t="array" ref="H225">_xlfn.IFNA(INDEX('IR data'!$N$4:$N$61,MATCH(G225,'IR data'!$M$4:$M$61,0)),((INDEX('IR data'!$N$4:$N$61,MATCH(G225,'IR data'!$M$4:$M$61,1)))-((G225-(INDEX('IR data'!$M$4:$M$61,MATCH(G225,'IR data'!$M$4:$M$61,1))))/((INDEX('IR data'!$M$4:$M$61,MATCH(G225,'IR data'!$M$4:$M$61,1)+1)-INDEX('IR data'!$M$4:$M$61,MATCH(G225,'IR data'!$M$4:$M$61,1))))) * (INDEX('IR data'!$N$4:$N$61,MATCH(G225,'IR data'!$M$4:$M$61,1))-(INDEX('IR data'!$N$4:$N$61,MATCH(G225,'IR data'!$M$4:$M$61,1)+1)))))</f>
        <v>0.96743765815384608</v>
      </c>
      <c r="I225" s="44">
        <f t="shared" si="23"/>
        <v>2.3637879131837274E-2</v>
      </c>
    </row>
    <row r="226" spans="1:9" x14ac:dyDescent="0.25">
      <c r="A226" s="45">
        <f t="shared" si="19"/>
        <v>45514</v>
      </c>
      <c r="B226" s="14" cm="1">
        <f t="array" ref="B226">_xlfn.IFNA(INDEX('IR data'!$D$4:$D$61,MATCH(A226,'IR data'!$C$4:$C$61,0)),((INDEX('IR data'!$D$4:$D$61,MATCH(A226,'IR data'!$C$4:$C$61,1)))-((A226-(INDEX('IR data'!$C$4:$C$61,MATCH(A226,'IR data'!$C$4:$C$61,1))))/((INDEX('IR data'!$C$4:$C$61,MATCH(A226,'IR data'!$C$4:$C$61,1)+1)-INDEX('IR data'!$C$4:$C$61,MATCH(A226,'IR data'!$C$4:$C$61,1))))) * (INDEX('IR data'!$D$4:$D$61,MATCH(A226,'IR data'!$C$4:$C$61,1))-(INDEX('IR data'!$D$4:$D$61,MATCH(A226,'IR data'!$C$4:$C$61,1)+1)))))</f>
        <v>0.96775545604347823</v>
      </c>
      <c r="C226" s="30">
        <f t="shared" si="20"/>
        <v>2.3298410787815384E-2</v>
      </c>
      <c r="D226" s="45">
        <f t="shared" si="21"/>
        <v>45574</v>
      </c>
      <c r="E226" s="14" cm="1">
        <f t="array" ref="E226">_xlfn.IFNA(INDEX('IR data'!$I$4:$I$61,MATCH(D226,'IR data'!$H$4:$H$61,0)),((INDEX('IR data'!$I$4:$I$61,MATCH(D226,'IR data'!$H$4:$H$61,1)))-((D226-(INDEX('IR data'!$H$4:$H$61,MATCH(D226,'IR data'!$H$4:$H$61,1))))/((INDEX('IR data'!$H$4:$H$61,MATCH(D226,'IR data'!$H$4:$H$61,1)+1)-INDEX('IR data'!$H$4:$H$61,MATCH(D226,'IR data'!$H$4:$H$61,1))))) * (INDEX('IR data'!$I$4:$I$61,MATCH(D226,'IR data'!$H$4:$H$61,1))-(INDEX('IR data'!$I$4:$I$61,MATCH(D226,'IR data'!$H$4:$H$61,1)+1)))))</f>
        <v>0.96716855607692309</v>
      </c>
      <c r="F226" s="30">
        <f t="shared" si="22"/>
        <v>2.3729634359402729E-2</v>
      </c>
      <c r="G226" s="45">
        <f t="shared" si="18"/>
        <v>45608</v>
      </c>
      <c r="H226" s="14" cm="1">
        <f t="array" ref="H226">_xlfn.IFNA(INDEX('IR data'!$N$4:$N$61,MATCH(G226,'IR data'!$M$4:$M$61,0)),((INDEX('IR data'!$N$4:$N$61,MATCH(G226,'IR data'!$M$4:$M$61,1)))-((G226-(INDEX('IR data'!$M$4:$M$61,MATCH(G226,'IR data'!$M$4:$M$61,1))))/((INDEX('IR data'!$M$4:$M$61,MATCH(G226,'IR data'!$M$4:$M$61,1)+1)-INDEX('IR data'!$M$4:$M$61,MATCH(G226,'IR data'!$M$4:$M$61,1))))) * (INDEX('IR data'!$N$4:$N$61,MATCH(G226,'IR data'!$M$4:$M$61,1))-(INDEX('IR data'!$N$4:$N$61,MATCH(G226,'IR data'!$M$4:$M$61,1)+1)))))</f>
        <v>0.96730179204395605</v>
      </c>
      <c r="I226" s="44">
        <f t="shared" si="23"/>
        <v>2.3631716545191014E-2</v>
      </c>
    </row>
    <row r="227" spans="1:9" x14ac:dyDescent="0.25">
      <c r="A227" s="45">
        <f t="shared" si="19"/>
        <v>45515</v>
      </c>
      <c r="B227" s="14" cm="1">
        <f t="array" ref="B227">_xlfn.IFNA(INDEX('IR data'!$D$4:$D$61,MATCH(A227,'IR data'!$C$4:$C$61,0)),((INDEX('IR data'!$D$4:$D$61,MATCH(A227,'IR data'!$C$4:$C$61,1)))-((A227-(INDEX('IR data'!$C$4:$C$61,MATCH(A227,'IR data'!$C$4:$C$61,1))))/((INDEX('IR data'!$C$4:$C$61,MATCH(A227,'IR data'!$C$4:$C$61,1)+1)-INDEX('IR data'!$C$4:$C$61,MATCH(A227,'IR data'!$C$4:$C$61,1))))) * (INDEX('IR data'!$D$4:$D$61,MATCH(A227,'IR data'!$C$4:$C$61,1))-(INDEX('IR data'!$D$4:$D$61,MATCH(A227,'IR data'!$C$4:$C$61,1)+1)))))</f>
        <v>0.96762960291304345</v>
      </c>
      <c r="C227" s="30">
        <f t="shared" si="20"/>
        <v>2.3286435613568062E-2</v>
      </c>
      <c r="D227" s="45">
        <f t="shared" si="21"/>
        <v>45575</v>
      </c>
      <c r="E227" s="14" cm="1">
        <f t="array" ref="E227">_xlfn.IFNA(INDEX('IR data'!$I$4:$I$61,MATCH(D227,'IR data'!$H$4:$H$61,0)),((INDEX('IR data'!$I$4:$I$61,MATCH(D227,'IR data'!$H$4:$H$61,1)))-((D227-(INDEX('IR data'!$H$4:$H$61,MATCH(D227,'IR data'!$H$4:$H$61,1))))/((INDEX('IR data'!$H$4:$H$61,MATCH(D227,'IR data'!$H$4:$H$61,1)+1)-INDEX('IR data'!$H$4:$H$61,MATCH(D227,'IR data'!$H$4:$H$61,1))))) * (INDEX('IR data'!$I$4:$I$61,MATCH(D227,'IR data'!$H$4:$H$61,1))-(INDEX('IR data'!$I$4:$I$61,MATCH(D227,'IR data'!$H$4:$H$61,1)+1)))))</f>
        <v>0.96703278373626378</v>
      </c>
      <c r="F227" s="30">
        <f t="shared" si="22"/>
        <v>2.3723048699372203E-2</v>
      </c>
      <c r="G227" s="45">
        <f t="shared" si="18"/>
        <v>45609</v>
      </c>
      <c r="H227" s="14" cm="1">
        <f t="array" ref="H227">_xlfn.IFNA(INDEX('IR data'!$N$4:$N$61,MATCH(G227,'IR data'!$M$4:$M$61,0)),((INDEX('IR data'!$N$4:$N$61,MATCH(G227,'IR data'!$M$4:$M$61,1)))-((G227-(INDEX('IR data'!$M$4:$M$61,MATCH(G227,'IR data'!$M$4:$M$61,1))))/((INDEX('IR data'!$M$4:$M$61,MATCH(G227,'IR data'!$M$4:$M$61,1)+1)-INDEX('IR data'!$M$4:$M$61,MATCH(G227,'IR data'!$M$4:$M$61,1))))) * (INDEX('IR data'!$N$4:$N$61,MATCH(G227,'IR data'!$M$4:$M$61,1))-(INDEX('IR data'!$N$4:$N$61,MATCH(G227,'IR data'!$M$4:$M$61,1)+1)))))</f>
        <v>0.96716592593406592</v>
      </c>
      <c r="I227" s="44">
        <f t="shared" si="23"/>
        <v>2.3625622942991316E-2</v>
      </c>
    </row>
    <row r="228" spans="1:9" x14ac:dyDescent="0.25">
      <c r="A228" s="45">
        <f t="shared" si="19"/>
        <v>45516</v>
      </c>
      <c r="B228" s="14" cm="1">
        <f t="array" ref="B228">_xlfn.IFNA(INDEX('IR data'!$D$4:$D$61,MATCH(A228,'IR data'!$C$4:$C$61,0)),((INDEX('IR data'!$D$4:$D$61,MATCH(A228,'IR data'!$C$4:$C$61,1)))-((A228-(INDEX('IR data'!$C$4:$C$61,MATCH(A228,'IR data'!$C$4:$C$61,1))))/((INDEX('IR data'!$C$4:$C$61,MATCH(A228,'IR data'!$C$4:$C$61,1)+1)-INDEX('IR data'!$C$4:$C$61,MATCH(A228,'IR data'!$C$4:$C$61,1))))) * (INDEX('IR data'!$D$4:$D$61,MATCH(A228,'IR data'!$C$4:$C$61,1))-(INDEX('IR data'!$D$4:$D$61,MATCH(A228,'IR data'!$C$4:$C$61,1)+1)))))</f>
        <v>0.96750374978260867</v>
      </c>
      <c r="C228" s="30">
        <f t="shared" si="20"/>
        <v>2.3274578803342386E-2</v>
      </c>
      <c r="D228" s="45">
        <f t="shared" si="21"/>
        <v>45576</v>
      </c>
      <c r="E228" s="14" cm="1">
        <f t="array" ref="E228">_xlfn.IFNA(INDEX('IR data'!$I$4:$I$61,MATCH(D228,'IR data'!$H$4:$H$61,0)),((INDEX('IR data'!$I$4:$I$61,MATCH(D228,'IR data'!$H$4:$H$61,1)))-((D228-(INDEX('IR data'!$H$4:$H$61,MATCH(D228,'IR data'!$H$4:$H$61,1))))/((INDEX('IR data'!$H$4:$H$61,MATCH(D228,'IR data'!$H$4:$H$61,1)+1)-INDEX('IR data'!$H$4:$H$61,MATCH(D228,'IR data'!$H$4:$H$61,1))))) * (INDEX('IR data'!$I$4:$I$61,MATCH(D228,'IR data'!$H$4:$H$61,1))-(INDEX('IR data'!$I$4:$I$61,MATCH(D228,'IR data'!$H$4:$H$61,1)+1)))))</f>
        <v>0.96689701139560447</v>
      </c>
      <c r="F228" s="30">
        <f t="shared" si="22"/>
        <v>2.3716535466387464E-2</v>
      </c>
      <c r="G228" s="45">
        <f t="shared" si="18"/>
        <v>45610</v>
      </c>
      <c r="H228" s="14" cm="1">
        <f t="array" ref="H228">_xlfn.IFNA(INDEX('IR data'!$N$4:$N$61,MATCH(G228,'IR data'!$M$4:$M$61,0)),((INDEX('IR data'!$N$4:$N$61,MATCH(G228,'IR data'!$M$4:$M$61,1)))-((G228-(INDEX('IR data'!$M$4:$M$61,MATCH(G228,'IR data'!$M$4:$M$61,1))))/((INDEX('IR data'!$M$4:$M$61,MATCH(G228,'IR data'!$M$4:$M$61,1)+1)-INDEX('IR data'!$M$4:$M$61,MATCH(G228,'IR data'!$M$4:$M$61,1))))) * (INDEX('IR data'!$N$4:$N$61,MATCH(G228,'IR data'!$M$4:$M$61,1))-(INDEX('IR data'!$N$4:$N$61,MATCH(G228,'IR data'!$M$4:$M$61,1)+1)))))</f>
        <v>0.96703005982417578</v>
      </c>
      <c r="I228" s="44">
        <f t="shared" si="23"/>
        <v>2.3619597409350851E-2</v>
      </c>
    </row>
    <row r="229" spans="1:9" x14ac:dyDescent="0.25">
      <c r="A229" s="45">
        <f t="shared" si="19"/>
        <v>45517</v>
      </c>
      <c r="B229" s="14" cm="1">
        <f t="array" ref="B229">_xlfn.IFNA(INDEX('IR data'!$D$4:$D$61,MATCH(A229,'IR data'!$C$4:$C$61,0)),((INDEX('IR data'!$D$4:$D$61,MATCH(A229,'IR data'!$C$4:$C$61,1)))-((A229-(INDEX('IR data'!$C$4:$C$61,MATCH(A229,'IR data'!$C$4:$C$61,1))))/((INDEX('IR data'!$C$4:$C$61,MATCH(A229,'IR data'!$C$4:$C$61,1)+1)-INDEX('IR data'!$C$4:$C$61,MATCH(A229,'IR data'!$C$4:$C$61,1))))) * (INDEX('IR data'!$D$4:$D$61,MATCH(A229,'IR data'!$C$4:$C$61,1))-(INDEX('IR data'!$D$4:$D$61,MATCH(A229,'IR data'!$C$4:$C$61,1)+1)))))</f>
        <v>0.96737789665217389</v>
      </c>
      <c r="C229" s="30">
        <f t="shared" si="20"/>
        <v>2.3262838789021609E-2</v>
      </c>
      <c r="D229" s="45">
        <f t="shared" si="21"/>
        <v>45577</v>
      </c>
      <c r="E229" s="14" cm="1">
        <f t="array" ref="E229">_xlfn.IFNA(INDEX('IR data'!$I$4:$I$61,MATCH(D229,'IR data'!$H$4:$H$61,0)),((INDEX('IR data'!$I$4:$I$61,MATCH(D229,'IR data'!$H$4:$H$61,1)))-((D229-(INDEX('IR data'!$H$4:$H$61,MATCH(D229,'IR data'!$H$4:$H$61,1))))/((INDEX('IR data'!$H$4:$H$61,MATCH(D229,'IR data'!$H$4:$H$61,1)+1)-INDEX('IR data'!$H$4:$H$61,MATCH(D229,'IR data'!$H$4:$H$61,1))))) * (INDEX('IR data'!$I$4:$I$61,MATCH(D229,'IR data'!$H$4:$H$61,1))-(INDEX('IR data'!$I$4:$I$61,MATCH(D229,'IR data'!$H$4:$H$61,1)+1)))))</f>
        <v>0.96676123905494504</v>
      </c>
      <c r="F229" s="30">
        <f t="shared" si="22"/>
        <v>2.3710093702910943E-2</v>
      </c>
      <c r="G229" s="45">
        <f t="shared" si="18"/>
        <v>45611</v>
      </c>
      <c r="H229" s="14" cm="1">
        <f t="array" ref="H229">_xlfn.IFNA(INDEX('IR data'!$N$4:$N$61,MATCH(G229,'IR data'!$M$4:$M$61,0)),((INDEX('IR data'!$N$4:$N$61,MATCH(G229,'IR data'!$M$4:$M$61,1)))-((G229-(INDEX('IR data'!$M$4:$M$61,MATCH(G229,'IR data'!$M$4:$M$61,1))))/((INDEX('IR data'!$M$4:$M$61,MATCH(G229,'IR data'!$M$4:$M$61,1)+1)-INDEX('IR data'!$M$4:$M$61,MATCH(G229,'IR data'!$M$4:$M$61,1))))) * (INDEX('IR data'!$N$4:$N$61,MATCH(G229,'IR data'!$M$4:$M$61,1))-(INDEX('IR data'!$N$4:$N$61,MATCH(G229,'IR data'!$M$4:$M$61,1)+1)))))</f>
        <v>0.96689419371428564</v>
      </c>
      <c r="I229" s="44">
        <f t="shared" si="23"/>
        <v>2.3613639044594421E-2</v>
      </c>
    </row>
    <row r="230" spans="1:9" x14ac:dyDescent="0.25">
      <c r="A230" s="45">
        <f t="shared" si="19"/>
        <v>45518</v>
      </c>
      <c r="B230" s="14" cm="1">
        <f t="array" ref="B230">_xlfn.IFNA(INDEX('IR data'!$D$4:$D$61,MATCH(A230,'IR data'!$C$4:$C$61,0)),((INDEX('IR data'!$D$4:$D$61,MATCH(A230,'IR data'!$C$4:$C$61,1)))-((A230-(INDEX('IR data'!$C$4:$C$61,MATCH(A230,'IR data'!$C$4:$C$61,1))))/((INDEX('IR data'!$C$4:$C$61,MATCH(A230,'IR data'!$C$4:$C$61,1)+1)-INDEX('IR data'!$C$4:$C$61,MATCH(A230,'IR data'!$C$4:$C$61,1))))) * (INDEX('IR data'!$D$4:$D$61,MATCH(A230,'IR data'!$C$4:$C$61,1))-(INDEX('IR data'!$D$4:$D$61,MATCH(A230,'IR data'!$C$4:$C$61,1)+1)))))</f>
        <v>0.9672520435217391</v>
      </c>
      <c r="C230" s="30">
        <f t="shared" si="20"/>
        <v>2.3251214030122203E-2</v>
      </c>
      <c r="D230" s="45">
        <f t="shared" si="21"/>
        <v>45578</v>
      </c>
      <c r="E230" s="14" cm="1">
        <f t="array" ref="E230">_xlfn.IFNA(INDEX('IR data'!$I$4:$I$61,MATCH(D230,'IR data'!$H$4:$H$61,0)),((INDEX('IR data'!$I$4:$I$61,MATCH(D230,'IR data'!$H$4:$H$61,1)))-((D230-(INDEX('IR data'!$H$4:$H$61,MATCH(D230,'IR data'!$H$4:$H$61,1))))/((INDEX('IR data'!$H$4:$H$61,MATCH(D230,'IR data'!$H$4:$H$61,1)+1)-INDEX('IR data'!$H$4:$H$61,MATCH(D230,'IR data'!$H$4:$H$61,1))))) * (INDEX('IR data'!$I$4:$I$61,MATCH(D230,'IR data'!$H$4:$H$61,1))-(INDEX('IR data'!$I$4:$I$61,MATCH(D230,'IR data'!$H$4:$H$61,1)+1)))))</f>
        <v>0.96662546671428573</v>
      </c>
      <c r="F230" s="30">
        <f t="shared" si="22"/>
        <v>2.3703722468279339E-2</v>
      </c>
      <c r="G230" s="45">
        <f t="shared" si="18"/>
        <v>45612</v>
      </c>
      <c r="H230" s="14" cm="1">
        <f t="array" ref="H230">_xlfn.IFNA(INDEX('IR data'!$N$4:$N$61,MATCH(G230,'IR data'!$M$4:$M$61,0)),((INDEX('IR data'!$N$4:$N$61,MATCH(G230,'IR data'!$M$4:$M$61,1)))-((G230-(INDEX('IR data'!$M$4:$M$61,MATCH(G230,'IR data'!$M$4:$M$61,1))))/((INDEX('IR data'!$M$4:$M$61,MATCH(G230,'IR data'!$M$4:$M$61,1)+1)-INDEX('IR data'!$M$4:$M$61,MATCH(G230,'IR data'!$M$4:$M$61,1))))) * (INDEX('IR data'!$N$4:$N$61,MATCH(G230,'IR data'!$M$4:$M$61,1))-(INDEX('IR data'!$N$4:$N$61,MATCH(G230,'IR data'!$M$4:$M$61,1)+1)))))</f>
        <v>0.96675832760439562</v>
      </c>
      <c r="I230" s="44">
        <f t="shared" si="23"/>
        <v>2.3607746964901675E-2</v>
      </c>
    </row>
    <row r="231" spans="1:9" x14ac:dyDescent="0.25">
      <c r="A231" s="45">
        <f t="shared" si="19"/>
        <v>45519</v>
      </c>
      <c r="B231" s="14" cm="1">
        <f t="array" ref="B231">_xlfn.IFNA(INDEX('IR data'!$D$4:$D$61,MATCH(A231,'IR data'!$C$4:$C$61,0)),((INDEX('IR data'!$D$4:$D$61,MATCH(A231,'IR data'!$C$4:$C$61,1)))-((A231-(INDEX('IR data'!$C$4:$C$61,MATCH(A231,'IR data'!$C$4:$C$61,1))))/((INDEX('IR data'!$C$4:$C$61,MATCH(A231,'IR data'!$C$4:$C$61,1)+1)-INDEX('IR data'!$C$4:$C$61,MATCH(A231,'IR data'!$C$4:$C$61,1))))) * (INDEX('IR data'!$D$4:$D$61,MATCH(A231,'IR data'!$C$4:$C$61,1))-(INDEX('IR data'!$D$4:$D$61,MATCH(A231,'IR data'!$C$4:$C$61,1)+1)))))</f>
        <v>0.96712619039130432</v>
      </c>
      <c r="C231" s="30">
        <f t="shared" si="20"/>
        <v>2.3239703013187851E-2</v>
      </c>
      <c r="D231" s="45">
        <f t="shared" si="21"/>
        <v>45579</v>
      </c>
      <c r="E231" s="14" cm="1">
        <f t="array" ref="E231">_xlfn.IFNA(INDEX('IR data'!$I$4:$I$61,MATCH(D231,'IR data'!$H$4:$H$61,0)),((INDEX('IR data'!$I$4:$I$61,MATCH(D231,'IR data'!$H$4:$H$61,1)))-((D231-(INDEX('IR data'!$H$4:$H$61,MATCH(D231,'IR data'!$H$4:$H$61,1))))/((INDEX('IR data'!$H$4:$H$61,MATCH(D231,'IR data'!$H$4:$H$61,1)+1)-INDEX('IR data'!$H$4:$H$61,MATCH(D231,'IR data'!$H$4:$H$61,1))))) * (INDEX('IR data'!$I$4:$I$61,MATCH(D231,'IR data'!$H$4:$H$61,1))-(INDEX('IR data'!$I$4:$I$61,MATCH(D231,'IR data'!$H$4:$H$61,1)+1)))))</f>
        <v>0.96648969437362642</v>
      </c>
      <c r="F231" s="30">
        <f t="shared" si="22"/>
        <v>2.36974208383341E-2</v>
      </c>
      <c r="G231" s="45">
        <f t="shared" si="18"/>
        <v>45613</v>
      </c>
      <c r="H231" s="14" cm="1">
        <f t="array" ref="H231">_xlfn.IFNA(INDEX('IR data'!$N$4:$N$61,MATCH(G231,'IR data'!$M$4:$M$61,0)),((INDEX('IR data'!$N$4:$N$61,MATCH(G231,'IR data'!$M$4:$M$61,1)))-((G231-(INDEX('IR data'!$M$4:$M$61,MATCH(G231,'IR data'!$M$4:$M$61,1))))/((INDEX('IR data'!$M$4:$M$61,MATCH(G231,'IR data'!$M$4:$M$61,1)+1)-INDEX('IR data'!$M$4:$M$61,MATCH(G231,'IR data'!$M$4:$M$61,1))))) * (INDEX('IR data'!$N$4:$N$61,MATCH(G231,'IR data'!$M$4:$M$61,1))-(INDEX('IR data'!$N$4:$N$61,MATCH(G231,'IR data'!$M$4:$M$61,1)+1)))))</f>
        <v>0.96662246149450548</v>
      </c>
      <c r="I231" s="44">
        <f t="shared" si="23"/>
        <v>2.3601920301959761E-2</v>
      </c>
    </row>
    <row r="232" spans="1:9" x14ac:dyDescent="0.25">
      <c r="A232" s="45">
        <f t="shared" si="19"/>
        <v>45520</v>
      </c>
      <c r="B232" s="14" cm="1">
        <f t="array" ref="B232">_xlfn.IFNA(INDEX('IR data'!$D$4:$D$61,MATCH(A232,'IR data'!$C$4:$C$61,0)),((INDEX('IR data'!$D$4:$D$61,MATCH(A232,'IR data'!$C$4:$C$61,1)))-((A232-(INDEX('IR data'!$C$4:$C$61,MATCH(A232,'IR data'!$C$4:$C$61,1))))/((INDEX('IR data'!$C$4:$C$61,MATCH(A232,'IR data'!$C$4:$C$61,1)+1)-INDEX('IR data'!$C$4:$C$61,MATCH(A232,'IR data'!$C$4:$C$61,1))))) * (INDEX('IR data'!$D$4:$D$61,MATCH(A232,'IR data'!$C$4:$C$61,1))-(INDEX('IR data'!$D$4:$D$61,MATCH(A232,'IR data'!$C$4:$C$61,1)+1)))))</f>
        <v>0.96700033726086954</v>
      </c>
      <c r="C232" s="30">
        <f t="shared" si="20"/>
        <v>2.3228304251199351E-2</v>
      </c>
      <c r="D232" s="45">
        <f t="shared" si="21"/>
        <v>45580</v>
      </c>
      <c r="E232" s="14" cm="1">
        <f t="array" ref="E232">_xlfn.IFNA(INDEX('IR data'!$I$4:$I$61,MATCH(D232,'IR data'!$H$4:$H$61,0)),((INDEX('IR data'!$I$4:$I$61,MATCH(D232,'IR data'!$H$4:$H$61,1)))-((D232-(INDEX('IR data'!$H$4:$H$61,MATCH(D232,'IR data'!$H$4:$H$61,1))))/((INDEX('IR data'!$H$4:$H$61,MATCH(D232,'IR data'!$H$4:$H$61,1)+1)-INDEX('IR data'!$H$4:$H$61,MATCH(D232,'IR data'!$H$4:$H$61,1))))) * (INDEX('IR data'!$I$4:$I$61,MATCH(D232,'IR data'!$H$4:$H$61,1))-(INDEX('IR data'!$I$4:$I$61,MATCH(D232,'IR data'!$H$4:$H$61,1)+1)))))</f>
        <v>0.96635392203296711</v>
      </c>
      <c r="F232" s="30">
        <f t="shared" si="22"/>
        <v>2.3691187905060709E-2</v>
      </c>
      <c r="G232" s="45">
        <f t="shared" si="18"/>
        <v>45614</v>
      </c>
      <c r="H232" s="14" cm="1">
        <f t="array" ref="H232">_xlfn.IFNA(INDEX('IR data'!$N$4:$N$61,MATCH(G232,'IR data'!$M$4:$M$61,0)),((INDEX('IR data'!$N$4:$N$61,MATCH(G232,'IR data'!$M$4:$M$61,1)))-((G232-(INDEX('IR data'!$M$4:$M$61,MATCH(G232,'IR data'!$M$4:$M$61,1))))/((INDEX('IR data'!$M$4:$M$61,MATCH(G232,'IR data'!$M$4:$M$61,1)+1)-INDEX('IR data'!$M$4:$M$61,MATCH(G232,'IR data'!$M$4:$M$61,1))))) * (INDEX('IR data'!$N$4:$N$61,MATCH(G232,'IR data'!$M$4:$M$61,1))-(INDEX('IR data'!$N$4:$N$61,MATCH(G232,'IR data'!$M$4:$M$61,1)+1)))))</f>
        <v>0.96648659538461534</v>
      </c>
      <c r="I232" s="44">
        <f t="shared" si="23"/>
        <v>2.3596158202624239E-2</v>
      </c>
    </row>
    <row r="233" spans="1:9" x14ac:dyDescent="0.25">
      <c r="A233" s="45">
        <f t="shared" si="19"/>
        <v>45521</v>
      </c>
      <c r="B233" s="14" cm="1">
        <f t="array" ref="B233">_xlfn.IFNA(INDEX('IR data'!$D$4:$D$61,MATCH(A233,'IR data'!$C$4:$C$61,0)),((INDEX('IR data'!$D$4:$D$61,MATCH(A233,'IR data'!$C$4:$C$61,1)))-((A233-(INDEX('IR data'!$C$4:$C$61,MATCH(A233,'IR data'!$C$4:$C$61,1))))/((INDEX('IR data'!$C$4:$C$61,MATCH(A233,'IR data'!$C$4:$C$61,1)+1)-INDEX('IR data'!$C$4:$C$61,MATCH(A233,'IR data'!$C$4:$C$61,1))))) * (INDEX('IR data'!$D$4:$D$61,MATCH(A233,'IR data'!$C$4:$C$61,1))-(INDEX('IR data'!$D$4:$D$61,MATCH(A233,'IR data'!$C$4:$C$61,1)+1)))))</f>
        <v>0.96687448413043475</v>
      </c>
      <c r="C233" s="30">
        <f t="shared" si="20"/>
        <v>2.3217016282999894E-2</v>
      </c>
      <c r="D233" s="45">
        <f t="shared" si="21"/>
        <v>45581</v>
      </c>
      <c r="E233" s="14" cm="1">
        <f t="array" ref="E233">_xlfn.IFNA(INDEX('IR data'!$I$4:$I$61,MATCH(D233,'IR data'!$H$4:$H$61,0)),((INDEX('IR data'!$I$4:$I$61,MATCH(D233,'IR data'!$H$4:$H$61,1)))-((D233-(INDEX('IR data'!$H$4:$H$61,MATCH(D233,'IR data'!$H$4:$H$61,1))))/((INDEX('IR data'!$H$4:$H$61,MATCH(D233,'IR data'!$H$4:$H$61,1)+1)-INDEX('IR data'!$H$4:$H$61,MATCH(D233,'IR data'!$H$4:$H$61,1))))) * (INDEX('IR data'!$I$4:$I$61,MATCH(D233,'IR data'!$H$4:$H$61,1))-(INDEX('IR data'!$I$4:$I$61,MATCH(D233,'IR data'!$H$4:$H$61,1)+1)))))</f>
        <v>0.96621814969230768</v>
      </c>
      <c r="F233" s="30">
        <f t="shared" si="22"/>
        <v>2.3685022776237893E-2</v>
      </c>
      <c r="G233" s="45">
        <f t="shared" si="18"/>
        <v>45615</v>
      </c>
      <c r="H233" s="14" cm="1">
        <f t="array" ref="H233">_xlfn.IFNA(INDEX('IR data'!$N$4:$N$61,MATCH(G233,'IR data'!$M$4:$M$61,0)),((INDEX('IR data'!$N$4:$N$61,MATCH(G233,'IR data'!$M$4:$M$61,1)))-((G233-(INDEX('IR data'!$M$4:$M$61,MATCH(G233,'IR data'!$M$4:$M$61,1))))/((INDEX('IR data'!$M$4:$M$61,MATCH(G233,'IR data'!$M$4:$M$61,1)+1)-INDEX('IR data'!$M$4:$M$61,MATCH(G233,'IR data'!$M$4:$M$61,1))))) * (INDEX('IR data'!$N$4:$N$61,MATCH(G233,'IR data'!$M$4:$M$61,1))-(INDEX('IR data'!$N$4:$N$61,MATCH(G233,'IR data'!$M$4:$M$61,1)+1)))))</f>
        <v>0.96635072927472521</v>
      </c>
      <c r="I233" s="44">
        <f t="shared" si="23"/>
        <v>2.3590459828589653E-2</v>
      </c>
    </row>
    <row r="234" spans="1:9" x14ac:dyDescent="0.25">
      <c r="A234" s="45">
        <f t="shared" si="19"/>
        <v>45522</v>
      </c>
      <c r="B234" s="14" cm="1">
        <f t="array" ref="B234">_xlfn.IFNA(INDEX('IR data'!$D$4:$D$61,MATCH(A234,'IR data'!$C$4:$C$61,0)),((INDEX('IR data'!$D$4:$D$61,MATCH(A234,'IR data'!$C$4:$C$61,1)))-((A234-(INDEX('IR data'!$C$4:$C$61,MATCH(A234,'IR data'!$C$4:$C$61,1))))/((INDEX('IR data'!$C$4:$C$61,MATCH(A234,'IR data'!$C$4:$C$61,1)+1)-INDEX('IR data'!$C$4:$C$61,MATCH(A234,'IR data'!$C$4:$C$61,1))))) * (INDEX('IR data'!$D$4:$D$61,MATCH(A234,'IR data'!$C$4:$C$61,1))-(INDEX('IR data'!$D$4:$D$61,MATCH(A234,'IR data'!$C$4:$C$61,1)+1)))))</f>
        <v>0.96674863099999997</v>
      </c>
      <c r="C234" s="30">
        <f t="shared" si="20"/>
        <v>2.320583767273526E-2</v>
      </c>
      <c r="D234" s="45">
        <f t="shared" si="21"/>
        <v>45582</v>
      </c>
      <c r="E234" s="14" cm="1">
        <f t="array" ref="E234">_xlfn.IFNA(INDEX('IR data'!$I$4:$I$61,MATCH(D234,'IR data'!$H$4:$H$61,0)),((INDEX('IR data'!$I$4:$I$61,MATCH(D234,'IR data'!$H$4:$H$61,1)))-((D234-(INDEX('IR data'!$H$4:$H$61,MATCH(D234,'IR data'!$H$4:$H$61,1))))/((INDEX('IR data'!$H$4:$H$61,MATCH(D234,'IR data'!$H$4:$H$61,1)+1)-INDEX('IR data'!$H$4:$H$61,MATCH(D234,'IR data'!$H$4:$H$61,1))))) * (INDEX('IR data'!$I$4:$I$61,MATCH(D234,'IR data'!$H$4:$H$61,1))-(INDEX('IR data'!$I$4:$I$61,MATCH(D234,'IR data'!$H$4:$H$61,1)+1)))))</f>
        <v>0.96608237735164837</v>
      </c>
      <c r="F234" s="30">
        <f t="shared" si="22"/>
        <v>2.3678924575095472E-2</v>
      </c>
      <c r="G234" s="45">
        <f t="shared" si="18"/>
        <v>45616</v>
      </c>
      <c r="H234" s="14" cm="1">
        <f t="array" ref="H234">_xlfn.IFNA(INDEX('IR data'!$N$4:$N$61,MATCH(G234,'IR data'!$M$4:$M$61,0)),((INDEX('IR data'!$N$4:$N$61,MATCH(G234,'IR data'!$M$4:$M$61,1)))-((G234-(INDEX('IR data'!$M$4:$M$61,MATCH(G234,'IR data'!$M$4:$M$61,1))))/((INDEX('IR data'!$M$4:$M$61,MATCH(G234,'IR data'!$M$4:$M$61,1)+1)-INDEX('IR data'!$M$4:$M$61,MATCH(G234,'IR data'!$M$4:$M$61,1))))) * (INDEX('IR data'!$N$4:$N$61,MATCH(G234,'IR data'!$M$4:$M$61,1))-(INDEX('IR data'!$N$4:$N$61,MATCH(G234,'IR data'!$M$4:$M$61,1)+1)))))</f>
        <v>0.96621486316483518</v>
      </c>
      <c r="I234" s="44">
        <f t="shared" si="23"/>
        <v>2.3584824356068193E-2</v>
      </c>
    </row>
    <row r="235" spans="1:9" x14ac:dyDescent="0.25">
      <c r="A235" s="45">
        <f t="shared" si="19"/>
        <v>45523</v>
      </c>
      <c r="B235" s="14" cm="1">
        <f t="array" ref="B235">_xlfn.IFNA(INDEX('IR data'!$D$4:$D$61,MATCH(A235,'IR data'!$C$4:$C$61,0)),((INDEX('IR data'!$D$4:$D$61,MATCH(A235,'IR data'!$C$4:$C$61,1)))-((A235-(INDEX('IR data'!$C$4:$C$61,MATCH(A235,'IR data'!$C$4:$C$61,1))))/((INDEX('IR data'!$C$4:$C$61,MATCH(A235,'IR data'!$C$4:$C$61,1)+1)-INDEX('IR data'!$C$4:$C$61,MATCH(A235,'IR data'!$C$4:$C$61,1))))) * (INDEX('IR data'!$D$4:$D$61,MATCH(A235,'IR data'!$C$4:$C$61,1))-(INDEX('IR data'!$D$4:$D$61,MATCH(A235,'IR data'!$C$4:$C$61,1)+1)))))</f>
        <v>0.9666227778695653</v>
      </c>
      <c r="C235" s="30">
        <f t="shared" si="20"/>
        <v>2.3194767009308441E-2</v>
      </c>
      <c r="D235" s="45">
        <f t="shared" si="21"/>
        <v>45583</v>
      </c>
      <c r="E235" s="14" cm="1">
        <f t="array" ref="E235">_xlfn.IFNA(INDEX('IR data'!$I$4:$I$61,MATCH(D235,'IR data'!$H$4:$H$61,0)),((INDEX('IR data'!$I$4:$I$61,MATCH(D235,'IR data'!$H$4:$H$61,1)))-((D235-(INDEX('IR data'!$H$4:$H$61,MATCH(D235,'IR data'!$H$4:$H$61,1))))/((INDEX('IR data'!$H$4:$H$61,MATCH(D235,'IR data'!$H$4:$H$61,1)+1)-INDEX('IR data'!$H$4:$H$61,MATCH(D235,'IR data'!$H$4:$H$61,1))))) * (INDEX('IR data'!$I$4:$I$61,MATCH(D235,'IR data'!$H$4:$H$61,1))-(INDEX('IR data'!$I$4:$I$61,MATCH(D235,'IR data'!$H$4:$H$61,1)+1)))))</f>
        <v>0.96594660501098906</v>
      </c>
      <c r="F235" s="30">
        <f t="shared" si="22"/>
        <v>2.3672892439981819E-2</v>
      </c>
      <c r="G235" s="45">
        <f t="shared" si="18"/>
        <v>45617</v>
      </c>
      <c r="H235" s="14" cm="1">
        <f t="array" ref="H235">_xlfn.IFNA(INDEX('IR data'!$N$4:$N$61,MATCH(G235,'IR data'!$M$4:$M$61,0)),((INDEX('IR data'!$N$4:$N$61,MATCH(G235,'IR data'!$M$4:$M$61,1)))-((G235-(INDEX('IR data'!$M$4:$M$61,MATCH(G235,'IR data'!$M$4:$M$61,1))))/((INDEX('IR data'!$M$4:$M$61,MATCH(G235,'IR data'!$M$4:$M$61,1)+1)-INDEX('IR data'!$M$4:$M$61,MATCH(G235,'IR data'!$M$4:$M$61,1))))) * (INDEX('IR data'!$N$4:$N$61,MATCH(G235,'IR data'!$M$4:$M$61,1))-(INDEX('IR data'!$N$4:$N$61,MATCH(G235,'IR data'!$M$4:$M$61,1)+1)))))</f>
        <v>0.96607899705494504</v>
      </c>
      <c r="I235" s="44">
        <f t="shared" si="23"/>
        <v>2.3579250975477122E-2</v>
      </c>
    </row>
    <row r="236" spans="1:9" x14ac:dyDescent="0.25">
      <c r="A236" s="45">
        <f t="shared" si="19"/>
        <v>45524</v>
      </c>
      <c r="B236" s="14" cm="1">
        <f t="array" ref="B236">_xlfn.IFNA(INDEX('IR data'!$D$4:$D$61,MATCH(A236,'IR data'!$C$4:$C$61,0)),((INDEX('IR data'!$D$4:$D$61,MATCH(A236,'IR data'!$C$4:$C$61,1)))-((A236-(INDEX('IR data'!$C$4:$C$61,MATCH(A236,'IR data'!$C$4:$C$61,1))))/((INDEX('IR data'!$C$4:$C$61,MATCH(A236,'IR data'!$C$4:$C$61,1)+1)-INDEX('IR data'!$C$4:$C$61,MATCH(A236,'IR data'!$C$4:$C$61,1))))) * (INDEX('IR data'!$D$4:$D$61,MATCH(A236,'IR data'!$C$4:$C$61,1))-(INDEX('IR data'!$D$4:$D$61,MATCH(A236,'IR data'!$C$4:$C$61,1)+1)))))</f>
        <v>0.96649692473913051</v>
      </c>
      <c r="C236" s="30">
        <f t="shared" si="20"/>
        <v>2.3183802905848681E-2</v>
      </c>
      <c r="D236" s="45">
        <f t="shared" si="21"/>
        <v>45584</v>
      </c>
      <c r="E236" s="14" cm="1">
        <f t="array" ref="E236">_xlfn.IFNA(INDEX('IR data'!$I$4:$I$61,MATCH(D236,'IR data'!$H$4:$H$61,0)),((INDEX('IR data'!$I$4:$I$61,MATCH(D236,'IR data'!$H$4:$H$61,1)))-((D236-(INDEX('IR data'!$H$4:$H$61,MATCH(D236,'IR data'!$H$4:$H$61,1))))/((INDEX('IR data'!$H$4:$H$61,MATCH(D236,'IR data'!$H$4:$H$61,1)+1)-INDEX('IR data'!$H$4:$H$61,MATCH(D236,'IR data'!$H$4:$H$61,1))))) * (INDEX('IR data'!$I$4:$I$61,MATCH(D236,'IR data'!$H$4:$H$61,1))-(INDEX('IR data'!$I$4:$I$61,MATCH(D236,'IR data'!$H$4:$H$61,1)+1)))))</f>
        <v>0.96581083267032974</v>
      </c>
      <c r="F236" s="30">
        <f t="shared" si="22"/>
        <v>2.3666925524039137E-2</v>
      </c>
      <c r="G236" s="45">
        <f t="shared" si="18"/>
        <v>45618</v>
      </c>
      <c r="H236" s="14" cm="1">
        <f t="array" ref="H236">_xlfn.IFNA(INDEX('IR data'!$N$4:$N$61,MATCH(G236,'IR data'!$M$4:$M$61,0)),((INDEX('IR data'!$N$4:$N$61,MATCH(G236,'IR data'!$M$4:$M$61,1)))-((G236-(INDEX('IR data'!$M$4:$M$61,MATCH(G236,'IR data'!$M$4:$M$61,1))))/((INDEX('IR data'!$M$4:$M$61,MATCH(G236,'IR data'!$M$4:$M$61,1)+1)-INDEX('IR data'!$M$4:$M$61,MATCH(G236,'IR data'!$M$4:$M$61,1))))) * (INDEX('IR data'!$N$4:$N$61,MATCH(G236,'IR data'!$M$4:$M$61,1))-(INDEX('IR data'!$N$4:$N$61,MATCH(G236,'IR data'!$M$4:$M$61,1)+1)))))</f>
        <v>0.96594313094505491</v>
      </c>
      <c r="I236" s="44">
        <f t="shared" si="23"/>
        <v>2.3573738891133487E-2</v>
      </c>
    </row>
    <row r="237" spans="1:9" x14ac:dyDescent="0.25">
      <c r="A237" s="45">
        <f t="shared" si="19"/>
        <v>45525</v>
      </c>
      <c r="B237" s="14" cm="1">
        <f t="array" ref="B237">_xlfn.IFNA(INDEX('IR data'!$D$4:$D$61,MATCH(A237,'IR data'!$C$4:$C$61,0)),((INDEX('IR data'!$D$4:$D$61,MATCH(A237,'IR data'!$C$4:$C$61,1)))-((A237-(INDEX('IR data'!$C$4:$C$61,MATCH(A237,'IR data'!$C$4:$C$61,1))))/((INDEX('IR data'!$C$4:$C$61,MATCH(A237,'IR data'!$C$4:$C$61,1)+1)-INDEX('IR data'!$C$4:$C$61,MATCH(A237,'IR data'!$C$4:$C$61,1))))) * (INDEX('IR data'!$D$4:$D$61,MATCH(A237,'IR data'!$C$4:$C$61,1))-(INDEX('IR data'!$D$4:$D$61,MATCH(A237,'IR data'!$C$4:$C$61,1)+1)))))</f>
        <v>0.96637107160869573</v>
      </c>
      <c r="C237" s="30">
        <f t="shared" si="20"/>
        <v>2.3172943999193341E-2</v>
      </c>
      <c r="D237" s="45">
        <f t="shared" si="21"/>
        <v>45585</v>
      </c>
      <c r="E237" s="14" cm="1">
        <f t="array" ref="E237">_xlfn.IFNA(INDEX('IR data'!$I$4:$I$61,MATCH(D237,'IR data'!$H$4:$H$61,0)),((INDEX('IR data'!$I$4:$I$61,MATCH(D237,'IR data'!$H$4:$H$61,1)))-((D237-(INDEX('IR data'!$H$4:$H$61,MATCH(D237,'IR data'!$H$4:$H$61,1))))/((INDEX('IR data'!$H$4:$H$61,MATCH(D237,'IR data'!$H$4:$H$61,1)+1)-INDEX('IR data'!$H$4:$H$61,MATCH(D237,'IR data'!$H$4:$H$61,1))))) * (INDEX('IR data'!$I$4:$I$61,MATCH(D237,'IR data'!$H$4:$H$61,1))-(INDEX('IR data'!$I$4:$I$61,MATCH(D237,'IR data'!$H$4:$H$61,1)+1)))))</f>
        <v>0.96567506032967032</v>
      </c>
      <c r="F237" s="30">
        <f t="shared" si="22"/>
        <v>2.3661022994887489E-2</v>
      </c>
      <c r="G237" s="45">
        <f t="shared" si="18"/>
        <v>45619</v>
      </c>
      <c r="H237" s="14" cm="1">
        <f t="array" ref="H237">_xlfn.IFNA(INDEX('IR data'!$N$4:$N$61,MATCH(G237,'IR data'!$M$4:$M$61,0)),((INDEX('IR data'!$N$4:$N$61,MATCH(G237,'IR data'!$M$4:$M$61,1)))-((G237-(INDEX('IR data'!$M$4:$M$61,MATCH(G237,'IR data'!$M$4:$M$61,1))))/((INDEX('IR data'!$M$4:$M$61,MATCH(G237,'IR data'!$M$4:$M$61,1)+1)-INDEX('IR data'!$M$4:$M$61,MATCH(G237,'IR data'!$M$4:$M$61,1))))) * (INDEX('IR data'!$N$4:$N$61,MATCH(G237,'IR data'!$M$4:$M$61,1))-(INDEX('IR data'!$N$4:$N$61,MATCH(G237,'IR data'!$M$4:$M$61,1)+1)))))</f>
        <v>0.96580726483516477</v>
      </c>
      <c r="I237" s="44">
        <f t="shared" si="23"/>
        <v>2.3568287320957417E-2</v>
      </c>
    </row>
    <row r="238" spans="1:9" x14ac:dyDescent="0.25">
      <c r="A238" s="45">
        <f t="shared" si="19"/>
        <v>45526</v>
      </c>
      <c r="B238" s="14" cm="1">
        <f t="array" ref="B238">_xlfn.IFNA(INDEX('IR data'!$D$4:$D$61,MATCH(A238,'IR data'!$C$4:$C$61,0)),((INDEX('IR data'!$D$4:$D$61,MATCH(A238,'IR data'!$C$4:$C$61,1)))-((A238-(INDEX('IR data'!$C$4:$C$61,MATCH(A238,'IR data'!$C$4:$C$61,1))))/((INDEX('IR data'!$C$4:$C$61,MATCH(A238,'IR data'!$C$4:$C$61,1)+1)-INDEX('IR data'!$C$4:$C$61,MATCH(A238,'IR data'!$C$4:$C$61,1))))) * (INDEX('IR data'!$D$4:$D$61,MATCH(A238,'IR data'!$C$4:$C$61,1))-(INDEX('IR data'!$D$4:$D$61,MATCH(A238,'IR data'!$C$4:$C$61,1)+1)))))</f>
        <v>0.96624521847826095</v>
      </c>
      <c r="C238" s="30">
        <f t="shared" si="20"/>
        <v>2.3162188949383794E-2</v>
      </c>
      <c r="D238" s="45">
        <f t="shared" si="21"/>
        <v>45586</v>
      </c>
      <c r="E238" s="14" cm="1">
        <f t="array" ref="E238">_xlfn.IFNA(INDEX('IR data'!$I$4:$I$61,MATCH(D238,'IR data'!$H$4:$H$61,0)),((INDEX('IR data'!$I$4:$I$61,MATCH(D238,'IR data'!$H$4:$H$61,1)))-((D238-(INDEX('IR data'!$H$4:$H$61,MATCH(D238,'IR data'!$H$4:$H$61,1))))/((INDEX('IR data'!$H$4:$H$61,MATCH(D238,'IR data'!$H$4:$H$61,1)+1)-INDEX('IR data'!$H$4:$H$61,MATCH(D238,'IR data'!$H$4:$H$61,1))))) * (INDEX('IR data'!$I$4:$I$61,MATCH(D238,'IR data'!$H$4:$H$61,1))-(INDEX('IR data'!$I$4:$I$61,MATCH(D238,'IR data'!$H$4:$H$61,1)+1)))))</f>
        <v>0.96553928798901101</v>
      </c>
      <c r="F238" s="30">
        <f t="shared" si="22"/>
        <v>2.3655184034316448E-2</v>
      </c>
      <c r="G238" s="45">
        <f t="shared" si="18"/>
        <v>45620</v>
      </c>
      <c r="H238" s="14" cm="1">
        <f t="array" ref="H238">_xlfn.IFNA(INDEX('IR data'!$N$4:$N$61,MATCH(G238,'IR data'!$M$4:$M$61,0)),((INDEX('IR data'!$N$4:$N$61,MATCH(G238,'IR data'!$M$4:$M$61,1)))-((G238-(INDEX('IR data'!$M$4:$M$61,MATCH(G238,'IR data'!$M$4:$M$61,1))))/((INDEX('IR data'!$M$4:$M$61,MATCH(G238,'IR data'!$M$4:$M$61,1)+1)-INDEX('IR data'!$M$4:$M$61,MATCH(G238,'IR data'!$M$4:$M$61,1))))) * (INDEX('IR data'!$N$4:$N$61,MATCH(G238,'IR data'!$M$4:$M$61,1))-(INDEX('IR data'!$N$4:$N$61,MATCH(G238,'IR data'!$M$4:$M$61,1)+1)))))</f>
        <v>0.96567139872527474</v>
      </c>
      <c r="I238" s="44">
        <f t="shared" si="23"/>
        <v>2.3562895496182536E-2</v>
      </c>
    </row>
    <row r="239" spans="1:9" x14ac:dyDescent="0.25">
      <c r="A239" s="45">
        <f t="shared" si="19"/>
        <v>45527</v>
      </c>
      <c r="B239" s="14" cm="1">
        <f t="array" ref="B239">_xlfn.IFNA(INDEX('IR data'!$D$4:$D$61,MATCH(A239,'IR data'!$C$4:$C$61,0)),((INDEX('IR data'!$D$4:$D$61,MATCH(A239,'IR data'!$C$4:$C$61,1)))-((A239-(INDEX('IR data'!$C$4:$C$61,MATCH(A239,'IR data'!$C$4:$C$61,1))))/((INDEX('IR data'!$C$4:$C$61,MATCH(A239,'IR data'!$C$4:$C$61,1)+1)-INDEX('IR data'!$C$4:$C$61,MATCH(A239,'IR data'!$C$4:$C$61,1))))) * (INDEX('IR data'!$D$4:$D$61,MATCH(A239,'IR data'!$C$4:$C$61,1))-(INDEX('IR data'!$D$4:$D$61,MATCH(A239,'IR data'!$C$4:$C$61,1)+1)))))</f>
        <v>0.96611936534782616</v>
      </c>
      <c r="C239" s="30">
        <f t="shared" si="20"/>
        <v>2.3151536439173739E-2</v>
      </c>
      <c r="D239" s="45">
        <f t="shared" si="21"/>
        <v>45587</v>
      </c>
      <c r="E239" s="14" cm="1">
        <f t="array" ref="E239">_xlfn.IFNA(INDEX('IR data'!$I$4:$I$61,MATCH(D239,'IR data'!$H$4:$H$61,0)),((INDEX('IR data'!$I$4:$I$61,MATCH(D239,'IR data'!$H$4:$H$61,1)))-((D239-(INDEX('IR data'!$H$4:$H$61,MATCH(D239,'IR data'!$H$4:$H$61,1))))/((INDEX('IR data'!$H$4:$H$61,MATCH(D239,'IR data'!$H$4:$H$61,1)+1)-INDEX('IR data'!$H$4:$H$61,MATCH(D239,'IR data'!$H$4:$H$61,1))))) * (INDEX('IR data'!$I$4:$I$61,MATCH(D239,'IR data'!$H$4:$H$61,1))-(INDEX('IR data'!$I$4:$I$61,MATCH(D239,'IR data'!$H$4:$H$61,1)+1)))))</f>
        <v>0.9654035156483517</v>
      </c>
      <c r="F239" s="30">
        <f t="shared" si="22"/>
        <v>2.3649407837985376E-2</v>
      </c>
      <c r="G239" s="45">
        <f t="shared" si="18"/>
        <v>45621</v>
      </c>
      <c r="H239" s="14" cm="1">
        <f t="array" ref="H239">_xlfn.IFNA(INDEX('IR data'!$N$4:$N$61,MATCH(G239,'IR data'!$M$4:$M$61,0)),((INDEX('IR data'!$N$4:$N$61,MATCH(G239,'IR data'!$M$4:$M$61,1)))-((G239-(INDEX('IR data'!$M$4:$M$61,MATCH(G239,'IR data'!$M$4:$M$61,1))))/((INDEX('IR data'!$M$4:$M$61,MATCH(G239,'IR data'!$M$4:$M$61,1)+1)-INDEX('IR data'!$M$4:$M$61,MATCH(G239,'IR data'!$M$4:$M$61,1))))) * (INDEX('IR data'!$N$4:$N$61,MATCH(G239,'IR data'!$M$4:$M$61,1))-(INDEX('IR data'!$N$4:$N$61,MATCH(G239,'IR data'!$M$4:$M$61,1)+1)))))</f>
        <v>0.96553553261538461</v>
      </c>
      <c r="I239" s="44">
        <f t="shared" si="23"/>
        <v>2.3557562661074231E-2</v>
      </c>
    </row>
    <row r="240" spans="1:9" x14ac:dyDescent="0.25">
      <c r="A240" s="45">
        <f t="shared" si="19"/>
        <v>45528</v>
      </c>
      <c r="B240" s="14" cm="1">
        <f t="array" ref="B240">_xlfn.IFNA(INDEX('IR data'!$D$4:$D$61,MATCH(A240,'IR data'!$C$4:$C$61,0)),((INDEX('IR data'!$D$4:$D$61,MATCH(A240,'IR data'!$C$4:$C$61,1)))-((A240-(INDEX('IR data'!$C$4:$C$61,MATCH(A240,'IR data'!$C$4:$C$61,1))))/((INDEX('IR data'!$C$4:$C$61,MATCH(A240,'IR data'!$C$4:$C$61,1)+1)-INDEX('IR data'!$C$4:$C$61,MATCH(A240,'IR data'!$C$4:$C$61,1))))) * (INDEX('IR data'!$D$4:$D$61,MATCH(A240,'IR data'!$C$4:$C$61,1))-(INDEX('IR data'!$D$4:$D$61,MATCH(A240,'IR data'!$C$4:$C$61,1)+1)))))</f>
        <v>0.96599351221739138</v>
      </c>
      <c r="C240" s="30">
        <f t="shared" si="20"/>
        <v>2.3140985173550038E-2</v>
      </c>
      <c r="D240" s="45">
        <f t="shared" si="21"/>
        <v>45588</v>
      </c>
      <c r="E240" s="14" cm="1">
        <f t="array" ref="E240">_xlfn.IFNA(INDEX('IR data'!$I$4:$I$61,MATCH(D240,'IR data'!$H$4:$H$61,0)),((INDEX('IR data'!$I$4:$I$61,MATCH(D240,'IR data'!$H$4:$H$61,1)))-((D240-(INDEX('IR data'!$H$4:$H$61,MATCH(D240,'IR data'!$H$4:$H$61,1))))/((INDEX('IR data'!$H$4:$H$61,MATCH(D240,'IR data'!$H$4:$H$61,1)+1)-INDEX('IR data'!$H$4:$H$61,MATCH(D240,'IR data'!$H$4:$H$61,1))))) * (INDEX('IR data'!$I$4:$I$61,MATCH(D240,'IR data'!$H$4:$H$61,1))-(INDEX('IR data'!$I$4:$I$61,MATCH(D240,'IR data'!$H$4:$H$61,1)+1)))))</f>
        <v>0.96526774330769238</v>
      </c>
      <c r="F240" s="30">
        <f t="shared" si="22"/>
        <v>2.3643693615130492E-2</v>
      </c>
      <c r="G240" s="45">
        <f t="shared" si="18"/>
        <v>45622</v>
      </c>
      <c r="H240" s="14" cm="1">
        <f t="array" ref="H240">_xlfn.IFNA(INDEX('IR data'!$N$4:$N$61,MATCH(G240,'IR data'!$M$4:$M$61,0)),((INDEX('IR data'!$N$4:$N$61,MATCH(G240,'IR data'!$M$4:$M$61,1)))-((G240-(INDEX('IR data'!$M$4:$M$61,MATCH(G240,'IR data'!$M$4:$M$61,1))))/((INDEX('IR data'!$M$4:$M$61,MATCH(G240,'IR data'!$M$4:$M$61,1)+1)-INDEX('IR data'!$M$4:$M$61,MATCH(G240,'IR data'!$M$4:$M$61,1))))) * (INDEX('IR data'!$N$4:$N$61,MATCH(G240,'IR data'!$M$4:$M$61,1))-(INDEX('IR data'!$N$4:$N$61,MATCH(G240,'IR data'!$M$4:$M$61,1)+1)))))</f>
        <v>0.96539966650549447</v>
      </c>
      <c r="I240" s="44">
        <f t="shared" si="23"/>
        <v>2.3552288072654241E-2</v>
      </c>
    </row>
    <row r="241" spans="1:9" x14ac:dyDescent="0.25">
      <c r="A241" s="45">
        <f t="shared" si="19"/>
        <v>45529</v>
      </c>
      <c r="B241" s="14" cm="1">
        <f t="array" ref="B241">_xlfn.IFNA(INDEX('IR data'!$D$4:$D$61,MATCH(A241,'IR data'!$C$4:$C$61,0)),((INDEX('IR data'!$D$4:$D$61,MATCH(A241,'IR data'!$C$4:$C$61,1)))-((A241-(INDEX('IR data'!$C$4:$C$61,MATCH(A241,'IR data'!$C$4:$C$61,1))))/((INDEX('IR data'!$C$4:$C$61,MATCH(A241,'IR data'!$C$4:$C$61,1)+1)-INDEX('IR data'!$C$4:$C$61,MATCH(A241,'IR data'!$C$4:$C$61,1))))) * (INDEX('IR data'!$D$4:$D$61,MATCH(A241,'IR data'!$C$4:$C$61,1))-(INDEX('IR data'!$D$4:$D$61,MATCH(A241,'IR data'!$C$4:$C$61,1)+1)))))</f>
        <v>0.9658676590869566</v>
      </c>
      <c r="C241" s="30">
        <f t="shared" si="20"/>
        <v>2.313053387926562E-2</v>
      </c>
      <c r="D241" s="45">
        <f t="shared" si="21"/>
        <v>45589</v>
      </c>
      <c r="E241" s="14" cm="1">
        <f t="array" ref="E241">_xlfn.IFNA(INDEX('IR data'!$I$4:$I$61,MATCH(D241,'IR data'!$H$4:$H$61,0)),((INDEX('IR data'!$I$4:$I$61,MATCH(D241,'IR data'!$H$4:$H$61,1)))-((D241-(INDEX('IR data'!$H$4:$H$61,MATCH(D241,'IR data'!$H$4:$H$61,1))))/((INDEX('IR data'!$H$4:$H$61,MATCH(D241,'IR data'!$H$4:$H$61,1)+1)-INDEX('IR data'!$H$4:$H$61,MATCH(D241,'IR data'!$H$4:$H$61,1))))) * (INDEX('IR data'!$I$4:$I$61,MATCH(D241,'IR data'!$H$4:$H$61,1))-(INDEX('IR data'!$I$4:$I$61,MATCH(D241,'IR data'!$H$4:$H$61,1)+1)))))</f>
        <v>0.96513197096703296</v>
      </c>
      <c r="F241" s="30">
        <f t="shared" si="22"/>
        <v>2.3638040588279802E-2</v>
      </c>
      <c r="G241" s="45">
        <f t="shared" si="18"/>
        <v>45623</v>
      </c>
      <c r="H241" s="14" cm="1">
        <f t="array" ref="H241">_xlfn.IFNA(INDEX('IR data'!$N$4:$N$61,MATCH(G241,'IR data'!$M$4:$M$61,0)),((INDEX('IR data'!$N$4:$N$61,MATCH(G241,'IR data'!$M$4:$M$61,1)))-((G241-(INDEX('IR data'!$M$4:$M$61,MATCH(G241,'IR data'!$M$4:$M$61,1))))/((INDEX('IR data'!$M$4:$M$61,MATCH(G241,'IR data'!$M$4:$M$61,1)+1)-INDEX('IR data'!$M$4:$M$61,MATCH(G241,'IR data'!$M$4:$M$61,1))))) * (INDEX('IR data'!$N$4:$N$61,MATCH(G241,'IR data'!$M$4:$M$61,1))-(INDEX('IR data'!$N$4:$N$61,MATCH(G241,'IR data'!$M$4:$M$61,1)+1)))))</f>
        <v>0.96526380039560433</v>
      </c>
      <c r="I241" s="44">
        <f t="shared" si="23"/>
        <v>2.3547071000432969E-2</v>
      </c>
    </row>
    <row r="242" spans="1:9" x14ac:dyDescent="0.25">
      <c r="A242" s="45">
        <f t="shared" si="19"/>
        <v>45530</v>
      </c>
      <c r="B242" s="14" cm="1">
        <f t="array" ref="B242">_xlfn.IFNA(INDEX('IR data'!$D$4:$D$61,MATCH(A242,'IR data'!$C$4:$C$61,0)),((INDEX('IR data'!$D$4:$D$61,MATCH(A242,'IR data'!$C$4:$C$61,1)))-((A242-(INDEX('IR data'!$C$4:$C$61,MATCH(A242,'IR data'!$C$4:$C$61,1))))/((INDEX('IR data'!$C$4:$C$61,MATCH(A242,'IR data'!$C$4:$C$61,1)+1)-INDEX('IR data'!$C$4:$C$61,MATCH(A242,'IR data'!$C$4:$C$61,1))))) * (INDEX('IR data'!$D$4:$D$61,MATCH(A242,'IR data'!$C$4:$C$61,1))-(INDEX('IR data'!$D$4:$D$61,MATCH(A242,'IR data'!$C$4:$C$61,1)+1)))))</f>
        <v>0.96574180595652181</v>
      </c>
      <c r="C242" s="30">
        <f t="shared" si="20"/>
        <v>2.3120181304384146E-2</v>
      </c>
      <c r="D242" s="45">
        <f t="shared" si="21"/>
        <v>45590</v>
      </c>
      <c r="E242" s="14" cm="1">
        <f t="array" ref="E242">_xlfn.IFNA(INDEX('IR data'!$I$4:$I$61,MATCH(D242,'IR data'!$H$4:$H$61,0)),((INDEX('IR data'!$I$4:$I$61,MATCH(D242,'IR data'!$H$4:$H$61,1)))-((D242-(INDEX('IR data'!$H$4:$H$61,MATCH(D242,'IR data'!$H$4:$H$61,1))))/((INDEX('IR data'!$H$4:$H$61,MATCH(D242,'IR data'!$H$4:$H$61,1)+1)-INDEX('IR data'!$H$4:$H$61,MATCH(D242,'IR data'!$H$4:$H$61,1))))) * (INDEX('IR data'!$I$4:$I$61,MATCH(D242,'IR data'!$H$4:$H$61,1))-(INDEX('IR data'!$I$4:$I$61,MATCH(D242,'IR data'!$H$4:$H$61,1)+1)))))</f>
        <v>0.96499619862637365</v>
      </c>
      <c r="F242" s="30">
        <f t="shared" si="22"/>
        <v>2.3632447992974728E-2</v>
      </c>
      <c r="G242" s="45">
        <f t="shared" si="18"/>
        <v>45624</v>
      </c>
      <c r="H242" s="14" cm="1">
        <f t="array" ref="H242">_xlfn.IFNA(INDEX('IR data'!$N$4:$N$61,MATCH(G242,'IR data'!$M$4:$M$61,0)),((INDEX('IR data'!$N$4:$N$61,MATCH(G242,'IR data'!$M$4:$M$61,1)))-((G242-(INDEX('IR data'!$M$4:$M$61,MATCH(G242,'IR data'!$M$4:$M$61,1))))/((INDEX('IR data'!$M$4:$M$61,MATCH(G242,'IR data'!$M$4:$M$61,1)+1)-INDEX('IR data'!$M$4:$M$61,MATCH(G242,'IR data'!$M$4:$M$61,1))))) * (INDEX('IR data'!$N$4:$N$61,MATCH(G242,'IR data'!$M$4:$M$61,1))-(INDEX('IR data'!$N$4:$N$61,MATCH(G242,'IR data'!$M$4:$M$61,1)+1)))))</f>
        <v>0.96512793428571431</v>
      </c>
      <c r="I242" s="44">
        <f t="shared" si="23"/>
        <v>2.3541910726148082E-2</v>
      </c>
    </row>
    <row r="243" spans="1:9" x14ac:dyDescent="0.25">
      <c r="A243" s="45">
        <f t="shared" si="19"/>
        <v>45531</v>
      </c>
      <c r="B243" s="14" cm="1">
        <f t="array" ref="B243">_xlfn.IFNA(INDEX('IR data'!$D$4:$D$61,MATCH(A243,'IR data'!$C$4:$C$61,0)),((INDEX('IR data'!$D$4:$D$61,MATCH(A243,'IR data'!$C$4:$C$61,1)))-((A243-(INDEX('IR data'!$C$4:$C$61,MATCH(A243,'IR data'!$C$4:$C$61,1))))/((INDEX('IR data'!$C$4:$C$61,MATCH(A243,'IR data'!$C$4:$C$61,1)+1)-INDEX('IR data'!$C$4:$C$61,MATCH(A243,'IR data'!$C$4:$C$61,1))))) * (INDEX('IR data'!$D$4:$D$61,MATCH(A243,'IR data'!$C$4:$C$61,1))-(INDEX('IR data'!$D$4:$D$61,MATCH(A243,'IR data'!$C$4:$C$61,1)+1)))))</f>
        <v>0.96561595282608703</v>
      </c>
      <c r="C243" s="30">
        <f t="shared" si="20"/>
        <v>2.3109926217836016E-2</v>
      </c>
      <c r="D243" s="45">
        <f t="shared" si="21"/>
        <v>45591</v>
      </c>
      <c r="E243" s="14" cm="1">
        <f t="array" ref="E243">_xlfn.IFNA(INDEX('IR data'!$I$4:$I$61,MATCH(D243,'IR data'!$H$4:$H$61,0)),((INDEX('IR data'!$I$4:$I$61,MATCH(D243,'IR data'!$H$4:$H$61,1)))-((D243-(INDEX('IR data'!$H$4:$H$61,MATCH(D243,'IR data'!$H$4:$H$61,1))))/((INDEX('IR data'!$H$4:$H$61,MATCH(D243,'IR data'!$H$4:$H$61,1)+1)-INDEX('IR data'!$H$4:$H$61,MATCH(D243,'IR data'!$H$4:$H$61,1))))) * (INDEX('IR data'!$I$4:$I$61,MATCH(D243,'IR data'!$H$4:$H$61,1))-(INDEX('IR data'!$I$4:$I$61,MATCH(D243,'IR data'!$H$4:$H$61,1)+1)))))</f>
        <v>0.96486042628571433</v>
      </c>
      <c r="F243" s="30">
        <f t="shared" si="22"/>
        <v>2.362691507749945E-2</v>
      </c>
      <c r="G243" s="45">
        <f t="shared" si="18"/>
        <v>45625</v>
      </c>
      <c r="H243" s="14" cm="1">
        <f t="array" ref="H243">_xlfn.IFNA(INDEX('IR data'!$N$4:$N$61,MATCH(G243,'IR data'!$M$4:$M$61,0)),((INDEX('IR data'!$N$4:$N$61,MATCH(G243,'IR data'!$M$4:$M$61,1)))-((G243-(INDEX('IR data'!$M$4:$M$61,MATCH(G243,'IR data'!$M$4:$M$61,1))))/((INDEX('IR data'!$M$4:$M$61,MATCH(G243,'IR data'!$M$4:$M$61,1)+1)-INDEX('IR data'!$M$4:$M$61,MATCH(G243,'IR data'!$M$4:$M$61,1))))) * (INDEX('IR data'!$N$4:$N$61,MATCH(G243,'IR data'!$M$4:$M$61,1))-(INDEX('IR data'!$N$4:$N$61,MATCH(G243,'IR data'!$M$4:$M$61,1)+1)))))</f>
        <v>0.96499206817582417</v>
      </c>
      <c r="I243" s="44">
        <f t="shared" si="23"/>
        <v>2.3536806543510067E-2</v>
      </c>
    </row>
    <row r="244" spans="1:9" x14ac:dyDescent="0.25">
      <c r="A244" s="45">
        <f t="shared" si="19"/>
        <v>45532</v>
      </c>
      <c r="B244" s="14" cm="1">
        <f t="array" ref="B244">_xlfn.IFNA(INDEX('IR data'!$D$4:$D$61,MATCH(A244,'IR data'!$C$4:$C$61,0)),((INDEX('IR data'!$D$4:$D$61,MATCH(A244,'IR data'!$C$4:$C$61,1)))-((A244-(INDEX('IR data'!$C$4:$C$61,MATCH(A244,'IR data'!$C$4:$C$61,1))))/((INDEX('IR data'!$C$4:$C$61,MATCH(A244,'IR data'!$C$4:$C$61,1)+1)-INDEX('IR data'!$C$4:$C$61,MATCH(A244,'IR data'!$C$4:$C$61,1))))) * (INDEX('IR data'!$D$4:$D$61,MATCH(A244,'IR data'!$C$4:$C$61,1))-(INDEX('IR data'!$D$4:$D$61,MATCH(A244,'IR data'!$C$4:$C$61,1)+1)))))</f>
        <v>0.96549009969565225</v>
      </c>
      <c r="C244" s="30">
        <f t="shared" si="20"/>
        <v>2.3099767408985464E-2</v>
      </c>
      <c r="D244" s="45">
        <f t="shared" si="21"/>
        <v>45592</v>
      </c>
      <c r="E244" s="14" cm="1">
        <f t="array" ref="E244">_xlfn.IFNA(INDEX('IR data'!$I$4:$I$61,MATCH(D244,'IR data'!$H$4:$H$61,0)),((INDEX('IR data'!$I$4:$I$61,MATCH(D244,'IR data'!$H$4:$H$61,1)))-((D244-(INDEX('IR data'!$H$4:$H$61,MATCH(D244,'IR data'!$H$4:$H$61,1))))/((INDEX('IR data'!$H$4:$H$61,MATCH(D244,'IR data'!$H$4:$H$61,1)+1)-INDEX('IR data'!$H$4:$H$61,MATCH(D244,'IR data'!$H$4:$H$61,1))))) * (INDEX('IR data'!$I$4:$I$61,MATCH(D244,'IR data'!$H$4:$H$61,1))-(INDEX('IR data'!$I$4:$I$61,MATCH(D244,'IR data'!$H$4:$H$61,1)+1)))))</f>
        <v>0.96472465394505502</v>
      </c>
      <c r="F244" s="30">
        <f t="shared" si="22"/>
        <v>2.3621441102616221E-2</v>
      </c>
      <c r="G244" s="45">
        <f t="shared" si="18"/>
        <v>45626</v>
      </c>
      <c r="H244" s="14" cm="1">
        <f t="array" ref="H244">_xlfn.IFNA(INDEX('IR data'!$N$4:$N$61,MATCH(G244,'IR data'!$M$4:$M$61,0)),((INDEX('IR data'!$N$4:$N$61,MATCH(G244,'IR data'!$M$4:$M$61,1)))-((G244-(INDEX('IR data'!$M$4:$M$61,MATCH(G244,'IR data'!$M$4:$M$61,1))))/((INDEX('IR data'!$M$4:$M$61,MATCH(G244,'IR data'!$M$4:$M$61,1)+1)-INDEX('IR data'!$M$4:$M$61,MATCH(G244,'IR data'!$M$4:$M$61,1))))) * (INDEX('IR data'!$N$4:$N$61,MATCH(G244,'IR data'!$M$4:$M$61,1))-(INDEX('IR data'!$N$4:$N$61,MATCH(G244,'IR data'!$M$4:$M$61,1)+1)))))</f>
        <v>0.96485620206593403</v>
      </c>
      <c r="I244" s="44">
        <f t="shared" si="23"/>
        <v>2.3531757757953378E-2</v>
      </c>
    </row>
    <row r="245" spans="1:9" x14ac:dyDescent="0.25">
      <c r="A245" s="45">
        <f t="shared" si="19"/>
        <v>45533</v>
      </c>
      <c r="B245" s="14" cm="1">
        <f t="array" ref="B245">_xlfn.IFNA(INDEX('IR data'!$D$4:$D$61,MATCH(A245,'IR data'!$C$4:$C$61,0)),((INDEX('IR data'!$D$4:$D$61,MATCH(A245,'IR data'!$C$4:$C$61,1)))-((A245-(INDEX('IR data'!$C$4:$C$61,MATCH(A245,'IR data'!$C$4:$C$61,1))))/((INDEX('IR data'!$C$4:$C$61,MATCH(A245,'IR data'!$C$4:$C$61,1)+1)-INDEX('IR data'!$C$4:$C$61,MATCH(A245,'IR data'!$C$4:$C$61,1))))) * (INDEX('IR data'!$D$4:$D$61,MATCH(A245,'IR data'!$C$4:$C$61,1))-(INDEX('IR data'!$D$4:$D$61,MATCH(A245,'IR data'!$C$4:$C$61,1)+1)))))</f>
        <v>0.96536424656521747</v>
      </c>
      <c r="C245" s="30">
        <f t="shared" si="20"/>
        <v>2.3089703687208363E-2</v>
      </c>
      <c r="D245" s="45">
        <f t="shared" si="21"/>
        <v>45593</v>
      </c>
      <c r="E245" s="14" cm="1">
        <f t="array" ref="E245">_xlfn.IFNA(INDEX('IR data'!$I$4:$I$61,MATCH(D245,'IR data'!$H$4:$H$61,0)),((INDEX('IR data'!$I$4:$I$61,MATCH(D245,'IR data'!$H$4:$H$61,1)))-((D245-(INDEX('IR data'!$H$4:$H$61,MATCH(D245,'IR data'!$H$4:$H$61,1))))/((INDEX('IR data'!$H$4:$H$61,MATCH(D245,'IR data'!$H$4:$H$61,1)+1)-INDEX('IR data'!$H$4:$H$61,MATCH(D245,'IR data'!$H$4:$H$61,1))))) * (INDEX('IR data'!$I$4:$I$61,MATCH(D245,'IR data'!$H$4:$H$61,1))-(INDEX('IR data'!$I$4:$I$61,MATCH(D245,'IR data'!$H$4:$H$61,1)+1)))))</f>
        <v>0.9645888816043956</v>
      </c>
      <c r="F245" s="30">
        <f t="shared" si="22"/>
        <v>2.3616025341307717E-2</v>
      </c>
      <c r="G245" s="45">
        <f t="shared" si="18"/>
        <v>45627</v>
      </c>
      <c r="H245" s="14" cm="1">
        <f t="array" ref="H245">_xlfn.IFNA(INDEX('IR data'!$N$4:$N$61,MATCH(G245,'IR data'!$M$4:$M$61,0)),((INDEX('IR data'!$N$4:$N$61,MATCH(G245,'IR data'!$M$4:$M$61,1)))-((G245-(INDEX('IR data'!$M$4:$M$61,MATCH(G245,'IR data'!$M$4:$M$61,1))))/((INDEX('IR data'!$M$4:$M$61,MATCH(G245,'IR data'!$M$4:$M$61,1)+1)-INDEX('IR data'!$M$4:$M$61,MATCH(G245,'IR data'!$M$4:$M$61,1))))) * (INDEX('IR data'!$N$4:$N$61,MATCH(G245,'IR data'!$M$4:$M$61,1))-(INDEX('IR data'!$N$4:$N$61,MATCH(G245,'IR data'!$M$4:$M$61,1)+1)))))</f>
        <v>0.9647203359560439</v>
      </c>
      <c r="I245" s="44">
        <f t="shared" si="23"/>
        <v>2.3526763686394503E-2</v>
      </c>
    </row>
    <row r="246" spans="1:9" x14ac:dyDescent="0.25">
      <c r="A246" s="45">
        <f t="shared" si="19"/>
        <v>45534</v>
      </c>
      <c r="B246" s="14" cm="1">
        <f t="array" ref="B246">_xlfn.IFNA(INDEX('IR data'!$D$4:$D$61,MATCH(A246,'IR data'!$C$4:$C$61,0)),((INDEX('IR data'!$D$4:$D$61,MATCH(A246,'IR data'!$C$4:$C$61,1)))-((A246-(INDEX('IR data'!$C$4:$C$61,MATCH(A246,'IR data'!$C$4:$C$61,1))))/((INDEX('IR data'!$C$4:$C$61,MATCH(A246,'IR data'!$C$4:$C$61,1)+1)-INDEX('IR data'!$C$4:$C$61,MATCH(A246,'IR data'!$C$4:$C$61,1))))) * (INDEX('IR data'!$D$4:$D$61,MATCH(A246,'IR data'!$C$4:$C$61,1))-(INDEX('IR data'!$D$4:$D$61,MATCH(A246,'IR data'!$C$4:$C$61,1)+1)))))</f>
        <v>0.96523839343478268</v>
      </c>
      <c r="C246" s="30">
        <f t="shared" si="20"/>
        <v>2.307973388148047E-2</v>
      </c>
      <c r="D246" s="45">
        <f t="shared" si="21"/>
        <v>45594</v>
      </c>
      <c r="E246" s="14" cm="1">
        <f t="array" ref="E246">_xlfn.IFNA(INDEX('IR data'!$I$4:$I$61,MATCH(D246,'IR data'!$H$4:$H$61,0)),((INDEX('IR data'!$I$4:$I$61,MATCH(D246,'IR data'!$H$4:$H$61,1)))-((D246-(INDEX('IR data'!$H$4:$H$61,MATCH(D246,'IR data'!$H$4:$H$61,1))))/((INDEX('IR data'!$H$4:$H$61,MATCH(D246,'IR data'!$H$4:$H$61,1)+1)-INDEX('IR data'!$H$4:$H$61,MATCH(D246,'IR data'!$H$4:$H$61,1))))) * (INDEX('IR data'!$I$4:$I$61,MATCH(D246,'IR data'!$H$4:$H$61,1))-(INDEX('IR data'!$I$4:$I$61,MATCH(D246,'IR data'!$H$4:$H$61,1)+1)))))</f>
        <v>0.96445310926373629</v>
      </c>
      <c r="F246" s="30">
        <f t="shared" si="22"/>
        <v>2.3610667078525306E-2</v>
      </c>
      <c r="G246" s="45">
        <f t="shared" si="18"/>
        <v>45628</v>
      </c>
      <c r="H246" s="14" cm="1">
        <f t="array" ref="H246">_xlfn.IFNA(INDEX('IR data'!$N$4:$N$61,MATCH(G246,'IR data'!$M$4:$M$61,0)),((INDEX('IR data'!$N$4:$N$61,MATCH(G246,'IR data'!$M$4:$M$61,1)))-((G246-(INDEX('IR data'!$M$4:$M$61,MATCH(G246,'IR data'!$M$4:$M$61,1))))/((INDEX('IR data'!$M$4:$M$61,MATCH(G246,'IR data'!$M$4:$M$61,1)+1)-INDEX('IR data'!$M$4:$M$61,MATCH(G246,'IR data'!$M$4:$M$61,1))))) * (INDEX('IR data'!$N$4:$N$61,MATCH(G246,'IR data'!$M$4:$M$61,1))-(INDEX('IR data'!$N$4:$N$61,MATCH(G246,'IR data'!$M$4:$M$61,1)+1)))))</f>
        <v>0.96458446984615387</v>
      </c>
      <c r="I246" s="44">
        <f t="shared" si="23"/>
        <v>2.3521823656995591E-2</v>
      </c>
    </row>
    <row r="247" spans="1:9" x14ac:dyDescent="0.25">
      <c r="A247" s="45">
        <f t="shared" si="19"/>
        <v>45535</v>
      </c>
      <c r="B247" s="14" cm="1">
        <f t="array" ref="B247">_xlfn.IFNA(INDEX('IR data'!$D$4:$D$61,MATCH(A247,'IR data'!$C$4:$C$61,0)),((INDEX('IR data'!$D$4:$D$61,MATCH(A247,'IR data'!$C$4:$C$61,1)))-((A247-(INDEX('IR data'!$C$4:$C$61,MATCH(A247,'IR data'!$C$4:$C$61,1))))/((INDEX('IR data'!$C$4:$C$61,MATCH(A247,'IR data'!$C$4:$C$61,1)+1)-INDEX('IR data'!$C$4:$C$61,MATCH(A247,'IR data'!$C$4:$C$61,1))))) * (INDEX('IR data'!$D$4:$D$61,MATCH(A247,'IR data'!$C$4:$C$61,1))-(INDEX('IR data'!$D$4:$D$61,MATCH(A247,'IR data'!$C$4:$C$61,1)+1)))))</f>
        <v>0.9651125403043479</v>
      </c>
      <c r="C247" s="30">
        <f t="shared" si="20"/>
        <v>2.3069856839975793E-2</v>
      </c>
      <c r="D247" s="45">
        <f t="shared" si="21"/>
        <v>45595</v>
      </c>
      <c r="E247" s="14" cm="1">
        <f t="array" ref="E247">_xlfn.IFNA(INDEX('IR data'!$I$4:$I$61,MATCH(D247,'IR data'!$H$4:$H$61,0)),((INDEX('IR data'!$I$4:$I$61,MATCH(D247,'IR data'!$H$4:$H$61,1)))-((D247-(INDEX('IR data'!$H$4:$H$61,MATCH(D247,'IR data'!$H$4:$H$61,1))))/((INDEX('IR data'!$H$4:$H$61,MATCH(D247,'IR data'!$H$4:$H$61,1)+1)-INDEX('IR data'!$H$4:$H$61,MATCH(D247,'IR data'!$H$4:$H$61,1))))) * (INDEX('IR data'!$I$4:$I$61,MATCH(D247,'IR data'!$H$4:$H$61,1))-(INDEX('IR data'!$I$4:$I$61,MATCH(D247,'IR data'!$H$4:$H$61,1)+1)))))</f>
        <v>0.96431733692307697</v>
      </c>
      <c r="F247" s="30">
        <f t="shared" si="22"/>
        <v>2.3605365610944194E-2</v>
      </c>
      <c r="G247" s="45">
        <f t="shared" si="18"/>
        <v>45629</v>
      </c>
      <c r="H247" s="14" cm="1">
        <f t="array" ref="H247">_xlfn.IFNA(INDEX('IR data'!$N$4:$N$61,MATCH(G247,'IR data'!$M$4:$M$61,0)),((INDEX('IR data'!$N$4:$N$61,MATCH(G247,'IR data'!$M$4:$M$61,1)))-((G247-(INDEX('IR data'!$M$4:$M$61,MATCH(G247,'IR data'!$M$4:$M$61,1))))/((INDEX('IR data'!$M$4:$M$61,MATCH(G247,'IR data'!$M$4:$M$61,1)+1)-INDEX('IR data'!$M$4:$M$61,MATCH(G247,'IR data'!$M$4:$M$61,1))))) * (INDEX('IR data'!$N$4:$N$61,MATCH(G247,'IR data'!$M$4:$M$61,1))-(INDEX('IR data'!$N$4:$N$61,MATCH(G247,'IR data'!$M$4:$M$61,1)+1)))))</f>
        <v>0.96444860373626373</v>
      </c>
      <c r="I247" s="44">
        <f t="shared" si="23"/>
        <v>2.3516937008934258E-2</v>
      </c>
    </row>
    <row r="248" spans="1:9" x14ac:dyDescent="0.25">
      <c r="A248" s="45">
        <f t="shared" si="19"/>
        <v>45536</v>
      </c>
      <c r="B248" s="14" cm="1">
        <f t="array" ref="B248">_xlfn.IFNA(INDEX('IR data'!$D$4:$D$61,MATCH(A248,'IR data'!$C$4:$C$61,0)),((INDEX('IR data'!$D$4:$D$61,MATCH(A248,'IR data'!$C$4:$C$61,1)))-((A248-(INDEX('IR data'!$C$4:$C$61,MATCH(A248,'IR data'!$C$4:$C$61,1))))/((INDEX('IR data'!$C$4:$C$61,MATCH(A248,'IR data'!$C$4:$C$61,1)+1)-INDEX('IR data'!$C$4:$C$61,MATCH(A248,'IR data'!$C$4:$C$61,1))))) * (INDEX('IR data'!$D$4:$D$61,MATCH(A248,'IR data'!$C$4:$C$61,1))-(INDEX('IR data'!$D$4:$D$61,MATCH(A248,'IR data'!$C$4:$C$61,1)+1)))))</f>
        <v>0.96498668717391312</v>
      </c>
      <c r="C248" s="30">
        <f t="shared" si="20"/>
        <v>2.3060071429674773E-2</v>
      </c>
      <c r="D248" s="45">
        <f t="shared" si="21"/>
        <v>45596</v>
      </c>
      <c r="E248" s="14" cm="1">
        <f t="array" ref="E248">_xlfn.IFNA(INDEX('IR data'!$I$4:$I$61,MATCH(D248,'IR data'!$H$4:$H$61,0)),((INDEX('IR data'!$I$4:$I$61,MATCH(D248,'IR data'!$H$4:$H$61,1)))-((D248-(INDEX('IR data'!$H$4:$H$61,MATCH(D248,'IR data'!$H$4:$H$61,1))))/((INDEX('IR data'!$H$4:$H$61,MATCH(D248,'IR data'!$H$4:$H$61,1)+1)-INDEX('IR data'!$H$4:$H$61,MATCH(D248,'IR data'!$H$4:$H$61,1))))) * (INDEX('IR data'!$I$4:$I$61,MATCH(D248,'IR data'!$H$4:$H$61,1))-(INDEX('IR data'!$I$4:$I$61,MATCH(D248,'IR data'!$H$4:$H$61,1)+1)))))</f>
        <v>0.96418156458241766</v>
      </c>
      <c r="F248" s="30">
        <f t="shared" si="22"/>
        <v>2.3600120246723907E-2</v>
      </c>
      <c r="G248" s="45">
        <f t="shared" si="18"/>
        <v>45630</v>
      </c>
      <c r="H248" s="14" cm="1">
        <f t="array" ref="H248">_xlfn.IFNA(INDEX('IR data'!$N$4:$N$61,MATCH(G248,'IR data'!$M$4:$M$61,0)),((INDEX('IR data'!$N$4:$N$61,MATCH(G248,'IR data'!$M$4:$M$61,1)))-((G248-(INDEX('IR data'!$M$4:$M$61,MATCH(G248,'IR data'!$M$4:$M$61,1))))/((INDEX('IR data'!$M$4:$M$61,MATCH(G248,'IR data'!$M$4:$M$61,1)+1)-INDEX('IR data'!$M$4:$M$61,MATCH(G248,'IR data'!$M$4:$M$61,1))))) * (INDEX('IR data'!$N$4:$N$61,MATCH(G248,'IR data'!$M$4:$M$61,1))-(INDEX('IR data'!$N$4:$N$61,MATCH(G248,'IR data'!$M$4:$M$61,1)+1)))))</f>
        <v>0.9643127376263736</v>
      </c>
      <c r="I248" s="44">
        <f t="shared" si="23"/>
        <v>2.3512103092178382E-2</v>
      </c>
    </row>
    <row r="249" spans="1:9" x14ac:dyDescent="0.25">
      <c r="A249" s="45">
        <f t="shared" si="19"/>
        <v>45537</v>
      </c>
      <c r="B249" s="14" cm="1">
        <f t="array" ref="B249">_xlfn.IFNA(INDEX('IR data'!$D$4:$D$61,MATCH(A249,'IR data'!$C$4:$C$61,0)),((INDEX('IR data'!$D$4:$D$61,MATCH(A249,'IR data'!$C$4:$C$61,1)))-((A249-(INDEX('IR data'!$C$4:$C$61,MATCH(A249,'IR data'!$C$4:$C$61,1))))/((INDEX('IR data'!$C$4:$C$61,MATCH(A249,'IR data'!$C$4:$C$61,1)+1)-INDEX('IR data'!$C$4:$C$61,MATCH(A249,'IR data'!$C$4:$C$61,1))))) * (INDEX('IR data'!$D$4:$D$61,MATCH(A249,'IR data'!$C$4:$C$61,1))-(INDEX('IR data'!$D$4:$D$61,MATCH(A249,'IR data'!$C$4:$C$61,1)+1)))))</f>
        <v>0.96486083404347833</v>
      </c>
      <c r="C249" s="30">
        <f t="shared" si="20"/>
        <v>2.3050376535982055E-2</v>
      </c>
      <c r="D249" s="45">
        <f t="shared" si="21"/>
        <v>45597</v>
      </c>
      <c r="E249" s="14" cm="1">
        <f t="array" ref="E249">_xlfn.IFNA(INDEX('IR data'!$I$4:$I$61,MATCH(D249,'IR data'!$H$4:$H$61,0)),((INDEX('IR data'!$I$4:$I$61,MATCH(D249,'IR data'!$H$4:$H$61,1)))-((D249-(INDEX('IR data'!$H$4:$H$61,MATCH(D249,'IR data'!$H$4:$H$61,1))))/((INDEX('IR data'!$H$4:$H$61,MATCH(D249,'IR data'!$H$4:$H$61,1)+1)-INDEX('IR data'!$H$4:$H$61,MATCH(D249,'IR data'!$H$4:$H$61,1))))) * (INDEX('IR data'!$I$4:$I$61,MATCH(D249,'IR data'!$H$4:$H$61,1))-(INDEX('IR data'!$I$4:$I$61,MATCH(D249,'IR data'!$H$4:$H$61,1)+1)))))</f>
        <v>0.96404579224175824</v>
      </c>
      <c r="F249" s="30">
        <f t="shared" si="22"/>
        <v>2.3594930305275E-2</v>
      </c>
      <c r="G249" s="45">
        <f t="shared" si="18"/>
        <v>45631</v>
      </c>
      <c r="H249" s="14" cm="1">
        <f t="array" ref="H249">_xlfn.IFNA(INDEX('IR data'!$N$4:$N$61,MATCH(G249,'IR data'!$M$4:$M$61,0)),((INDEX('IR data'!$N$4:$N$61,MATCH(G249,'IR data'!$M$4:$M$61,1)))-((G249-(INDEX('IR data'!$M$4:$M$61,MATCH(G249,'IR data'!$M$4:$M$61,1))))/((INDEX('IR data'!$M$4:$M$61,MATCH(G249,'IR data'!$M$4:$M$61,1)+1)-INDEX('IR data'!$M$4:$M$61,MATCH(G249,'IR data'!$M$4:$M$61,1))))) * (INDEX('IR data'!$N$4:$N$61,MATCH(G249,'IR data'!$M$4:$M$61,1))-(INDEX('IR data'!$N$4:$N$61,MATCH(G249,'IR data'!$M$4:$M$61,1)+1)))))</f>
        <v>0.96417687151648346</v>
      </c>
      <c r="I249" s="44">
        <f t="shared" si="23"/>
        <v>2.3507321267267053E-2</v>
      </c>
    </row>
    <row r="250" spans="1:9" x14ac:dyDescent="0.25">
      <c r="A250" s="45">
        <f t="shared" si="19"/>
        <v>45538</v>
      </c>
      <c r="B250" s="14" cm="1">
        <f t="array" ref="B250">_xlfn.IFNA(INDEX('IR data'!$D$4:$D$61,MATCH(A250,'IR data'!$C$4:$C$61,0)),((INDEX('IR data'!$D$4:$D$61,MATCH(A250,'IR data'!$C$4:$C$61,1)))-((A250-(INDEX('IR data'!$C$4:$C$61,MATCH(A250,'IR data'!$C$4:$C$61,1))))/((INDEX('IR data'!$C$4:$C$61,MATCH(A250,'IR data'!$C$4:$C$61,1)+1)-INDEX('IR data'!$C$4:$C$61,MATCH(A250,'IR data'!$C$4:$C$61,1))))) * (INDEX('IR data'!$D$4:$D$61,MATCH(A250,'IR data'!$C$4:$C$61,1))-(INDEX('IR data'!$D$4:$D$61,MATCH(A250,'IR data'!$C$4:$C$61,1)+1)))))</f>
        <v>0.96473498091304355</v>
      </c>
      <c r="C250" s="30">
        <f t="shared" si="20"/>
        <v>2.3040771062353523E-2</v>
      </c>
      <c r="D250" s="45">
        <f t="shared" si="21"/>
        <v>45598</v>
      </c>
      <c r="E250" s="14" cm="1">
        <f t="array" ref="E250">_xlfn.IFNA(INDEX('IR data'!$I$4:$I$61,MATCH(D250,'IR data'!$H$4:$H$61,0)),((INDEX('IR data'!$I$4:$I$61,MATCH(D250,'IR data'!$H$4:$H$61,1)))-((D250-(INDEX('IR data'!$H$4:$H$61,MATCH(D250,'IR data'!$H$4:$H$61,1))))/((INDEX('IR data'!$H$4:$H$61,MATCH(D250,'IR data'!$H$4:$H$61,1)+1)-INDEX('IR data'!$H$4:$H$61,MATCH(D250,'IR data'!$H$4:$H$61,1))))) * (INDEX('IR data'!$I$4:$I$61,MATCH(D250,'IR data'!$H$4:$H$61,1))-(INDEX('IR data'!$I$4:$I$61,MATCH(D250,'IR data'!$H$4:$H$61,1)+1)))))</f>
        <v>0.96391001990109892</v>
      </c>
      <c r="F250" s="30">
        <f t="shared" si="22"/>
        <v>2.3589795117031007E-2</v>
      </c>
      <c r="G250" s="45">
        <f t="shared" si="18"/>
        <v>45632</v>
      </c>
      <c r="H250" s="14" cm="1">
        <f t="array" ref="H250">_xlfn.IFNA(INDEX('IR data'!$N$4:$N$61,MATCH(G250,'IR data'!$M$4:$M$61,0)),((INDEX('IR data'!$N$4:$N$61,MATCH(G250,'IR data'!$M$4:$M$61,1)))-((G250-(INDEX('IR data'!$M$4:$M$61,MATCH(G250,'IR data'!$M$4:$M$61,1))))/((INDEX('IR data'!$M$4:$M$61,MATCH(G250,'IR data'!$M$4:$M$61,1)+1)-INDEX('IR data'!$M$4:$M$61,MATCH(G250,'IR data'!$M$4:$M$61,1))))) * (INDEX('IR data'!$N$4:$N$61,MATCH(G250,'IR data'!$M$4:$M$61,1))-(INDEX('IR data'!$N$4:$N$61,MATCH(G250,'IR data'!$M$4:$M$61,1)+1)))))</f>
        <v>0.96404100540659332</v>
      </c>
      <c r="I250" s="44">
        <f t="shared" si="23"/>
        <v>2.3502590905096522E-2</v>
      </c>
    </row>
    <row r="251" spans="1:9" x14ac:dyDescent="0.25">
      <c r="A251" s="45">
        <f t="shared" si="19"/>
        <v>45539</v>
      </c>
      <c r="B251" s="14" cm="1">
        <f t="array" ref="B251">_xlfn.IFNA(INDEX('IR data'!$D$4:$D$61,MATCH(A251,'IR data'!$C$4:$C$61,0)),((INDEX('IR data'!$D$4:$D$61,MATCH(A251,'IR data'!$C$4:$C$61,1)))-((A251-(INDEX('IR data'!$C$4:$C$61,MATCH(A251,'IR data'!$C$4:$C$61,1))))/((INDEX('IR data'!$C$4:$C$61,MATCH(A251,'IR data'!$C$4:$C$61,1)+1)-INDEX('IR data'!$C$4:$C$61,MATCH(A251,'IR data'!$C$4:$C$61,1))))) * (INDEX('IR data'!$D$4:$D$61,MATCH(A251,'IR data'!$C$4:$C$61,1))-(INDEX('IR data'!$D$4:$D$61,MATCH(A251,'IR data'!$C$4:$C$61,1)+1)))))</f>
        <v>0.96460912778260877</v>
      </c>
      <c r="C251" s="30">
        <f t="shared" si="20"/>
        <v>2.3031253929932372E-2</v>
      </c>
      <c r="D251" s="45">
        <f t="shared" si="21"/>
        <v>45599</v>
      </c>
      <c r="E251" s="14" cm="1">
        <f t="array" ref="E251">_xlfn.IFNA(INDEX('IR data'!$I$4:$I$61,MATCH(D251,'IR data'!$H$4:$H$61,0)),((INDEX('IR data'!$I$4:$I$61,MATCH(D251,'IR data'!$H$4:$H$61,1)))-((D251-(INDEX('IR data'!$H$4:$H$61,MATCH(D251,'IR data'!$H$4:$H$61,1))))/((INDEX('IR data'!$H$4:$H$61,MATCH(D251,'IR data'!$H$4:$H$61,1)+1)-INDEX('IR data'!$H$4:$H$61,MATCH(D251,'IR data'!$H$4:$H$61,1))))) * (INDEX('IR data'!$I$4:$I$61,MATCH(D251,'IR data'!$H$4:$H$61,1))-(INDEX('IR data'!$I$4:$I$61,MATCH(D251,'IR data'!$H$4:$H$61,1)+1)))))</f>
        <v>0.96377424756043961</v>
      </c>
      <c r="F251" s="30">
        <f t="shared" si="22"/>
        <v>2.3584714023226649E-2</v>
      </c>
      <c r="G251" s="45">
        <f t="shared" si="18"/>
        <v>45633</v>
      </c>
      <c r="H251" s="14" cm="1">
        <f t="array" ref="H251">_xlfn.IFNA(INDEX('IR data'!$N$4:$N$61,MATCH(G251,'IR data'!$M$4:$M$61,0)),((INDEX('IR data'!$N$4:$N$61,MATCH(G251,'IR data'!$M$4:$M$61,1)))-((G251-(INDEX('IR data'!$M$4:$M$61,MATCH(G251,'IR data'!$M$4:$M$61,1))))/((INDEX('IR data'!$M$4:$M$61,MATCH(G251,'IR data'!$M$4:$M$61,1)+1)-INDEX('IR data'!$M$4:$M$61,MATCH(G251,'IR data'!$M$4:$M$61,1))))) * (INDEX('IR data'!$N$4:$N$61,MATCH(G251,'IR data'!$M$4:$M$61,1))-(INDEX('IR data'!$N$4:$N$61,MATCH(G251,'IR data'!$M$4:$M$61,1)+1)))))</f>
        <v>0.96390513929670329</v>
      </c>
      <c r="I251" s="44">
        <f t="shared" si="23"/>
        <v>2.3497911386711316E-2</v>
      </c>
    </row>
    <row r="252" spans="1:9" x14ac:dyDescent="0.25">
      <c r="A252" s="45">
        <f t="shared" si="19"/>
        <v>45540</v>
      </c>
      <c r="B252" s="14" cm="1">
        <f t="array" ref="B252">_xlfn.IFNA(INDEX('IR data'!$D$4:$D$61,MATCH(A252,'IR data'!$C$4:$C$61,0)),((INDEX('IR data'!$D$4:$D$61,MATCH(A252,'IR data'!$C$4:$C$61,1)))-((A252-(INDEX('IR data'!$C$4:$C$61,MATCH(A252,'IR data'!$C$4:$C$61,1))))/((INDEX('IR data'!$C$4:$C$61,MATCH(A252,'IR data'!$C$4:$C$61,1)+1)-INDEX('IR data'!$C$4:$C$61,MATCH(A252,'IR data'!$C$4:$C$61,1))))) * (INDEX('IR data'!$D$4:$D$61,MATCH(A252,'IR data'!$C$4:$C$61,1))-(INDEX('IR data'!$D$4:$D$61,MATCH(A252,'IR data'!$C$4:$C$61,1)+1)))))</f>
        <v>0.96448327465217398</v>
      </c>
      <c r="C252" s="30">
        <f t="shared" si="20"/>
        <v>2.3021824077193932E-2</v>
      </c>
      <c r="D252" s="45">
        <f t="shared" si="21"/>
        <v>45600</v>
      </c>
      <c r="E252" s="14" cm="1">
        <f t="array" ref="E252">_xlfn.IFNA(INDEX('IR data'!$I$4:$I$61,MATCH(D252,'IR data'!$H$4:$H$61,0)),((INDEX('IR data'!$I$4:$I$61,MATCH(D252,'IR data'!$H$4:$H$61,1)))-((D252-(INDEX('IR data'!$H$4:$H$61,MATCH(D252,'IR data'!$H$4:$H$61,1))))/((INDEX('IR data'!$H$4:$H$61,MATCH(D252,'IR data'!$H$4:$H$61,1)+1)-INDEX('IR data'!$H$4:$H$61,MATCH(D252,'IR data'!$H$4:$H$61,1))))) * (INDEX('IR data'!$I$4:$I$61,MATCH(D252,'IR data'!$H$4:$H$61,1))-(INDEX('IR data'!$I$4:$I$61,MATCH(D252,'IR data'!$H$4:$H$61,1)+1)))))</f>
        <v>0.9636384752197803</v>
      </c>
      <c r="F252" s="30">
        <f t="shared" si="22"/>
        <v>2.357968637568067E-2</v>
      </c>
      <c r="G252" s="45">
        <f t="shared" si="18"/>
        <v>45634</v>
      </c>
      <c r="H252" s="14" cm="1">
        <f t="array" ref="H252">_xlfn.IFNA(INDEX('IR data'!$N$4:$N$61,MATCH(G252,'IR data'!$M$4:$M$61,0)),((INDEX('IR data'!$N$4:$N$61,MATCH(G252,'IR data'!$M$4:$M$61,1)))-((G252-(INDEX('IR data'!$M$4:$M$61,MATCH(G252,'IR data'!$M$4:$M$61,1))))/((INDEX('IR data'!$M$4:$M$61,MATCH(G252,'IR data'!$M$4:$M$61,1)+1)-INDEX('IR data'!$M$4:$M$61,MATCH(G252,'IR data'!$M$4:$M$61,1))))) * (INDEX('IR data'!$N$4:$N$61,MATCH(G252,'IR data'!$M$4:$M$61,1))-(INDEX('IR data'!$N$4:$N$61,MATCH(G252,'IR data'!$M$4:$M$61,1)+1)))))</f>
        <v>0.96376927318681316</v>
      </c>
      <c r="I252" s="44">
        <f t="shared" si="23"/>
        <v>2.3493282103100747E-2</v>
      </c>
    </row>
    <row r="253" spans="1:9" x14ac:dyDescent="0.25">
      <c r="A253" s="45">
        <f t="shared" si="19"/>
        <v>45541</v>
      </c>
      <c r="B253" s="14" cm="1">
        <f t="array" ref="B253">_xlfn.IFNA(INDEX('IR data'!$D$4:$D$61,MATCH(A253,'IR data'!$C$4:$C$61,0)),((INDEX('IR data'!$D$4:$D$61,MATCH(A253,'IR data'!$C$4:$C$61,1)))-((A253-(INDEX('IR data'!$C$4:$C$61,MATCH(A253,'IR data'!$C$4:$C$61,1))))/((INDEX('IR data'!$C$4:$C$61,MATCH(A253,'IR data'!$C$4:$C$61,1)+1)-INDEX('IR data'!$C$4:$C$61,MATCH(A253,'IR data'!$C$4:$C$61,1))))) * (INDEX('IR data'!$D$4:$D$61,MATCH(A253,'IR data'!$C$4:$C$61,1))-(INDEX('IR data'!$D$4:$D$61,MATCH(A253,'IR data'!$C$4:$C$61,1)+1)))))</f>
        <v>0.9643574215217392</v>
      </c>
      <c r="C253" s="30">
        <f t="shared" si="20"/>
        <v>2.3012480459599041E-2</v>
      </c>
      <c r="D253" s="45">
        <f t="shared" si="21"/>
        <v>45601</v>
      </c>
      <c r="E253" s="14" cm="1">
        <f t="array" ref="E253">_xlfn.IFNA(INDEX('IR data'!$I$4:$I$61,MATCH(D253,'IR data'!$H$4:$H$61,0)),((INDEX('IR data'!$I$4:$I$61,MATCH(D253,'IR data'!$H$4:$H$61,1)))-((D253-(INDEX('IR data'!$H$4:$H$61,MATCH(D253,'IR data'!$H$4:$H$61,1))))/((INDEX('IR data'!$H$4:$H$61,MATCH(D253,'IR data'!$H$4:$H$61,1)+1)-INDEX('IR data'!$H$4:$H$61,MATCH(D253,'IR data'!$H$4:$H$61,1))))) * (INDEX('IR data'!$I$4:$I$61,MATCH(D253,'IR data'!$H$4:$H$61,1))-(INDEX('IR data'!$I$4:$I$61,MATCH(D253,'IR data'!$H$4:$H$61,1)+1)))))</f>
        <v>0.96350270287912088</v>
      </c>
      <c r="F253" s="30">
        <f t="shared" si="22"/>
        <v>2.3574711536584261E-2</v>
      </c>
      <c r="G253" s="45">
        <f t="shared" si="18"/>
        <v>45635</v>
      </c>
      <c r="H253" s="14" cm="1">
        <f t="array" ref="H253">_xlfn.IFNA(INDEX('IR data'!$N$4:$N$61,MATCH(G253,'IR data'!$M$4:$M$61,0)),((INDEX('IR data'!$N$4:$N$61,MATCH(G253,'IR data'!$M$4:$M$61,1)))-((G253-(INDEX('IR data'!$M$4:$M$61,MATCH(G253,'IR data'!$M$4:$M$61,1))))/((INDEX('IR data'!$M$4:$M$61,MATCH(G253,'IR data'!$M$4:$M$61,1)+1)-INDEX('IR data'!$M$4:$M$61,MATCH(G253,'IR data'!$M$4:$M$61,1))))) * (INDEX('IR data'!$N$4:$N$61,MATCH(G253,'IR data'!$M$4:$M$61,1))-(INDEX('IR data'!$N$4:$N$61,MATCH(G253,'IR data'!$M$4:$M$61,1)+1)))))</f>
        <v>0.96363340707692302</v>
      </c>
      <c r="I253" s="44">
        <f t="shared" si="23"/>
        <v>2.348870245499959E-2</v>
      </c>
    </row>
    <row r="254" spans="1:9" x14ac:dyDescent="0.25">
      <c r="A254" s="45">
        <f t="shared" si="19"/>
        <v>45542</v>
      </c>
      <c r="B254" s="14" cm="1">
        <f t="array" ref="B254">_xlfn.IFNA(INDEX('IR data'!$D$4:$D$61,MATCH(A254,'IR data'!$C$4:$C$61,0)),((INDEX('IR data'!$D$4:$D$61,MATCH(A254,'IR data'!$C$4:$C$61,1)))-((A254-(INDEX('IR data'!$C$4:$C$61,MATCH(A254,'IR data'!$C$4:$C$61,1))))/((INDEX('IR data'!$C$4:$C$61,MATCH(A254,'IR data'!$C$4:$C$61,1)+1)-INDEX('IR data'!$C$4:$C$61,MATCH(A254,'IR data'!$C$4:$C$61,1))))) * (INDEX('IR data'!$D$4:$D$61,MATCH(A254,'IR data'!$C$4:$C$61,1))-(INDEX('IR data'!$D$4:$D$61,MATCH(A254,'IR data'!$C$4:$C$61,1)+1)))))</f>
        <v>0.96423156839130442</v>
      </c>
      <c r="C254" s="30">
        <f t="shared" si="20"/>
        <v>2.3003222049255659E-2</v>
      </c>
      <c r="D254" s="45">
        <f t="shared" si="21"/>
        <v>45602</v>
      </c>
      <c r="E254" s="14" cm="1">
        <f t="array" ref="E254">_xlfn.IFNA(INDEX('IR data'!$I$4:$I$61,MATCH(D254,'IR data'!$H$4:$H$61,0)),((INDEX('IR data'!$I$4:$I$61,MATCH(D254,'IR data'!$H$4:$H$61,1)))-((D254-(INDEX('IR data'!$H$4:$H$61,MATCH(D254,'IR data'!$H$4:$H$61,1))))/((INDEX('IR data'!$H$4:$H$61,MATCH(D254,'IR data'!$H$4:$H$61,1)+1)-INDEX('IR data'!$H$4:$H$61,MATCH(D254,'IR data'!$H$4:$H$61,1))))) * (INDEX('IR data'!$I$4:$I$61,MATCH(D254,'IR data'!$H$4:$H$61,1))-(INDEX('IR data'!$I$4:$I$61,MATCH(D254,'IR data'!$H$4:$H$61,1)+1)))))</f>
        <v>0.96336693053846156</v>
      </c>
      <c r="F254" s="30">
        <f t="shared" si="22"/>
        <v>2.3569788878294189E-2</v>
      </c>
      <c r="G254" s="45">
        <f t="shared" si="18"/>
        <v>45636</v>
      </c>
      <c r="H254" s="14" cm="1">
        <f t="array" ref="H254">_xlfn.IFNA(INDEX('IR data'!$N$4:$N$61,MATCH(G254,'IR data'!$M$4:$M$61,0)),((INDEX('IR data'!$N$4:$N$61,MATCH(G254,'IR data'!$M$4:$M$61,1)))-((G254-(INDEX('IR data'!$M$4:$M$61,MATCH(G254,'IR data'!$M$4:$M$61,1))))/((INDEX('IR data'!$M$4:$M$61,MATCH(G254,'IR data'!$M$4:$M$61,1)+1)-INDEX('IR data'!$M$4:$M$61,MATCH(G254,'IR data'!$M$4:$M$61,1))))) * (INDEX('IR data'!$N$4:$N$61,MATCH(G254,'IR data'!$M$4:$M$61,1))-(INDEX('IR data'!$N$4:$N$61,MATCH(G254,'IR data'!$M$4:$M$61,1)+1)))))</f>
        <v>0.96349754096703288</v>
      </c>
      <c r="I254" s="44">
        <f t="shared" si="23"/>
        <v>2.3484171852694219E-2</v>
      </c>
    </row>
    <row r="255" spans="1:9" x14ac:dyDescent="0.25">
      <c r="A255" s="45">
        <f t="shared" si="19"/>
        <v>45543</v>
      </c>
      <c r="B255" s="14" cm="1">
        <f t="array" ref="B255">_xlfn.IFNA(INDEX('IR data'!$D$4:$D$61,MATCH(A255,'IR data'!$C$4:$C$61,0)),((INDEX('IR data'!$D$4:$D$61,MATCH(A255,'IR data'!$C$4:$C$61,1)))-((A255-(INDEX('IR data'!$C$4:$C$61,MATCH(A255,'IR data'!$C$4:$C$61,1))))/((INDEX('IR data'!$C$4:$C$61,MATCH(A255,'IR data'!$C$4:$C$61,1)+1)-INDEX('IR data'!$C$4:$C$61,MATCH(A255,'IR data'!$C$4:$C$61,1))))) * (INDEX('IR data'!$D$4:$D$61,MATCH(A255,'IR data'!$C$4:$C$61,1))-(INDEX('IR data'!$D$4:$D$61,MATCH(A255,'IR data'!$C$4:$C$61,1)+1)))))</f>
        <v>0.96410571526086963</v>
      </c>
      <c r="C255" s="30">
        <f t="shared" si="20"/>
        <v>2.2994047834588596E-2</v>
      </c>
      <c r="D255" s="45">
        <f t="shared" si="21"/>
        <v>45603</v>
      </c>
      <c r="E255" s="14" cm="1">
        <f t="array" ref="E255">_xlfn.IFNA(INDEX('IR data'!$I$4:$I$61,MATCH(D255,'IR data'!$H$4:$H$61,0)),((INDEX('IR data'!$I$4:$I$61,MATCH(D255,'IR data'!$H$4:$H$61,1)))-((D255-(INDEX('IR data'!$H$4:$H$61,MATCH(D255,'IR data'!$H$4:$H$61,1))))/((INDEX('IR data'!$H$4:$H$61,MATCH(D255,'IR data'!$H$4:$H$61,1)+1)-INDEX('IR data'!$H$4:$H$61,MATCH(D255,'IR data'!$H$4:$H$61,1))))) * (INDEX('IR data'!$I$4:$I$61,MATCH(D255,'IR data'!$H$4:$H$61,1))-(INDEX('IR data'!$I$4:$I$61,MATCH(D255,'IR data'!$H$4:$H$61,1)+1)))))</f>
        <v>0.96323115819780225</v>
      </c>
      <c r="F255" s="30">
        <f t="shared" si="22"/>
        <v>2.3564917783131509E-2</v>
      </c>
      <c r="G255" s="45">
        <f t="shared" si="18"/>
        <v>45637</v>
      </c>
      <c r="H255" s="14" cm="1">
        <f t="array" ref="H255">_xlfn.IFNA(INDEX('IR data'!$N$4:$N$61,MATCH(G255,'IR data'!$M$4:$M$61,0)),((INDEX('IR data'!$N$4:$N$61,MATCH(G255,'IR data'!$M$4:$M$61,1)))-((G255-(INDEX('IR data'!$M$4:$M$61,MATCH(G255,'IR data'!$M$4:$M$61,1))))/((INDEX('IR data'!$M$4:$M$61,MATCH(G255,'IR data'!$M$4:$M$61,1)+1)-INDEX('IR data'!$M$4:$M$61,MATCH(G255,'IR data'!$M$4:$M$61,1))))) * (INDEX('IR data'!$N$4:$N$61,MATCH(G255,'IR data'!$M$4:$M$61,1))-(INDEX('IR data'!$N$4:$N$61,MATCH(G255,'IR data'!$M$4:$M$61,1)+1)))))</f>
        <v>0.96336167485714286</v>
      </c>
      <c r="I255" s="44">
        <f t="shared" si="23"/>
        <v>2.3479689715832957E-2</v>
      </c>
    </row>
    <row r="256" spans="1:9" x14ac:dyDescent="0.25">
      <c r="A256" s="45">
        <f t="shared" si="19"/>
        <v>45544</v>
      </c>
      <c r="B256" s="14" cm="1">
        <f t="array" ref="B256">_xlfn.IFNA(INDEX('IR data'!$D$4:$D$61,MATCH(A256,'IR data'!$C$4:$C$61,0)),((INDEX('IR data'!$D$4:$D$61,MATCH(A256,'IR data'!$C$4:$C$61,1)))-((A256-(INDEX('IR data'!$C$4:$C$61,MATCH(A256,'IR data'!$C$4:$C$61,1))))/((INDEX('IR data'!$C$4:$C$61,MATCH(A256,'IR data'!$C$4:$C$61,1)+1)-INDEX('IR data'!$C$4:$C$61,MATCH(A256,'IR data'!$C$4:$C$61,1))))) * (INDEX('IR data'!$D$4:$D$61,MATCH(A256,'IR data'!$C$4:$C$61,1))-(INDEX('IR data'!$D$4:$D$61,MATCH(A256,'IR data'!$C$4:$C$61,1)+1)))))</f>
        <v>0.96397986213043485</v>
      </c>
      <c r="C256" s="30">
        <f t="shared" si="20"/>
        <v>2.2984956820017038E-2</v>
      </c>
      <c r="D256" s="45">
        <f t="shared" si="21"/>
        <v>45604</v>
      </c>
      <c r="E256" s="14" cm="1">
        <f t="array" ref="E256">_xlfn.IFNA(INDEX('IR data'!$I$4:$I$61,MATCH(D256,'IR data'!$H$4:$H$61,0)),((INDEX('IR data'!$I$4:$I$61,MATCH(D256,'IR data'!$H$4:$H$61,1)))-((D256-(INDEX('IR data'!$H$4:$H$61,MATCH(D256,'IR data'!$H$4:$H$61,1))))/((INDEX('IR data'!$H$4:$H$61,MATCH(D256,'IR data'!$H$4:$H$61,1)+1)-INDEX('IR data'!$H$4:$H$61,MATCH(D256,'IR data'!$H$4:$H$61,1))))) * (INDEX('IR data'!$I$4:$I$61,MATCH(D256,'IR data'!$H$4:$H$61,1))-(INDEX('IR data'!$I$4:$I$61,MATCH(D256,'IR data'!$H$4:$H$61,1)+1)))))</f>
        <v>0.96309538585714294</v>
      </c>
      <c r="F256" s="30">
        <f t="shared" si="22"/>
        <v>2.3560097643184369E-2</v>
      </c>
      <c r="G256" s="45">
        <f t="shared" si="18"/>
        <v>45638</v>
      </c>
      <c r="H256" s="14" cm="1">
        <f t="array" ref="H256">_xlfn.IFNA(INDEX('IR data'!$N$4:$N$61,MATCH(G256,'IR data'!$M$4:$M$61,0)),((INDEX('IR data'!$N$4:$N$61,MATCH(G256,'IR data'!$M$4:$M$61,1)))-((G256-(INDEX('IR data'!$M$4:$M$61,MATCH(G256,'IR data'!$M$4:$M$61,1))))/((INDEX('IR data'!$M$4:$M$61,MATCH(G256,'IR data'!$M$4:$M$61,1)+1)-INDEX('IR data'!$M$4:$M$61,MATCH(G256,'IR data'!$M$4:$M$61,1))))) * (INDEX('IR data'!$N$4:$N$61,MATCH(G256,'IR data'!$M$4:$M$61,1))-(INDEX('IR data'!$N$4:$N$61,MATCH(G256,'IR data'!$M$4:$M$61,1)+1)))))</f>
        <v>0.96322580874725272</v>
      </c>
      <c r="I256" s="44">
        <f t="shared" si="23"/>
        <v>2.3475255473241377E-2</v>
      </c>
    </row>
    <row r="257" spans="1:9" x14ac:dyDescent="0.25">
      <c r="A257" s="45">
        <f t="shared" si="19"/>
        <v>45545</v>
      </c>
      <c r="B257" s="14" cm="1">
        <f t="array" ref="B257">_xlfn.IFNA(INDEX('IR data'!$D$4:$D$61,MATCH(A257,'IR data'!$C$4:$C$61,0)),((INDEX('IR data'!$D$4:$D$61,MATCH(A257,'IR data'!$C$4:$C$61,1)))-((A257-(INDEX('IR data'!$C$4:$C$61,MATCH(A257,'IR data'!$C$4:$C$61,1))))/((INDEX('IR data'!$C$4:$C$61,MATCH(A257,'IR data'!$C$4:$C$61,1)+1)-INDEX('IR data'!$C$4:$C$61,MATCH(A257,'IR data'!$C$4:$C$61,1))))) * (INDEX('IR data'!$D$4:$D$61,MATCH(A257,'IR data'!$C$4:$C$61,1))-(INDEX('IR data'!$D$4:$D$61,MATCH(A257,'IR data'!$C$4:$C$61,1)+1)))))</f>
        <v>0.96385400900000007</v>
      </c>
      <c r="C257" s="30">
        <f t="shared" si="20"/>
        <v>2.2975948025639709E-2</v>
      </c>
      <c r="D257" s="45">
        <f t="shared" si="21"/>
        <v>45605</v>
      </c>
      <c r="E257" s="14" cm="1">
        <f t="array" ref="E257">_xlfn.IFNA(INDEX('IR data'!$I$4:$I$61,MATCH(D257,'IR data'!$H$4:$H$61,0)),((INDEX('IR data'!$I$4:$I$61,MATCH(D257,'IR data'!$H$4:$H$61,1)))-((D257-(INDEX('IR data'!$H$4:$H$61,MATCH(D257,'IR data'!$H$4:$H$61,1))))/((INDEX('IR data'!$H$4:$H$61,MATCH(D257,'IR data'!$H$4:$H$61,1)+1)-INDEX('IR data'!$H$4:$H$61,MATCH(D257,'IR data'!$H$4:$H$61,1))))) * (INDEX('IR data'!$I$4:$I$61,MATCH(D257,'IR data'!$H$4:$H$61,1))-(INDEX('IR data'!$I$4:$I$61,MATCH(D257,'IR data'!$H$4:$H$61,1)+1)))))</f>
        <v>0.96295961351648351</v>
      </c>
      <c r="F257" s="30">
        <f t="shared" si="22"/>
        <v>2.3555327860115875E-2</v>
      </c>
      <c r="G257" s="45">
        <f t="shared" si="18"/>
        <v>45639</v>
      </c>
      <c r="H257" s="14" cm="1">
        <f t="array" ref="H257">_xlfn.IFNA(INDEX('IR data'!$N$4:$N$61,MATCH(G257,'IR data'!$M$4:$M$61,0)),((INDEX('IR data'!$N$4:$N$61,MATCH(G257,'IR data'!$M$4:$M$61,1)))-((G257-(INDEX('IR data'!$M$4:$M$61,MATCH(G257,'IR data'!$M$4:$M$61,1))))/((INDEX('IR data'!$M$4:$M$61,MATCH(G257,'IR data'!$M$4:$M$61,1)+1)-INDEX('IR data'!$M$4:$M$61,MATCH(G257,'IR data'!$M$4:$M$61,1))))) * (INDEX('IR data'!$N$4:$N$61,MATCH(G257,'IR data'!$M$4:$M$61,1))-(INDEX('IR data'!$N$4:$N$61,MATCH(G257,'IR data'!$M$4:$M$61,1)+1)))))</f>
        <v>0.96308994263736258</v>
      </c>
      <c r="I257" s="44">
        <f t="shared" si="23"/>
        <v>2.3470868562741165E-2</v>
      </c>
    </row>
    <row r="258" spans="1:9" x14ac:dyDescent="0.25">
      <c r="A258" s="45">
        <f t="shared" si="19"/>
        <v>45546</v>
      </c>
      <c r="B258" s="14" cm="1">
        <f t="array" ref="B258">_xlfn.IFNA(INDEX('IR data'!$D$4:$D$61,MATCH(A258,'IR data'!$C$4:$C$61,0)),((INDEX('IR data'!$D$4:$D$61,MATCH(A258,'IR data'!$C$4:$C$61,1)))-((A258-(INDEX('IR data'!$C$4:$C$61,MATCH(A258,'IR data'!$C$4:$C$61,1))))/((INDEX('IR data'!$C$4:$C$61,MATCH(A258,'IR data'!$C$4:$C$61,1)+1)-INDEX('IR data'!$C$4:$C$61,MATCH(A258,'IR data'!$C$4:$C$61,1))))) * (INDEX('IR data'!$D$4:$D$61,MATCH(A258,'IR data'!$C$4:$C$61,1))-(INDEX('IR data'!$D$4:$D$61,MATCH(A258,'IR data'!$C$4:$C$61,1)+1)))))</f>
        <v>0.96372815586956528</v>
      </c>
      <c r="C258" s="30">
        <f t="shared" si="20"/>
        <v>2.2967020486927395E-2</v>
      </c>
      <c r="D258" s="45">
        <f t="shared" si="21"/>
        <v>45606</v>
      </c>
      <c r="E258" s="14" cm="1">
        <f t="array" ref="E258">_xlfn.IFNA(INDEX('IR data'!$I$4:$I$61,MATCH(D258,'IR data'!$H$4:$H$61,0)),((INDEX('IR data'!$I$4:$I$61,MATCH(D258,'IR data'!$H$4:$H$61,1)))-((D258-(INDEX('IR data'!$H$4:$H$61,MATCH(D258,'IR data'!$H$4:$H$61,1))))/((INDEX('IR data'!$H$4:$H$61,MATCH(D258,'IR data'!$H$4:$H$61,1)+1)-INDEX('IR data'!$H$4:$H$61,MATCH(D258,'IR data'!$H$4:$H$61,1))))) * (INDEX('IR data'!$I$4:$I$61,MATCH(D258,'IR data'!$H$4:$H$61,1))-(INDEX('IR data'!$I$4:$I$61,MATCH(D258,'IR data'!$H$4:$H$61,1)+1)))))</f>
        <v>0.9628238411758242</v>
      </c>
      <c r="F258" s="30">
        <f t="shared" si="22"/>
        <v>2.3550607844976076E-2</v>
      </c>
      <c r="G258" s="45">
        <f t="shared" si="18"/>
        <v>45640</v>
      </c>
      <c r="H258" s="14" cm="1">
        <f t="array" ref="H258">_xlfn.IFNA(INDEX('IR data'!$N$4:$N$61,MATCH(G258,'IR data'!$M$4:$M$61,0)),((INDEX('IR data'!$N$4:$N$61,MATCH(G258,'IR data'!$M$4:$M$61,1)))-((G258-(INDEX('IR data'!$M$4:$M$61,MATCH(G258,'IR data'!$M$4:$M$61,1))))/((INDEX('IR data'!$M$4:$M$61,MATCH(G258,'IR data'!$M$4:$M$61,1)+1)-INDEX('IR data'!$M$4:$M$61,MATCH(G258,'IR data'!$M$4:$M$61,1))))) * (INDEX('IR data'!$N$4:$N$61,MATCH(G258,'IR data'!$M$4:$M$61,1))-(INDEX('IR data'!$N$4:$N$61,MATCH(G258,'IR data'!$M$4:$M$61,1)+1)))))</f>
        <v>0.96295407652747245</v>
      </c>
      <c r="I258" s="44">
        <f t="shared" si="23"/>
        <v>2.3466528430974052E-2</v>
      </c>
    </row>
    <row r="259" spans="1:9" x14ac:dyDescent="0.25">
      <c r="A259" s="45">
        <f t="shared" si="19"/>
        <v>45547</v>
      </c>
      <c r="B259" s="14" cm="1">
        <f t="array" ref="B259">_xlfn.IFNA(INDEX('IR data'!$D$4:$D$61,MATCH(A259,'IR data'!$C$4:$C$61,0)),((INDEX('IR data'!$D$4:$D$61,MATCH(A259,'IR data'!$C$4:$C$61,1)))-((A259-(INDEX('IR data'!$C$4:$C$61,MATCH(A259,'IR data'!$C$4:$C$61,1))))/((INDEX('IR data'!$C$4:$C$61,MATCH(A259,'IR data'!$C$4:$C$61,1)+1)-INDEX('IR data'!$C$4:$C$61,MATCH(A259,'IR data'!$C$4:$C$61,1))))) * (INDEX('IR data'!$D$4:$D$61,MATCH(A259,'IR data'!$C$4:$C$61,1))-(INDEX('IR data'!$D$4:$D$61,MATCH(A259,'IR data'!$C$4:$C$61,1)+1)))))</f>
        <v>0.9636023027391305</v>
      </c>
      <c r="C259" s="30">
        <f t="shared" si="20"/>
        <v>2.2958173254422735E-2</v>
      </c>
      <c r="D259" s="45">
        <f t="shared" si="21"/>
        <v>45607</v>
      </c>
      <c r="E259" s="14" cm="1">
        <f t="array" ref="E259">_xlfn.IFNA(INDEX('IR data'!$I$4:$I$61,MATCH(D259,'IR data'!$H$4:$H$61,0)),((INDEX('IR data'!$I$4:$I$61,MATCH(D259,'IR data'!$H$4:$H$61,1)))-((D259-(INDEX('IR data'!$H$4:$H$61,MATCH(D259,'IR data'!$H$4:$H$61,1))))/((INDEX('IR data'!$H$4:$H$61,MATCH(D259,'IR data'!$H$4:$H$61,1)+1)-INDEX('IR data'!$H$4:$H$61,MATCH(D259,'IR data'!$H$4:$H$61,1))))) * (INDEX('IR data'!$I$4:$I$61,MATCH(D259,'IR data'!$H$4:$H$61,1))-(INDEX('IR data'!$I$4:$I$61,MATCH(D259,'IR data'!$H$4:$H$61,1)+1)))))</f>
        <v>0.96268806883516489</v>
      </c>
      <c r="F259" s="30">
        <f t="shared" si="22"/>
        <v>2.3545937018019034E-2</v>
      </c>
      <c r="G259" s="45">
        <f t="shared" ref="G259:G322" si="24">G258+1</f>
        <v>45641</v>
      </c>
      <c r="H259" s="14" cm="1">
        <f t="array" ref="H259">_xlfn.IFNA(INDEX('IR data'!$N$4:$N$61,MATCH(G259,'IR data'!$M$4:$M$61,0)),((INDEX('IR data'!$N$4:$N$61,MATCH(G259,'IR data'!$M$4:$M$61,1)))-((G259-(INDEX('IR data'!$M$4:$M$61,MATCH(G259,'IR data'!$M$4:$M$61,1))))/((INDEX('IR data'!$M$4:$M$61,MATCH(G259,'IR data'!$M$4:$M$61,1)+1)-INDEX('IR data'!$M$4:$M$61,MATCH(G259,'IR data'!$M$4:$M$61,1))))) * (INDEX('IR data'!$N$4:$N$61,MATCH(G259,'IR data'!$M$4:$M$61,1))-(INDEX('IR data'!$N$4:$N$61,MATCH(G259,'IR data'!$M$4:$M$61,1)+1)))))</f>
        <v>0.96281821041758242</v>
      </c>
      <c r="I259" s="44">
        <f t="shared" si="23"/>
        <v>2.3462234533229379E-2</v>
      </c>
    </row>
    <row r="260" spans="1:9" x14ac:dyDescent="0.25">
      <c r="A260" s="45">
        <f t="shared" si="19"/>
        <v>45548</v>
      </c>
      <c r="B260" s="14" cm="1">
        <f t="array" ref="B260">_xlfn.IFNA(INDEX('IR data'!$D$4:$D$61,MATCH(A260,'IR data'!$C$4:$C$61,0)),((INDEX('IR data'!$D$4:$D$61,MATCH(A260,'IR data'!$C$4:$C$61,1)))-((A260-(INDEX('IR data'!$C$4:$C$61,MATCH(A260,'IR data'!$C$4:$C$61,1))))/((INDEX('IR data'!$C$4:$C$61,MATCH(A260,'IR data'!$C$4:$C$61,1)+1)-INDEX('IR data'!$C$4:$C$61,MATCH(A260,'IR data'!$C$4:$C$61,1))))) * (INDEX('IR data'!$D$4:$D$61,MATCH(A260,'IR data'!$C$4:$C$61,1))-(INDEX('IR data'!$D$4:$D$61,MATCH(A260,'IR data'!$C$4:$C$61,1)+1)))))</f>
        <v>0.96347644960869572</v>
      </c>
      <c r="C260" s="30">
        <f t="shared" si="20"/>
        <v>2.2949405393447003E-2</v>
      </c>
      <c r="D260" s="45">
        <f t="shared" si="21"/>
        <v>45608</v>
      </c>
      <c r="E260" s="14" cm="1">
        <f t="array" ref="E260">_xlfn.IFNA(INDEX('IR data'!$I$4:$I$61,MATCH(D260,'IR data'!$H$4:$H$61,0)),((INDEX('IR data'!$I$4:$I$61,MATCH(D260,'IR data'!$H$4:$H$61,1)))-((D260-(INDEX('IR data'!$H$4:$H$61,MATCH(D260,'IR data'!$H$4:$H$61,1))))/((INDEX('IR data'!$H$4:$H$61,MATCH(D260,'IR data'!$H$4:$H$61,1)+1)-INDEX('IR data'!$H$4:$H$61,MATCH(D260,'IR data'!$H$4:$H$61,1))))) * (INDEX('IR data'!$I$4:$I$61,MATCH(D260,'IR data'!$H$4:$H$61,1))-(INDEX('IR data'!$I$4:$I$61,MATCH(D260,'IR data'!$H$4:$H$61,1)+1)))))</f>
        <v>0.96255229649450558</v>
      </c>
      <c r="F260" s="30">
        <f t="shared" si="22"/>
        <v>2.3541314808523499E-2</v>
      </c>
      <c r="G260" s="45">
        <f t="shared" si="24"/>
        <v>45642</v>
      </c>
      <c r="H260" s="14" cm="1">
        <f t="array" ref="H260">_xlfn.IFNA(INDEX('IR data'!$N$4:$N$61,MATCH(G260,'IR data'!$M$4:$M$61,0)),((INDEX('IR data'!$N$4:$N$61,MATCH(G260,'IR data'!$M$4:$M$61,1)))-((G260-(INDEX('IR data'!$M$4:$M$61,MATCH(G260,'IR data'!$M$4:$M$61,1))))/((INDEX('IR data'!$M$4:$M$61,MATCH(G260,'IR data'!$M$4:$M$61,1)+1)-INDEX('IR data'!$M$4:$M$61,MATCH(G260,'IR data'!$M$4:$M$61,1))))) * (INDEX('IR data'!$N$4:$N$61,MATCH(G260,'IR data'!$M$4:$M$61,1))-(INDEX('IR data'!$N$4:$N$61,MATCH(G260,'IR data'!$M$4:$M$61,1)+1)))))</f>
        <v>0.96268234430769228</v>
      </c>
      <c r="I260" s="44">
        <f t="shared" si="23"/>
        <v>2.3457986333276171E-2</v>
      </c>
    </row>
    <row r="261" spans="1:9" x14ac:dyDescent="0.25">
      <c r="A261" s="45">
        <f t="shared" ref="A261:A324" si="25">A260+1</f>
        <v>45549</v>
      </c>
      <c r="B261" s="14" cm="1">
        <f t="array" ref="B261">_xlfn.IFNA(INDEX('IR data'!$D$4:$D$61,MATCH(A261,'IR data'!$C$4:$C$61,0)),((INDEX('IR data'!$D$4:$D$61,MATCH(A261,'IR data'!$C$4:$C$61,1)))-((A261-(INDEX('IR data'!$C$4:$C$61,MATCH(A261,'IR data'!$C$4:$C$61,1))))/((INDEX('IR data'!$C$4:$C$61,MATCH(A261,'IR data'!$C$4:$C$61,1)+1)-INDEX('IR data'!$C$4:$C$61,MATCH(A261,'IR data'!$C$4:$C$61,1))))) * (INDEX('IR data'!$D$4:$D$61,MATCH(A261,'IR data'!$C$4:$C$61,1))-(INDEX('IR data'!$D$4:$D$61,MATCH(A261,'IR data'!$C$4:$C$61,1)+1)))))</f>
        <v>0.96335059647826093</v>
      </c>
      <c r="C261" s="30">
        <f t="shared" ref="C261:C324" si="26">-LOG(B261)/YEARFRAC($B$1, A261, 3)</f>
        <v>2.2940715983813687E-2</v>
      </c>
      <c r="D261" s="45">
        <f t="shared" ref="D261:D324" si="27">D260+1</f>
        <v>45609</v>
      </c>
      <c r="E261" s="14" cm="1">
        <f t="array" ref="E261">_xlfn.IFNA(INDEX('IR data'!$I$4:$I$61,MATCH(D261,'IR data'!$H$4:$H$61,0)),((INDEX('IR data'!$I$4:$I$61,MATCH(D261,'IR data'!$H$4:$H$61,1)))-((D261-(INDEX('IR data'!$H$4:$H$61,MATCH(D261,'IR data'!$H$4:$H$61,1))))/((INDEX('IR data'!$H$4:$H$61,MATCH(D261,'IR data'!$H$4:$H$61,1)+1)-INDEX('IR data'!$H$4:$H$61,MATCH(D261,'IR data'!$H$4:$H$61,1))))) * (INDEX('IR data'!$I$4:$I$61,MATCH(D261,'IR data'!$H$4:$H$61,1))-(INDEX('IR data'!$I$4:$I$61,MATCH(D261,'IR data'!$H$4:$H$61,1)+1)))))</f>
        <v>0.96241652415384615</v>
      </c>
      <c r="F261" s="30">
        <f t="shared" ref="F261:F324" si="28">-LOG(E261)/YEARFRAC($E$1, D261, 3)</f>
        <v>2.3536740654618134E-2</v>
      </c>
      <c r="G261" s="45">
        <f t="shared" si="24"/>
        <v>45643</v>
      </c>
      <c r="H261" s="14" cm="1">
        <f t="array" ref="H261">_xlfn.IFNA(INDEX('IR data'!$N$4:$N$61,MATCH(G261,'IR data'!$M$4:$M$61,0)),((INDEX('IR data'!$N$4:$N$61,MATCH(G261,'IR data'!$M$4:$M$61,1)))-((G261-(INDEX('IR data'!$M$4:$M$61,MATCH(G261,'IR data'!$M$4:$M$61,1))))/((INDEX('IR data'!$M$4:$M$61,MATCH(G261,'IR data'!$M$4:$M$61,1)+1)-INDEX('IR data'!$M$4:$M$61,MATCH(G261,'IR data'!$M$4:$M$61,1))))) * (INDEX('IR data'!$N$4:$N$61,MATCH(G261,'IR data'!$M$4:$M$61,1))-(INDEX('IR data'!$N$4:$N$61,MATCH(G261,'IR data'!$M$4:$M$61,1)+1)))))</f>
        <v>0.96254647819780215</v>
      </c>
      <c r="I261" s="44">
        <f t="shared" ref="I261:I324" si="29">-LOG(H261)/YEARFRAC($H$1, G261, 3)</f>
        <v>2.3453783303198347E-2</v>
      </c>
    </row>
    <row r="262" spans="1:9" x14ac:dyDescent="0.25">
      <c r="A262" s="45">
        <f t="shared" si="25"/>
        <v>45550</v>
      </c>
      <c r="B262" s="14" cm="1">
        <f t="array" ref="B262">_xlfn.IFNA(INDEX('IR data'!$D$4:$D$61,MATCH(A262,'IR data'!$C$4:$C$61,0)),((INDEX('IR data'!$D$4:$D$61,MATCH(A262,'IR data'!$C$4:$C$61,1)))-((A262-(INDEX('IR data'!$C$4:$C$61,MATCH(A262,'IR data'!$C$4:$C$61,1))))/((INDEX('IR data'!$C$4:$C$61,MATCH(A262,'IR data'!$C$4:$C$61,1)+1)-INDEX('IR data'!$C$4:$C$61,MATCH(A262,'IR data'!$C$4:$C$61,1))))) * (INDEX('IR data'!$D$4:$D$61,MATCH(A262,'IR data'!$C$4:$C$61,1))-(INDEX('IR data'!$D$4:$D$61,MATCH(A262,'IR data'!$C$4:$C$61,1)+1)))))</f>
        <v>0.96322474334782615</v>
      </c>
      <c r="C262" s="30">
        <f t="shared" si="26"/>
        <v>2.2932104119548699E-2</v>
      </c>
      <c r="D262" s="45">
        <f t="shared" si="27"/>
        <v>45610</v>
      </c>
      <c r="E262" s="14" cm="1">
        <f t="array" ref="E262">_xlfn.IFNA(INDEX('IR data'!$I$4:$I$61,MATCH(D262,'IR data'!$H$4:$H$61,0)),((INDEX('IR data'!$I$4:$I$61,MATCH(D262,'IR data'!$H$4:$H$61,1)))-((D262-(INDEX('IR data'!$H$4:$H$61,MATCH(D262,'IR data'!$H$4:$H$61,1))))/((INDEX('IR data'!$H$4:$H$61,MATCH(D262,'IR data'!$H$4:$H$61,1)+1)-INDEX('IR data'!$H$4:$H$61,MATCH(D262,'IR data'!$H$4:$H$61,1))))) * (INDEX('IR data'!$I$4:$I$61,MATCH(D262,'IR data'!$H$4:$H$61,1))-(INDEX('IR data'!$I$4:$I$61,MATCH(D262,'IR data'!$H$4:$H$61,1)+1)))))</f>
        <v>0.96228075181318684</v>
      </c>
      <c r="F262" s="30">
        <f t="shared" si="28"/>
        <v>2.3532214003110397E-2</v>
      </c>
      <c r="G262" s="45">
        <f t="shared" si="24"/>
        <v>45644</v>
      </c>
      <c r="H262" s="14" cm="1">
        <f t="array" ref="H262">_xlfn.IFNA(INDEX('IR data'!$N$4:$N$61,MATCH(G262,'IR data'!$M$4:$M$61,0)),((INDEX('IR data'!$N$4:$N$61,MATCH(G262,'IR data'!$M$4:$M$61,1)))-((G262-(INDEX('IR data'!$M$4:$M$61,MATCH(G262,'IR data'!$M$4:$M$61,1))))/((INDEX('IR data'!$M$4:$M$61,MATCH(G262,'IR data'!$M$4:$M$61,1)+1)-INDEX('IR data'!$M$4:$M$61,MATCH(G262,'IR data'!$M$4:$M$61,1))))) * (INDEX('IR data'!$N$4:$N$61,MATCH(G262,'IR data'!$M$4:$M$61,1))-(INDEX('IR data'!$N$4:$N$61,MATCH(G262,'IR data'!$M$4:$M$61,1)+1)))))</f>
        <v>0.96241061208791201</v>
      </c>
      <c r="I262" s="44">
        <f t="shared" si="29"/>
        <v>2.3449624923234498E-2</v>
      </c>
    </row>
    <row r="263" spans="1:9" x14ac:dyDescent="0.25">
      <c r="A263" s="45">
        <f t="shared" si="25"/>
        <v>45551</v>
      </c>
      <c r="B263" s="14" cm="1">
        <f t="array" ref="B263">_xlfn.IFNA(INDEX('IR data'!$D$4:$D$61,MATCH(A263,'IR data'!$C$4:$C$61,0)),((INDEX('IR data'!$D$4:$D$61,MATCH(A263,'IR data'!$C$4:$C$61,1)))-((A263-(INDEX('IR data'!$C$4:$C$61,MATCH(A263,'IR data'!$C$4:$C$61,1))))/((INDEX('IR data'!$C$4:$C$61,MATCH(A263,'IR data'!$C$4:$C$61,1)+1)-INDEX('IR data'!$C$4:$C$61,MATCH(A263,'IR data'!$C$4:$C$61,1))))) * (INDEX('IR data'!$D$4:$D$61,MATCH(A263,'IR data'!$C$4:$C$61,1))-(INDEX('IR data'!$D$4:$D$61,MATCH(A263,'IR data'!$C$4:$C$61,1)+1)))))</f>
        <v>0.96309889021739137</v>
      </c>
      <c r="C263" s="30">
        <f t="shared" si="26"/>
        <v>2.29235689086171E-2</v>
      </c>
      <c r="D263" s="45">
        <f t="shared" si="27"/>
        <v>45611</v>
      </c>
      <c r="E263" s="14" cm="1">
        <f t="array" ref="E263">_xlfn.IFNA(INDEX('IR data'!$I$4:$I$61,MATCH(D263,'IR data'!$H$4:$H$61,0)),((INDEX('IR data'!$I$4:$I$61,MATCH(D263,'IR data'!$H$4:$H$61,1)))-((D263-(INDEX('IR data'!$H$4:$H$61,MATCH(D263,'IR data'!$H$4:$H$61,1))))/((INDEX('IR data'!$H$4:$H$61,MATCH(D263,'IR data'!$H$4:$H$61,1)+1)-INDEX('IR data'!$H$4:$H$61,MATCH(D263,'IR data'!$H$4:$H$61,1))))) * (INDEX('IR data'!$I$4:$I$61,MATCH(D263,'IR data'!$H$4:$H$61,1))-(INDEX('IR data'!$I$4:$I$61,MATCH(D263,'IR data'!$H$4:$H$61,1)+1)))))</f>
        <v>0.96214497947252753</v>
      </c>
      <c r="F263" s="30">
        <f t="shared" si="28"/>
        <v>2.3527734309320061E-2</v>
      </c>
      <c r="G263" s="45">
        <f t="shared" si="24"/>
        <v>45645</v>
      </c>
      <c r="H263" s="14" cm="1">
        <f t="array" ref="H263">_xlfn.IFNA(INDEX('IR data'!$N$4:$N$61,MATCH(G263,'IR data'!$M$4:$M$61,0)),((INDEX('IR data'!$N$4:$N$61,MATCH(G263,'IR data'!$M$4:$M$61,1)))-((G263-(INDEX('IR data'!$M$4:$M$61,MATCH(G263,'IR data'!$M$4:$M$61,1))))/((INDEX('IR data'!$M$4:$M$61,MATCH(G263,'IR data'!$M$4:$M$61,1)+1)-INDEX('IR data'!$M$4:$M$61,MATCH(G263,'IR data'!$M$4:$M$61,1))))) * (INDEX('IR data'!$N$4:$N$61,MATCH(G263,'IR data'!$M$4:$M$61,1))-(INDEX('IR data'!$N$4:$N$61,MATCH(G263,'IR data'!$M$4:$M$61,1)+1)))))</f>
        <v>0.96227474597802198</v>
      </c>
      <c r="I263" s="44">
        <f t="shared" si="29"/>
        <v>2.3445510681620936E-2</v>
      </c>
    </row>
    <row r="264" spans="1:9" x14ac:dyDescent="0.25">
      <c r="A264" s="45">
        <f t="shared" si="25"/>
        <v>45552</v>
      </c>
      <c r="B264" s="14" cm="1">
        <f t="array" ref="B264">_xlfn.IFNA(INDEX('IR data'!$D$4:$D$61,MATCH(A264,'IR data'!$C$4:$C$61,0)),((INDEX('IR data'!$D$4:$D$61,MATCH(A264,'IR data'!$C$4:$C$61,1)))-((A264-(INDEX('IR data'!$C$4:$C$61,MATCH(A264,'IR data'!$C$4:$C$61,1))))/((INDEX('IR data'!$C$4:$C$61,MATCH(A264,'IR data'!$C$4:$C$61,1)+1)-INDEX('IR data'!$C$4:$C$61,MATCH(A264,'IR data'!$C$4:$C$61,1))))) * (INDEX('IR data'!$D$4:$D$61,MATCH(A264,'IR data'!$C$4:$C$61,1))-(INDEX('IR data'!$D$4:$D$61,MATCH(A264,'IR data'!$C$4:$C$61,1)+1)))))</f>
        <v>0.96297303708695658</v>
      </c>
      <c r="C264" s="30">
        <f t="shared" si="26"/>
        <v>2.2915109472656053E-2</v>
      </c>
      <c r="D264" s="45">
        <f t="shared" si="27"/>
        <v>45612</v>
      </c>
      <c r="E264" s="14" cm="1">
        <f t="array" ref="E264">_xlfn.IFNA(INDEX('IR data'!$I$4:$I$61,MATCH(D264,'IR data'!$H$4:$H$61,0)),((INDEX('IR data'!$I$4:$I$61,MATCH(D264,'IR data'!$H$4:$H$61,1)))-((D264-(INDEX('IR data'!$H$4:$H$61,MATCH(D264,'IR data'!$H$4:$H$61,1))))/((INDEX('IR data'!$H$4:$H$61,MATCH(D264,'IR data'!$H$4:$H$61,1)+1)-INDEX('IR data'!$H$4:$H$61,MATCH(D264,'IR data'!$H$4:$H$61,1))))) * (INDEX('IR data'!$I$4:$I$61,MATCH(D264,'IR data'!$H$4:$H$61,1))-(INDEX('IR data'!$I$4:$I$61,MATCH(D264,'IR data'!$H$4:$H$61,1)+1)))))</f>
        <v>0.96200920713186822</v>
      </c>
      <c r="F264" s="30">
        <f t="shared" si="28"/>
        <v>2.3523301036915859E-2</v>
      </c>
      <c r="G264" s="45">
        <f t="shared" si="24"/>
        <v>45646</v>
      </c>
      <c r="H264" s="14" cm="1">
        <f t="array" ref="H264">_xlfn.IFNA(INDEX('IR data'!$N$4:$N$61,MATCH(G264,'IR data'!$M$4:$M$61,0)),((INDEX('IR data'!$N$4:$N$61,MATCH(G264,'IR data'!$M$4:$M$61,1)))-((G264-(INDEX('IR data'!$M$4:$M$61,MATCH(G264,'IR data'!$M$4:$M$61,1))))/((INDEX('IR data'!$M$4:$M$61,MATCH(G264,'IR data'!$M$4:$M$61,1)+1)-INDEX('IR data'!$M$4:$M$61,MATCH(G264,'IR data'!$M$4:$M$61,1))))) * (INDEX('IR data'!$N$4:$N$61,MATCH(G264,'IR data'!$M$4:$M$61,1))-(INDEX('IR data'!$N$4:$N$61,MATCH(G264,'IR data'!$M$4:$M$61,1)+1)))))</f>
        <v>0.96213887986813185</v>
      </c>
      <c r="I264" s="44">
        <f t="shared" si="29"/>
        <v>2.3441440074438748E-2</v>
      </c>
    </row>
    <row r="265" spans="1:9" x14ac:dyDescent="0.25">
      <c r="A265" s="45">
        <f t="shared" si="25"/>
        <v>45553</v>
      </c>
      <c r="B265" s="14" cm="1">
        <f t="array" ref="B265">_xlfn.IFNA(INDEX('IR data'!$D$4:$D$61,MATCH(A265,'IR data'!$C$4:$C$61,0)),((INDEX('IR data'!$D$4:$D$61,MATCH(A265,'IR data'!$C$4:$C$61,1)))-((A265-(INDEX('IR data'!$C$4:$C$61,MATCH(A265,'IR data'!$C$4:$C$61,1))))/((INDEX('IR data'!$C$4:$C$61,MATCH(A265,'IR data'!$C$4:$C$61,1)+1)-INDEX('IR data'!$C$4:$C$61,MATCH(A265,'IR data'!$C$4:$C$61,1))))) * (INDEX('IR data'!$D$4:$D$61,MATCH(A265,'IR data'!$C$4:$C$61,1))-(INDEX('IR data'!$D$4:$D$61,MATCH(A265,'IR data'!$C$4:$C$61,1)+1)))))</f>
        <v>0.9628471839565218</v>
      </c>
      <c r="C265" s="30">
        <f t="shared" si="26"/>
        <v>2.2906724946713863E-2</v>
      </c>
      <c r="D265" s="45">
        <f t="shared" si="27"/>
        <v>45613</v>
      </c>
      <c r="E265" s="14" cm="1">
        <f t="array" ref="E265">_xlfn.IFNA(INDEX('IR data'!$I$4:$I$61,MATCH(D265,'IR data'!$H$4:$H$61,0)),((INDEX('IR data'!$I$4:$I$61,MATCH(D265,'IR data'!$H$4:$H$61,1)))-((D265-(INDEX('IR data'!$H$4:$H$61,MATCH(D265,'IR data'!$H$4:$H$61,1))))/((INDEX('IR data'!$H$4:$H$61,MATCH(D265,'IR data'!$H$4:$H$61,1)+1)-INDEX('IR data'!$H$4:$H$61,MATCH(D265,'IR data'!$H$4:$H$61,1))))) * (INDEX('IR data'!$I$4:$I$61,MATCH(D265,'IR data'!$H$4:$H$61,1))-(INDEX('IR data'!$I$4:$I$61,MATCH(D265,'IR data'!$H$4:$H$61,1)+1)))))</f>
        <v>0.96187343479120879</v>
      </c>
      <c r="F265" s="30">
        <f t="shared" si="28"/>
        <v>2.3518913657756293E-2</v>
      </c>
      <c r="G265" s="45">
        <f t="shared" si="24"/>
        <v>45647</v>
      </c>
      <c r="H265" s="14" cm="1">
        <f t="array" ref="H265">_xlfn.IFNA(INDEX('IR data'!$N$4:$N$61,MATCH(G265,'IR data'!$M$4:$M$61,0)),((INDEX('IR data'!$N$4:$N$61,MATCH(G265,'IR data'!$M$4:$M$61,1)))-((G265-(INDEX('IR data'!$M$4:$M$61,MATCH(G265,'IR data'!$M$4:$M$61,1))))/((INDEX('IR data'!$M$4:$M$61,MATCH(G265,'IR data'!$M$4:$M$61,1)+1)-INDEX('IR data'!$M$4:$M$61,MATCH(G265,'IR data'!$M$4:$M$61,1))))) * (INDEX('IR data'!$N$4:$N$61,MATCH(G265,'IR data'!$M$4:$M$61,1))-(INDEX('IR data'!$N$4:$N$61,MATCH(G265,'IR data'!$M$4:$M$61,1)+1)))))</f>
        <v>0.96200301375824171</v>
      </c>
      <c r="I265" s="44">
        <f t="shared" si="29"/>
        <v>2.343741260546367E-2</v>
      </c>
    </row>
    <row r="266" spans="1:9" x14ac:dyDescent="0.25">
      <c r="A266" s="45">
        <f t="shared" si="25"/>
        <v>45554</v>
      </c>
      <c r="B266" s="14" cm="1">
        <f t="array" ref="B266">_xlfn.IFNA(INDEX('IR data'!$D$4:$D$61,MATCH(A266,'IR data'!$C$4:$C$61,0)),((INDEX('IR data'!$D$4:$D$61,MATCH(A266,'IR data'!$C$4:$C$61,1)))-((A266-(INDEX('IR data'!$C$4:$C$61,MATCH(A266,'IR data'!$C$4:$C$61,1))))/((INDEX('IR data'!$C$4:$C$61,MATCH(A266,'IR data'!$C$4:$C$61,1)+1)-INDEX('IR data'!$C$4:$C$61,MATCH(A266,'IR data'!$C$4:$C$61,1))))) * (INDEX('IR data'!$D$4:$D$61,MATCH(A266,'IR data'!$C$4:$C$61,1))-(INDEX('IR data'!$D$4:$D$61,MATCH(A266,'IR data'!$C$4:$C$61,1)+1)))))</f>
        <v>0.96272133082608702</v>
      </c>
      <c r="C266" s="30">
        <f t="shared" si="26"/>
        <v>2.2898414478995092E-2</v>
      </c>
      <c r="D266" s="45">
        <f t="shared" si="27"/>
        <v>45614</v>
      </c>
      <c r="E266" s="14" cm="1">
        <f t="array" ref="E266">_xlfn.IFNA(INDEX('IR data'!$I$4:$I$61,MATCH(D266,'IR data'!$H$4:$H$61,0)),((INDEX('IR data'!$I$4:$I$61,MATCH(D266,'IR data'!$H$4:$H$61,1)))-((D266-(INDEX('IR data'!$H$4:$H$61,MATCH(D266,'IR data'!$H$4:$H$61,1))))/((INDEX('IR data'!$H$4:$H$61,MATCH(D266,'IR data'!$H$4:$H$61,1)+1)-INDEX('IR data'!$H$4:$H$61,MATCH(D266,'IR data'!$H$4:$H$61,1))))) * (INDEX('IR data'!$I$4:$I$61,MATCH(D266,'IR data'!$H$4:$H$61,1))-(INDEX('IR data'!$I$4:$I$61,MATCH(D266,'IR data'!$H$4:$H$61,1)+1)))))</f>
        <v>0.96173766245054948</v>
      </c>
      <c r="F266" s="30">
        <f t="shared" si="28"/>
        <v>2.3514571651733682E-2</v>
      </c>
      <c r="G266" s="45">
        <f t="shared" si="24"/>
        <v>45648</v>
      </c>
      <c r="H266" s="14" cm="1">
        <f t="array" ref="H266">_xlfn.IFNA(INDEX('IR data'!$N$4:$N$61,MATCH(G266,'IR data'!$M$4:$M$61,0)),((INDEX('IR data'!$N$4:$N$61,MATCH(G266,'IR data'!$M$4:$M$61,1)))-((G266-(INDEX('IR data'!$M$4:$M$61,MATCH(G266,'IR data'!$M$4:$M$61,1))))/((INDEX('IR data'!$M$4:$M$61,MATCH(G266,'IR data'!$M$4:$M$61,1)+1)-INDEX('IR data'!$M$4:$M$61,MATCH(G266,'IR data'!$M$4:$M$61,1))))) * (INDEX('IR data'!$N$4:$N$61,MATCH(G266,'IR data'!$M$4:$M$61,1))-(INDEX('IR data'!$N$4:$N$61,MATCH(G266,'IR data'!$M$4:$M$61,1)+1)))))</f>
        <v>0.96186714764835157</v>
      </c>
      <c r="I266" s="44">
        <f t="shared" si="29"/>
        <v>2.3433427786020086E-2</v>
      </c>
    </row>
    <row r="267" spans="1:9" x14ac:dyDescent="0.25">
      <c r="A267" s="45">
        <f t="shared" si="25"/>
        <v>45555</v>
      </c>
      <c r="B267" s="14" cm="1">
        <f t="array" ref="B267">_xlfn.IFNA(INDEX('IR data'!$D$4:$D$61,MATCH(A267,'IR data'!$C$4:$C$61,0)),((INDEX('IR data'!$D$4:$D$61,MATCH(A267,'IR data'!$C$4:$C$61,1)))-((A267-(INDEX('IR data'!$C$4:$C$61,MATCH(A267,'IR data'!$C$4:$C$61,1))))/((INDEX('IR data'!$C$4:$C$61,MATCH(A267,'IR data'!$C$4:$C$61,1)+1)-INDEX('IR data'!$C$4:$C$61,MATCH(A267,'IR data'!$C$4:$C$61,1))))) * (INDEX('IR data'!$D$4:$D$61,MATCH(A267,'IR data'!$C$4:$C$61,1))-(INDEX('IR data'!$D$4:$D$61,MATCH(A267,'IR data'!$C$4:$C$61,1)+1)))))</f>
        <v>0.96259547769565224</v>
      </c>
      <c r="C267" s="30">
        <f t="shared" si="26"/>
        <v>2.2890177230611316E-2</v>
      </c>
      <c r="D267" s="45">
        <f t="shared" si="27"/>
        <v>45615</v>
      </c>
      <c r="E267" s="14" cm="1">
        <f t="array" ref="E267">_xlfn.IFNA(INDEX('IR data'!$I$4:$I$61,MATCH(D267,'IR data'!$H$4:$H$61,0)),((INDEX('IR data'!$I$4:$I$61,MATCH(D267,'IR data'!$H$4:$H$61,1)))-((D267-(INDEX('IR data'!$H$4:$H$61,MATCH(D267,'IR data'!$H$4:$H$61,1))))/((INDEX('IR data'!$H$4:$H$61,MATCH(D267,'IR data'!$H$4:$H$61,1)+1)-INDEX('IR data'!$H$4:$H$61,MATCH(D267,'IR data'!$H$4:$H$61,1))))) * (INDEX('IR data'!$I$4:$I$61,MATCH(D267,'IR data'!$H$4:$H$61,1))-(INDEX('IR data'!$I$4:$I$61,MATCH(D267,'IR data'!$H$4:$H$61,1)+1)))))</f>
        <v>0.96160189010989017</v>
      </c>
      <c r="F267" s="30">
        <f t="shared" si="28"/>
        <v>2.3510274506622388E-2</v>
      </c>
      <c r="G267" s="45">
        <f t="shared" si="24"/>
        <v>45649</v>
      </c>
      <c r="H267" s="14" cm="1">
        <f t="array" ref="H267">_xlfn.IFNA(INDEX('IR data'!$N$4:$N$61,MATCH(G267,'IR data'!$M$4:$M$61,0)),((INDEX('IR data'!$N$4:$N$61,MATCH(G267,'IR data'!$M$4:$M$61,1)))-((G267-(INDEX('IR data'!$M$4:$M$61,MATCH(G267,'IR data'!$M$4:$M$61,1))))/((INDEX('IR data'!$M$4:$M$61,MATCH(G267,'IR data'!$M$4:$M$61,1)+1)-INDEX('IR data'!$M$4:$M$61,MATCH(G267,'IR data'!$M$4:$M$61,1))))) * (INDEX('IR data'!$N$4:$N$61,MATCH(G267,'IR data'!$M$4:$M$61,1))-(INDEX('IR data'!$N$4:$N$61,MATCH(G267,'IR data'!$M$4:$M$61,1)+1)))))</f>
        <v>0.96173128153846155</v>
      </c>
      <c r="I267" s="44">
        <f t="shared" si="29"/>
        <v>2.3429485134837919E-2</v>
      </c>
    </row>
    <row r="268" spans="1:9" x14ac:dyDescent="0.25">
      <c r="A268" s="45">
        <f t="shared" si="25"/>
        <v>45556</v>
      </c>
      <c r="B268" s="14" cm="1">
        <f t="array" ref="B268">_xlfn.IFNA(INDEX('IR data'!$D$4:$D$61,MATCH(A268,'IR data'!$C$4:$C$61,0)),((INDEX('IR data'!$D$4:$D$61,MATCH(A268,'IR data'!$C$4:$C$61,1)))-((A268-(INDEX('IR data'!$C$4:$C$61,MATCH(A268,'IR data'!$C$4:$C$61,1))))/((INDEX('IR data'!$C$4:$C$61,MATCH(A268,'IR data'!$C$4:$C$61,1)+1)-INDEX('IR data'!$C$4:$C$61,MATCH(A268,'IR data'!$C$4:$C$61,1))))) * (INDEX('IR data'!$D$4:$D$61,MATCH(A268,'IR data'!$C$4:$C$61,1))-(INDEX('IR data'!$D$4:$D$61,MATCH(A268,'IR data'!$C$4:$C$61,1)+1)))))</f>
        <v>0.96246962456521745</v>
      </c>
      <c r="C268" s="30">
        <f t="shared" si="26"/>
        <v>2.2882012375337643E-2</v>
      </c>
      <c r="D268" s="45">
        <f t="shared" si="27"/>
        <v>45616</v>
      </c>
      <c r="E268" s="14" cm="1">
        <f t="array" ref="E268">_xlfn.IFNA(INDEX('IR data'!$I$4:$I$61,MATCH(D268,'IR data'!$H$4:$H$61,0)),((INDEX('IR data'!$I$4:$I$61,MATCH(D268,'IR data'!$H$4:$H$61,1)))-((D268-(INDEX('IR data'!$H$4:$H$61,MATCH(D268,'IR data'!$H$4:$H$61,1))))/((INDEX('IR data'!$H$4:$H$61,MATCH(D268,'IR data'!$H$4:$H$61,1)+1)-INDEX('IR data'!$H$4:$H$61,MATCH(D268,'IR data'!$H$4:$H$61,1))))) * (INDEX('IR data'!$I$4:$I$61,MATCH(D268,'IR data'!$H$4:$H$61,1))-(INDEX('IR data'!$I$4:$I$61,MATCH(D268,'IR data'!$H$4:$H$61,1)+1)))))</f>
        <v>0.96146611776923085</v>
      </c>
      <c r="F268" s="30">
        <f t="shared" si="28"/>
        <v>2.3506021717929825E-2</v>
      </c>
      <c r="G268" s="45">
        <f t="shared" si="24"/>
        <v>45650</v>
      </c>
      <c r="H268" s="14" cm="1">
        <f t="array" ref="H268">_xlfn.IFNA(INDEX('IR data'!$N$4:$N$61,MATCH(G268,'IR data'!$M$4:$M$61,0)),((INDEX('IR data'!$N$4:$N$61,MATCH(G268,'IR data'!$M$4:$M$61,1)))-((G268-(INDEX('IR data'!$M$4:$M$61,MATCH(G268,'IR data'!$M$4:$M$61,1))))/((INDEX('IR data'!$M$4:$M$61,MATCH(G268,'IR data'!$M$4:$M$61,1)+1)-INDEX('IR data'!$M$4:$M$61,MATCH(G268,'IR data'!$M$4:$M$61,1))))) * (INDEX('IR data'!$N$4:$N$61,MATCH(G268,'IR data'!$M$4:$M$61,1))-(INDEX('IR data'!$N$4:$N$61,MATCH(G268,'IR data'!$M$4:$M$61,1)+1)))))</f>
        <v>0.96159541542857141</v>
      </c>
      <c r="I268" s="44">
        <f t="shared" si="29"/>
        <v>2.3425584177913177E-2</v>
      </c>
    </row>
    <row r="269" spans="1:9" x14ac:dyDescent="0.25">
      <c r="A269" s="45">
        <f t="shared" si="25"/>
        <v>45557</v>
      </c>
      <c r="B269" s="14" cm="1">
        <f t="array" ref="B269">_xlfn.IFNA(INDEX('IR data'!$D$4:$D$61,MATCH(A269,'IR data'!$C$4:$C$61,0)),((INDEX('IR data'!$D$4:$D$61,MATCH(A269,'IR data'!$C$4:$C$61,1)))-((A269-(INDEX('IR data'!$C$4:$C$61,MATCH(A269,'IR data'!$C$4:$C$61,1))))/((INDEX('IR data'!$C$4:$C$61,MATCH(A269,'IR data'!$C$4:$C$61,1)+1)-INDEX('IR data'!$C$4:$C$61,MATCH(A269,'IR data'!$C$4:$C$61,1))))) * (INDEX('IR data'!$D$4:$D$61,MATCH(A269,'IR data'!$C$4:$C$61,1))-(INDEX('IR data'!$D$4:$D$61,MATCH(A269,'IR data'!$C$4:$C$61,1)+1)))))</f>
        <v>0.96234377143478267</v>
      </c>
      <c r="C269" s="30">
        <f t="shared" si="26"/>
        <v>2.2873919099374647E-2</v>
      </c>
      <c r="D269" s="45">
        <f t="shared" si="27"/>
        <v>45617</v>
      </c>
      <c r="E269" s="14" cm="1">
        <f t="array" ref="E269">_xlfn.IFNA(INDEX('IR data'!$I$4:$I$61,MATCH(D269,'IR data'!$H$4:$H$61,0)),((INDEX('IR data'!$I$4:$I$61,MATCH(D269,'IR data'!$H$4:$H$61,1)))-((D269-(INDEX('IR data'!$H$4:$H$61,MATCH(D269,'IR data'!$H$4:$H$61,1))))/((INDEX('IR data'!$H$4:$H$61,MATCH(D269,'IR data'!$H$4:$H$61,1)+1)-INDEX('IR data'!$H$4:$H$61,MATCH(D269,'IR data'!$H$4:$H$61,1))))) * (INDEX('IR data'!$I$4:$I$61,MATCH(D269,'IR data'!$H$4:$H$61,1))-(INDEX('IR data'!$I$4:$I$61,MATCH(D269,'IR data'!$H$4:$H$61,1)+1)))))</f>
        <v>0.96133034542857143</v>
      </c>
      <c r="F269" s="30">
        <f t="shared" si="28"/>
        <v>2.3501812788751266E-2</v>
      </c>
      <c r="G269" s="45">
        <f t="shared" si="24"/>
        <v>45651</v>
      </c>
      <c r="H269" s="14" cm="1">
        <f t="array" ref="H269">_xlfn.IFNA(INDEX('IR data'!$N$4:$N$61,MATCH(G269,'IR data'!$M$4:$M$61,0)),((INDEX('IR data'!$N$4:$N$61,MATCH(G269,'IR data'!$M$4:$M$61,1)))-((G269-(INDEX('IR data'!$M$4:$M$61,MATCH(G269,'IR data'!$M$4:$M$61,1))))/((INDEX('IR data'!$M$4:$M$61,MATCH(G269,'IR data'!$M$4:$M$61,1)+1)-INDEX('IR data'!$M$4:$M$61,MATCH(G269,'IR data'!$M$4:$M$61,1))))) * (INDEX('IR data'!$N$4:$N$61,MATCH(G269,'IR data'!$M$4:$M$61,1))-(INDEX('IR data'!$N$4:$N$61,MATCH(G269,'IR data'!$M$4:$M$61,1)+1)))))</f>
        <v>0.96145954931868127</v>
      </c>
      <c r="I269" s="44">
        <f t="shared" si="29"/>
        <v>2.342172444837097E-2</v>
      </c>
    </row>
    <row r="270" spans="1:9" x14ac:dyDescent="0.25">
      <c r="A270" s="45">
        <f t="shared" si="25"/>
        <v>45558</v>
      </c>
      <c r="B270" s="14" cm="1">
        <f t="array" ref="B270">_xlfn.IFNA(INDEX('IR data'!$D$4:$D$61,MATCH(A270,'IR data'!$C$4:$C$61,0)),((INDEX('IR data'!$D$4:$D$61,MATCH(A270,'IR data'!$C$4:$C$61,1)))-((A270-(INDEX('IR data'!$C$4:$C$61,MATCH(A270,'IR data'!$C$4:$C$61,1))))/((INDEX('IR data'!$C$4:$C$61,MATCH(A270,'IR data'!$C$4:$C$61,1)+1)-INDEX('IR data'!$C$4:$C$61,MATCH(A270,'IR data'!$C$4:$C$61,1))))) * (INDEX('IR data'!$D$4:$D$61,MATCH(A270,'IR data'!$C$4:$C$61,1))-(INDEX('IR data'!$D$4:$D$61,MATCH(A270,'IR data'!$C$4:$C$61,1)+1)))))</f>
        <v>0.96221791830434789</v>
      </c>
      <c r="C270" s="30">
        <f t="shared" si="26"/>
        <v>2.2865896601115699E-2</v>
      </c>
      <c r="D270" s="45">
        <f t="shared" si="27"/>
        <v>45618</v>
      </c>
      <c r="E270" s="14" cm="1">
        <f t="array" ref="E270">_xlfn.IFNA(INDEX('IR data'!$I$4:$I$61,MATCH(D270,'IR data'!$H$4:$H$61,0)),((INDEX('IR data'!$I$4:$I$61,MATCH(D270,'IR data'!$H$4:$H$61,1)))-((D270-(INDEX('IR data'!$H$4:$H$61,MATCH(D270,'IR data'!$H$4:$H$61,1))))/((INDEX('IR data'!$H$4:$H$61,MATCH(D270,'IR data'!$H$4:$H$61,1)+1)-INDEX('IR data'!$H$4:$H$61,MATCH(D270,'IR data'!$H$4:$H$61,1))))) * (INDEX('IR data'!$I$4:$I$61,MATCH(D270,'IR data'!$H$4:$H$61,1))-(INDEX('IR data'!$I$4:$I$61,MATCH(D270,'IR data'!$H$4:$H$61,1)+1)))))</f>
        <v>0.96119457308791212</v>
      </c>
      <c r="F270" s="30">
        <f t="shared" si="28"/>
        <v>2.349764722962747E-2</v>
      </c>
      <c r="G270" s="45">
        <f t="shared" si="24"/>
        <v>45652</v>
      </c>
      <c r="H270" s="14" cm="1">
        <f t="array" ref="H270">_xlfn.IFNA(INDEX('IR data'!$N$4:$N$61,MATCH(G270,'IR data'!$M$4:$M$61,0)),((INDEX('IR data'!$N$4:$N$61,MATCH(G270,'IR data'!$M$4:$M$61,1)))-((G270-(INDEX('IR data'!$M$4:$M$61,MATCH(G270,'IR data'!$M$4:$M$61,1))))/((INDEX('IR data'!$M$4:$M$61,MATCH(G270,'IR data'!$M$4:$M$61,1)+1)-INDEX('IR data'!$M$4:$M$61,MATCH(G270,'IR data'!$M$4:$M$61,1))))) * (INDEX('IR data'!$N$4:$N$61,MATCH(G270,'IR data'!$M$4:$M$61,1))-(INDEX('IR data'!$N$4:$N$61,MATCH(G270,'IR data'!$M$4:$M$61,1)+1)))))</f>
        <v>0.96132368320879114</v>
      </c>
      <c r="I270" s="44">
        <f t="shared" si="29"/>
        <v>2.3417905486332283E-2</v>
      </c>
    </row>
    <row r="271" spans="1:9" x14ac:dyDescent="0.25">
      <c r="A271" s="45">
        <f t="shared" si="25"/>
        <v>45559</v>
      </c>
      <c r="B271" s="14" cm="1">
        <f t="array" ref="B271">_xlfn.IFNA(INDEX('IR data'!$D$4:$D$61,MATCH(A271,'IR data'!$C$4:$C$61,0)),((INDEX('IR data'!$D$4:$D$61,MATCH(A271,'IR data'!$C$4:$C$61,1)))-((A271-(INDEX('IR data'!$C$4:$C$61,MATCH(A271,'IR data'!$C$4:$C$61,1))))/((INDEX('IR data'!$C$4:$C$61,MATCH(A271,'IR data'!$C$4:$C$61,1)+1)-INDEX('IR data'!$C$4:$C$61,MATCH(A271,'IR data'!$C$4:$C$61,1))))) * (INDEX('IR data'!$D$4:$D$61,MATCH(A271,'IR data'!$C$4:$C$61,1))-(INDEX('IR data'!$D$4:$D$61,MATCH(A271,'IR data'!$C$4:$C$61,1)+1)))))</f>
        <v>0.9620920651739131</v>
      </c>
      <c r="C271" s="30">
        <f t="shared" si="26"/>
        <v>2.2857944090919499E-2</v>
      </c>
      <c r="D271" s="45">
        <f t="shared" si="27"/>
        <v>45619</v>
      </c>
      <c r="E271" s="14" cm="1">
        <f t="array" ref="E271">_xlfn.IFNA(INDEX('IR data'!$I$4:$I$61,MATCH(D271,'IR data'!$H$4:$H$61,0)),((INDEX('IR data'!$I$4:$I$61,MATCH(D271,'IR data'!$H$4:$H$61,1)))-((D271-(INDEX('IR data'!$H$4:$H$61,MATCH(D271,'IR data'!$H$4:$H$61,1))))/((INDEX('IR data'!$H$4:$H$61,MATCH(D271,'IR data'!$H$4:$H$61,1)+1)-INDEX('IR data'!$H$4:$H$61,MATCH(D271,'IR data'!$H$4:$H$61,1))))) * (INDEX('IR data'!$I$4:$I$61,MATCH(D271,'IR data'!$H$4:$H$61,1))-(INDEX('IR data'!$I$4:$I$61,MATCH(D271,'IR data'!$H$4:$H$61,1)+1)))))</f>
        <v>0.96105880074725281</v>
      </c>
      <c r="F271" s="30">
        <f t="shared" si="28"/>
        <v>2.3493524558406153E-2</v>
      </c>
      <c r="G271" s="45">
        <f t="shared" si="24"/>
        <v>45653</v>
      </c>
      <c r="H271" s="14" cm="1">
        <f t="array" ref="H271">_xlfn.IFNA(INDEX('IR data'!$N$4:$N$61,MATCH(G271,'IR data'!$M$4:$M$61,0)),((INDEX('IR data'!$N$4:$N$61,MATCH(G271,'IR data'!$M$4:$M$61,1)))-((G271-(INDEX('IR data'!$M$4:$M$61,MATCH(G271,'IR data'!$M$4:$M$61,1))))/((INDEX('IR data'!$M$4:$M$61,MATCH(G271,'IR data'!$M$4:$M$61,1)+1)-INDEX('IR data'!$M$4:$M$61,MATCH(G271,'IR data'!$M$4:$M$61,1))))) * (INDEX('IR data'!$N$4:$N$61,MATCH(G271,'IR data'!$M$4:$M$61,1))-(INDEX('IR data'!$N$4:$N$61,MATCH(G271,'IR data'!$M$4:$M$61,1)+1)))))</f>
        <v>0.96118781709890111</v>
      </c>
      <c r="I271" s="44">
        <f t="shared" si="29"/>
        <v>2.34141268387833E-2</v>
      </c>
    </row>
    <row r="272" spans="1:9" x14ac:dyDescent="0.25">
      <c r="A272" s="45">
        <f t="shared" si="25"/>
        <v>45560</v>
      </c>
      <c r="B272" s="14" cm="1">
        <f t="array" ref="B272">_xlfn.IFNA(INDEX('IR data'!$D$4:$D$61,MATCH(A272,'IR data'!$C$4:$C$61,0)),((INDEX('IR data'!$D$4:$D$61,MATCH(A272,'IR data'!$C$4:$C$61,1)))-((A272-(INDEX('IR data'!$C$4:$C$61,MATCH(A272,'IR data'!$C$4:$C$61,1))))/((INDEX('IR data'!$C$4:$C$61,MATCH(A272,'IR data'!$C$4:$C$61,1)+1)-INDEX('IR data'!$C$4:$C$61,MATCH(A272,'IR data'!$C$4:$C$61,1))))) * (INDEX('IR data'!$D$4:$D$61,MATCH(A272,'IR data'!$C$4:$C$61,1))-(INDEX('IR data'!$D$4:$D$61,MATCH(A272,'IR data'!$C$4:$C$61,1)+1)))))</f>
        <v>0.96196621204347832</v>
      </c>
      <c r="C272" s="30">
        <f t="shared" si="26"/>
        <v>2.2850060790887639E-2</v>
      </c>
      <c r="D272" s="45">
        <f t="shared" si="27"/>
        <v>45620</v>
      </c>
      <c r="E272" s="14" cm="1">
        <f t="array" ref="E272">_xlfn.IFNA(INDEX('IR data'!$I$4:$I$61,MATCH(D272,'IR data'!$H$4:$H$61,0)),((INDEX('IR data'!$I$4:$I$61,MATCH(D272,'IR data'!$H$4:$H$61,1)))-((D272-(INDEX('IR data'!$H$4:$H$61,MATCH(D272,'IR data'!$H$4:$H$61,1))))/((INDEX('IR data'!$H$4:$H$61,MATCH(D272,'IR data'!$H$4:$H$61,1)+1)-INDEX('IR data'!$H$4:$H$61,MATCH(D272,'IR data'!$H$4:$H$61,1))))) * (INDEX('IR data'!$I$4:$I$61,MATCH(D272,'IR data'!$H$4:$H$61,1))-(INDEX('IR data'!$I$4:$I$61,MATCH(D272,'IR data'!$H$4:$H$61,1)+1)))))</f>
        <v>0.96092302840659349</v>
      </c>
      <c r="F272" s="30">
        <f t="shared" si="28"/>
        <v>2.3489444300105931E-2</v>
      </c>
      <c r="G272" s="45">
        <f t="shared" si="24"/>
        <v>45654</v>
      </c>
      <c r="H272" s="14" cm="1">
        <f t="array" ref="H272">_xlfn.IFNA(INDEX('IR data'!$N$4:$N$61,MATCH(G272,'IR data'!$M$4:$M$61,0)),((INDEX('IR data'!$N$4:$N$61,MATCH(G272,'IR data'!$M$4:$M$61,1)))-((G272-(INDEX('IR data'!$M$4:$M$61,MATCH(G272,'IR data'!$M$4:$M$61,1))))/((INDEX('IR data'!$M$4:$M$61,MATCH(G272,'IR data'!$M$4:$M$61,1)+1)-INDEX('IR data'!$M$4:$M$61,MATCH(G272,'IR data'!$M$4:$M$61,1))))) * (INDEX('IR data'!$N$4:$N$61,MATCH(G272,'IR data'!$M$4:$M$61,1))-(INDEX('IR data'!$N$4:$N$61,MATCH(G272,'IR data'!$M$4:$M$61,1)+1)))))</f>
        <v>0.96105195098901097</v>
      </c>
      <c r="I272" s="44">
        <f t="shared" si="29"/>
        <v>2.3410388059448093E-2</v>
      </c>
    </row>
    <row r="273" spans="1:9" x14ac:dyDescent="0.25">
      <c r="A273" s="45">
        <f t="shared" si="25"/>
        <v>45561</v>
      </c>
      <c r="B273" s="14" cm="1">
        <f t="array" ref="B273">_xlfn.IFNA(INDEX('IR data'!$D$4:$D$61,MATCH(A273,'IR data'!$C$4:$C$61,0)),((INDEX('IR data'!$D$4:$D$61,MATCH(A273,'IR data'!$C$4:$C$61,1)))-((A273-(INDEX('IR data'!$C$4:$C$61,MATCH(A273,'IR data'!$C$4:$C$61,1))))/((INDEX('IR data'!$C$4:$C$61,MATCH(A273,'IR data'!$C$4:$C$61,1)+1)-INDEX('IR data'!$C$4:$C$61,MATCH(A273,'IR data'!$C$4:$C$61,1))))) * (INDEX('IR data'!$D$4:$D$61,MATCH(A273,'IR data'!$C$4:$C$61,1))-(INDEX('IR data'!$D$4:$D$61,MATCH(A273,'IR data'!$C$4:$C$61,1)+1)))))</f>
        <v>0.96184035891304354</v>
      </c>
      <c r="C273" s="30">
        <f t="shared" si="26"/>
        <v>2.2842245934647176E-2</v>
      </c>
      <c r="D273" s="45">
        <f t="shared" si="27"/>
        <v>45621</v>
      </c>
      <c r="E273" s="14" cm="1">
        <f t="array" ref="E273">_xlfn.IFNA(INDEX('IR data'!$I$4:$I$61,MATCH(D273,'IR data'!$H$4:$H$61,0)),((INDEX('IR data'!$I$4:$I$61,MATCH(D273,'IR data'!$H$4:$H$61,1)))-((D273-(INDEX('IR data'!$H$4:$H$61,MATCH(D273,'IR data'!$H$4:$H$61,1))))/((INDEX('IR data'!$H$4:$H$61,MATCH(D273,'IR data'!$H$4:$H$61,1)+1)-INDEX('IR data'!$H$4:$H$61,MATCH(D273,'IR data'!$H$4:$H$61,1))))) * (INDEX('IR data'!$I$4:$I$61,MATCH(D273,'IR data'!$H$4:$H$61,1))-(INDEX('IR data'!$I$4:$I$61,MATCH(D273,'IR data'!$H$4:$H$61,1)+1)))))</f>
        <v>0.96078725606593407</v>
      </c>
      <c r="F273" s="30">
        <f t="shared" si="28"/>
        <v>2.3485405986783663E-2</v>
      </c>
      <c r="G273" s="45">
        <f t="shared" si="24"/>
        <v>45655</v>
      </c>
      <c r="H273" s="14" cm="1">
        <f t="array" ref="H273">_xlfn.IFNA(INDEX('IR data'!$N$4:$N$61,MATCH(G273,'IR data'!$M$4:$M$61,0)),((INDEX('IR data'!$N$4:$N$61,MATCH(G273,'IR data'!$M$4:$M$61,1)))-((G273-(INDEX('IR data'!$M$4:$M$61,MATCH(G273,'IR data'!$M$4:$M$61,1))))/((INDEX('IR data'!$M$4:$M$61,MATCH(G273,'IR data'!$M$4:$M$61,1)+1)-INDEX('IR data'!$M$4:$M$61,MATCH(G273,'IR data'!$M$4:$M$61,1))))) * (INDEX('IR data'!$N$4:$N$61,MATCH(G273,'IR data'!$M$4:$M$61,1))-(INDEX('IR data'!$N$4:$N$61,MATCH(G273,'IR data'!$M$4:$M$61,1)+1)))))</f>
        <v>0.96091608487912084</v>
      </c>
      <c r="I273" s="44">
        <f t="shared" si="29"/>
        <v>2.3406688708663435E-2</v>
      </c>
    </row>
    <row r="274" spans="1:9" x14ac:dyDescent="0.25">
      <c r="A274" s="45">
        <f t="shared" si="25"/>
        <v>45562</v>
      </c>
      <c r="B274" s="14" cm="1">
        <f t="array" ref="B274">_xlfn.IFNA(INDEX('IR data'!$D$4:$D$61,MATCH(A274,'IR data'!$C$4:$C$61,0)),((INDEX('IR data'!$D$4:$D$61,MATCH(A274,'IR data'!$C$4:$C$61,1)))-((A274-(INDEX('IR data'!$C$4:$C$61,MATCH(A274,'IR data'!$C$4:$C$61,1))))/((INDEX('IR data'!$C$4:$C$61,MATCH(A274,'IR data'!$C$4:$C$61,1)+1)-INDEX('IR data'!$C$4:$C$61,MATCH(A274,'IR data'!$C$4:$C$61,1))))) * (INDEX('IR data'!$D$4:$D$61,MATCH(A274,'IR data'!$C$4:$C$61,1))-(INDEX('IR data'!$D$4:$D$61,MATCH(A274,'IR data'!$C$4:$C$61,1)+1)))))</f>
        <v>0.96171450578260875</v>
      </c>
      <c r="C274" s="30">
        <f t="shared" si="26"/>
        <v>2.2834498767137966E-2</v>
      </c>
      <c r="D274" s="45">
        <f t="shared" si="27"/>
        <v>45622</v>
      </c>
      <c r="E274" s="14" cm="1">
        <f t="array" ref="E274">_xlfn.IFNA(INDEX('IR data'!$I$4:$I$61,MATCH(D274,'IR data'!$H$4:$H$61,0)),((INDEX('IR data'!$I$4:$I$61,MATCH(D274,'IR data'!$H$4:$H$61,1)))-((D274-(INDEX('IR data'!$H$4:$H$61,MATCH(D274,'IR data'!$H$4:$H$61,1))))/((INDEX('IR data'!$H$4:$H$61,MATCH(D274,'IR data'!$H$4:$H$61,1)+1)-INDEX('IR data'!$H$4:$H$61,MATCH(D274,'IR data'!$H$4:$H$61,1))))) * (INDEX('IR data'!$I$4:$I$61,MATCH(D274,'IR data'!$H$4:$H$61,1))-(INDEX('IR data'!$I$4:$I$61,MATCH(D274,'IR data'!$H$4:$H$61,1)+1)))))</f>
        <v>0.96065148372527476</v>
      </c>
      <c r="F274" s="30">
        <f t="shared" si="28"/>
        <v>2.3481409157404296E-2</v>
      </c>
      <c r="G274" s="45">
        <f t="shared" si="24"/>
        <v>45656</v>
      </c>
      <c r="H274" s="14" cm="1">
        <f t="array" ref="H274">_xlfn.IFNA(INDEX('IR data'!$N$4:$N$61,MATCH(G274,'IR data'!$M$4:$M$61,0)),((INDEX('IR data'!$N$4:$N$61,MATCH(G274,'IR data'!$M$4:$M$61,1)))-((G274-(INDEX('IR data'!$M$4:$M$61,MATCH(G274,'IR data'!$M$4:$M$61,1))))/((INDEX('IR data'!$M$4:$M$61,MATCH(G274,'IR data'!$M$4:$M$61,1)+1)-INDEX('IR data'!$M$4:$M$61,MATCH(G274,'IR data'!$M$4:$M$61,1))))) * (INDEX('IR data'!$N$4:$N$61,MATCH(G274,'IR data'!$M$4:$M$61,1))-(INDEX('IR data'!$N$4:$N$61,MATCH(G274,'IR data'!$M$4:$M$61,1)+1)))))</f>
        <v>0.9607802187692307</v>
      </c>
      <c r="I274" s="44">
        <f t="shared" si="29"/>
        <v>2.3403028353257058E-2</v>
      </c>
    </row>
    <row r="275" spans="1:9" x14ac:dyDescent="0.25">
      <c r="A275" s="45">
        <f t="shared" si="25"/>
        <v>45563</v>
      </c>
      <c r="B275" s="14" cm="1">
        <f t="array" ref="B275">_xlfn.IFNA(INDEX('IR data'!$D$4:$D$61,MATCH(A275,'IR data'!$C$4:$C$61,0)),((INDEX('IR data'!$D$4:$D$61,MATCH(A275,'IR data'!$C$4:$C$61,1)))-((A275-(INDEX('IR data'!$C$4:$C$61,MATCH(A275,'IR data'!$C$4:$C$61,1))))/((INDEX('IR data'!$C$4:$C$61,MATCH(A275,'IR data'!$C$4:$C$61,1)+1)-INDEX('IR data'!$C$4:$C$61,MATCH(A275,'IR data'!$C$4:$C$61,1))))) * (INDEX('IR data'!$D$4:$D$61,MATCH(A275,'IR data'!$C$4:$C$61,1))-(INDEX('IR data'!$D$4:$D$61,MATCH(A275,'IR data'!$C$4:$C$61,1)+1)))))</f>
        <v>0.96158865265217397</v>
      </c>
      <c r="C275" s="30">
        <f t="shared" si="26"/>
        <v>2.2826818544404728E-2</v>
      </c>
      <c r="D275" s="45">
        <f t="shared" si="27"/>
        <v>45623</v>
      </c>
      <c r="E275" s="14" cm="1">
        <f t="array" ref="E275">_xlfn.IFNA(INDEX('IR data'!$I$4:$I$61,MATCH(D275,'IR data'!$H$4:$H$61,0)),((INDEX('IR data'!$I$4:$I$61,MATCH(D275,'IR data'!$H$4:$H$61,1)))-((D275-(INDEX('IR data'!$H$4:$H$61,MATCH(D275,'IR data'!$H$4:$H$61,1))))/((INDEX('IR data'!$H$4:$H$61,MATCH(D275,'IR data'!$H$4:$H$61,1)+1)-INDEX('IR data'!$H$4:$H$61,MATCH(D275,'IR data'!$H$4:$H$61,1))))) * (INDEX('IR data'!$I$4:$I$61,MATCH(D275,'IR data'!$H$4:$H$61,1))-(INDEX('IR data'!$I$4:$I$61,MATCH(D275,'IR data'!$H$4:$H$61,1)+1)))))</f>
        <v>0.96051571138461544</v>
      </c>
      <c r="F275" s="30">
        <f t="shared" si="28"/>
        <v>2.3477453357714308E-2</v>
      </c>
      <c r="G275" s="45">
        <f t="shared" si="24"/>
        <v>45657</v>
      </c>
      <c r="H275" s="14" cm="1">
        <f t="array" ref="H275">_xlfn.IFNA(INDEX('IR data'!$N$4:$N$61,MATCH(G275,'IR data'!$M$4:$M$61,0)),((INDEX('IR data'!$N$4:$N$61,MATCH(G275,'IR data'!$M$4:$M$61,1)))-((G275-(INDEX('IR data'!$M$4:$M$61,MATCH(G275,'IR data'!$M$4:$M$61,1))))/((INDEX('IR data'!$M$4:$M$61,MATCH(G275,'IR data'!$M$4:$M$61,1)+1)-INDEX('IR data'!$M$4:$M$61,MATCH(G275,'IR data'!$M$4:$M$61,1))))) * (INDEX('IR data'!$N$4:$N$61,MATCH(G275,'IR data'!$M$4:$M$61,1))-(INDEX('IR data'!$N$4:$N$61,MATCH(G275,'IR data'!$M$4:$M$61,1)+1)))))</f>
        <v>0.96064435265934067</v>
      </c>
      <c r="I275" s="44">
        <f t="shared" si="29"/>
        <v>2.3399406566428197E-2</v>
      </c>
    </row>
    <row r="276" spans="1:9" x14ac:dyDescent="0.25">
      <c r="A276" s="45">
        <f t="shared" si="25"/>
        <v>45564</v>
      </c>
      <c r="B276" s="14" cm="1">
        <f t="array" ref="B276">_xlfn.IFNA(INDEX('IR data'!$D$4:$D$61,MATCH(A276,'IR data'!$C$4:$C$61,0)),((INDEX('IR data'!$D$4:$D$61,MATCH(A276,'IR data'!$C$4:$C$61,1)))-((A276-(INDEX('IR data'!$C$4:$C$61,MATCH(A276,'IR data'!$C$4:$C$61,1))))/((INDEX('IR data'!$C$4:$C$61,MATCH(A276,'IR data'!$C$4:$C$61,1)+1)-INDEX('IR data'!$C$4:$C$61,MATCH(A276,'IR data'!$C$4:$C$61,1))))) * (INDEX('IR data'!$D$4:$D$61,MATCH(A276,'IR data'!$C$4:$C$61,1))-(INDEX('IR data'!$D$4:$D$61,MATCH(A276,'IR data'!$C$4:$C$61,1)+1)))))</f>
        <v>0.96146279952173919</v>
      </c>
      <c r="C276" s="30">
        <f t="shared" si="26"/>
        <v>2.2819204533393634E-2</v>
      </c>
      <c r="D276" s="45">
        <f t="shared" si="27"/>
        <v>45624</v>
      </c>
      <c r="E276" s="14" cm="1">
        <f t="array" ref="E276">_xlfn.IFNA(INDEX('IR data'!$I$4:$I$61,MATCH(D276,'IR data'!$H$4:$H$61,0)),((INDEX('IR data'!$I$4:$I$61,MATCH(D276,'IR data'!$H$4:$H$61,1)))-((D276-(INDEX('IR data'!$H$4:$H$61,MATCH(D276,'IR data'!$H$4:$H$61,1))))/((INDEX('IR data'!$H$4:$H$61,MATCH(D276,'IR data'!$H$4:$H$61,1)+1)-INDEX('IR data'!$H$4:$H$61,MATCH(D276,'IR data'!$H$4:$H$61,1))))) * (INDEX('IR data'!$I$4:$I$61,MATCH(D276,'IR data'!$H$4:$H$61,1))-(INDEX('IR data'!$I$4:$I$61,MATCH(D276,'IR data'!$H$4:$H$61,1)+1)))))</f>
        <v>0.96037993904395613</v>
      </c>
      <c r="F276" s="30">
        <f t="shared" si="28"/>
        <v>2.3473538140117229E-2</v>
      </c>
      <c r="G276" s="45">
        <f t="shared" si="24"/>
        <v>45658</v>
      </c>
      <c r="H276" s="14" cm="1">
        <f t="array" ref="H276">_xlfn.IFNA(INDEX('IR data'!$N$4:$N$61,MATCH(G276,'IR data'!$M$4:$M$61,0)),((INDEX('IR data'!$N$4:$N$61,MATCH(G276,'IR data'!$M$4:$M$61,1)))-((G276-(INDEX('IR data'!$M$4:$M$61,MATCH(G276,'IR data'!$M$4:$M$61,1))))/((INDEX('IR data'!$M$4:$M$61,MATCH(G276,'IR data'!$M$4:$M$61,1)+1)-INDEX('IR data'!$M$4:$M$61,MATCH(G276,'IR data'!$M$4:$M$61,1))))) * (INDEX('IR data'!$N$4:$N$61,MATCH(G276,'IR data'!$M$4:$M$61,1))-(INDEX('IR data'!$N$4:$N$61,MATCH(G276,'IR data'!$M$4:$M$61,1)+1)))))</f>
        <v>0.96050848654945054</v>
      </c>
      <c r="I276" s="44">
        <f t="shared" si="29"/>
        <v>2.3395822927631194E-2</v>
      </c>
    </row>
    <row r="277" spans="1:9" x14ac:dyDescent="0.25">
      <c r="A277" s="45">
        <f t="shared" si="25"/>
        <v>45565</v>
      </c>
      <c r="B277" s="14" cm="1">
        <f t="array" ref="B277">_xlfn.IFNA(INDEX('IR data'!$D$4:$D$61,MATCH(A277,'IR data'!$C$4:$C$61,0)),((INDEX('IR data'!$D$4:$D$61,MATCH(A277,'IR data'!$C$4:$C$61,1)))-((A277-(INDEX('IR data'!$C$4:$C$61,MATCH(A277,'IR data'!$C$4:$C$61,1))))/((INDEX('IR data'!$C$4:$C$61,MATCH(A277,'IR data'!$C$4:$C$61,1)+1)-INDEX('IR data'!$C$4:$C$61,MATCH(A277,'IR data'!$C$4:$C$61,1))))) * (INDEX('IR data'!$D$4:$D$61,MATCH(A277,'IR data'!$C$4:$C$61,1))-(INDEX('IR data'!$D$4:$D$61,MATCH(A277,'IR data'!$C$4:$C$61,1)+1)))))</f>
        <v>0.9613369463913044</v>
      </c>
      <c r="C277" s="30">
        <f t="shared" si="26"/>
        <v>2.2811656011753393E-2</v>
      </c>
      <c r="D277" s="45">
        <f t="shared" si="27"/>
        <v>45625</v>
      </c>
      <c r="E277" s="14" cm="1">
        <f t="array" ref="E277">_xlfn.IFNA(INDEX('IR data'!$I$4:$I$61,MATCH(D277,'IR data'!$H$4:$H$61,0)),((INDEX('IR data'!$I$4:$I$61,MATCH(D277,'IR data'!$H$4:$H$61,1)))-((D277-(INDEX('IR data'!$H$4:$H$61,MATCH(D277,'IR data'!$H$4:$H$61,1))))/((INDEX('IR data'!$H$4:$H$61,MATCH(D277,'IR data'!$H$4:$H$61,1)+1)-INDEX('IR data'!$H$4:$H$61,MATCH(D277,'IR data'!$H$4:$H$61,1))))) * (INDEX('IR data'!$I$4:$I$61,MATCH(D277,'IR data'!$H$4:$H$61,1))-(INDEX('IR data'!$I$4:$I$61,MATCH(D277,'IR data'!$H$4:$H$61,1)+1)))))</f>
        <v>0.96024416670329671</v>
      </c>
      <c r="F277" s="30">
        <f t="shared" si="28"/>
        <v>2.3469663063552304E-2</v>
      </c>
      <c r="G277" s="45">
        <f t="shared" si="24"/>
        <v>45659</v>
      </c>
      <c r="H277" s="14" cm="1">
        <f t="array" ref="H277">_xlfn.IFNA(INDEX('IR data'!$N$4:$N$61,MATCH(G277,'IR data'!$M$4:$M$61,0)),((INDEX('IR data'!$N$4:$N$61,MATCH(G277,'IR data'!$M$4:$M$61,1)))-((G277-(INDEX('IR data'!$M$4:$M$61,MATCH(G277,'IR data'!$M$4:$M$61,1))))/((INDEX('IR data'!$M$4:$M$61,MATCH(G277,'IR data'!$M$4:$M$61,1)+1)-INDEX('IR data'!$M$4:$M$61,MATCH(G277,'IR data'!$M$4:$M$61,1))))) * (INDEX('IR data'!$N$4:$N$61,MATCH(G277,'IR data'!$M$4:$M$61,1))-(INDEX('IR data'!$N$4:$N$61,MATCH(G277,'IR data'!$M$4:$M$61,1)+1)))))</f>
        <v>0.9603726204395604</v>
      </c>
      <c r="I277" s="44">
        <f t="shared" si="29"/>
        <v>2.3392277022460908E-2</v>
      </c>
    </row>
    <row r="278" spans="1:9" x14ac:dyDescent="0.25">
      <c r="A278" s="45">
        <f t="shared" si="25"/>
        <v>45566</v>
      </c>
      <c r="B278" s="14" cm="1">
        <f t="array" ref="B278">_xlfn.IFNA(INDEX('IR data'!$D$4:$D$61,MATCH(A278,'IR data'!$C$4:$C$61,0)),((INDEX('IR data'!$D$4:$D$61,MATCH(A278,'IR data'!$C$4:$C$61,1)))-((A278-(INDEX('IR data'!$C$4:$C$61,MATCH(A278,'IR data'!$C$4:$C$61,1))))/((INDEX('IR data'!$C$4:$C$61,MATCH(A278,'IR data'!$C$4:$C$61,1)+1)-INDEX('IR data'!$C$4:$C$61,MATCH(A278,'IR data'!$C$4:$C$61,1))))) * (INDEX('IR data'!$D$4:$D$61,MATCH(A278,'IR data'!$C$4:$C$61,1))-(INDEX('IR data'!$D$4:$D$61,MATCH(A278,'IR data'!$C$4:$C$61,1)+1)))))</f>
        <v>0.96121109326086962</v>
      </c>
      <c r="C278" s="30">
        <f t="shared" si="26"/>
        <v>2.2804172267640664E-2</v>
      </c>
      <c r="D278" s="45">
        <f t="shared" si="27"/>
        <v>45626</v>
      </c>
      <c r="E278" s="14" cm="1">
        <f t="array" ref="E278">_xlfn.IFNA(INDEX('IR data'!$I$4:$I$61,MATCH(D278,'IR data'!$H$4:$H$61,0)),((INDEX('IR data'!$I$4:$I$61,MATCH(D278,'IR data'!$H$4:$H$61,1)))-((D278-(INDEX('IR data'!$H$4:$H$61,MATCH(D278,'IR data'!$H$4:$H$61,1))))/((INDEX('IR data'!$H$4:$H$61,MATCH(D278,'IR data'!$H$4:$H$61,1)+1)-INDEX('IR data'!$H$4:$H$61,MATCH(D278,'IR data'!$H$4:$H$61,1))))) * (INDEX('IR data'!$I$4:$I$61,MATCH(D278,'IR data'!$H$4:$H$61,1))-(INDEX('IR data'!$I$4:$I$61,MATCH(D278,'IR data'!$H$4:$H$61,1)+1)))))</f>
        <v>0.9601083943626374</v>
      </c>
      <c r="F278" s="30">
        <f t="shared" si="28"/>
        <v>2.3465827693375376E-2</v>
      </c>
      <c r="G278" s="45">
        <f t="shared" si="24"/>
        <v>45660</v>
      </c>
      <c r="H278" s="14" cm="1">
        <f t="array" ref="H278">_xlfn.IFNA(INDEX('IR data'!$N$4:$N$61,MATCH(G278,'IR data'!$M$4:$M$61,0)),((INDEX('IR data'!$N$4:$N$61,MATCH(G278,'IR data'!$M$4:$M$61,1)))-((G278-(INDEX('IR data'!$M$4:$M$61,MATCH(G278,'IR data'!$M$4:$M$61,1))))/((INDEX('IR data'!$M$4:$M$61,MATCH(G278,'IR data'!$M$4:$M$61,1)+1)-INDEX('IR data'!$M$4:$M$61,MATCH(G278,'IR data'!$M$4:$M$61,1))))) * (INDEX('IR data'!$N$4:$N$61,MATCH(G278,'IR data'!$M$4:$M$61,1))-(INDEX('IR data'!$N$4:$N$61,MATCH(G278,'IR data'!$M$4:$M$61,1)+1)))))</f>
        <v>0.96023675432967026</v>
      </c>
      <c r="I278" s="44">
        <f t="shared" si="29"/>
        <v>2.3388768442541383E-2</v>
      </c>
    </row>
    <row r="279" spans="1:9" x14ac:dyDescent="0.25">
      <c r="A279" s="45">
        <f t="shared" si="25"/>
        <v>45567</v>
      </c>
      <c r="B279" s="14" cm="1">
        <f t="array" ref="B279">_xlfn.IFNA(INDEX('IR data'!$D$4:$D$61,MATCH(A279,'IR data'!$C$4:$C$61,0)),((INDEX('IR data'!$D$4:$D$61,MATCH(A279,'IR data'!$C$4:$C$61,1)))-((A279-(INDEX('IR data'!$C$4:$C$61,MATCH(A279,'IR data'!$C$4:$C$61,1))))/((INDEX('IR data'!$C$4:$C$61,MATCH(A279,'IR data'!$C$4:$C$61,1)+1)-INDEX('IR data'!$C$4:$C$61,MATCH(A279,'IR data'!$C$4:$C$61,1))))) * (INDEX('IR data'!$D$4:$D$61,MATCH(A279,'IR data'!$C$4:$C$61,1))-(INDEX('IR data'!$D$4:$D$61,MATCH(A279,'IR data'!$C$4:$C$61,1)+1)))))</f>
        <v>0.96108524013043484</v>
      </c>
      <c r="C279" s="30">
        <f t="shared" si="26"/>
        <v>2.2796752599529679E-2</v>
      </c>
      <c r="D279" s="45">
        <f t="shared" si="27"/>
        <v>45627</v>
      </c>
      <c r="E279" s="14" cm="1">
        <f t="array" ref="E279">_xlfn.IFNA(INDEX('IR data'!$I$4:$I$61,MATCH(D279,'IR data'!$H$4:$H$61,0)),((INDEX('IR data'!$I$4:$I$61,MATCH(D279,'IR data'!$H$4:$H$61,1)))-((D279-(INDEX('IR data'!$H$4:$H$61,MATCH(D279,'IR data'!$H$4:$H$61,1))))/((INDEX('IR data'!$H$4:$H$61,MATCH(D279,'IR data'!$H$4:$H$61,1)+1)-INDEX('IR data'!$H$4:$H$61,MATCH(D279,'IR data'!$H$4:$H$61,1))))) * (INDEX('IR data'!$I$4:$I$61,MATCH(D279,'IR data'!$H$4:$H$61,1))-(INDEX('IR data'!$I$4:$I$61,MATCH(D279,'IR data'!$H$4:$H$61,1)+1)))))</f>
        <v>0.95997262202197808</v>
      </c>
      <c r="F279" s="30">
        <f t="shared" si="28"/>
        <v>2.3462031601243067E-2</v>
      </c>
      <c r="G279" s="45">
        <f t="shared" si="24"/>
        <v>45661</v>
      </c>
      <c r="H279" s="14" cm="1">
        <f t="array" ref="H279">_xlfn.IFNA(INDEX('IR data'!$N$4:$N$61,MATCH(G279,'IR data'!$M$4:$M$61,0)),((INDEX('IR data'!$N$4:$N$61,MATCH(G279,'IR data'!$M$4:$M$61,1)))-((G279-(INDEX('IR data'!$M$4:$M$61,MATCH(G279,'IR data'!$M$4:$M$61,1))))/((INDEX('IR data'!$M$4:$M$61,MATCH(G279,'IR data'!$M$4:$M$61,1)+1)-INDEX('IR data'!$M$4:$M$61,MATCH(G279,'IR data'!$M$4:$M$61,1))))) * (INDEX('IR data'!$N$4:$N$61,MATCH(G279,'IR data'!$M$4:$M$61,1))-(INDEX('IR data'!$N$4:$N$61,MATCH(G279,'IR data'!$M$4:$M$61,1)+1)))))</f>
        <v>0.96010088821978024</v>
      </c>
      <c r="I279" s="44">
        <f t="shared" si="29"/>
        <v>2.3385296785416444E-2</v>
      </c>
    </row>
    <row r="280" spans="1:9" x14ac:dyDescent="0.25">
      <c r="A280" s="45">
        <f t="shared" si="25"/>
        <v>45568</v>
      </c>
      <c r="B280" s="14" cm="1">
        <f t="array" ref="B280">_xlfn.IFNA(INDEX('IR data'!$D$4:$D$61,MATCH(A280,'IR data'!$C$4:$C$61,0)),((INDEX('IR data'!$D$4:$D$61,MATCH(A280,'IR data'!$C$4:$C$61,1)))-((A280-(INDEX('IR data'!$C$4:$C$61,MATCH(A280,'IR data'!$C$4:$C$61,1))))/((INDEX('IR data'!$C$4:$C$61,MATCH(A280,'IR data'!$C$4:$C$61,1)+1)-INDEX('IR data'!$C$4:$C$61,MATCH(A280,'IR data'!$C$4:$C$61,1))))) * (INDEX('IR data'!$D$4:$D$61,MATCH(A280,'IR data'!$C$4:$C$61,1))-(INDEX('IR data'!$D$4:$D$61,MATCH(A280,'IR data'!$C$4:$C$61,1)+1)))))</f>
        <v>0.96095938700000005</v>
      </c>
      <c r="C280" s="30">
        <f t="shared" si="26"/>
        <v>2.2789396316026018E-2</v>
      </c>
      <c r="D280" s="45">
        <f t="shared" si="27"/>
        <v>45628</v>
      </c>
      <c r="E280" s="14" cm="1">
        <f t="array" ref="E280">_xlfn.IFNA(INDEX('IR data'!$I$4:$I$61,MATCH(D280,'IR data'!$H$4:$H$61,0)),((INDEX('IR data'!$I$4:$I$61,MATCH(D280,'IR data'!$H$4:$H$61,1)))-((D280-(INDEX('IR data'!$H$4:$H$61,MATCH(D280,'IR data'!$H$4:$H$61,1))))/((INDEX('IR data'!$H$4:$H$61,MATCH(D280,'IR data'!$H$4:$H$61,1)+1)-INDEX('IR data'!$H$4:$H$61,MATCH(D280,'IR data'!$H$4:$H$61,1))))) * (INDEX('IR data'!$I$4:$I$61,MATCH(D280,'IR data'!$H$4:$H$61,1))-(INDEX('IR data'!$I$4:$I$61,MATCH(D280,'IR data'!$H$4:$H$61,1)+1)))))</f>
        <v>0.95983684968131877</v>
      </c>
      <c r="F280" s="30">
        <f t="shared" si="28"/>
        <v>2.3458274364998758E-2</v>
      </c>
      <c r="G280" s="45">
        <f t="shared" si="24"/>
        <v>45662</v>
      </c>
      <c r="H280" s="14" cm="1">
        <f t="array" ref="H280">_xlfn.IFNA(INDEX('IR data'!$N$4:$N$61,MATCH(G280,'IR data'!$M$4:$M$61,0)),((INDEX('IR data'!$N$4:$N$61,MATCH(G280,'IR data'!$M$4:$M$61,1)))-((G280-(INDEX('IR data'!$M$4:$M$61,MATCH(G280,'IR data'!$M$4:$M$61,1))))/((INDEX('IR data'!$M$4:$M$61,MATCH(G280,'IR data'!$M$4:$M$61,1)+1)-INDEX('IR data'!$M$4:$M$61,MATCH(G280,'IR data'!$M$4:$M$61,1))))) * (INDEX('IR data'!$N$4:$N$61,MATCH(G280,'IR data'!$M$4:$M$61,1))-(INDEX('IR data'!$N$4:$N$61,MATCH(G280,'IR data'!$M$4:$M$61,1)+1)))))</f>
        <v>0.9599650221098901</v>
      </c>
      <c r="I280" s="44">
        <f t="shared" si="29"/>
        <v>2.3381861654443153E-2</v>
      </c>
    </row>
    <row r="281" spans="1:9" x14ac:dyDescent="0.25">
      <c r="A281" s="45">
        <f t="shared" si="25"/>
        <v>45569</v>
      </c>
      <c r="B281" s="14" cm="1">
        <f t="array" ref="B281">_xlfn.IFNA(INDEX('IR data'!$D$4:$D$61,MATCH(A281,'IR data'!$C$4:$C$61,0)),((INDEX('IR data'!$D$4:$D$61,MATCH(A281,'IR data'!$C$4:$C$61,1)))-((A281-(INDEX('IR data'!$C$4:$C$61,MATCH(A281,'IR data'!$C$4:$C$61,1))))/((INDEX('IR data'!$C$4:$C$61,MATCH(A281,'IR data'!$C$4:$C$61,1)+1)-INDEX('IR data'!$C$4:$C$61,MATCH(A281,'IR data'!$C$4:$C$61,1))))) * (INDEX('IR data'!$D$4:$D$61,MATCH(A281,'IR data'!$C$4:$C$61,1))-(INDEX('IR data'!$D$4:$D$61,MATCH(A281,'IR data'!$C$4:$C$61,1)+1)))))</f>
        <v>0.96084613272826092</v>
      </c>
      <c r="C281" s="30">
        <f t="shared" si="26"/>
        <v>2.2774625990396102E-2</v>
      </c>
      <c r="D281" s="45">
        <f t="shared" si="27"/>
        <v>45629</v>
      </c>
      <c r="E281" s="14" cm="1">
        <f t="array" ref="E281">_xlfn.IFNA(INDEX('IR data'!$I$4:$I$61,MATCH(D281,'IR data'!$H$4:$H$61,0)),((INDEX('IR data'!$I$4:$I$61,MATCH(D281,'IR data'!$H$4:$H$61,1)))-((D281-(INDEX('IR data'!$H$4:$H$61,MATCH(D281,'IR data'!$H$4:$H$61,1))))/((INDEX('IR data'!$H$4:$H$61,MATCH(D281,'IR data'!$H$4:$H$61,1)+1)-INDEX('IR data'!$H$4:$H$61,MATCH(D281,'IR data'!$H$4:$H$61,1))))) * (INDEX('IR data'!$I$4:$I$61,MATCH(D281,'IR data'!$H$4:$H$61,1))-(INDEX('IR data'!$I$4:$I$61,MATCH(D281,'IR data'!$H$4:$H$61,1)+1)))))</f>
        <v>0.95970107734065935</v>
      </c>
      <c r="F281" s="30">
        <f t="shared" si="28"/>
        <v>2.3454555568561467E-2</v>
      </c>
      <c r="G281" s="45">
        <f t="shared" si="24"/>
        <v>45663</v>
      </c>
      <c r="H281" s="14" cm="1">
        <f t="array" ref="H281">_xlfn.IFNA(INDEX('IR data'!$N$4:$N$61,MATCH(G281,'IR data'!$M$4:$M$61,0)),((INDEX('IR data'!$N$4:$N$61,MATCH(G281,'IR data'!$M$4:$M$61,1)))-((G281-(INDEX('IR data'!$M$4:$M$61,MATCH(G281,'IR data'!$M$4:$M$61,1))))/((INDEX('IR data'!$M$4:$M$61,MATCH(G281,'IR data'!$M$4:$M$61,1)+1)-INDEX('IR data'!$M$4:$M$61,MATCH(G281,'IR data'!$M$4:$M$61,1))))) * (INDEX('IR data'!$N$4:$N$61,MATCH(G281,'IR data'!$M$4:$M$61,1))-(INDEX('IR data'!$N$4:$N$61,MATCH(G281,'IR data'!$M$4:$M$61,1)+1)))))</f>
        <v>0.95982915599999996</v>
      </c>
      <c r="I281" s="44">
        <f t="shared" si="29"/>
        <v>2.3378462658686833E-2</v>
      </c>
    </row>
    <row r="282" spans="1:9" x14ac:dyDescent="0.25">
      <c r="A282" s="45">
        <f t="shared" si="25"/>
        <v>45570</v>
      </c>
      <c r="B282" s="14" cm="1">
        <f t="array" ref="B282">_xlfn.IFNA(INDEX('IR data'!$D$4:$D$61,MATCH(A282,'IR data'!$C$4:$C$61,0)),((INDEX('IR data'!$D$4:$D$61,MATCH(A282,'IR data'!$C$4:$C$61,1)))-((A282-(INDEX('IR data'!$C$4:$C$61,MATCH(A282,'IR data'!$C$4:$C$61,1))))/((INDEX('IR data'!$C$4:$C$61,MATCH(A282,'IR data'!$C$4:$C$61,1)+1)-INDEX('IR data'!$C$4:$C$61,MATCH(A282,'IR data'!$C$4:$C$61,1))))) * (INDEX('IR data'!$D$4:$D$61,MATCH(A282,'IR data'!$C$4:$C$61,1))-(INDEX('IR data'!$D$4:$D$61,MATCH(A282,'IR data'!$C$4:$C$61,1)+1)))))</f>
        <v>0.96073287845652178</v>
      </c>
      <c r="C282" s="30">
        <f t="shared" si="26"/>
        <v>2.2759969438824853E-2</v>
      </c>
      <c r="D282" s="45">
        <f t="shared" si="27"/>
        <v>45630</v>
      </c>
      <c r="E282" s="14" cm="1">
        <f t="array" ref="E282">_xlfn.IFNA(INDEX('IR data'!$I$4:$I$61,MATCH(D282,'IR data'!$H$4:$H$61,0)),((INDEX('IR data'!$I$4:$I$61,MATCH(D282,'IR data'!$H$4:$H$61,1)))-((D282-(INDEX('IR data'!$H$4:$H$61,MATCH(D282,'IR data'!$H$4:$H$61,1))))/((INDEX('IR data'!$H$4:$H$61,MATCH(D282,'IR data'!$H$4:$H$61,1)+1)-INDEX('IR data'!$H$4:$H$61,MATCH(D282,'IR data'!$H$4:$H$61,1))))) * (INDEX('IR data'!$I$4:$I$61,MATCH(D282,'IR data'!$H$4:$H$61,1))-(INDEX('IR data'!$I$4:$I$61,MATCH(D282,'IR data'!$H$4:$H$61,1)+1)))))</f>
        <v>0.95956530500000004</v>
      </c>
      <c r="F282" s="30">
        <f t="shared" si="28"/>
        <v>2.345087480181671E-2</v>
      </c>
      <c r="G282" s="45">
        <f t="shared" si="24"/>
        <v>45664</v>
      </c>
      <c r="H282" s="14" cm="1">
        <f t="array" ref="H282">_xlfn.IFNA(INDEX('IR data'!$N$4:$N$61,MATCH(G282,'IR data'!$M$4:$M$61,0)),((INDEX('IR data'!$N$4:$N$61,MATCH(G282,'IR data'!$M$4:$M$61,1)))-((G282-(INDEX('IR data'!$M$4:$M$61,MATCH(G282,'IR data'!$M$4:$M$61,1))))/((INDEX('IR data'!$M$4:$M$61,MATCH(G282,'IR data'!$M$4:$M$61,1)+1)-INDEX('IR data'!$M$4:$M$61,MATCH(G282,'IR data'!$M$4:$M$61,1))))) * (INDEX('IR data'!$N$4:$N$61,MATCH(G282,'IR data'!$M$4:$M$61,1))-(INDEX('IR data'!$N$4:$N$61,MATCH(G282,'IR data'!$M$4:$M$61,1)+1)))))</f>
        <v>0.959702306054945</v>
      </c>
      <c r="I282" s="44">
        <f t="shared" si="29"/>
        <v>2.3369761637157201E-2</v>
      </c>
    </row>
    <row r="283" spans="1:9" x14ac:dyDescent="0.25">
      <c r="A283" s="45">
        <f t="shared" si="25"/>
        <v>45571</v>
      </c>
      <c r="B283" s="14" cm="1">
        <f t="array" ref="B283">_xlfn.IFNA(INDEX('IR data'!$D$4:$D$61,MATCH(A283,'IR data'!$C$4:$C$61,0)),((INDEX('IR data'!$D$4:$D$61,MATCH(A283,'IR data'!$C$4:$C$61,1)))-((A283-(INDEX('IR data'!$C$4:$C$61,MATCH(A283,'IR data'!$C$4:$C$61,1))))/((INDEX('IR data'!$C$4:$C$61,MATCH(A283,'IR data'!$C$4:$C$61,1)+1)-INDEX('IR data'!$C$4:$C$61,MATCH(A283,'IR data'!$C$4:$C$61,1))))) * (INDEX('IR data'!$D$4:$D$61,MATCH(A283,'IR data'!$C$4:$C$61,1))-(INDEX('IR data'!$D$4:$D$61,MATCH(A283,'IR data'!$C$4:$C$61,1)+1)))))</f>
        <v>0.96061962418478264</v>
      </c>
      <c r="C283" s="30">
        <f t="shared" si="26"/>
        <v>2.2745425444159001E-2</v>
      </c>
      <c r="D283" s="45">
        <f t="shared" si="27"/>
        <v>45631</v>
      </c>
      <c r="E283" s="14" cm="1">
        <f t="array" ref="E283">_xlfn.IFNA(INDEX('IR data'!$I$4:$I$61,MATCH(D283,'IR data'!$H$4:$H$61,0)),((INDEX('IR data'!$I$4:$I$61,MATCH(D283,'IR data'!$H$4:$H$61,1)))-((D283-(INDEX('IR data'!$H$4:$H$61,MATCH(D283,'IR data'!$H$4:$H$61,1))))/((INDEX('IR data'!$H$4:$H$61,MATCH(D283,'IR data'!$H$4:$H$61,1)+1)-INDEX('IR data'!$H$4:$H$61,MATCH(D283,'IR data'!$H$4:$H$61,1))))) * (INDEX('IR data'!$I$4:$I$61,MATCH(D283,'IR data'!$H$4:$H$61,1))-(INDEX('IR data'!$I$4:$I$61,MATCH(D283,'IR data'!$H$4:$H$61,1)+1)))))</f>
        <v>0.95943972385555554</v>
      </c>
      <c r="F283" s="30">
        <f t="shared" si="28"/>
        <v>2.3441218138310183E-2</v>
      </c>
      <c r="G283" s="45">
        <f t="shared" si="24"/>
        <v>45665</v>
      </c>
      <c r="H283" s="14" cm="1">
        <f t="array" ref="H283">_xlfn.IFNA(INDEX('IR data'!$N$4:$N$61,MATCH(G283,'IR data'!$M$4:$M$61,0)),((INDEX('IR data'!$N$4:$N$61,MATCH(G283,'IR data'!$M$4:$M$61,1)))-((G283-(INDEX('IR data'!$M$4:$M$61,MATCH(G283,'IR data'!$M$4:$M$61,1))))/((INDEX('IR data'!$M$4:$M$61,MATCH(G283,'IR data'!$M$4:$M$61,1)+1)-INDEX('IR data'!$M$4:$M$61,MATCH(G283,'IR data'!$M$4:$M$61,1))))) * (INDEX('IR data'!$N$4:$N$61,MATCH(G283,'IR data'!$M$4:$M$61,1))-(INDEX('IR data'!$N$4:$N$61,MATCH(G283,'IR data'!$M$4:$M$61,1)+1)))))</f>
        <v>0.95957545610989003</v>
      </c>
      <c r="I283" s="44">
        <f t="shared" si="29"/>
        <v>2.3361132656472456E-2</v>
      </c>
    </row>
    <row r="284" spans="1:9" x14ac:dyDescent="0.25">
      <c r="A284" s="45">
        <f t="shared" si="25"/>
        <v>45572</v>
      </c>
      <c r="B284" s="14" cm="1">
        <f t="array" ref="B284">_xlfn.IFNA(INDEX('IR data'!$D$4:$D$61,MATCH(A284,'IR data'!$C$4:$C$61,0)),((INDEX('IR data'!$D$4:$D$61,MATCH(A284,'IR data'!$C$4:$C$61,1)))-((A284-(INDEX('IR data'!$C$4:$C$61,MATCH(A284,'IR data'!$C$4:$C$61,1))))/((INDEX('IR data'!$C$4:$C$61,MATCH(A284,'IR data'!$C$4:$C$61,1)+1)-INDEX('IR data'!$C$4:$C$61,MATCH(A284,'IR data'!$C$4:$C$61,1))))) * (INDEX('IR data'!$D$4:$D$61,MATCH(A284,'IR data'!$C$4:$C$61,1))-(INDEX('IR data'!$D$4:$D$61,MATCH(A284,'IR data'!$C$4:$C$61,1)+1)))))</f>
        <v>0.9605063699130435</v>
      </c>
      <c r="C284" s="30">
        <f t="shared" si="26"/>
        <v>2.2730992806571964E-2</v>
      </c>
      <c r="D284" s="45">
        <f t="shared" si="27"/>
        <v>45632</v>
      </c>
      <c r="E284" s="14" cm="1">
        <f t="array" ref="E284">_xlfn.IFNA(INDEX('IR data'!$I$4:$I$61,MATCH(D284,'IR data'!$H$4:$H$61,0)),((INDEX('IR data'!$I$4:$I$61,MATCH(D284,'IR data'!$H$4:$H$61,1)))-((D284-(INDEX('IR data'!$H$4:$H$61,MATCH(D284,'IR data'!$H$4:$H$61,1))))/((INDEX('IR data'!$H$4:$H$61,MATCH(D284,'IR data'!$H$4:$H$61,1)+1)-INDEX('IR data'!$H$4:$H$61,MATCH(D284,'IR data'!$H$4:$H$61,1))))) * (INDEX('IR data'!$I$4:$I$61,MATCH(D284,'IR data'!$H$4:$H$61,1))-(INDEX('IR data'!$I$4:$I$61,MATCH(D284,'IR data'!$H$4:$H$61,1)+1)))))</f>
        <v>0.95931414271111115</v>
      </c>
      <c r="F284" s="30">
        <f t="shared" si="28"/>
        <v>2.3431639870114887E-2</v>
      </c>
      <c r="G284" s="45">
        <f t="shared" si="24"/>
        <v>45666</v>
      </c>
      <c r="H284" s="14" cm="1">
        <f t="array" ref="H284">_xlfn.IFNA(INDEX('IR data'!$N$4:$N$61,MATCH(G284,'IR data'!$M$4:$M$61,0)),((INDEX('IR data'!$N$4:$N$61,MATCH(G284,'IR data'!$M$4:$M$61,1)))-((G284-(INDEX('IR data'!$M$4:$M$61,MATCH(G284,'IR data'!$M$4:$M$61,1))))/((INDEX('IR data'!$M$4:$M$61,MATCH(G284,'IR data'!$M$4:$M$61,1)+1)-INDEX('IR data'!$M$4:$M$61,MATCH(G284,'IR data'!$M$4:$M$61,1))))) * (INDEX('IR data'!$N$4:$N$61,MATCH(G284,'IR data'!$M$4:$M$61,1))-(INDEX('IR data'!$N$4:$N$61,MATCH(G284,'IR data'!$M$4:$M$61,1)+1)))))</f>
        <v>0.95944860616483507</v>
      </c>
      <c r="I284" s="44">
        <f t="shared" si="29"/>
        <v>2.3352574950119095E-2</v>
      </c>
    </row>
    <row r="285" spans="1:9" x14ac:dyDescent="0.25">
      <c r="A285" s="45">
        <f t="shared" si="25"/>
        <v>45573</v>
      </c>
      <c r="B285" s="14" cm="1">
        <f t="array" ref="B285">_xlfn.IFNA(INDEX('IR data'!$D$4:$D$61,MATCH(A285,'IR data'!$C$4:$C$61,0)),((INDEX('IR data'!$D$4:$D$61,MATCH(A285,'IR data'!$C$4:$C$61,1)))-((A285-(INDEX('IR data'!$C$4:$C$61,MATCH(A285,'IR data'!$C$4:$C$61,1))))/((INDEX('IR data'!$C$4:$C$61,MATCH(A285,'IR data'!$C$4:$C$61,1)+1)-INDEX('IR data'!$C$4:$C$61,MATCH(A285,'IR data'!$C$4:$C$61,1))))) * (INDEX('IR data'!$D$4:$D$61,MATCH(A285,'IR data'!$C$4:$C$61,1))-(INDEX('IR data'!$D$4:$D$61,MATCH(A285,'IR data'!$C$4:$C$61,1)+1)))))</f>
        <v>0.96039311564130436</v>
      </c>
      <c r="C285" s="30">
        <f t="shared" si="26"/>
        <v>2.2716670343256622E-2</v>
      </c>
      <c r="D285" s="45">
        <f t="shared" si="27"/>
        <v>45633</v>
      </c>
      <c r="E285" s="14" cm="1">
        <f t="array" ref="E285">_xlfn.IFNA(INDEX('IR data'!$I$4:$I$61,MATCH(D285,'IR data'!$H$4:$H$61,0)),((INDEX('IR data'!$I$4:$I$61,MATCH(D285,'IR data'!$H$4:$H$61,1)))-((D285-(INDEX('IR data'!$H$4:$H$61,MATCH(D285,'IR data'!$H$4:$H$61,1))))/((INDEX('IR data'!$H$4:$H$61,MATCH(D285,'IR data'!$H$4:$H$61,1)+1)-INDEX('IR data'!$H$4:$H$61,MATCH(D285,'IR data'!$H$4:$H$61,1))))) * (INDEX('IR data'!$I$4:$I$61,MATCH(D285,'IR data'!$H$4:$H$61,1))-(INDEX('IR data'!$I$4:$I$61,MATCH(D285,'IR data'!$H$4:$H$61,1)+1)))))</f>
        <v>0.95918856156666665</v>
      </c>
      <c r="F285" s="30">
        <f t="shared" si="28"/>
        <v>2.3422139165759793E-2</v>
      </c>
      <c r="G285" s="45">
        <f t="shared" si="24"/>
        <v>45667</v>
      </c>
      <c r="H285" s="14" cm="1">
        <f t="array" ref="H285">_xlfn.IFNA(INDEX('IR data'!$N$4:$N$61,MATCH(G285,'IR data'!$M$4:$M$61,0)),((INDEX('IR data'!$N$4:$N$61,MATCH(G285,'IR data'!$M$4:$M$61,1)))-((G285-(INDEX('IR data'!$M$4:$M$61,MATCH(G285,'IR data'!$M$4:$M$61,1))))/((INDEX('IR data'!$M$4:$M$61,MATCH(G285,'IR data'!$M$4:$M$61,1)+1)-INDEX('IR data'!$M$4:$M$61,MATCH(G285,'IR data'!$M$4:$M$61,1))))) * (INDEX('IR data'!$N$4:$N$61,MATCH(G285,'IR data'!$M$4:$M$61,1))-(INDEX('IR data'!$N$4:$N$61,MATCH(G285,'IR data'!$M$4:$M$61,1)+1)))))</f>
        <v>0.95932175621978022</v>
      </c>
      <c r="I285" s="44">
        <f t="shared" si="29"/>
        <v>2.3344087762457111E-2</v>
      </c>
    </row>
    <row r="286" spans="1:9" x14ac:dyDescent="0.25">
      <c r="A286" s="45">
        <f t="shared" si="25"/>
        <v>45574</v>
      </c>
      <c r="B286" s="14" cm="1">
        <f t="array" ref="B286">_xlfn.IFNA(INDEX('IR data'!$D$4:$D$61,MATCH(A286,'IR data'!$C$4:$C$61,0)),((INDEX('IR data'!$D$4:$D$61,MATCH(A286,'IR data'!$C$4:$C$61,1)))-((A286-(INDEX('IR data'!$C$4:$C$61,MATCH(A286,'IR data'!$C$4:$C$61,1))))/((INDEX('IR data'!$C$4:$C$61,MATCH(A286,'IR data'!$C$4:$C$61,1)+1)-INDEX('IR data'!$C$4:$C$61,MATCH(A286,'IR data'!$C$4:$C$61,1))))) * (INDEX('IR data'!$D$4:$D$61,MATCH(A286,'IR data'!$C$4:$C$61,1))-(INDEX('IR data'!$D$4:$D$61,MATCH(A286,'IR data'!$C$4:$C$61,1)+1)))))</f>
        <v>0.96027986136956522</v>
      </c>
      <c r="C286" s="30">
        <f t="shared" si="26"/>
        <v>2.2702456888124629E-2</v>
      </c>
      <c r="D286" s="45">
        <f t="shared" si="27"/>
        <v>45634</v>
      </c>
      <c r="E286" s="14" cm="1">
        <f t="array" ref="E286">_xlfn.IFNA(INDEX('IR data'!$I$4:$I$61,MATCH(D286,'IR data'!$H$4:$H$61,0)),((INDEX('IR data'!$I$4:$I$61,MATCH(D286,'IR data'!$H$4:$H$61,1)))-((D286-(INDEX('IR data'!$H$4:$H$61,MATCH(D286,'IR data'!$H$4:$H$61,1))))/((INDEX('IR data'!$H$4:$H$61,MATCH(D286,'IR data'!$H$4:$H$61,1)+1)-INDEX('IR data'!$H$4:$H$61,MATCH(D286,'IR data'!$H$4:$H$61,1))))) * (INDEX('IR data'!$I$4:$I$61,MATCH(D286,'IR data'!$H$4:$H$61,1))-(INDEX('IR data'!$I$4:$I$61,MATCH(D286,'IR data'!$H$4:$H$61,1)+1)))))</f>
        <v>0.95906298042222227</v>
      </c>
      <c r="F286" s="30">
        <f t="shared" si="28"/>
        <v>2.3412715205526857E-2</v>
      </c>
      <c r="G286" s="45">
        <f t="shared" si="24"/>
        <v>45668</v>
      </c>
      <c r="H286" s="14" cm="1">
        <f t="array" ref="H286">_xlfn.IFNA(INDEX('IR data'!$N$4:$N$61,MATCH(G286,'IR data'!$M$4:$M$61,0)),((INDEX('IR data'!$N$4:$N$61,MATCH(G286,'IR data'!$M$4:$M$61,1)))-((G286-(INDEX('IR data'!$M$4:$M$61,MATCH(G286,'IR data'!$M$4:$M$61,1))))/((INDEX('IR data'!$M$4:$M$61,MATCH(G286,'IR data'!$M$4:$M$61,1)+1)-INDEX('IR data'!$M$4:$M$61,MATCH(G286,'IR data'!$M$4:$M$61,1))))) * (INDEX('IR data'!$N$4:$N$61,MATCH(G286,'IR data'!$M$4:$M$61,1))-(INDEX('IR data'!$N$4:$N$61,MATCH(G286,'IR data'!$M$4:$M$61,1)+1)))))</f>
        <v>0.95919490627472526</v>
      </c>
      <c r="I286" s="44">
        <f t="shared" si="29"/>
        <v>2.3335670348528157E-2</v>
      </c>
    </row>
    <row r="287" spans="1:9" x14ac:dyDescent="0.25">
      <c r="A287" s="45">
        <f t="shared" si="25"/>
        <v>45575</v>
      </c>
      <c r="B287" s="14" cm="1">
        <f t="array" ref="B287">_xlfn.IFNA(INDEX('IR data'!$D$4:$D$61,MATCH(A287,'IR data'!$C$4:$C$61,0)),((INDEX('IR data'!$D$4:$D$61,MATCH(A287,'IR data'!$C$4:$C$61,1)))-((A287-(INDEX('IR data'!$C$4:$C$61,MATCH(A287,'IR data'!$C$4:$C$61,1))))/((INDEX('IR data'!$C$4:$C$61,MATCH(A287,'IR data'!$C$4:$C$61,1)+1)-INDEX('IR data'!$C$4:$C$61,MATCH(A287,'IR data'!$C$4:$C$61,1))))) * (INDEX('IR data'!$D$4:$D$61,MATCH(A287,'IR data'!$C$4:$C$61,1))-(INDEX('IR data'!$D$4:$D$61,MATCH(A287,'IR data'!$C$4:$C$61,1)+1)))))</f>
        <v>0.96016660709782609</v>
      </c>
      <c r="C287" s="30">
        <f t="shared" si="26"/>
        <v>2.2688351291512063E-2</v>
      </c>
      <c r="D287" s="45">
        <f t="shared" si="27"/>
        <v>45635</v>
      </c>
      <c r="E287" s="14" cm="1">
        <f t="array" ref="E287">_xlfn.IFNA(INDEX('IR data'!$I$4:$I$61,MATCH(D287,'IR data'!$H$4:$H$61,0)),((INDEX('IR data'!$I$4:$I$61,MATCH(D287,'IR data'!$H$4:$H$61,1)))-((D287-(INDEX('IR data'!$H$4:$H$61,MATCH(D287,'IR data'!$H$4:$H$61,1))))/((INDEX('IR data'!$H$4:$H$61,MATCH(D287,'IR data'!$H$4:$H$61,1)+1)-INDEX('IR data'!$H$4:$H$61,MATCH(D287,'IR data'!$H$4:$H$61,1))))) * (INDEX('IR data'!$I$4:$I$61,MATCH(D287,'IR data'!$H$4:$H$61,1))-(INDEX('IR data'!$I$4:$I$61,MATCH(D287,'IR data'!$H$4:$H$61,1)+1)))))</f>
        <v>0.95893739927777777</v>
      </c>
      <c r="F287" s="30">
        <f t="shared" si="28"/>
        <v>2.3403367181244607E-2</v>
      </c>
      <c r="G287" s="45">
        <f t="shared" si="24"/>
        <v>45669</v>
      </c>
      <c r="H287" s="14" cm="1">
        <f t="array" ref="H287">_xlfn.IFNA(INDEX('IR data'!$N$4:$N$61,MATCH(G287,'IR data'!$M$4:$M$61,0)),((INDEX('IR data'!$N$4:$N$61,MATCH(G287,'IR data'!$M$4:$M$61,1)))-((G287-(INDEX('IR data'!$M$4:$M$61,MATCH(G287,'IR data'!$M$4:$M$61,1))))/((INDEX('IR data'!$M$4:$M$61,MATCH(G287,'IR data'!$M$4:$M$61,1)+1)-INDEX('IR data'!$M$4:$M$61,MATCH(G287,'IR data'!$M$4:$M$61,1))))) * (INDEX('IR data'!$N$4:$N$61,MATCH(G287,'IR data'!$M$4:$M$61,1))-(INDEX('IR data'!$N$4:$N$61,MATCH(G287,'IR data'!$M$4:$M$61,1)+1)))))</f>
        <v>0.95906805632967029</v>
      </c>
      <c r="I287" s="44">
        <f t="shared" si="29"/>
        <v>2.3327321973867079E-2</v>
      </c>
    </row>
    <row r="288" spans="1:9" x14ac:dyDescent="0.25">
      <c r="A288" s="45">
        <f t="shared" si="25"/>
        <v>45576</v>
      </c>
      <c r="B288" s="14" cm="1">
        <f t="array" ref="B288">_xlfn.IFNA(INDEX('IR data'!$D$4:$D$61,MATCH(A288,'IR data'!$C$4:$C$61,0)),((INDEX('IR data'!$D$4:$D$61,MATCH(A288,'IR data'!$C$4:$C$61,1)))-((A288-(INDEX('IR data'!$C$4:$C$61,MATCH(A288,'IR data'!$C$4:$C$61,1))))/((INDEX('IR data'!$C$4:$C$61,MATCH(A288,'IR data'!$C$4:$C$61,1)+1)-INDEX('IR data'!$C$4:$C$61,MATCH(A288,'IR data'!$C$4:$C$61,1))))) * (INDEX('IR data'!$D$4:$D$61,MATCH(A288,'IR data'!$C$4:$C$61,1))-(INDEX('IR data'!$D$4:$D$61,MATCH(A288,'IR data'!$C$4:$C$61,1)+1)))))</f>
        <v>0.96005335282608706</v>
      </c>
      <c r="C288" s="30">
        <f t="shared" si="26"/>
        <v>2.2674352419891224E-2</v>
      </c>
      <c r="D288" s="45">
        <f t="shared" si="27"/>
        <v>45636</v>
      </c>
      <c r="E288" s="14" cm="1">
        <f t="array" ref="E288">_xlfn.IFNA(INDEX('IR data'!$I$4:$I$61,MATCH(D288,'IR data'!$H$4:$H$61,0)),((INDEX('IR data'!$I$4:$I$61,MATCH(D288,'IR data'!$H$4:$H$61,1)))-((D288-(INDEX('IR data'!$H$4:$H$61,MATCH(D288,'IR data'!$H$4:$H$61,1))))/((INDEX('IR data'!$H$4:$H$61,MATCH(D288,'IR data'!$H$4:$H$61,1)+1)-INDEX('IR data'!$H$4:$H$61,MATCH(D288,'IR data'!$H$4:$H$61,1))))) * (INDEX('IR data'!$I$4:$I$61,MATCH(D288,'IR data'!$H$4:$H$61,1))-(INDEX('IR data'!$I$4:$I$61,MATCH(D288,'IR data'!$H$4:$H$61,1)+1)))))</f>
        <v>0.95881181813333338</v>
      </c>
      <c r="F288" s="30">
        <f t="shared" si="28"/>
        <v>2.3394094296085036E-2</v>
      </c>
      <c r="G288" s="45">
        <f t="shared" si="24"/>
        <v>45670</v>
      </c>
      <c r="H288" s="14" cm="1">
        <f t="array" ref="H288">_xlfn.IFNA(INDEX('IR data'!$N$4:$N$61,MATCH(G288,'IR data'!$M$4:$M$61,0)),((INDEX('IR data'!$N$4:$N$61,MATCH(G288,'IR data'!$M$4:$M$61,1)))-((G288-(INDEX('IR data'!$M$4:$M$61,MATCH(G288,'IR data'!$M$4:$M$61,1))))/((INDEX('IR data'!$M$4:$M$61,MATCH(G288,'IR data'!$M$4:$M$61,1)+1)-INDEX('IR data'!$M$4:$M$61,MATCH(G288,'IR data'!$M$4:$M$61,1))))) * (INDEX('IR data'!$N$4:$N$61,MATCH(G288,'IR data'!$M$4:$M$61,1))-(INDEX('IR data'!$N$4:$N$61,MATCH(G288,'IR data'!$M$4:$M$61,1)+1)))))</f>
        <v>0.95894120638461533</v>
      </c>
      <c r="I288" s="44">
        <f t="shared" si="29"/>
        <v>2.3319041914318082E-2</v>
      </c>
    </row>
    <row r="289" spans="1:9" x14ac:dyDescent="0.25">
      <c r="A289" s="45">
        <f t="shared" si="25"/>
        <v>45577</v>
      </c>
      <c r="B289" s="14" cm="1">
        <f t="array" ref="B289">_xlfn.IFNA(INDEX('IR data'!$D$4:$D$61,MATCH(A289,'IR data'!$C$4:$C$61,0)),((INDEX('IR data'!$D$4:$D$61,MATCH(A289,'IR data'!$C$4:$C$61,1)))-((A289-(INDEX('IR data'!$C$4:$C$61,MATCH(A289,'IR data'!$C$4:$C$61,1))))/((INDEX('IR data'!$C$4:$C$61,MATCH(A289,'IR data'!$C$4:$C$61,1)+1)-INDEX('IR data'!$C$4:$C$61,MATCH(A289,'IR data'!$C$4:$C$61,1))))) * (INDEX('IR data'!$D$4:$D$61,MATCH(A289,'IR data'!$C$4:$C$61,1))-(INDEX('IR data'!$D$4:$D$61,MATCH(A289,'IR data'!$C$4:$C$61,1)+1)))))</f>
        <v>0.95994009855434792</v>
      </c>
      <c r="C289" s="30">
        <f t="shared" si="26"/>
        <v>2.2660459155588772E-2</v>
      </c>
      <c r="D289" s="45">
        <f t="shared" si="27"/>
        <v>45637</v>
      </c>
      <c r="E289" s="14" cm="1">
        <f t="array" ref="E289">_xlfn.IFNA(INDEX('IR data'!$I$4:$I$61,MATCH(D289,'IR data'!$H$4:$H$61,0)),((INDEX('IR data'!$I$4:$I$61,MATCH(D289,'IR data'!$H$4:$H$61,1)))-((D289-(INDEX('IR data'!$H$4:$H$61,MATCH(D289,'IR data'!$H$4:$H$61,1))))/((INDEX('IR data'!$H$4:$H$61,MATCH(D289,'IR data'!$H$4:$H$61,1)+1)-INDEX('IR data'!$H$4:$H$61,MATCH(D289,'IR data'!$H$4:$H$61,1))))) * (INDEX('IR data'!$I$4:$I$61,MATCH(D289,'IR data'!$H$4:$H$61,1))-(INDEX('IR data'!$I$4:$I$61,MATCH(D289,'IR data'!$H$4:$H$61,1)+1)))))</f>
        <v>0.95868623698888888</v>
      </c>
      <c r="F289" s="30">
        <f t="shared" si="28"/>
        <v>2.3384895764365823E-2</v>
      </c>
      <c r="G289" s="45">
        <f t="shared" si="24"/>
        <v>45671</v>
      </c>
      <c r="H289" s="14" cm="1">
        <f t="array" ref="H289">_xlfn.IFNA(INDEX('IR data'!$N$4:$N$61,MATCH(G289,'IR data'!$M$4:$M$61,0)),((INDEX('IR data'!$N$4:$N$61,MATCH(G289,'IR data'!$M$4:$M$61,1)))-((G289-(INDEX('IR data'!$M$4:$M$61,MATCH(G289,'IR data'!$M$4:$M$61,1))))/((INDEX('IR data'!$M$4:$M$61,MATCH(G289,'IR data'!$M$4:$M$61,1)+1)-INDEX('IR data'!$M$4:$M$61,MATCH(G289,'IR data'!$M$4:$M$61,1))))) * (INDEX('IR data'!$N$4:$N$61,MATCH(G289,'IR data'!$M$4:$M$61,1))-(INDEX('IR data'!$N$4:$N$61,MATCH(G289,'IR data'!$M$4:$M$61,1)+1)))))</f>
        <v>0.95881435643956037</v>
      </c>
      <c r="I289" s="44">
        <f t="shared" si="29"/>
        <v>2.331082945585446E-2</v>
      </c>
    </row>
    <row r="290" spans="1:9" x14ac:dyDescent="0.25">
      <c r="A290" s="45">
        <f t="shared" si="25"/>
        <v>45578</v>
      </c>
      <c r="B290" s="14" cm="1">
        <f t="array" ref="B290">_xlfn.IFNA(INDEX('IR data'!$D$4:$D$61,MATCH(A290,'IR data'!$C$4:$C$61,0)),((INDEX('IR data'!$D$4:$D$61,MATCH(A290,'IR data'!$C$4:$C$61,1)))-((A290-(INDEX('IR data'!$C$4:$C$61,MATCH(A290,'IR data'!$C$4:$C$61,1))))/((INDEX('IR data'!$C$4:$C$61,MATCH(A290,'IR data'!$C$4:$C$61,1)+1)-INDEX('IR data'!$C$4:$C$61,MATCH(A290,'IR data'!$C$4:$C$61,1))))) * (INDEX('IR data'!$D$4:$D$61,MATCH(A290,'IR data'!$C$4:$C$61,1))-(INDEX('IR data'!$D$4:$D$61,MATCH(A290,'IR data'!$C$4:$C$61,1)+1)))))</f>
        <v>0.95982684428260878</v>
      </c>
      <c r="C290" s="30">
        <f t="shared" si="26"/>
        <v>2.2646670396509149E-2</v>
      </c>
      <c r="D290" s="45">
        <f t="shared" si="27"/>
        <v>45638</v>
      </c>
      <c r="E290" s="14" cm="1">
        <f t="array" ref="E290">_xlfn.IFNA(INDEX('IR data'!$I$4:$I$61,MATCH(D290,'IR data'!$H$4:$H$61,0)),((INDEX('IR data'!$I$4:$I$61,MATCH(D290,'IR data'!$H$4:$H$61,1)))-((D290-(INDEX('IR data'!$H$4:$H$61,MATCH(D290,'IR data'!$H$4:$H$61,1))))/((INDEX('IR data'!$H$4:$H$61,MATCH(D290,'IR data'!$H$4:$H$61,1)+1)-INDEX('IR data'!$H$4:$H$61,MATCH(D290,'IR data'!$H$4:$H$61,1))))) * (INDEX('IR data'!$I$4:$I$61,MATCH(D290,'IR data'!$H$4:$H$61,1))-(INDEX('IR data'!$I$4:$I$61,MATCH(D290,'IR data'!$H$4:$H$61,1)+1)))))</f>
        <v>0.9585606558444445</v>
      </c>
      <c r="F290" s="30">
        <f t="shared" si="28"/>
        <v>2.337577081135566E-2</v>
      </c>
      <c r="G290" s="45">
        <f t="shared" si="24"/>
        <v>45672</v>
      </c>
      <c r="H290" s="14" cm="1">
        <f t="array" ref="H290">_xlfn.IFNA(INDEX('IR data'!$N$4:$N$61,MATCH(G290,'IR data'!$M$4:$M$61,0)),((INDEX('IR data'!$N$4:$N$61,MATCH(G290,'IR data'!$M$4:$M$61,1)))-((G290-(INDEX('IR data'!$M$4:$M$61,MATCH(G290,'IR data'!$M$4:$M$61,1))))/((INDEX('IR data'!$M$4:$M$61,MATCH(G290,'IR data'!$M$4:$M$61,1)+1)-INDEX('IR data'!$M$4:$M$61,MATCH(G290,'IR data'!$M$4:$M$61,1))))) * (INDEX('IR data'!$N$4:$N$61,MATCH(G290,'IR data'!$M$4:$M$61,1))-(INDEX('IR data'!$N$4:$N$61,MATCH(G290,'IR data'!$M$4:$M$61,1)+1)))))</f>
        <v>0.9586875064945054</v>
      </c>
      <c r="I290" s="44">
        <f t="shared" si="29"/>
        <v>2.3302683894402102E-2</v>
      </c>
    </row>
    <row r="291" spans="1:9" x14ac:dyDescent="0.25">
      <c r="A291" s="45">
        <f t="shared" si="25"/>
        <v>45579</v>
      </c>
      <c r="B291" s="14" cm="1">
        <f t="array" ref="B291">_xlfn.IFNA(INDEX('IR data'!$D$4:$D$61,MATCH(A291,'IR data'!$C$4:$C$61,0)),((INDEX('IR data'!$D$4:$D$61,MATCH(A291,'IR data'!$C$4:$C$61,1)))-((A291-(INDEX('IR data'!$C$4:$C$61,MATCH(A291,'IR data'!$C$4:$C$61,1))))/((INDEX('IR data'!$C$4:$C$61,MATCH(A291,'IR data'!$C$4:$C$61,1)+1)-INDEX('IR data'!$C$4:$C$61,MATCH(A291,'IR data'!$C$4:$C$61,1))))) * (INDEX('IR data'!$D$4:$D$61,MATCH(A291,'IR data'!$C$4:$C$61,1))-(INDEX('IR data'!$D$4:$D$61,MATCH(A291,'IR data'!$C$4:$C$61,1)+1)))))</f>
        <v>0.95971359001086964</v>
      </c>
      <c r="C291" s="30">
        <f t="shared" si="26"/>
        <v>2.2632985055864401E-2</v>
      </c>
      <c r="D291" s="45">
        <f t="shared" si="27"/>
        <v>45639</v>
      </c>
      <c r="E291" s="14" cm="1">
        <f t="array" ref="E291">_xlfn.IFNA(INDEX('IR data'!$I$4:$I$61,MATCH(D291,'IR data'!$H$4:$H$61,0)),((INDEX('IR data'!$I$4:$I$61,MATCH(D291,'IR data'!$H$4:$H$61,1)))-((D291-(INDEX('IR data'!$H$4:$H$61,MATCH(D291,'IR data'!$H$4:$H$61,1))))/((INDEX('IR data'!$H$4:$H$61,MATCH(D291,'IR data'!$H$4:$H$61,1)+1)-INDEX('IR data'!$H$4:$H$61,MATCH(D291,'IR data'!$H$4:$H$61,1))))) * (INDEX('IR data'!$I$4:$I$61,MATCH(D291,'IR data'!$H$4:$H$61,1))-(INDEX('IR data'!$I$4:$I$61,MATCH(D291,'IR data'!$H$4:$H$61,1)+1)))))</f>
        <v>0.9584350747</v>
      </c>
      <c r="F291" s="30">
        <f t="shared" si="28"/>
        <v>2.3366718673084597E-2</v>
      </c>
      <c r="G291" s="45">
        <f t="shared" si="24"/>
        <v>45673</v>
      </c>
      <c r="H291" s="14" cm="1">
        <f t="array" ref="H291">_xlfn.IFNA(INDEX('IR data'!$N$4:$N$61,MATCH(G291,'IR data'!$M$4:$M$61,0)),((INDEX('IR data'!$N$4:$N$61,MATCH(G291,'IR data'!$M$4:$M$61,1)))-((G291-(INDEX('IR data'!$M$4:$M$61,MATCH(G291,'IR data'!$M$4:$M$61,1))))/((INDEX('IR data'!$M$4:$M$61,MATCH(G291,'IR data'!$M$4:$M$61,1)+1)-INDEX('IR data'!$M$4:$M$61,MATCH(G291,'IR data'!$M$4:$M$61,1))))) * (INDEX('IR data'!$N$4:$N$61,MATCH(G291,'IR data'!$M$4:$M$61,1))-(INDEX('IR data'!$N$4:$N$61,MATCH(G291,'IR data'!$M$4:$M$61,1)+1)))))</f>
        <v>0.95856065654945055</v>
      </c>
      <c r="I291" s="44">
        <f t="shared" si="29"/>
        <v>2.329460453566665E-2</v>
      </c>
    </row>
    <row r="292" spans="1:9" x14ac:dyDescent="0.25">
      <c r="A292" s="45">
        <f t="shared" si="25"/>
        <v>45580</v>
      </c>
      <c r="B292" s="14" cm="1">
        <f t="array" ref="B292">_xlfn.IFNA(INDEX('IR data'!$D$4:$D$61,MATCH(A292,'IR data'!$C$4:$C$61,0)),((INDEX('IR data'!$D$4:$D$61,MATCH(A292,'IR data'!$C$4:$C$61,1)))-((A292-(INDEX('IR data'!$C$4:$C$61,MATCH(A292,'IR data'!$C$4:$C$61,1))))/((INDEX('IR data'!$C$4:$C$61,MATCH(A292,'IR data'!$C$4:$C$61,1)+1)-INDEX('IR data'!$C$4:$C$61,MATCH(A292,'IR data'!$C$4:$C$61,1))))) * (INDEX('IR data'!$D$4:$D$61,MATCH(A292,'IR data'!$C$4:$C$61,1))-(INDEX('IR data'!$D$4:$D$61,MATCH(A292,'IR data'!$C$4:$C$61,1)+1)))))</f>
        <v>0.95960033573913051</v>
      </c>
      <c r="C292" s="30">
        <f t="shared" si="26"/>
        <v>2.2619402061909228E-2</v>
      </c>
      <c r="D292" s="45">
        <f t="shared" si="27"/>
        <v>45640</v>
      </c>
      <c r="E292" s="14" cm="1">
        <f t="array" ref="E292">_xlfn.IFNA(INDEX('IR data'!$I$4:$I$61,MATCH(D292,'IR data'!$H$4:$H$61,0)),((INDEX('IR data'!$I$4:$I$61,MATCH(D292,'IR data'!$H$4:$H$61,1)))-((D292-(INDEX('IR data'!$H$4:$H$61,MATCH(D292,'IR data'!$H$4:$H$61,1))))/((INDEX('IR data'!$H$4:$H$61,MATCH(D292,'IR data'!$H$4:$H$61,1)+1)-INDEX('IR data'!$H$4:$H$61,MATCH(D292,'IR data'!$H$4:$H$61,1))))) * (INDEX('IR data'!$I$4:$I$61,MATCH(D292,'IR data'!$H$4:$H$61,1))-(INDEX('IR data'!$I$4:$I$61,MATCH(D292,'IR data'!$H$4:$H$61,1)+1)))))</f>
        <v>0.95830949355555561</v>
      </c>
      <c r="F292" s="30">
        <f t="shared" si="28"/>
        <v>2.3357738596157394E-2</v>
      </c>
      <c r="G292" s="45">
        <f t="shared" si="24"/>
        <v>45674</v>
      </c>
      <c r="H292" s="14" cm="1">
        <f t="array" ref="H292">_xlfn.IFNA(INDEX('IR data'!$N$4:$N$61,MATCH(G292,'IR data'!$M$4:$M$61,0)),((INDEX('IR data'!$N$4:$N$61,MATCH(G292,'IR data'!$M$4:$M$61,1)))-((G292-(INDEX('IR data'!$M$4:$M$61,MATCH(G292,'IR data'!$M$4:$M$61,1))))/((INDEX('IR data'!$M$4:$M$61,MATCH(G292,'IR data'!$M$4:$M$61,1)+1)-INDEX('IR data'!$M$4:$M$61,MATCH(G292,'IR data'!$M$4:$M$61,1))))) * (INDEX('IR data'!$N$4:$N$61,MATCH(G292,'IR data'!$M$4:$M$61,1))-(INDEX('IR data'!$N$4:$N$61,MATCH(G292,'IR data'!$M$4:$M$61,1)+1)))))</f>
        <v>0.95843380660439559</v>
      </c>
      <c r="I292" s="44">
        <f t="shared" si="29"/>
        <v>2.3286590694964561E-2</v>
      </c>
    </row>
    <row r="293" spans="1:9" x14ac:dyDescent="0.25">
      <c r="A293" s="45">
        <f t="shared" si="25"/>
        <v>45581</v>
      </c>
      <c r="B293" s="14" cm="1">
        <f t="array" ref="B293">_xlfn.IFNA(INDEX('IR data'!$D$4:$D$61,MATCH(A293,'IR data'!$C$4:$C$61,0)),((INDEX('IR data'!$D$4:$D$61,MATCH(A293,'IR data'!$C$4:$C$61,1)))-((A293-(INDEX('IR data'!$C$4:$C$61,MATCH(A293,'IR data'!$C$4:$C$61,1))))/((INDEX('IR data'!$C$4:$C$61,MATCH(A293,'IR data'!$C$4:$C$61,1)+1)-INDEX('IR data'!$C$4:$C$61,MATCH(A293,'IR data'!$C$4:$C$61,1))))) * (INDEX('IR data'!$D$4:$D$61,MATCH(A293,'IR data'!$C$4:$C$61,1))-(INDEX('IR data'!$D$4:$D$61,MATCH(A293,'IR data'!$C$4:$C$61,1)+1)))))</f>
        <v>0.95948708146739137</v>
      </c>
      <c r="C293" s="30">
        <f t="shared" si="26"/>
        <v>2.2605920357681681E-2</v>
      </c>
      <c r="D293" s="45">
        <f t="shared" si="27"/>
        <v>45641</v>
      </c>
      <c r="E293" s="14" cm="1">
        <f t="array" ref="E293">_xlfn.IFNA(INDEX('IR data'!$I$4:$I$61,MATCH(D293,'IR data'!$H$4:$H$61,0)),((INDEX('IR data'!$I$4:$I$61,MATCH(D293,'IR data'!$H$4:$H$61,1)))-((D293-(INDEX('IR data'!$H$4:$H$61,MATCH(D293,'IR data'!$H$4:$H$61,1))))/((INDEX('IR data'!$H$4:$H$61,MATCH(D293,'IR data'!$H$4:$H$61,1)+1)-INDEX('IR data'!$H$4:$H$61,MATCH(D293,'IR data'!$H$4:$H$61,1))))) * (INDEX('IR data'!$I$4:$I$61,MATCH(D293,'IR data'!$H$4:$H$61,1))-(INDEX('IR data'!$I$4:$I$61,MATCH(D293,'IR data'!$H$4:$H$61,1)+1)))))</f>
        <v>0.95818391241111112</v>
      </c>
      <c r="F293" s="30">
        <f t="shared" si="28"/>
        <v>2.3348829837571691E-2</v>
      </c>
      <c r="G293" s="45">
        <f t="shared" si="24"/>
        <v>45675</v>
      </c>
      <c r="H293" s="14" cm="1">
        <f t="array" ref="H293">_xlfn.IFNA(INDEX('IR data'!$N$4:$N$61,MATCH(G293,'IR data'!$M$4:$M$61,0)),((INDEX('IR data'!$N$4:$N$61,MATCH(G293,'IR data'!$M$4:$M$61,1)))-((G293-(INDEX('IR data'!$M$4:$M$61,MATCH(G293,'IR data'!$M$4:$M$61,1))))/((INDEX('IR data'!$M$4:$M$61,MATCH(G293,'IR data'!$M$4:$M$61,1)+1)-INDEX('IR data'!$M$4:$M$61,MATCH(G293,'IR data'!$M$4:$M$61,1))))) * (INDEX('IR data'!$N$4:$N$61,MATCH(G293,'IR data'!$M$4:$M$61,1))-(INDEX('IR data'!$N$4:$N$61,MATCH(G293,'IR data'!$M$4:$M$61,1)+1)))))</f>
        <v>0.95830695665934063</v>
      </c>
      <c r="I293" s="44">
        <f t="shared" si="29"/>
        <v>2.3278641697057019E-2</v>
      </c>
    </row>
    <row r="294" spans="1:9" x14ac:dyDescent="0.25">
      <c r="A294" s="45">
        <f t="shared" si="25"/>
        <v>45582</v>
      </c>
      <c r="B294" s="14" cm="1">
        <f t="array" ref="B294">_xlfn.IFNA(INDEX('IR data'!$D$4:$D$61,MATCH(A294,'IR data'!$C$4:$C$61,0)),((INDEX('IR data'!$D$4:$D$61,MATCH(A294,'IR data'!$C$4:$C$61,1)))-((A294-(INDEX('IR data'!$C$4:$C$61,MATCH(A294,'IR data'!$C$4:$C$61,1))))/((INDEX('IR data'!$C$4:$C$61,MATCH(A294,'IR data'!$C$4:$C$61,1)+1)-INDEX('IR data'!$C$4:$C$61,MATCH(A294,'IR data'!$C$4:$C$61,1))))) * (INDEX('IR data'!$D$4:$D$61,MATCH(A294,'IR data'!$C$4:$C$61,1))-(INDEX('IR data'!$D$4:$D$61,MATCH(A294,'IR data'!$C$4:$C$61,1)+1)))))</f>
        <v>0.95937382719565223</v>
      </c>
      <c r="C294" s="30">
        <f t="shared" si="26"/>
        <v>2.2592538900749134E-2</v>
      </c>
      <c r="D294" s="45">
        <f t="shared" si="27"/>
        <v>45642</v>
      </c>
      <c r="E294" s="14" cm="1">
        <f t="array" ref="E294">_xlfn.IFNA(INDEX('IR data'!$I$4:$I$61,MATCH(D294,'IR data'!$H$4:$H$61,0)),((INDEX('IR data'!$I$4:$I$61,MATCH(D294,'IR data'!$H$4:$H$61,1)))-((D294-(INDEX('IR data'!$H$4:$H$61,MATCH(D294,'IR data'!$H$4:$H$61,1))))/((INDEX('IR data'!$H$4:$H$61,MATCH(D294,'IR data'!$H$4:$H$61,1)+1)-INDEX('IR data'!$H$4:$H$61,MATCH(D294,'IR data'!$H$4:$H$61,1))))) * (INDEX('IR data'!$I$4:$I$61,MATCH(D294,'IR data'!$H$4:$H$61,1))-(INDEX('IR data'!$I$4:$I$61,MATCH(D294,'IR data'!$H$4:$H$61,1)+1)))))</f>
        <v>0.95805833126666673</v>
      </c>
      <c r="F294" s="30">
        <f t="shared" si="28"/>
        <v>2.3339991664538921E-2</v>
      </c>
      <c r="G294" s="45">
        <f t="shared" si="24"/>
        <v>45676</v>
      </c>
      <c r="H294" s="14" cm="1">
        <f t="array" ref="H294">_xlfn.IFNA(INDEX('IR data'!$N$4:$N$61,MATCH(G294,'IR data'!$M$4:$M$61,0)),((INDEX('IR data'!$N$4:$N$61,MATCH(G294,'IR data'!$M$4:$M$61,1)))-((G294-(INDEX('IR data'!$M$4:$M$61,MATCH(G294,'IR data'!$M$4:$M$61,1))))/((INDEX('IR data'!$M$4:$M$61,MATCH(G294,'IR data'!$M$4:$M$61,1)+1)-INDEX('IR data'!$M$4:$M$61,MATCH(G294,'IR data'!$M$4:$M$61,1))))) * (INDEX('IR data'!$N$4:$N$61,MATCH(G294,'IR data'!$M$4:$M$61,1))-(INDEX('IR data'!$N$4:$N$61,MATCH(G294,'IR data'!$M$4:$M$61,1)+1)))))</f>
        <v>0.95818010671428566</v>
      </c>
      <c r="I294" s="44">
        <f t="shared" si="29"/>
        <v>2.3270756875987907E-2</v>
      </c>
    </row>
    <row r="295" spans="1:9" x14ac:dyDescent="0.25">
      <c r="A295" s="45">
        <f t="shared" si="25"/>
        <v>45583</v>
      </c>
      <c r="B295" s="14" cm="1">
        <f t="array" ref="B295">_xlfn.IFNA(INDEX('IR data'!$D$4:$D$61,MATCH(A295,'IR data'!$C$4:$C$61,0)),((INDEX('IR data'!$D$4:$D$61,MATCH(A295,'IR data'!$C$4:$C$61,1)))-((A295-(INDEX('IR data'!$C$4:$C$61,MATCH(A295,'IR data'!$C$4:$C$61,1))))/((INDEX('IR data'!$C$4:$C$61,MATCH(A295,'IR data'!$C$4:$C$61,1)+1)-INDEX('IR data'!$C$4:$C$61,MATCH(A295,'IR data'!$C$4:$C$61,1))))) * (INDEX('IR data'!$D$4:$D$61,MATCH(A295,'IR data'!$C$4:$C$61,1))-(INDEX('IR data'!$D$4:$D$61,MATCH(A295,'IR data'!$C$4:$C$61,1)+1)))))</f>
        <v>0.95926057292391309</v>
      </c>
      <c r="C295" s="30">
        <f t="shared" si="26"/>
        <v>2.2579256662959474E-2</v>
      </c>
      <c r="D295" s="45">
        <f t="shared" si="27"/>
        <v>45643</v>
      </c>
      <c r="E295" s="14" cm="1">
        <f t="array" ref="E295">_xlfn.IFNA(INDEX('IR data'!$I$4:$I$61,MATCH(D295,'IR data'!$H$4:$H$61,0)),((INDEX('IR data'!$I$4:$I$61,MATCH(D295,'IR data'!$H$4:$H$61,1)))-((D295-(INDEX('IR data'!$H$4:$H$61,MATCH(D295,'IR data'!$H$4:$H$61,1))))/((INDEX('IR data'!$H$4:$H$61,MATCH(D295,'IR data'!$H$4:$H$61,1)+1)-INDEX('IR data'!$H$4:$H$61,MATCH(D295,'IR data'!$H$4:$H$61,1))))) * (INDEX('IR data'!$I$4:$I$61,MATCH(D295,'IR data'!$H$4:$H$61,1))-(INDEX('IR data'!$I$4:$I$61,MATCH(D295,'IR data'!$H$4:$H$61,1)+1)))))</f>
        <v>0.95793275012222223</v>
      </c>
      <c r="F295" s="30">
        <f t="shared" si="28"/>
        <v>2.333122335430993E-2</v>
      </c>
      <c r="G295" s="45">
        <f t="shared" si="24"/>
        <v>45677</v>
      </c>
      <c r="H295" s="14" cm="1">
        <f t="array" ref="H295">_xlfn.IFNA(INDEX('IR data'!$N$4:$N$61,MATCH(G295,'IR data'!$M$4:$M$61,0)),((INDEX('IR data'!$N$4:$N$61,MATCH(G295,'IR data'!$M$4:$M$61,1)))-((G295-(INDEX('IR data'!$M$4:$M$61,MATCH(G295,'IR data'!$M$4:$M$61,1))))/((INDEX('IR data'!$M$4:$M$61,MATCH(G295,'IR data'!$M$4:$M$61,1)+1)-INDEX('IR data'!$M$4:$M$61,MATCH(G295,'IR data'!$M$4:$M$61,1))))) * (INDEX('IR data'!$N$4:$N$61,MATCH(G295,'IR data'!$M$4:$M$61,1))-(INDEX('IR data'!$N$4:$N$61,MATCH(G295,'IR data'!$M$4:$M$61,1)+1)))))</f>
        <v>0.9580532567692307</v>
      </c>
      <c r="I295" s="44">
        <f t="shared" si="29"/>
        <v>2.3262935574924787E-2</v>
      </c>
    </row>
    <row r="296" spans="1:9" x14ac:dyDescent="0.25">
      <c r="A296" s="45">
        <f t="shared" si="25"/>
        <v>45584</v>
      </c>
      <c r="B296" s="14" cm="1">
        <f t="array" ref="B296">_xlfn.IFNA(INDEX('IR data'!$D$4:$D$61,MATCH(A296,'IR data'!$C$4:$C$61,0)),((INDEX('IR data'!$D$4:$D$61,MATCH(A296,'IR data'!$C$4:$C$61,1)))-((A296-(INDEX('IR data'!$C$4:$C$61,MATCH(A296,'IR data'!$C$4:$C$61,1))))/((INDEX('IR data'!$C$4:$C$61,MATCH(A296,'IR data'!$C$4:$C$61,1)+1)-INDEX('IR data'!$C$4:$C$61,MATCH(A296,'IR data'!$C$4:$C$61,1))))) * (INDEX('IR data'!$D$4:$D$61,MATCH(A296,'IR data'!$C$4:$C$61,1))-(INDEX('IR data'!$D$4:$D$61,MATCH(A296,'IR data'!$C$4:$C$61,1)+1)))))</f>
        <v>0.95914731865217395</v>
      </c>
      <c r="C296" s="30">
        <f t="shared" si="26"/>
        <v>2.2566072630197446E-2</v>
      </c>
      <c r="D296" s="45">
        <f t="shared" si="27"/>
        <v>45644</v>
      </c>
      <c r="E296" s="14" cm="1">
        <f t="array" ref="E296">_xlfn.IFNA(INDEX('IR data'!$I$4:$I$61,MATCH(D296,'IR data'!$H$4:$H$61,0)),((INDEX('IR data'!$I$4:$I$61,MATCH(D296,'IR data'!$H$4:$H$61,1)))-((D296-(INDEX('IR data'!$H$4:$H$61,MATCH(D296,'IR data'!$H$4:$H$61,1))))/((INDEX('IR data'!$H$4:$H$61,MATCH(D296,'IR data'!$H$4:$H$61,1)+1)-INDEX('IR data'!$H$4:$H$61,MATCH(D296,'IR data'!$H$4:$H$61,1))))) * (INDEX('IR data'!$I$4:$I$61,MATCH(D296,'IR data'!$H$4:$H$61,1))-(INDEX('IR data'!$I$4:$I$61,MATCH(D296,'IR data'!$H$4:$H$61,1)+1)))))</f>
        <v>0.95780716897777785</v>
      </c>
      <c r="F296" s="30">
        <f t="shared" si="28"/>
        <v>2.3322524194003168E-2</v>
      </c>
      <c r="G296" s="45">
        <f t="shared" si="24"/>
        <v>45678</v>
      </c>
      <c r="H296" s="14" cm="1">
        <f t="array" ref="H296">_xlfn.IFNA(INDEX('IR data'!$N$4:$N$61,MATCH(G296,'IR data'!$M$4:$M$61,0)),((INDEX('IR data'!$N$4:$N$61,MATCH(G296,'IR data'!$M$4:$M$61,1)))-((G296-(INDEX('IR data'!$M$4:$M$61,MATCH(G296,'IR data'!$M$4:$M$61,1))))/((INDEX('IR data'!$M$4:$M$61,MATCH(G296,'IR data'!$M$4:$M$61,1)+1)-INDEX('IR data'!$M$4:$M$61,MATCH(G296,'IR data'!$M$4:$M$61,1))))) * (INDEX('IR data'!$N$4:$N$61,MATCH(G296,'IR data'!$M$4:$M$61,1))-(INDEX('IR data'!$N$4:$N$61,MATCH(G296,'IR data'!$M$4:$M$61,1)+1)))))</f>
        <v>0.95792640682417574</v>
      </c>
      <c r="I296" s="44">
        <f t="shared" si="29"/>
        <v>2.3255177146003229E-2</v>
      </c>
    </row>
    <row r="297" spans="1:9" x14ac:dyDescent="0.25">
      <c r="A297" s="45">
        <f t="shared" si="25"/>
        <v>45585</v>
      </c>
      <c r="B297" s="14" cm="1">
        <f t="array" ref="B297">_xlfn.IFNA(INDEX('IR data'!$D$4:$D$61,MATCH(A297,'IR data'!$C$4:$C$61,0)),((INDEX('IR data'!$D$4:$D$61,MATCH(A297,'IR data'!$C$4:$C$61,1)))-((A297-(INDEX('IR data'!$C$4:$C$61,MATCH(A297,'IR data'!$C$4:$C$61,1))))/((INDEX('IR data'!$C$4:$C$61,MATCH(A297,'IR data'!$C$4:$C$61,1)+1)-INDEX('IR data'!$C$4:$C$61,MATCH(A297,'IR data'!$C$4:$C$61,1))))) * (INDEX('IR data'!$D$4:$D$61,MATCH(A297,'IR data'!$C$4:$C$61,1))-(INDEX('IR data'!$D$4:$D$61,MATCH(A297,'IR data'!$C$4:$C$61,1)+1)))))</f>
        <v>0.95903406438043481</v>
      </c>
      <c r="C297" s="30">
        <f t="shared" si="26"/>
        <v>2.2552985802145899E-2</v>
      </c>
      <c r="D297" s="45">
        <f t="shared" si="27"/>
        <v>45645</v>
      </c>
      <c r="E297" s="14" cm="1">
        <f t="array" ref="E297">_xlfn.IFNA(INDEX('IR data'!$I$4:$I$61,MATCH(D297,'IR data'!$H$4:$H$61,0)),((INDEX('IR data'!$I$4:$I$61,MATCH(D297,'IR data'!$H$4:$H$61,1)))-((D297-(INDEX('IR data'!$H$4:$H$61,MATCH(D297,'IR data'!$H$4:$H$61,1))))/((INDEX('IR data'!$H$4:$H$61,MATCH(D297,'IR data'!$H$4:$H$61,1)+1)-INDEX('IR data'!$H$4:$H$61,MATCH(D297,'IR data'!$H$4:$H$61,1))))) * (INDEX('IR data'!$I$4:$I$61,MATCH(D297,'IR data'!$H$4:$H$61,1))-(INDEX('IR data'!$I$4:$I$61,MATCH(D297,'IR data'!$H$4:$H$61,1)+1)))))</f>
        <v>0.95768158783333335</v>
      </c>
      <c r="F297" s="30">
        <f t="shared" si="28"/>
        <v>2.3313893480437345E-2</v>
      </c>
      <c r="G297" s="45">
        <f t="shared" si="24"/>
        <v>45679</v>
      </c>
      <c r="H297" s="14" cm="1">
        <f t="array" ref="H297">_xlfn.IFNA(INDEX('IR data'!$N$4:$N$61,MATCH(G297,'IR data'!$M$4:$M$61,0)),((INDEX('IR data'!$N$4:$N$61,MATCH(G297,'IR data'!$M$4:$M$61,1)))-((G297-(INDEX('IR data'!$M$4:$M$61,MATCH(G297,'IR data'!$M$4:$M$61,1))))/((INDEX('IR data'!$M$4:$M$61,MATCH(G297,'IR data'!$M$4:$M$61,1)+1)-INDEX('IR data'!$M$4:$M$61,MATCH(G297,'IR data'!$M$4:$M$61,1))))) * (INDEX('IR data'!$N$4:$N$61,MATCH(G297,'IR data'!$M$4:$M$61,1))-(INDEX('IR data'!$N$4:$N$61,MATCH(G297,'IR data'!$M$4:$M$61,1)+1)))))</f>
        <v>0.95779955687912088</v>
      </c>
      <c r="I297" s="44">
        <f t="shared" si="29"/>
        <v>2.3247480950174201E-2</v>
      </c>
    </row>
    <row r="298" spans="1:9" x14ac:dyDescent="0.25">
      <c r="A298" s="45">
        <f t="shared" si="25"/>
        <v>45586</v>
      </c>
      <c r="B298" s="14" cm="1">
        <f t="array" ref="B298">_xlfn.IFNA(INDEX('IR data'!$D$4:$D$61,MATCH(A298,'IR data'!$C$4:$C$61,0)),((INDEX('IR data'!$D$4:$D$61,MATCH(A298,'IR data'!$C$4:$C$61,1)))-((A298-(INDEX('IR data'!$C$4:$C$61,MATCH(A298,'IR data'!$C$4:$C$61,1))))/((INDEX('IR data'!$C$4:$C$61,MATCH(A298,'IR data'!$C$4:$C$61,1)+1)-INDEX('IR data'!$C$4:$C$61,MATCH(A298,'IR data'!$C$4:$C$61,1))))) * (INDEX('IR data'!$D$4:$D$61,MATCH(A298,'IR data'!$C$4:$C$61,1))-(INDEX('IR data'!$D$4:$D$61,MATCH(A298,'IR data'!$C$4:$C$61,1)+1)))))</f>
        <v>0.95892081010869568</v>
      </c>
      <c r="C298" s="30">
        <f t="shared" si="26"/>
        <v>2.2539995192051927E-2</v>
      </c>
      <c r="D298" s="45">
        <f t="shared" si="27"/>
        <v>45646</v>
      </c>
      <c r="E298" s="14" cm="1">
        <f t="array" ref="E298">_xlfn.IFNA(INDEX('IR data'!$I$4:$I$61,MATCH(D298,'IR data'!$H$4:$H$61,0)),((INDEX('IR data'!$I$4:$I$61,MATCH(D298,'IR data'!$H$4:$H$61,1)))-((D298-(INDEX('IR data'!$H$4:$H$61,MATCH(D298,'IR data'!$H$4:$H$61,1))))/((INDEX('IR data'!$H$4:$H$61,MATCH(D298,'IR data'!$H$4:$H$61,1)+1)-INDEX('IR data'!$H$4:$H$61,MATCH(D298,'IR data'!$H$4:$H$61,1))))) * (INDEX('IR data'!$I$4:$I$61,MATCH(D298,'IR data'!$H$4:$H$61,1))-(INDEX('IR data'!$I$4:$I$61,MATCH(D298,'IR data'!$H$4:$H$61,1)+1)))))</f>
        <v>0.95755600668888896</v>
      </c>
      <c r="F298" s="30">
        <f t="shared" si="28"/>
        <v>2.3305330519966534E-2</v>
      </c>
      <c r="G298" s="45">
        <f t="shared" si="24"/>
        <v>45680</v>
      </c>
      <c r="H298" s="14" cm="1">
        <f t="array" ref="H298">_xlfn.IFNA(INDEX('IR data'!$N$4:$N$61,MATCH(G298,'IR data'!$M$4:$M$61,0)),((INDEX('IR data'!$N$4:$N$61,MATCH(G298,'IR data'!$M$4:$M$61,1)))-((G298-(INDEX('IR data'!$M$4:$M$61,MATCH(G298,'IR data'!$M$4:$M$61,1))))/((INDEX('IR data'!$M$4:$M$61,MATCH(G298,'IR data'!$M$4:$M$61,1)+1)-INDEX('IR data'!$M$4:$M$61,MATCH(G298,'IR data'!$M$4:$M$61,1))))) * (INDEX('IR data'!$N$4:$N$61,MATCH(G298,'IR data'!$M$4:$M$61,1))-(INDEX('IR data'!$N$4:$N$61,MATCH(G298,'IR data'!$M$4:$M$61,1)+1)))))</f>
        <v>0.95767270693406592</v>
      </c>
      <c r="I298" s="44">
        <f t="shared" si="29"/>
        <v>2.3239846357054936E-2</v>
      </c>
    </row>
    <row r="299" spans="1:9" x14ac:dyDescent="0.25">
      <c r="A299" s="45">
        <f t="shared" si="25"/>
        <v>45587</v>
      </c>
      <c r="B299" s="14" cm="1">
        <f t="array" ref="B299">_xlfn.IFNA(INDEX('IR data'!$D$4:$D$61,MATCH(A299,'IR data'!$C$4:$C$61,0)),((INDEX('IR data'!$D$4:$D$61,MATCH(A299,'IR data'!$C$4:$C$61,1)))-((A299-(INDEX('IR data'!$C$4:$C$61,MATCH(A299,'IR data'!$C$4:$C$61,1))))/((INDEX('IR data'!$C$4:$C$61,MATCH(A299,'IR data'!$C$4:$C$61,1)+1)-INDEX('IR data'!$C$4:$C$61,MATCH(A299,'IR data'!$C$4:$C$61,1))))) * (INDEX('IR data'!$D$4:$D$61,MATCH(A299,'IR data'!$C$4:$C$61,1))-(INDEX('IR data'!$D$4:$D$61,MATCH(A299,'IR data'!$C$4:$C$61,1)+1)))))</f>
        <v>0.95880755583695654</v>
      </c>
      <c r="C299" s="30">
        <f t="shared" si="26"/>
        <v>2.2527099826497764E-2</v>
      </c>
      <c r="D299" s="45">
        <f t="shared" si="27"/>
        <v>45647</v>
      </c>
      <c r="E299" s="14" cm="1">
        <f t="array" ref="E299">_xlfn.IFNA(INDEX('IR data'!$I$4:$I$61,MATCH(D299,'IR data'!$H$4:$H$61,0)),((INDEX('IR data'!$I$4:$I$61,MATCH(D299,'IR data'!$H$4:$H$61,1)))-((D299-(INDEX('IR data'!$H$4:$H$61,MATCH(D299,'IR data'!$H$4:$H$61,1))))/((INDEX('IR data'!$H$4:$H$61,MATCH(D299,'IR data'!$H$4:$H$61,1)+1)-INDEX('IR data'!$H$4:$H$61,MATCH(D299,'IR data'!$H$4:$H$61,1))))) * (INDEX('IR data'!$I$4:$I$61,MATCH(D299,'IR data'!$H$4:$H$61,1))-(INDEX('IR data'!$I$4:$I$61,MATCH(D299,'IR data'!$H$4:$H$61,1)+1)))))</f>
        <v>0.95743042554444446</v>
      </c>
      <c r="F299" s="30">
        <f t="shared" si="28"/>
        <v>2.3296834628319617E-2</v>
      </c>
      <c r="G299" s="45">
        <f t="shared" si="24"/>
        <v>45681</v>
      </c>
      <c r="H299" s="14" cm="1">
        <f t="array" ref="H299">_xlfn.IFNA(INDEX('IR data'!$N$4:$N$61,MATCH(G299,'IR data'!$M$4:$M$61,0)),((INDEX('IR data'!$N$4:$N$61,MATCH(G299,'IR data'!$M$4:$M$61,1)))-((G299-(INDEX('IR data'!$M$4:$M$61,MATCH(G299,'IR data'!$M$4:$M$61,1))))/((INDEX('IR data'!$M$4:$M$61,MATCH(G299,'IR data'!$M$4:$M$61,1)+1)-INDEX('IR data'!$M$4:$M$61,MATCH(G299,'IR data'!$M$4:$M$61,1))))) * (INDEX('IR data'!$N$4:$N$61,MATCH(G299,'IR data'!$M$4:$M$61,1))-(INDEX('IR data'!$N$4:$N$61,MATCH(G299,'IR data'!$M$4:$M$61,1)+1)))))</f>
        <v>0.95754585698901096</v>
      </c>
      <c r="I299" s="44">
        <f t="shared" si="29"/>
        <v>2.3232272744782137E-2</v>
      </c>
    </row>
    <row r="300" spans="1:9" x14ac:dyDescent="0.25">
      <c r="A300" s="45">
        <f t="shared" si="25"/>
        <v>45588</v>
      </c>
      <c r="B300" s="14" cm="1">
        <f t="array" ref="B300">_xlfn.IFNA(INDEX('IR data'!$D$4:$D$61,MATCH(A300,'IR data'!$C$4:$C$61,0)),((INDEX('IR data'!$D$4:$D$61,MATCH(A300,'IR data'!$C$4:$C$61,1)))-((A300-(INDEX('IR data'!$C$4:$C$61,MATCH(A300,'IR data'!$C$4:$C$61,1))))/((INDEX('IR data'!$C$4:$C$61,MATCH(A300,'IR data'!$C$4:$C$61,1)+1)-INDEX('IR data'!$C$4:$C$61,MATCH(A300,'IR data'!$C$4:$C$61,1))))) * (INDEX('IR data'!$D$4:$D$61,MATCH(A300,'IR data'!$C$4:$C$61,1))-(INDEX('IR data'!$D$4:$D$61,MATCH(A300,'IR data'!$C$4:$C$61,1)+1)))))</f>
        <v>0.9586943015652174</v>
      </c>
      <c r="C300" s="30">
        <f t="shared" si="26"/>
        <v>2.2514298745176246E-2</v>
      </c>
      <c r="D300" s="45">
        <f t="shared" si="27"/>
        <v>45648</v>
      </c>
      <c r="E300" s="14" cm="1">
        <f t="array" ref="E300">_xlfn.IFNA(INDEX('IR data'!$I$4:$I$61,MATCH(D300,'IR data'!$H$4:$H$61,0)),((INDEX('IR data'!$I$4:$I$61,MATCH(D300,'IR data'!$H$4:$H$61,1)))-((D300-(INDEX('IR data'!$H$4:$H$61,MATCH(D300,'IR data'!$H$4:$H$61,1))))/((INDEX('IR data'!$H$4:$H$61,MATCH(D300,'IR data'!$H$4:$H$61,1)+1)-INDEX('IR data'!$H$4:$H$61,MATCH(D300,'IR data'!$H$4:$H$61,1))))) * (INDEX('IR data'!$I$4:$I$61,MATCH(D300,'IR data'!$H$4:$H$61,1))-(INDEX('IR data'!$I$4:$I$61,MATCH(D300,'IR data'!$H$4:$H$61,1)+1)))))</f>
        <v>0.95730484440000008</v>
      </c>
      <c r="F300" s="30">
        <f t="shared" si="28"/>
        <v>2.328840513044193E-2</v>
      </c>
      <c r="G300" s="45">
        <f t="shared" si="24"/>
        <v>45682</v>
      </c>
      <c r="H300" s="14" cm="1">
        <f t="array" ref="H300">_xlfn.IFNA(INDEX('IR data'!$N$4:$N$61,MATCH(G300,'IR data'!$M$4:$M$61,0)),((INDEX('IR data'!$N$4:$N$61,MATCH(G300,'IR data'!$M$4:$M$61,1)))-((G300-(INDEX('IR data'!$M$4:$M$61,MATCH(G300,'IR data'!$M$4:$M$61,1))))/((INDEX('IR data'!$M$4:$M$61,MATCH(G300,'IR data'!$M$4:$M$61,1)+1)-INDEX('IR data'!$M$4:$M$61,MATCH(G300,'IR data'!$M$4:$M$61,1))))) * (INDEX('IR data'!$N$4:$N$61,MATCH(G300,'IR data'!$M$4:$M$61,1))-(INDEX('IR data'!$N$4:$N$61,MATCH(G300,'IR data'!$M$4:$M$61,1)+1)))))</f>
        <v>0.95741900704395599</v>
      </c>
      <c r="I300" s="44">
        <f t="shared" si="29"/>
        <v>2.3224759499868835E-2</v>
      </c>
    </row>
    <row r="301" spans="1:9" x14ac:dyDescent="0.25">
      <c r="A301" s="45">
        <f t="shared" si="25"/>
        <v>45589</v>
      </c>
      <c r="B301" s="14" cm="1">
        <f t="array" ref="B301">_xlfn.IFNA(INDEX('IR data'!$D$4:$D$61,MATCH(A301,'IR data'!$C$4:$C$61,0)),((INDEX('IR data'!$D$4:$D$61,MATCH(A301,'IR data'!$C$4:$C$61,1)))-((A301-(INDEX('IR data'!$C$4:$C$61,MATCH(A301,'IR data'!$C$4:$C$61,1))))/((INDEX('IR data'!$C$4:$C$61,MATCH(A301,'IR data'!$C$4:$C$61,1)+1)-INDEX('IR data'!$C$4:$C$61,MATCH(A301,'IR data'!$C$4:$C$61,1))))) * (INDEX('IR data'!$D$4:$D$61,MATCH(A301,'IR data'!$C$4:$C$61,1))-(INDEX('IR data'!$D$4:$D$61,MATCH(A301,'IR data'!$C$4:$C$61,1)+1)))))</f>
        <v>0.95858104729347826</v>
      </c>
      <c r="C301" s="30">
        <f t="shared" si="26"/>
        <v>2.2501591000670878E-2</v>
      </c>
      <c r="D301" s="45">
        <f t="shared" si="27"/>
        <v>45649</v>
      </c>
      <c r="E301" s="14" cm="1">
        <f t="array" ref="E301">_xlfn.IFNA(INDEX('IR data'!$I$4:$I$61,MATCH(D301,'IR data'!$H$4:$H$61,0)),((INDEX('IR data'!$I$4:$I$61,MATCH(D301,'IR data'!$H$4:$H$61,1)))-((D301-(INDEX('IR data'!$H$4:$H$61,MATCH(D301,'IR data'!$H$4:$H$61,1))))/((INDEX('IR data'!$H$4:$H$61,MATCH(D301,'IR data'!$H$4:$H$61,1)+1)-INDEX('IR data'!$H$4:$H$61,MATCH(D301,'IR data'!$H$4:$H$61,1))))) * (INDEX('IR data'!$I$4:$I$61,MATCH(D301,'IR data'!$H$4:$H$61,1))-(INDEX('IR data'!$I$4:$I$61,MATCH(D301,'IR data'!$H$4:$H$61,1)+1)))))</f>
        <v>0.95717926325555558</v>
      </c>
      <c r="F301" s="30">
        <f t="shared" si="28"/>
        <v>2.3280041360341147E-2</v>
      </c>
      <c r="G301" s="45">
        <f t="shared" si="24"/>
        <v>45683</v>
      </c>
      <c r="H301" s="14" cm="1">
        <f t="array" ref="H301">_xlfn.IFNA(INDEX('IR data'!$N$4:$N$61,MATCH(G301,'IR data'!$M$4:$M$61,0)),((INDEX('IR data'!$N$4:$N$61,MATCH(G301,'IR data'!$M$4:$M$61,1)))-((G301-(INDEX('IR data'!$M$4:$M$61,MATCH(G301,'IR data'!$M$4:$M$61,1))))/((INDEX('IR data'!$M$4:$M$61,MATCH(G301,'IR data'!$M$4:$M$61,1)+1)-INDEX('IR data'!$M$4:$M$61,MATCH(G301,'IR data'!$M$4:$M$61,1))))) * (INDEX('IR data'!$N$4:$N$61,MATCH(G301,'IR data'!$M$4:$M$61,1))-(INDEX('IR data'!$N$4:$N$61,MATCH(G301,'IR data'!$M$4:$M$61,1)+1)))))</f>
        <v>0.95729215709890103</v>
      </c>
      <c r="I301" s="44">
        <f t="shared" si="29"/>
        <v>2.3217306017063757E-2</v>
      </c>
    </row>
    <row r="302" spans="1:9" x14ac:dyDescent="0.25">
      <c r="A302" s="45">
        <f t="shared" si="25"/>
        <v>45590</v>
      </c>
      <c r="B302" s="14" cm="1">
        <f t="array" ref="B302">_xlfn.IFNA(INDEX('IR data'!$D$4:$D$61,MATCH(A302,'IR data'!$C$4:$C$61,0)),((INDEX('IR data'!$D$4:$D$61,MATCH(A302,'IR data'!$C$4:$C$61,1)))-((A302-(INDEX('IR data'!$C$4:$C$61,MATCH(A302,'IR data'!$C$4:$C$61,1))))/((INDEX('IR data'!$C$4:$C$61,MATCH(A302,'IR data'!$C$4:$C$61,1)+1)-INDEX('IR data'!$C$4:$C$61,MATCH(A302,'IR data'!$C$4:$C$61,1))))) * (INDEX('IR data'!$D$4:$D$61,MATCH(A302,'IR data'!$C$4:$C$61,1))-(INDEX('IR data'!$D$4:$D$61,MATCH(A302,'IR data'!$C$4:$C$61,1)+1)))))</f>
        <v>0.95846779302173912</v>
      </c>
      <c r="C302" s="30">
        <f t="shared" si="26"/>
        <v>2.2488975658240248E-2</v>
      </c>
      <c r="D302" s="45">
        <f t="shared" si="27"/>
        <v>45650</v>
      </c>
      <c r="E302" s="14" cm="1">
        <f t="array" ref="E302">_xlfn.IFNA(INDEX('IR data'!$I$4:$I$61,MATCH(D302,'IR data'!$H$4:$H$61,0)),((INDEX('IR data'!$I$4:$I$61,MATCH(D302,'IR data'!$H$4:$H$61,1)))-((D302-(INDEX('IR data'!$H$4:$H$61,MATCH(D302,'IR data'!$H$4:$H$61,1))))/((INDEX('IR data'!$H$4:$H$61,MATCH(D302,'IR data'!$H$4:$H$61,1)+1)-INDEX('IR data'!$H$4:$H$61,MATCH(D302,'IR data'!$H$4:$H$61,1))))) * (INDEX('IR data'!$I$4:$I$61,MATCH(D302,'IR data'!$H$4:$H$61,1))-(INDEX('IR data'!$I$4:$I$61,MATCH(D302,'IR data'!$H$4:$H$61,1)+1)))))</f>
        <v>0.95705368211111119</v>
      </c>
      <c r="F302" s="30">
        <f t="shared" si="28"/>
        <v>2.3271742660935232E-2</v>
      </c>
      <c r="G302" s="45">
        <f t="shared" si="24"/>
        <v>45684</v>
      </c>
      <c r="H302" s="14" cm="1">
        <f t="array" ref="H302">_xlfn.IFNA(INDEX('IR data'!$N$4:$N$61,MATCH(G302,'IR data'!$M$4:$M$61,0)),((INDEX('IR data'!$N$4:$N$61,MATCH(G302,'IR data'!$M$4:$M$61,1)))-((G302-(INDEX('IR data'!$M$4:$M$61,MATCH(G302,'IR data'!$M$4:$M$61,1))))/((INDEX('IR data'!$M$4:$M$61,MATCH(G302,'IR data'!$M$4:$M$61,1)+1)-INDEX('IR data'!$M$4:$M$61,MATCH(G302,'IR data'!$M$4:$M$61,1))))) * (INDEX('IR data'!$N$4:$N$61,MATCH(G302,'IR data'!$M$4:$M$61,1))-(INDEX('IR data'!$N$4:$N$61,MATCH(G302,'IR data'!$M$4:$M$61,1)+1)))))</f>
        <v>0.95716530715384607</v>
      </c>
      <c r="I302" s="44">
        <f t="shared" si="29"/>
        <v>2.3209911699213628E-2</v>
      </c>
    </row>
    <row r="303" spans="1:9" x14ac:dyDescent="0.25">
      <c r="A303" s="45">
        <f t="shared" si="25"/>
        <v>45591</v>
      </c>
      <c r="B303" s="14" cm="1">
        <f t="array" ref="B303">_xlfn.IFNA(INDEX('IR data'!$D$4:$D$61,MATCH(A303,'IR data'!$C$4:$C$61,0)),((INDEX('IR data'!$D$4:$D$61,MATCH(A303,'IR data'!$C$4:$C$61,1)))-((A303-(INDEX('IR data'!$C$4:$C$61,MATCH(A303,'IR data'!$C$4:$C$61,1))))/((INDEX('IR data'!$C$4:$C$61,MATCH(A303,'IR data'!$C$4:$C$61,1)+1)-INDEX('IR data'!$C$4:$C$61,MATCH(A303,'IR data'!$C$4:$C$61,1))))) * (INDEX('IR data'!$D$4:$D$61,MATCH(A303,'IR data'!$C$4:$C$61,1))-(INDEX('IR data'!$D$4:$D$61,MATCH(A303,'IR data'!$C$4:$C$61,1)+1)))))</f>
        <v>0.9583545387500001</v>
      </c>
      <c r="C303" s="30">
        <f t="shared" si="26"/>
        <v>2.2476451795606724E-2</v>
      </c>
      <c r="D303" s="45">
        <f t="shared" si="27"/>
        <v>45651</v>
      </c>
      <c r="E303" s="14" cm="1">
        <f t="array" ref="E303">_xlfn.IFNA(INDEX('IR data'!$I$4:$I$61,MATCH(D303,'IR data'!$H$4:$H$61,0)),((INDEX('IR data'!$I$4:$I$61,MATCH(D303,'IR data'!$H$4:$H$61,1)))-((D303-(INDEX('IR data'!$H$4:$H$61,MATCH(D303,'IR data'!$H$4:$H$61,1))))/((INDEX('IR data'!$H$4:$H$61,MATCH(D303,'IR data'!$H$4:$H$61,1)+1)-INDEX('IR data'!$H$4:$H$61,MATCH(D303,'IR data'!$H$4:$H$61,1))))) * (INDEX('IR data'!$I$4:$I$61,MATCH(D303,'IR data'!$H$4:$H$61,1))-(INDEX('IR data'!$I$4:$I$61,MATCH(D303,'IR data'!$H$4:$H$61,1)+1)))))</f>
        <v>0.95692810096666669</v>
      </c>
      <c r="F303" s="30">
        <f t="shared" si="28"/>
        <v>2.3263508383904428E-2</v>
      </c>
      <c r="G303" s="45">
        <f t="shared" si="24"/>
        <v>45685</v>
      </c>
      <c r="H303" s="14" cm="1">
        <f t="array" ref="H303">_xlfn.IFNA(INDEX('IR data'!$N$4:$N$61,MATCH(G303,'IR data'!$M$4:$M$61,0)),((INDEX('IR data'!$N$4:$N$61,MATCH(G303,'IR data'!$M$4:$M$61,1)))-((G303-(INDEX('IR data'!$M$4:$M$61,MATCH(G303,'IR data'!$M$4:$M$61,1))))/((INDEX('IR data'!$M$4:$M$61,MATCH(G303,'IR data'!$M$4:$M$61,1)+1)-INDEX('IR data'!$M$4:$M$61,MATCH(G303,'IR data'!$M$4:$M$61,1))))) * (INDEX('IR data'!$N$4:$N$61,MATCH(G303,'IR data'!$M$4:$M$61,1))-(INDEX('IR data'!$N$4:$N$61,MATCH(G303,'IR data'!$M$4:$M$61,1)+1)))))</f>
        <v>0.95703845720879122</v>
      </c>
      <c r="I303" s="44">
        <f t="shared" si="29"/>
        <v>2.3202575957128119E-2</v>
      </c>
    </row>
    <row r="304" spans="1:9" x14ac:dyDescent="0.25">
      <c r="A304" s="45">
        <f t="shared" si="25"/>
        <v>45592</v>
      </c>
      <c r="B304" s="14" cm="1">
        <f t="array" ref="B304">_xlfn.IFNA(INDEX('IR data'!$D$4:$D$61,MATCH(A304,'IR data'!$C$4:$C$61,0)),((INDEX('IR data'!$D$4:$D$61,MATCH(A304,'IR data'!$C$4:$C$61,1)))-((A304-(INDEX('IR data'!$C$4:$C$61,MATCH(A304,'IR data'!$C$4:$C$61,1))))/((INDEX('IR data'!$C$4:$C$61,MATCH(A304,'IR data'!$C$4:$C$61,1)+1)-INDEX('IR data'!$C$4:$C$61,MATCH(A304,'IR data'!$C$4:$C$61,1))))) * (INDEX('IR data'!$D$4:$D$61,MATCH(A304,'IR data'!$C$4:$C$61,1))-(INDEX('IR data'!$D$4:$D$61,MATCH(A304,'IR data'!$C$4:$C$61,1)+1)))))</f>
        <v>0.95824128447826096</v>
      </c>
      <c r="C304" s="30">
        <f t="shared" si="26"/>
        <v>2.2464018502749636E-2</v>
      </c>
      <c r="D304" s="45">
        <f t="shared" si="27"/>
        <v>45652</v>
      </c>
      <c r="E304" s="14" cm="1">
        <f t="array" ref="E304">_xlfn.IFNA(INDEX('IR data'!$I$4:$I$61,MATCH(D304,'IR data'!$H$4:$H$61,0)),((INDEX('IR data'!$I$4:$I$61,MATCH(D304,'IR data'!$H$4:$H$61,1)))-((D304-(INDEX('IR data'!$H$4:$H$61,MATCH(D304,'IR data'!$H$4:$H$61,1))))/((INDEX('IR data'!$H$4:$H$61,MATCH(D304,'IR data'!$H$4:$H$61,1)+1)-INDEX('IR data'!$H$4:$H$61,MATCH(D304,'IR data'!$H$4:$H$61,1))))) * (INDEX('IR data'!$I$4:$I$61,MATCH(D304,'IR data'!$H$4:$H$61,1))-(INDEX('IR data'!$I$4:$I$61,MATCH(D304,'IR data'!$H$4:$H$61,1)+1)))))</f>
        <v>0.95680251982222231</v>
      </c>
      <c r="F304" s="30">
        <f t="shared" si="28"/>
        <v>2.3255337889545209E-2</v>
      </c>
      <c r="G304" s="45">
        <f t="shared" si="24"/>
        <v>45686</v>
      </c>
      <c r="H304" s="14" cm="1">
        <f t="array" ref="H304">_xlfn.IFNA(INDEX('IR data'!$N$4:$N$61,MATCH(G304,'IR data'!$M$4:$M$61,0)),((INDEX('IR data'!$N$4:$N$61,MATCH(G304,'IR data'!$M$4:$M$61,1)))-((G304-(INDEX('IR data'!$M$4:$M$61,MATCH(G304,'IR data'!$M$4:$M$61,1))))/((INDEX('IR data'!$M$4:$M$61,MATCH(G304,'IR data'!$M$4:$M$61,1)+1)-INDEX('IR data'!$M$4:$M$61,MATCH(G304,'IR data'!$M$4:$M$61,1))))) * (INDEX('IR data'!$N$4:$N$61,MATCH(G304,'IR data'!$M$4:$M$61,1))-(INDEX('IR data'!$N$4:$N$61,MATCH(G304,'IR data'!$M$4:$M$61,1)+1)))))</f>
        <v>0.95691160726373625</v>
      </c>
      <c r="I304" s="44">
        <f t="shared" si="29"/>
        <v>2.3195298209447837E-2</v>
      </c>
    </row>
    <row r="305" spans="1:9" x14ac:dyDescent="0.25">
      <c r="A305" s="45">
        <f t="shared" si="25"/>
        <v>45593</v>
      </c>
      <c r="B305" s="14" cm="1">
        <f t="array" ref="B305">_xlfn.IFNA(INDEX('IR data'!$D$4:$D$61,MATCH(A305,'IR data'!$C$4:$C$61,0)),((INDEX('IR data'!$D$4:$D$61,MATCH(A305,'IR data'!$C$4:$C$61,1)))-((A305-(INDEX('IR data'!$C$4:$C$61,MATCH(A305,'IR data'!$C$4:$C$61,1))))/((INDEX('IR data'!$C$4:$C$61,MATCH(A305,'IR data'!$C$4:$C$61,1)+1)-INDEX('IR data'!$C$4:$C$61,MATCH(A305,'IR data'!$C$4:$C$61,1))))) * (INDEX('IR data'!$D$4:$D$61,MATCH(A305,'IR data'!$C$4:$C$61,1))-(INDEX('IR data'!$D$4:$D$61,MATCH(A305,'IR data'!$C$4:$C$61,1)+1)))))</f>
        <v>0.95812803020652182</v>
      </c>
      <c r="C305" s="30">
        <f t="shared" si="26"/>
        <v>2.2451674881702032E-2</v>
      </c>
      <c r="D305" s="45">
        <f t="shared" si="27"/>
        <v>45653</v>
      </c>
      <c r="E305" s="14" cm="1">
        <f t="array" ref="E305">_xlfn.IFNA(INDEX('IR data'!$I$4:$I$61,MATCH(D305,'IR data'!$H$4:$H$61,0)),((INDEX('IR data'!$I$4:$I$61,MATCH(D305,'IR data'!$H$4:$H$61,1)))-((D305-(INDEX('IR data'!$H$4:$H$61,MATCH(D305,'IR data'!$H$4:$H$61,1))))/((INDEX('IR data'!$H$4:$H$61,MATCH(D305,'IR data'!$H$4:$H$61,1)+1)-INDEX('IR data'!$H$4:$H$61,MATCH(D305,'IR data'!$H$4:$H$61,1))))) * (INDEX('IR data'!$I$4:$I$61,MATCH(D305,'IR data'!$H$4:$H$61,1))-(INDEX('IR data'!$I$4:$I$61,MATCH(D305,'IR data'!$H$4:$H$61,1)+1)))))</f>
        <v>0.95667693867777781</v>
      </c>
      <c r="F305" s="30">
        <f t="shared" si="28"/>
        <v>2.3247230546628136E-2</v>
      </c>
      <c r="G305" s="45">
        <f t="shared" si="24"/>
        <v>45687</v>
      </c>
      <c r="H305" s="14" cm="1">
        <f t="array" ref="H305">_xlfn.IFNA(INDEX('IR data'!$N$4:$N$61,MATCH(G305,'IR data'!$M$4:$M$61,0)),((INDEX('IR data'!$N$4:$N$61,MATCH(G305,'IR data'!$M$4:$M$61,1)))-((G305-(INDEX('IR data'!$M$4:$M$61,MATCH(G305,'IR data'!$M$4:$M$61,1))))/((INDEX('IR data'!$M$4:$M$61,MATCH(G305,'IR data'!$M$4:$M$61,1)+1)-INDEX('IR data'!$M$4:$M$61,MATCH(G305,'IR data'!$M$4:$M$61,1))))) * (INDEX('IR data'!$N$4:$N$61,MATCH(G305,'IR data'!$M$4:$M$61,1))-(INDEX('IR data'!$N$4:$N$61,MATCH(G305,'IR data'!$M$4:$M$61,1)+1)))))</f>
        <v>0.95678475731868129</v>
      </c>
      <c r="I305" s="44">
        <f t="shared" si="29"/>
        <v>2.3188077882514313E-2</v>
      </c>
    </row>
    <row r="306" spans="1:9" x14ac:dyDescent="0.25">
      <c r="A306" s="45">
        <f t="shared" si="25"/>
        <v>45594</v>
      </c>
      <c r="B306" s="14" cm="1">
        <f t="array" ref="B306">_xlfn.IFNA(INDEX('IR data'!$D$4:$D$61,MATCH(A306,'IR data'!$C$4:$C$61,0)),((INDEX('IR data'!$D$4:$D$61,MATCH(A306,'IR data'!$C$4:$C$61,1)))-((A306-(INDEX('IR data'!$C$4:$C$61,MATCH(A306,'IR data'!$C$4:$C$61,1))))/((INDEX('IR data'!$C$4:$C$61,MATCH(A306,'IR data'!$C$4:$C$61,1)+1)-INDEX('IR data'!$C$4:$C$61,MATCH(A306,'IR data'!$C$4:$C$61,1))))) * (INDEX('IR data'!$D$4:$D$61,MATCH(A306,'IR data'!$C$4:$C$61,1))-(INDEX('IR data'!$D$4:$D$61,MATCH(A306,'IR data'!$C$4:$C$61,1)+1)))))</f>
        <v>0.95801477593478268</v>
      </c>
      <c r="C306" s="30">
        <f t="shared" si="26"/>
        <v>2.2439420046351948E-2</v>
      </c>
      <c r="D306" s="45">
        <f t="shared" si="27"/>
        <v>45654</v>
      </c>
      <c r="E306" s="14" cm="1">
        <f t="array" ref="E306">_xlfn.IFNA(INDEX('IR data'!$I$4:$I$61,MATCH(D306,'IR data'!$H$4:$H$61,0)),((INDEX('IR data'!$I$4:$I$61,MATCH(D306,'IR data'!$H$4:$H$61,1)))-((D306-(INDEX('IR data'!$H$4:$H$61,MATCH(D306,'IR data'!$H$4:$H$61,1))))/((INDEX('IR data'!$H$4:$H$61,MATCH(D306,'IR data'!$H$4:$H$61,1)+1)-INDEX('IR data'!$H$4:$H$61,MATCH(D306,'IR data'!$H$4:$H$61,1))))) * (INDEX('IR data'!$I$4:$I$61,MATCH(D306,'IR data'!$H$4:$H$61,1))-(INDEX('IR data'!$I$4:$I$61,MATCH(D306,'IR data'!$H$4:$H$61,1)+1)))))</f>
        <v>0.95655135753333331</v>
      </c>
      <c r="F306" s="30">
        <f t="shared" si="28"/>
        <v>2.323918573225757E-2</v>
      </c>
      <c r="G306" s="45">
        <f t="shared" si="24"/>
        <v>45688</v>
      </c>
      <c r="H306" s="14" cm="1">
        <f t="array" ref="H306">_xlfn.IFNA(INDEX('IR data'!$N$4:$N$61,MATCH(G306,'IR data'!$M$4:$M$61,0)),((INDEX('IR data'!$N$4:$N$61,MATCH(G306,'IR data'!$M$4:$M$61,1)))-((G306-(INDEX('IR data'!$M$4:$M$61,MATCH(G306,'IR data'!$M$4:$M$61,1))))/((INDEX('IR data'!$M$4:$M$61,MATCH(G306,'IR data'!$M$4:$M$61,1)+1)-INDEX('IR data'!$M$4:$M$61,MATCH(G306,'IR data'!$M$4:$M$61,1))))) * (INDEX('IR data'!$N$4:$N$61,MATCH(G306,'IR data'!$M$4:$M$61,1))-(INDEX('IR data'!$N$4:$N$61,MATCH(G306,'IR data'!$M$4:$M$61,1)+1)))))</f>
        <v>0.95665790737362633</v>
      </c>
      <c r="I306" s="44">
        <f t="shared" si="29"/>
        <v>2.3180914410243145E-2</v>
      </c>
    </row>
    <row r="307" spans="1:9" x14ac:dyDescent="0.25">
      <c r="A307" s="45">
        <f t="shared" si="25"/>
        <v>45595</v>
      </c>
      <c r="B307" s="14" cm="1">
        <f t="array" ref="B307">_xlfn.IFNA(INDEX('IR data'!$D$4:$D$61,MATCH(A307,'IR data'!$C$4:$C$61,0)),((INDEX('IR data'!$D$4:$D$61,MATCH(A307,'IR data'!$C$4:$C$61,1)))-((A307-(INDEX('IR data'!$C$4:$C$61,MATCH(A307,'IR data'!$C$4:$C$61,1))))/((INDEX('IR data'!$C$4:$C$61,MATCH(A307,'IR data'!$C$4:$C$61,1)+1)-INDEX('IR data'!$C$4:$C$61,MATCH(A307,'IR data'!$C$4:$C$61,1))))) * (INDEX('IR data'!$D$4:$D$61,MATCH(A307,'IR data'!$C$4:$C$61,1))-(INDEX('IR data'!$D$4:$D$61,MATCH(A307,'IR data'!$C$4:$C$61,1)+1)))))</f>
        <v>0.95790152166304354</v>
      </c>
      <c r="C307" s="30">
        <f t="shared" si="26"/>
        <v>2.2427253122247422E-2</v>
      </c>
      <c r="D307" s="45">
        <f t="shared" si="27"/>
        <v>45655</v>
      </c>
      <c r="E307" s="14" cm="1">
        <f t="array" ref="E307">_xlfn.IFNA(INDEX('IR data'!$I$4:$I$61,MATCH(D307,'IR data'!$H$4:$H$61,0)),((INDEX('IR data'!$I$4:$I$61,MATCH(D307,'IR data'!$H$4:$H$61,1)))-((D307-(INDEX('IR data'!$H$4:$H$61,MATCH(D307,'IR data'!$H$4:$H$61,1))))/((INDEX('IR data'!$H$4:$H$61,MATCH(D307,'IR data'!$H$4:$H$61,1)+1)-INDEX('IR data'!$H$4:$H$61,MATCH(D307,'IR data'!$H$4:$H$61,1))))) * (INDEX('IR data'!$I$4:$I$61,MATCH(D307,'IR data'!$H$4:$H$61,1))-(INDEX('IR data'!$I$4:$I$61,MATCH(D307,'IR data'!$H$4:$H$61,1)+1)))))</f>
        <v>0.95642577638888893</v>
      </c>
      <c r="F307" s="30">
        <f t="shared" si="28"/>
        <v>2.3231202831734788E-2</v>
      </c>
      <c r="G307" s="45">
        <f t="shared" si="24"/>
        <v>45689</v>
      </c>
      <c r="H307" s="14" cm="1">
        <f t="array" ref="H307">_xlfn.IFNA(INDEX('IR data'!$N$4:$N$61,MATCH(G307,'IR data'!$M$4:$M$61,0)),((INDEX('IR data'!$N$4:$N$61,MATCH(G307,'IR data'!$M$4:$M$61,1)))-((G307-(INDEX('IR data'!$M$4:$M$61,MATCH(G307,'IR data'!$M$4:$M$61,1))))/((INDEX('IR data'!$M$4:$M$61,MATCH(G307,'IR data'!$M$4:$M$61,1)+1)-INDEX('IR data'!$M$4:$M$61,MATCH(G307,'IR data'!$M$4:$M$61,1))))) * (INDEX('IR data'!$N$4:$N$61,MATCH(G307,'IR data'!$M$4:$M$61,1))-(INDEX('IR data'!$N$4:$N$61,MATCH(G307,'IR data'!$M$4:$M$61,1)+1)))))</f>
        <v>0.95653105742857136</v>
      </c>
      <c r="I307" s="44">
        <f t="shared" si="29"/>
        <v>2.3173807233999377E-2</v>
      </c>
    </row>
    <row r="308" spans="1:9" x14ac:dyDescent="0.25">
      <c r="A308" s="45">
        <f t="shared" si="25"/>
        <v>45596</v>
      </c>
      <c r="B308" s="14" cm="1">
        <f t="array" ref="B308">_xlfn.IFNA(INDEX('IR data'!$D$4:$D$61,MATCH(A308,'IR data'!$C$4:$C$61,0)),((INDEX('IR data'!$D$4:$D$61,MATCH(A308,'IR data'!$C$4:$C$61,1)))-((A308-(INDEX('IR data'!$C$4:$C$61,MATCH(A308,'IR data'!$C$4:$C$61,1))))/((INDEX('IR data'!$C$4:$C$61,MATCH(A308,'IR data'!$C$4:$C$61,1)+1)-INDEX('IR data'!$C$4:$C$61,MATCH(A308,'IR data'!$C$4:$C$61,1))))) * (INDEX('IR data'!$D$4:$D$61,MATCH(A308,'IR data'!$C$4:$C$61,1))-(INDEX('IR data'!$D$4:$D$61,MATCH(A308,'IR data'!$C$4:$C$61,1)+1)))))</f>
        <v>0.9577882673913044</v>
      </c>
      <c r="C308" s="30">
        <f t="shared" si="26"/>
        <v>2.2415173246405309E-2</v>
      </c>
      <c r="D308" s="45">
        <f t="shared" si="27"/>
        <v>45656</v>
      </c>
      <c r="E308" s="14" cm="1">
        <f t="array" ref="E308">_xlfn.IFNA(INDEX('IR data'!$I$4:$I$61,MATCH(D308,'IR data'!$H$4:$H$61,0)),((INDEX('IR data'!$I$4:$I$61,MATCH(D308,'IR data'!$H$4:$H$61,1)))-((D308-(INDEX('IR data'!$H$4:$H$61,MATCH(D308,'IR data'!$H$4:$H$61,1))))/((INDEX('IR data'!$H$4:$H$61,MATCH(D308,'IR data'!$H$4:$H$61,1)+1)-INDEX('IR data'!$H$4:$H$61,MATCH(D308,'IR data'!$H$4:$H$61,1))))) * (INDEX('IR data'!$I$4:$I$61,MATCH(D308,'IR data'!$H$4:$H$61,1))-(INDEX('IR data'!$I$4:$I$61,MATCH(D308,'IR data'!$H$4:$H$61,1)+1)))))</f>
        <v>0.95630019524444443</v>
      </c>
      <c r="F308" s="30">
        <f t="shared" si="28"/>
        <v>2.3223281238423824E-2</v>
      </c>
      <c r="G308" s="45">
        <f t="shared" si="24"/>
        <v>45690</v>
      </c>
      <c r="H308" s="14" cm="1">
        <f t="array" ref="H308">_xlfn.IFNA(INDEX('IR data'!$N$4:$N$61,MATCH(G308,'IR data'!$M$4:$M$61,0)),((INDEX('IR data'!$N$4:$N$61,MATCH(G308,'IR data'!$M$4:$M$61,1)))-((G308-(INDEX('IR data'!$M$4:$M$61,MATCH(G308,'IR data'!$M$4:$M$61,1))))/((INDEX('IR data'!$M$4:$M$61,MATCH(G308,'IR data'!$M$4:$M$61,1)+1)-INDEX('IR data'!$M$4:$M$61,MATCH(G308,'IR data'!$M$4:$M$61,1))))) * (INDEX('IR data'!$N$4:$N$61,MATCH(G308,'IR data'!$M$4:$M$61,1))-(INDEX('IR data'!$N$4:$N$61,MATCH(G308,'IR data'!$M$4:$M$61,1)+1)))))</f>
        <v>0.9564042074835164</v>
      </c>
      <c r="I308" s="44">
        <f t="shared" si="29"/>
        <v>2.3166755802475378E-2</v>
      </c>
    </row>
    <row r="309" spans="1:9" x14ac:dyDescent="0.25">
      <c r="A309" s="45">
        <f t="shared" si="25"/>
        <v>45597</v>
      </c>
      <c r="B309" s="14" cm="1">
        <f t="array" ref="B309">_xlfn.IFNA(INDEX('IR data'!$D$4:$D$61,MATCH(A309,'IR data'!$C$4:$C$61,0)),((INDEX('IR data'!$D$4:$D$61,MATCH(A309,'IR data'!$C$4:$C$61,1)))-((A309-(INDEX('IR data'!$C$4:$C$61,MATCH(A309,'IR data'!$C$4:$C$61,1))))/((INDEX('IR data'!$C$4:$C$61,MATCH(A309,'IR data'!$C$4:$C$61,1)+1)-INDEX('IR data'!$C$4:$C$61,MATCH(A309,'IR data'!$C$4:$C$61,1))))) * (INDEX('IR data'!$D$4:$D$61,MATCH(A309,'IR data'!$C$4:$C$61,1))-(INDEX('IR data'!$D$4:$D$61,MATCH(A309,'IR data'!$C$4:$C$61,1)+1)))))</f>
        <v>0.95767501311956527</v>
      </c>
      <c r="C309" s="30">
        <f t="shared" si="26"/>
        <v>2.2403179567123913E-2</v>
      </c>
      <c r="D309" s="45">
        <f t="shared" si="27"/>
        <v>45657</v>
      </c>
      <c r="E309" s="14" cm="1">
        <f t="array" ref="E309">_xlfn.IFNA(INDEX('IR data'!$I$4:$I$61,MATCH(D309,'IR data'!$H$4:$H$61,0)),((INDEX('IR data'!$I$4:$I$61,MATCH(D309,'IR data'!$H$4:$H$61,1)))-((D309-(INDEX('IR data'!$H$4:$H$61,MATCH(D309,'IR data'!$H$4:$H$61,1))))/((INDEX('IR data'!$H$4:$H$61,MATCH(D309,'IR data'!$H$4:$H$61,1)+1)-INDEX('IR data'!$H$4:$H$61,MATCH(D309,'IR data'!$H$4:$H$61,1))))) * (INDEX('IR data'!$I$4:$I$61,MATCH(D309,'IR data'!$H$4:$H$61,1))-(INDEX('IR data'!$I$4:$I$61,MATCH(D309,'IR data'!$H$4:$H$61,1)+1)))))</f>
        <v>0.95617461410000004</v>
      </c>
      <c r="F309" s="30">
        <f t="shared" si="28"/>
        <v>2.3215420353619249E-2</v>
      </c>
      <c r="G309" s="45">
        <f t="shared" si="24"/>
        <v>45691</v>
      </c>
      <c r="H309" s="14" cm="1">
        <f t="array" ref="H309">_xlfn.IFNA(INDEX('IR data'!$N$4:$N$61,MATCH(G309,'IR data'!$M$4:$M$61,0)),((INDEX('IR data'!$N$4:$N$61,MATCH(G309,'IR data'!$M$4:$M$61,1)))-((G309-(INDEX('IR data'!$M$4:$M$61,MATCH(G309,'IR data'!$M$4:$M$61,1))))/((INDEX('IR data'!$M$4:$M$61,MATCH(G309,'IR data'!$M$4:$M$61,1)+1)-INDEX('IR data'!$M$4:$M$61,MATCH(G309,'IR data'!$M$4:$M$61,1))))) * (INDEX('IR data'!$N$4:$N$61,MATCH(G309,'IR data'!$M$4:$M$61,1))-(INDEX('IR data'!$N$4:$N$61,MATCH(G309,'IR data'!$M$4:$M$61,1)+1)))))</f>
        <v>0.95627735753846155</v>
      </c>
      <c r="I309" s="44">
        <f t="shared" si="29"/>
        <v>2.3159759571571056E-2</v>
      </c>
    </row>
    <row r="310" spans="1:9" x14ac:dyDescent="0.25">
      <c r="A310" s="45">
        <f t="shared" si="25"/>
        <v>45598</v>
      </c>
      <c r="B310" s="14" cm="1">
        <f t="array" ref="B310">_xlfn.IFNA(INDEX('IR data'!$D$4:$D$61,MATCH(A310,'IR data'!$C$4:$C$61,0)),((INDEX('IR data'!$D$4:$D$61,MATCH(A310,'IR data'!$C$4:$C$61,1)))-((A310-(INDEX('IR data'!$C$4:$C$61,MATCH(A310,'IR data'!$C$4:$C$61,1))))/((INDEX('IR data'!$C$4:$C$61,MATCH(A310,'IR data'!$C$4:$C$61,1)+1)-INDEX('IR data'!$C$4:$C$61,MATCH(A310,'IR data'!$C$4:$C$61,1))))) * (INDEX('IR data'!$D$4:$D$61,MATCH(A310,'IR data'!$C$4:$C$61,1))-(INDEX('IR data'!$D$4:$D$61,MATCH(A310,'IR data'!$C$4:$C$61,1)+1)))))</f>
        <v>0.95756175884782613</v>
      </c>
      <c r="C310" s="30">
        <f t="shared" si="26"/>
        <v>2.2391271243799211E-2</v>
      </c>
      <c r="D310" s="45">
        <f t="shared" si="27"/>
        <v>45658</v>
      </c>
      <c r="E310" s="14" cm="1">
        <f t="array" ref="E310">_xlfn.IFNA(INDEX('IR data'!$I$4:$I$61,MATCH(D310,'IR data'!$H$4:$H$61,0)),((INDEX('IR data'!$I$4:$I$61,MATCH(D310,'IR data'!$H$4:$H$61,1)))-((D310-(INDEX('IR data'!$H$4:$H$61,MATCH(D310,'IR data'!$H$4:$H$61,1))))/((INDEX('IR data'!$H$4:$H$61,MATCH(D310,'IR data'!$H$4:$H$61,1)+1)-INDEX('IR data'!$H$4:$H$61,MATCH(D310,'IR data'!$H$4:$H$61,1))))) * (INDEX('IR data'!$I$4:$I$61,MATCH(D310,'IR data'!$H$4:$H$61,1))-(INDEX('IR data'!$I$4:$I$61,MATCH(D310,'IR data'!$H$4:$H$61,1)+1)))))</f>
        <v>0.95604903295555554</v>
      </c>
      <c r="F310" s="30">
        <f t="shared" si="28"/>
        <v>2.3207619586417528E-2</v>
      </c>
      <c r="G310" s="45">
        <f t="shared" si="24"/>
        <v>45692</v>
      </c>
      <c r="H310" s="14" cm="1">
        <f t="array" ref="H310">_xlfn.IFNA(INDEX('IR data'!$N$4:$N$61,MATCH(G310,'IR data'!$M$4:$M$61,0)),((INDEX('IR data'!$N$4:$N$61,MATCH(G310,'IR data'!$M$4:$M$61,1)))-((G310-(INDEX('IR data'!$M$4:$M$61,MATCH(G310,'IR data'!$M$4:$M$61,1))))/((INDEX('IR data'!$M$4:$M$61,MATCH(G310,'IR data'!$M$4:$M$61,1)+1)-INDEX('IR data'!$M$4:$M$61,MATCH(G310,'IR data'!$M$4:$M$61,1))))) * (INDEX('IR data'!$N$4:$N$61,MATCH(G310,'IR data'!$M$4:$M$61,1))-(INDEX('IR data'!$N$4:$N$61,MATCH(G310,'IR data'!$M$4:$M$61,1)+1)))))</f>
        <v>0.95615050759340658</v>
      </c>
      <c r="I310" s="44">
        <f t="shared" si="29"/>
        <v>2.315281800427672E-2</v>
      </c>
    </row>
    <row r="311" spans="1:9" x14ac:dyDescent="0.25">
      <c r="A311" s="45">
        <f t="shared" si="25"/>
        <v>45599</v>
      </c>
      <c r="B311" s="14" cm="1">
        <f t="array" ref="B311">_xlfn.IFNA(INDEX('IR data'!$D$4:$D$61,MATCH(A311,'IR data'!$C$4:$C$61,0)),((INDEX('IR data'!$D$4:$D$61,MATCH(A311,'IR data'!$C$4:$C$61,1)))-((A311-(INDEX('IR data'!$C$4:$C$61,MATCH(A311,'IR data'!$C$4:$C$61,1))))/((INDEX('IR data'!$C$4:$C$61,MATCH(A311,'IR data'!$C$4:$C$61,1)+1)-INDEX('IR data'!$C$4:$C$61,MATCH(A311,'IR data'!$C$4:$C$61,1))))) * (INDEX('IR data'!$D$4:$D$61,MATCH(A311,'IR data'!$C$4:$C$61,1))-(INDEX('IR data'!$D$4:$D$61,MATCH(A311,'IR data'!$C$4:$C$61,1)+1)))))</f>
        <v>0.95744850457608699</v>
      </c>
      <c r="C311" s="30">
        <f t="shared" si="26"/>
        <v>2.2379447446744746E-2</v>
      </c>
      <c r="D311" s="45">
        <f t="shared" si="27"/>
        <v>45659</v>
      </c>
      <c r="E311" s="14" cm="1">
        <f t="array" ref="E311">_xlfn.IFNA(INDEX('IR data'!$I$4:$I$61,MATCH(D311,'IR data'!$H$4:$H$61,0)),((INDEX('IR data'!$I$4:$I$61,MATCH(D311,'IR data'!$H$4:$H$61,1)))-((D311-(INDEX('IR data'!$H$4:$H$61,MATCH(D311,'IR data'!$H$4:$H$61,1))))/((INDEX('IR data'!$H$4:$H$61,MATCH(D311,'IR data'!$H$4:$H$61,1)+1)-INDEX('IR data'!$H$4:$H$61,MATCH(D311,'IR data'!$H$4:$H$61,1))))) * (INDEX('IR data'!$I$4:$I$61,MATCH(D311,'IR data'!$H$4:$H$61,1))-(INDEX('IR data'!$I$4:$I$61,MATCH(D311,'IR data'!$H$4:$H$61,1)+1)))))</f>
        <v>0.95592345181111116</v>
      </c>
      <c r="F311" s="30">
        <f t="shared" si="28"/>
        <v>2.3199878353589883E-2</v>
      </c>
      <c r="G311" s="45">
        <f t="shared" si="24"/>
        <v>45693</v>
      </c>
      <c r="H311" s="14" cm="1">
        <f t="array" ref="H311">_xlfn.IFNA(INDEX('IR data'!$N$4:$N$61,MATCH(G311,'IR data'!$M$4:$M$61,0)),((INDEX('IR data'!$N$4:$N$61,MATCH(G311,'IR data'!$M$4:$M$61,1)))-((G311-(INDEX('IR data'!$M$4:$M$61,MATCH(G311,'IR data'!$M$4:$M$61,1))))/((INDEX('IR data'!$M$4:$M$61,MATCH(G311,'IR data'!$M$4:$M$61,1)+1)-INDEX('IR data'!$M$4:$M$61,MATCH(G311,'IR data'!$M$4:$M$61,1))))) * (INDEX('IR data'!$N$4:$N$61,MATCH(G311,'IR data'!$M$4:$M$61,1))-(INDEX('IR data'!$N$4:$N$61,MATCH(G311,'IR data'!$M$4:$M$61,1)+1)))))</f>
        <v>0.95602365764835162</v>
      </c>
      <c r="I311" s="44">
        <f t="shared" si="29"/>
        <v>2.3145930570557582E-2</v>
      </c>
    </row>
    <row r="312" spans="1:9" x14ac:dyDescent="0.25">
      <c r="A312" s="45">
        <f t="shared" si="25"/>
        <v>45600</v>
      </c>
      <c r="B312" s="14" cm="1">
        <f t="array" ref="B312">_xlfn.IFNA(INDEX('IR data'!$D$4:$D$61,MATCH(A312,'IR data'!$C$4:$C$61,0)),((INDEX('IR data'!$D$4:$D$61,MATCH(A312,'IR data'!$C$4:$C$61,1)))-((A312-(INDEX('IR data'!$C$4:$C$61,MATCH(A312,'IR data'!$C$4:$C$61,1))))/((INDEX('IR data'!$C$4:$C$61,MATCH(A312,'IR data'!$C$4:$C$61,1)+1)-INDEX('IR data'!$C$4:$C$61,MATCH(A312,'IR data'!$C$4:$C$61,1))))) * (INDEX('IR data'!$D$4:$D$61,MATCH(A312,'IR data'!$C$4:$C$61,1))-(INDEX('IR data'!$D$4:$D$61,MATCH(A312,'IR data'!$C$4:$C$61,1)+1)))))</f>
        <v>0.95733525030434785</v>
      </c>
      <c r="C312" s="30">
        <f t="shared" si="26"/>
        <v>2.2367707357014918E-2</v>
      </c>
      <c r="D312" s="45">
        <f t="shared" si="27"/>
        <v>45660</v>
      </c>
      <c r="E312" s="14" cm="1">
        <f t="array" ref="E312">_xlfn.IFNA(INDEX('IR data'!$I$4:$I$61,MATCH(D312,'IR data'!$H$4:$H$61,0)),((INDEX('IR data'!$I$4:$I$61,MATCH(D312,'IR data'!$H$4:$H$61,1)))-((D312-(INDEX('IR data'!$H$4:$H$61,MATCH(D312,'IR data'!$H$4:$H$61,1))))/((INDEX('IR data'!$H$4:$H$61,MATCH(D312,'IR data'!$H$4:$H$61,1)+1)-INDEX('IR data'!$H$4:$H$61,MATCH(D312,'IR data'!$H$4:$H$61,1))))) * (INDEX('IR data'!$I$4:$I$61,MATCH(D312,'IR data'!$H$4:$H$61,1))-(INDEX('IR data'!$I$4:$I$61,MATCH(D312,'IR data'!$H$4:$H$61,1)+1)))))</f>
        <v>0.95579787066666666</v>
      </c>
      <c r="F312" s="30">
        <f t="shared" si="28"/>
        <v>2.319219607945857E-2</v>
      </c>
      <c r="G312" s="45">
        <f t="shared" si="24"/>
        <v>45694</v>
      </c>
      <c r="H312" s="14" cm="1">
        <f t="array" ref="H312">_xlfn.IFNA(INDEX('IR data'!$N$4:$N$61,MATCH(G312,'IR data'!$M$4:$M$61,0)),((INDEX('IR data'!$N$4:$N$61,MATCH(G312,'IR data'!$M$4:$M$61,1)))-((G312-(INDEX('IR data'!$M$4:$M$61,MATCH(G312,'IR data'!$M$4:$M$61,1))))/((INDEX('IR data'!$M$4:$M$61,MATCH(G312,'IR data'!$M$4:$M$61,1)+1)-INDEX('IR data'!$M$4:$M$61,MATCH(G312,'IR data'!$M$4:$M$61,1))))) * (INDEX('IR data'!$N$4:$N$61,MATCH(G312,'IR data'!$M$4:$M$61,1))-(INDEX('IR data'!$N$4:$N$61,MATCH(G312,'IR data'!$M$4:$M$61,1)+1)))))</f>
        <v>0.95589680770329666</v>
      </c>
      <c r="I312" s="44">
        <f t="shared" si="29"/>
        <v>2.313909674724118E-2</v>
      </c>
    </row>
    <row r="313" spans="1:9" x14ac:dyDescent="0.25">
      <c r="A313" s="45">
        <f t="shared" si="25"/>
        <v>45601</v>
      </c>
      <c r="B313" s="14" cm="1">
        <f t="array" ref="B313">_xlfn.IFNA(INDEX('IR data'!$D$4:$D$61,MATCH(A313,'IR data'!$C$4:$C$61,0)),((INDEX('IR data'!$D$4:$D$61,MATCH(A313,'IR data'!$C$4:$C$61,1)))-((A313-(INDEX('IR data'!$C$4:$C$61,MATCH(A313,'IR data'!$C$4:$C$61,1))))/((INDEX('IR data'!$C$4:$C$61,MATCH(A313,'IR data'!$C$4:$C$61,1)+1)-INDEX('IR data'!$C$4:$C$61,MATCH(A313,'IR data'!$C$4:$C$61,1))))) * (INDEX('IR data'!$D$4:$D$61,MATCH(A313,'IR data'!$C$4:$C$61,1))-(INDEX('IR data'!$D$4:$D$61,MATCH(A313,'IR data'!$C$4:$C$61,1)+1)))))</f>
        <v>0.95722199603260871</v>
      </c>
      <c r="C313" s="30">
        <f t="shared" si="26"/>
        <v>2.2356050166231784E-2</v>
      </c>
      <c r="D313" s="45">
        <f t="shared" si="27"/>
        <v>45661</v>
      </c>
      <c r="E313" s="14" cm="1">
        <f t="array" ref="E313">_xlfn.IFNA(INDEX('IR data'!$I$4:$I$61,MATCH(D313,'IR data'!$H$4:$H$61,0)),((INDEX('IR data'!$I$4:$I$61,MATCH(D313,'IR data'!$H$4:$H$61,1)))-((D313-(INDEX('IR data'!$H$4:$H$61,MATCH(D313,'IR data'!$H$4:$H$61,1))))/((INDEX('IR data'!$H$4:$H$61,MATCH(D313,'IR data'!$H$4:$H$61,1)+1)-INDEX('IR data'!$H$4:$H$61,MATCH(D313,'IR data'!$H$4:$H$61,1))))) * (INDEX('IR data'!$I$4:$I$61,MATCH(D313,'IR data'!$H$4:$H$61,1))-(INDEX('IR data'!$I$4:$I$61,MATCH(D313,'IR data'!$H$4:$H$61,1)+1)))))</f>
        <v>0.95567228952222227</v>
      </c>
      <c r="F313" s="30">
        <f t="shared" si="28"/>
        <v>2.318457219577463E-2</v>
      </c>
      <c r="G313" s="45">
        <f t="shared" si="24"/>
        <v>45695</v>
      </c>
      <c r="H313" s="14" cm="1">
        <f t="array" ref="H313">_xlfn.IFNA(INDEX('IR data'!$N$4:$N$61,MATCH(G313,'IR data'!$M$4:$M$61,0)),((INDEX('IR data'!$N$4:$N$61,MATCH(G313,'IR data'!$M$4:$M$61,1)))-((G313-(INDEX('IR data'!$M$4:$M$61,MATCH(G313,'IR data'!$M$4:$M$61,1))))/((INDEX('IR data'!$M$4:$M$61,MATCH(G313,'IR data'!$M$4:$M$61,1)+1)-INDEX('IR data'!$M$4:$M$61,MATCH(G313,'IR data'!$M$4:$M$61,1))))) * (INDEX('IR data'!$N$4:$N$61,MATCH(G313,'IR data'!$M$4:$M$61,1))-(INDEX('IR data'!$N$4:$N$61,MATCH(G313,'IR data'!$M$4:$M$61,1)+1)))))</f>
        <v>0.95576995775824169</v>
      </c>
      <c r="I313" s="44">
        <f t="shared" si="29"/>
        <v>2.3132316017906607E-2</v>
      </c>
    </row>
    <row r="314" spans="1:9" x14ac:dyDescent="0.25">
      <c r="A314" s="45">
        <f t="shared" si="25"/>
        <v>45602</v>
      </c>
      <c r="B314" s="14" cm="1">
        <f t="array" ref="B314">_xlfn.IFNA(INDEX('IR data'!$D$4:$D$61,MATCH(A314,'IR data'!$C$4:$C$61,0)),((INDEX('IR data'!$D$4:$D$61,MATCH(A314,'IR data'!$C$4:$C$61,1)))-((A314-(INDEX('IR data'!$C$4:$C$61,MATCH(A314,'IR data'!$C$4:$C$61,1))))/((INDEX('IR data'!$C$4:$C$61,MATCH(A314,'IR data'!$C$4:$C$61,1)+1)-INDEX('IR data'!$C$4:$C$61,MATCH(A314,'IR data'!$C$4:$C$61,1))))) * (INDEX('IR data'!$D$4:$D$61,MATCH(A314,'IR data'!$C$4:$C$61,1))-(INDEX('IR data'!$D$4:$D$61,MATCH(A314,'IR data'!$C$4:$C$61,1)+1)))))</f>
        <v>0.95710874176086957</v>
      </c>
      <c r="C314" s="30">
        <f t="shared" si="26"/>
        <v>2.234447507641513E-2</v>
      </c>
      <c r="D314" s="45">
        <f t="shared" si="27"/>
        <v>45662</v>
      </c>
      <c r="E314" s="14" cm="1">
        <f t="array" ref="E314">_xlfn.IFNA(INDEX('IR data'!$I$4:$I$61,MATCH(D314,'IR data'!$H$4:$H$61,0)),((INDEX('IR data'!$I$4:$I$61,MATCH(D314,'IR data'!$H$4:$H$61,1)))-((D314-(INDEX('IR data'!$H$4:$H$61,MATCH(D314,'IR data'!$H$4:$H$61,1))))/((INDEX('IR data'!$H$4:$H$61,MATCH(D314,'IR data'!$H$4:$H$61,1)+1)-INDEX('IR data'!$H$4:$H$61,MATCH(D314,'IR data'!$H$4:$H$61,1))))) * (INDEX('IR data'!$I$4:$I$61,MATCH(D314,'IR data'!$H$4:$H$61,1))-(INDEX('IR data'!$I$4:$I$61,MATCH(D314,'IR data'!$H$4:$H$61,1)+1)))))</f>
        <v>0.95554670837777778</v>
      </c>
      <c r="F314" s="30">
        <f t="shared" si="28"/>
        <v>2.3177006141598903E-2</v>
      </c>
      <c r="G314" s="45">
        <f t="shared" si="24"/>
        <v>45696</v>
      </c>
      <c r="H314" s="14" cm="1">
        <f t="array" ref="H314">_xlfn.IFNA(INDEX('IR data'!$N$4:$N$61,MATCH(G314,'IR data'!$M$4:$M$61,0)),((INDEX('IR data'!$N$4:$N$61,MATCH(G314,'IR data'!$M$4:$M$61,1)))-((G314-(INDEX('IR data'!$M$4:$M$61,MATCH(G314,'IR data'!$M$4:$M$61,1))))/((INDEX('IR data'!$M$4:$M$61,MATCH(G314,'IR data'!$M$4:$M$61,1)+1)-INDEX('IR data'!$M$4:$M$61,MATCH(G314,'IR data'!$M$4:$M$61,1))))) * (INDEX('IR data'!$N$4:$N$61,MATCH(G314,'IR data'!$M$4:$M$61,1))-(INDEX('IR data'!$N$4:$N$61,MATCH(G314,'IR data'!$M$4:$M$61,1)+1)))))</f>
        <v>0.95564310781318673</v>
      </c>
      <c r="I314" s="44">
        <f t="shared" si="29"/>
        <v>2.3125587872775979E-2</v>
      </c>
    </row>
    <row r="315" spans="1:9" x14ac:dyDescent="0.25">
      <c r="A315" s="45">
        <f t="shared" si="25"/>
        <v>45603</v>
      </c>
      <c r="B315" s="14" cm="1">
        <f t="array" ref="B315">_xlfn.IFNA(INDEX('IR data'!$D$4:$D$61,MATCH(A315,'IR data'!$C$4:$C$61,0)),((INDEX('IR data'!$D$4:$D$61,MATCH(A315,'IR data'!$C$4:$C$61,1)))-((A315-(INDEX('IR data'!$C$4:$C$61,MATCH(A315,'IR data'!$C$4:$C$61,1))))/((INDEX('IR data'!$C$4:$C$61,MATCH(A315,'IR data'!$C$4:$C$61,1)+1)-INDEX('IR data'!$C$4:$C$61,MATCH(A315,'IR data'!$C$4:$C$61,1))))) * (INDEX('IR data'!$D$4:$D$61,MATCH(A315,'IR data'!$C$4:$C$61,1))-(INDEX('IR data'!$D$4:$D$61,MATCH(A315,'IR data'!$C$4:$C$61,1)+1)))))</f>
        <v>0.95699548748913044</v>
      </c>
      <c r="C315" s="30">
        <f t="shared" si="26"/>
        <v>2.2332981299815872E-2</v>
      </c>
      <c r="D315" s="45">
        <f t="shared" si="27"/>
        <v>45663</v>
      </c>
      <c r="E315" s="14" cm="1">
        <f t="array" ref="E315">_xlfn.IFNA(INDEX('IR data'!$I$4:$I$61,MATCH(D315,'IR data'!$H$4:$H$61,0)),((INDEX('IR data'!$I$4:$I$61,MATCH(D315,'IR data'!$H$4:$H$61,1)))-((D315-(INDEX('IR data'!$H$4:$H$61,MATCH(D315,'IR data'!$H$4:$H$61,1))))/((INDEX('IR data'!$H$4:$H$61,MATCH(D315,'IR data'!$H$4:$H$61,1)+1)-INDEX('IR data'!$H$4:$H$61,MATCH(D315,'IR data'!$H$4:$H$61,1))))) * (INDEX('IR data'!$I$4:$I$61,MATCH(D315,'IR data'!$H$4:$H$61,1))-(INDEX('IR data'!$I$4:$I$61,MATCH(D315,'IR data'!$H$4:$H$61,1)+1)))))</f>
        <v>0.95542112723333339</v>
      </c>
      <c r="F315" s="30">
        <f t="shared" si="28"/>
        <v>2.3169497363184452E-2</v>
      </c>
      <c r="G315" s="45">
        <f t="shared" si="24"/>
        <v>45697</v>
      </c>
      <c r="H315" s="14" cm="1">
        <f t="array" ref="H315">_xlfn.IFNA(INDEX('IR data'!$N$4:$N$61,MATCH(G315,'IR data'!$M$4:$M$61,0)),((INDEX('IR data'!$N$4:$N$61,MATCH(G315,'IR data'!$M$4:$M$61,1)))-((G315-(INDEX('IR data'!$M$4:$M$61,MATCH(G315,'IR data'!$M$4:$M$61,1))))/((INDEX('IR data'!$M$4:$M$61,MATCH(G315,'IR data'!$M$4:$M$61,1)+1)-INDEX('IR data'!$M$4:$M$61,MATCH(G315,'IR data'!$M$4:$M$61,1))))) * (INDEX('IR data'!$N$4:$N$61,MATCH(G315,'IR data'!$M$4:$M$61,1))-(INDEX('IR data'!$N$4:$N$61,MATCH(G315,'IR data'!$M$4:$M$61,1)+1)))))</f>
        <v>0.95551625786813188</v>
      </c>
      <c r="I315" s="44">
        <f t="shared" si="29"/>
        <v>2.3118911808607909E-2</v>
      </c>
    </row>
    <row r="316" spans="1:9" x14ac:dyDescent="0.25">
      <c r="A316" s="45">
        <f t="shared" si="25"/>
        <v>45604</v>
      </c>
      <c r="B316" s="14" cm="1">
        <f t="array" ref="B316">_xlfn.IFNA(INDEX('IR data'!$D$4:$D$61,MATCH(A316,'IR data'!$C$4:$C$61,0)),((INDEX('IR data'!$D$4:$D$61,MATCH(A316,'IR data'!$C$4:$C$61,1)))-((A316-(INDEX('IR data'!$C$4:$C$61,MATCH(A316,'IR data'!$C$4:$C$61,1))))/((INDEX('IR data'!$C$4:$C$61,MATCH(A316,'IR data'!$C$4:$C$61,1)+1)-INDEX('IR data'!$C$4:$C$61,MATCH(A316,'IR data'!$C$4:$C$61,1))))) * (INDEX('IR data'!$D$4:$D$61,MATCH(A316,'IR data'!$C$4:$C$61,1))-(INDEX('IR data'!$D$4:$D$61,MATCH(A316,'IR data'!$C$4:$C$61,1)+1)))))</f>
        <v>0.9568822332173913</v>
      </c>
      <c r="C316" s="30">
        <f t="shared" si="26"/>
        <v>2.2321568058752586E-2</v>
      </c>
      <c r="D316" s="45">
        <f t="shared" si="27"/>
        <v>45664</v>
      </c>
      <c r="E316" s="14" cm="1">
        <f t="array" ref="E316">_xlfn.IFNA(INDEX('IR data'!$I$4:$I$61,MATCH(D316,'IR data'!$H$4:$H$61,0)),((INDEX('IR data'!$I$4:$I$61,MATCH(D316,'IR data'!$H$4:$H$61,1)))-((D316-(INDEX('IR data'!$H$4:$H$61,MATCH(D316,'IR data'!$H$4:$H$61,1))))/((INDEX('IR data'!$H$4:$H$61,MATCH(D316,'IR data'!$H$4:$H$61,1)+1)-INDEX('IR data'!$H$4:$H$61,MATCH(D316,'IR data'!$H$4:$H$61,1))))) * (INDEX('IR data'!$I$4:$I$61,MATCH(D316,'IR data'!$H$4:$H$61,1))-(INDEX('IR data'!$I$4:$I$61,MATCH(D316,'IR data'!$H$4:$H$61,1)+1)))))</f>
        <v>0.95529554608888889</v>
      </c>
      <c r="F316" s="30">
        <f t="shared" si="28"/>
        <v>2.3162045313862109E-2</v>
      </c>
      <c r="G316" s="45">
        <f t="shared" si="24"/>
        <v>45698</v>
      </c>
      <c r="H316" s="14" cm="1">
        <f t="array" ref="H316">_xlfn.IFNA(INDEX('IR data'!$N$4:$N$61,MATCH(G316,'IR data'!$M$4:$M$61,0)),((INDEX('IR data'!$N$4:$N$61,MATCH(G316,'IR data'!$M$4:$M$61,1)))-((G316-(INDEX('IR data'!$M$4:$M$61,MATCH(G316,'IR data'!$M$4:$M$61,1))))/((INDEX('IR data'!$M$4:$M$61,MATCH(G316,'IR data'!$M$4:$M$61,1)+1)-INDEX('IR data'!$M$4:$M$61,MATCH(G316,'IR data'!$M$4:$M$61,1))))) * (INDEX('IR data'!$N$4:$N$61,MATCH(G316,'IR data'!$M$4:$M$61,1))-(INDEX('IR data'!$N$4:$N$61,MATCH(G316,'IR data'!$M$4:$M$61,1)+1)))))</f>
        <v>0.95538940792307692</v>
      </c>
      <c r="I316" s="44">
        <f t="shared" si="29"/>
        <v>2.3112287328593328E-2</v>
      </c>
    </row>
    <row r="317" spans="1:9" x14ac:dyDescent="0.25">
      <c r="A317" s="45">
        <f t="shared" si="25"/>
        <v>45605</v>
      </c>
      <c r="B317" s="14" cm="1">
        <f t="array" ref="B317">_xlfn.IFNA(INDEX('IR data'!$D$4:$D$61,MATCH(A317,'IR data'!$C$4:$C$61,0)),((INDEX('IR data'!$D$4:$D$61,MATCH(A317,'IR data'!$C$4:$C$61,1)))-((A317-(INDEX('IR data'!$C$4:$C$61,MATCH(A317,'IR data'!$C$4:$C$61,1))))/((INDEX('IR data'!$C$4:$C$61,MATCH(A317,'IR data'!$C$4:$C$61,1)+1)-INDEX('IR data'!$C$4:$C$61,MATCH(A317,'IR data'!$C$4:$C$61,1))))) * (INDEX('IR data'!$D$4:$D$61,MATCH(A317,'IR data'!$C$4:$C$61,1))-(INDEX('IR data'!$D$4:$D$61,MATCH(A317,'IR data'!$C$4:$C$61,1)+1)))))</f>
        <v>0.95676897894565216</v>
      </c>
      <c r="C317" s="30">
        <f t="shared" si="26"/>
        <v>2.2310234585451227E-2</v>
      </c>
      <c r="D317" s="45">
        <f t="shared" si="27"/>
        <v>45665</v>
      </c>
      <c r="E317" s="14" cm="1">
        <f t="array" ref="E317">_xlfn.IFNA(INDEX('IR data'!$I$4:$I$61,MATCH(D317,'IR data'!$H$4:$H$61,0)),((INDEX('IR data'!$I$4:$I$61,MATCH(D317,'IR data'!$H$4:$H$61,1)))-((D317-(INDEX('IR data'!$H$4:$H$61,MATCH(D317,'IR data'!$H$4:$H$61,1))))/((INDEX('IR data'!$H$4:$H$61,MATCH(D317,'IR data'!$H$4:$H$61,1)+1)-INDEX('IR data'!$H$4:$H$61,MATCH(D317,'IR data'!$H$4:$H$61,1))))) * (INDEX('IR data'!$I$4:$I$61,MATCH(D317,'IR data'!$H$4:$H$61,1))-(INDEX('IR data'!$I$4:$I$61,MATCH(D317,'IR data'!$H$4:$H$61,1)+1)))))</f>
        <v>0.95516996494444451</v>
      </c>
      <c r="F317" s="30">
        <f t="shared" si="28"/>
        <v>2.3154649453927312E-2</v>
      </c>
      <c r="G317" s="45">
        <f t="shared" si="24"/>
        <v>45699</v>
      </c>
      <c r="H317" s="14" cm="1">
        <f t="array" ref="H317">_xlfn.IFNA(INDEX('IR data'!$N$4:$N$61,MATCH(G317,'IR data'!$M$4:$M$61,0)),((INDEX('IR data'!$N$4:$N$61,MATCH(G317,'IR data'!$M$4:$M$61,1)))-((G317-(INDEX('IR data'!$M$4:$M$61,MATCH(G317,'IR data'!$M$4:$M$61,1))))/((INDEX('IR data'!$M$4:$M$61,MATCH(G317,'IR data'!$M$4:$M$61,1)+1)-INDEX('IR data'!$M$4:$M$61,MATCH(G317,'IR data'!$M$4:$M$61,1))))) * (INDEX('IR data'!$N$4:$N$61,MATCH(G317,'IR data'!$M$4:$M$61,1))-(INDEX('IR data'!$N$4:$N$61,MATCH(G317,'IR data'!$M$4:$M$61,1)+1)))))</f>
        <v>0.95526255797802195</v>
      </c>
      <c r="I317" s="44">
        <f t="shared" si="29"/>
        <v>2.3105713942252717E-2</v>
      </c>
    </row>
    <row r="318" spans="1:9" x14ac:dyDescent="0.25">
      <c r="A318" s="45">
        <f t="shared" si="25"/>
        <v>45606</v>
      </c>
      <c r="B318" s="14" cm="1">
        <f t="array" ref="B318">_xlfn.IFNA(INDEX('IR data'!$D$4:$D$61,MATCH(A318,'IR data'!$C$4:$C$61,0)),((INDEX('IR data'!$D$4:$D$61,MATCH(A318,'IR data'!$C$4:$C$61,1)))-((A318-(INDEX('IR data'!$C$4:$C$61,MATCH(A318,'IR data'!$C$4:$C$61,1))))/((INDEX('IR data'!$C$4:$C$61,MATCH(A318,'IR data'!$C$4:$C$61,1)+1)-INDEX('IR data'!$C$4:$C$61,MATCH(A318,'IR data'!$C$4:$C$61,1))))) * (INDEX('IR data'!$D$4:$D$61,MATCH(A318,'IR data'!$C$4:$C$61,1))-(INDEX('IR data'!$D$4:$D$61,MATCH(A318,'IR data'!$C$4:$C$61,1)+1)))))</f>
        <v>0.95665572467391302</v>
      </c>
      <c r="C318" s="30">
        <f t="shared" si="26"/>
        <v>2.2298980121887833E-2</v>
      </c>
      <c r="D318" s="45">
        <f t="shared" si="27"/>
        <v>45666</v>
      </c>
      <c r="E318" s="14" cm="1">
        <f t="array" ref="E318">_xlfn.IFNA(INDEX('IR data'!$I$4:$I$61,MATCH(D318,'IR data'!$H$4:$H$61,0)),((INDEX('IR data'!$I$4:$I$61,MATCH(D318,'IR data'!$H$4:$H$61,1)))-((D318-(INDEX('IR data'!$H$4:$H$61,MATCH(D318,'IR data'!$H$4:$H$61,1))))/((INDEX('IR data'!$H$4:$H$61,MATCH(D318,'IR data'!$H$4:$H$61,1)+1)-INDEX('IR data'!$H$4:$H$61,MATCH(D318,'IR data'!$H$4:$H$61,1))))) * (INDEX('IR data'!$I$4:$I$61,MATCH(D318,'IR data'!$H$4:$H$61,1))-(INDEX('IR data'!$I$4:$I$61,MATCH(D318,'IR data'!$H$4:$H$61,1)+1)))))</f>
        <v>0.95504438380000001</v>
      </c>
      <c r="F318" s="30">
        <f t="shared" si="28"/>
        <v>2.3147309250530022E-2</v>
      </c>
      <c r="G318" s="45">
        <f t="shared" si="24"/>
        <v>45700</v>
      </c>
      <c r="H318" s="14" cm="1">
        <f t="array" ref="H318">_xlfn.IFNA(INDEX('IR data'!$N$4:$N$61,MATCH(G318,'IR data'!$M$4:$M$61,0)),((INDEX('IR data'!$N$4:$N$61,MATCH(G318,'IR data'!$M$4:$M$61,1)))-((G318-(INDEX('IR data'!$M$4:$M$61,MATCH(G318,'IR data'!$M$4:$M$61,1))))/((INDEX('IR data'!$M$4:$M$61,MATCH(G318,'IR data'!$M$4:$M$61,1)+1)-INDEX('IR data'!$M$4:$M$61,MATCH(G318,'IR data'!$M$4:$M$61,1))))) * (INDEX('IR data'!$N$4:$N$61,MATCH(G318,'IR data'!$M$4:$M$61,1))-(INDEX('IR data'!$N$4:$N$61,MATCH(G318,'IR data'!$M$4:$M$61,1)+1)))))</f>
        <v>0.95513570803296699</v>
      </c>
      <c r="I318" s="44">
        <f t="shared" si="29"/>
        <v>2.3099191165335854E-2</v>
      </c>
    </row>
    <row r="319" spans="1:9" x14ac:dyDescent="0.25">
      <c r="A319" s="45">
        <f t="shared" si="25"/>
        <v>45607</v>
      </c>
      <c r="B319" s="14" cm="1">
        <f t="array" ref="B319">_xlfn.IFNA(INDEX('IR data'!$D$4:$D$61,MATCH(A319,'IR data'!$C$4:$C$61,0)),((INDEX('IR data'!$D$4:$D$61,MATCH(A319,'IR data'!$C$4:$C$61,1)))-((A319-(INDEX('IR data'!$C$4:$C$61,MATCH(A319,'IR data'!$C$4:$C$61,1))))/((INDEX('IR data'!$C$4:$C$61,MATCH(A319,'IR data'!$C$4:$C$61,1)+1)-INDEX('IR data'!$C$4:$C$61,MATCH(A319,'IR data'!$C$4:$C$61,1))))) * (INDEX('IR data'!$D$4:$D$61,MATCH(A319,'IR data'!$C$4:$C$61,1))-(INDEX('IR data'!$D$4:$D$61,MATCH(A319,'IR data'!$C$4:$C$61,1)+1)))))</f>
        <v>0.95654247040217399</v>
      </c>
      <c r="C319" s="30">
        <f t="shared" si="26"/>
        <v>2.2287803919634239E-2</v>
      </c>
      <c r="D319" s="45">
        <f t="shared" si="27"/>
        <v>45667</v>
      </c>
      <c r="E319" s="14" cm="1">
        <f t="array" ref="E319">_xlfn.IFNA(INDEX('IR data'!$I$4:$I$61,MATCH(D319,'IR data'!$H$4:$H$61,0)),((INDEX('IR data'!$I$4:$I$61,MATCH(D319,'IR data'!$H$4:$H$61,1)))-((D319-(INDEX('IR data'!$H$4:$H$61,MATCH(D319,'IR data'!$H$4:$H$61,1))))/((INDEX('IR data'!$H$4:$H$61,MATCH(D319,'IR data'!$H$4:$H$61,1)+1)-INDEX('IR data'!$H$4:$H$61,MATCH(D319,'IR data'!$H$4:$H$61,1))))) * (INDEX('IR data'!$I$4:$I$61,MATCH(D319,'IR data'!$H$4:$H$61,1))-(INDEX('IR data'!$I$4:$I$61,MATCH(D319,'IR data'!$H$4:$H$61,1)+1)))))</f>
        <v>0.95491880265555562</v>
      </c>
      <c r="F319" s="30">
        <f t="shared" si="28"/>
        <v>2.3140024177565822E-2</v>
      </c>
      <c r="G319" s="45">
        <f t="shared" si="24"/>
        <v>45701</v>
      </c>
      <c r="H319" s="14" cm="1">
        <f t="array" ref="H319">_xlfn.IFNA(INDEX('IR data'!$N$4:$N$61,MATCH(G319,'IR data'!$M$4:$M$61,0)),((INDEX('IR data'!$N$4:$N$61,MATCH(G319,'IR data'!$M$4:$M$61,1)))-((G319-(INDEX('IR data'!$M$4:$M$61,MATCH(G319,'IR data'!$M$4:$M$61,1))))/((INDEX('IR data'!$M$4:$M$61,MATCH(G319,'IR data'!$M$4:$M$61,1)+1)-INDEX('IR data'!$M$4:$M$61,MATCH(G319,'IR data'!$M$4:$M$61,1))))) * (INDEX('IR data'!$N$4:$N$61,MATCH(G319,'IR data'!$M$4:$M$61,1))-(INDEX('IR data'!$N$4:$N$61,MATCH(G319,'IR data'!$M$4:$M$61,1)+1)))))</f>
        <v>0.95500885808791203</v>
      </c>
      <c r="I319" s="44">
        <f t="shared" si="29"/>
        <v>2.3092718519723211E-2</v>
      </c>
    </row>
    <row r="320" spans="1:9" x14ac:dyDescent="0.25">
      <c r="A320" s="45">
        <f t="shared" si="25"/>
        <v>45608</v>
      </c>
      <c r="B320" s="14" cm="1">
        <f t="array" ref="B320">_xlfn.IFNA(INDEX('IR data'!$D$4:$D$61,MATCH(A320,'IR data'!$C$4:$C$61,0)),((INDEX('IR data'!$D$4:$D$61,MATCH(A320,'IR data'!$C$4:$C$61,1)))-((A320-(INDEX('IR data'!$C$4:$C$61,MATCH(A320,'IR data'!$C$4:$C$61,1))))/((INDEX('IR data'!$C$4:$C$61,MATCH(A320,'IR data'!$C$4:$C$61,1)+1)-INDEX('IR data'!$C$4:$C$61,MATCH(A320,'IR data'!$C$4:$C$61,1))))) * (INDEX('IR data'!$D$4:$D$61,MATCH(A320,'IR data'!$C$4:$C$61,1))-(INDEX('IR data'!$D$4:$D$61,MATCH(A320,'IR data'!$C$4:$C$61,1)+1)))))</f>
        <v>0.95642921613043486</v>
      </c>
      <c r="C320" s="30">
        <f t="shared" si="26"/>
        <v>2.2276705239706922E-2</v>
      </c>
      <c r="D320" s="45">
        <f t="shared" si="27"/>
        <v>45668</v>
      </c>
      <c r="E320" s="14" cm="1">
        <f t="array" ref="E320">_xlfn.IFNA(INDEX('IR data'!$I$4:$I$61,MATCH(D320,'IR data'!$H$4:$H$61,0)),((INDEX('IR data'!$I$4:$I$61,MATCH(D320,'IR data'!$H$4:$H$61,1)))-((D320-(INDEX('IR data'!$H$4:$H$61,MATCH(D320,'IR data'!$H$4:$H$61,1))))/((INDEX('IR data'!$H$4:$H$61,MATCH(D320,'IR data'!$H$4:$H$61,1)+1)-INDEX('IR data'!$H$4:$H$61,MATCH(D320,'IR data'!$H$4:$H$61,1))))) * (INDEX('IR data'!$I$4:$I$61,MATCH(D320,'IR data'!$H$4:$H$61,1))-(INDEX('IR data'!$I$4:$I$61,MATCH(D320,'IR data'!$H$4:$H$61,1)+1)))))</f>
        <v>0.95479322151111112</v>
      </c>
      <c r="F320" s="30">
        <f t="shared" si="28"/>
        <v>2.3132793715569939E-2</v>
      </c>
      <c r="G320" s="45">
        <f t="shared" si="24"/>
        <v>45702</v>
      </c>
      <c r="H320" s="14" cm="1">
        <f t="array" ref="H320">_xlfn.IFNA(INDEX('IR data'!$N$4:$N$61,MATCH(G320,'IR data'!$M$4:$M$61,0)),((INDEX('IR data'!$N$4:$N$61,MATCH(G320,'IR data'!$M$4:$M$61,1)))-((G320-(INDEX('IR data'!$M$4:$M$61,MATCH(G320,'IR data'!$M$4:$M$61,1))))/((INDEX('IR data'!$M$4:$M$61,MATCH(G320,'IR data'!$M$4:$M$61,1)+1)-INDEX('IR data'!$M$4:$M$61,MATCH(G320,'IR data'!$M$4:$M$61,1))))) * (INDEX('IR data'!$N$4:$N$61,MATCH(G320,'IR data'!$M$4:$M$61,1))-(INDEX('IR data'!$N$4:$N$61,MATCH(G320,'IR data'!$M$4:$M$61,1)+1)))))</f>
        <v>0.95488200814285706</v>
      </c>
      <c r="I320" s="44">
        <f t="shared" si="29"/>
        <v>2.3086295533329245E-2</v>
      </c>
    </row>
    <row r="321" spans="1:9" x14ac:dyDescent="0.25">
      <c r="A321" s="45">
        <f t="shared" si="25"/>
        <v>45609</v>
      </c>
      <c r="B321" s="14" cm="1">
        <f t="array" ref="B321">_xlfn.IFNA(INDEX('IR data'!$D$4:$D$61,MATCH(A321,'IR data'!$C$4:$C$61,0)),((INDEX('IR data'!$D$4:$D$61,MATCH(A321,'IR data'!$C$4:$C$61,1)))-((A321-(INDEX('IR data'!$C$4:$C$61,MATCH(A321,'IR data'!$C$4:$C$61,1))))/((INDEX('IR data'!$C$4:$C$61,MATCH(A321,'IR data'!$C$4:$C$61,1)+1)-INDEX('IR data'!$C$4:$C$61,MATCH(A321,'IR data'!$C$4:$C$61,1))))) * (INDEX('IR data'!$D$4:$D$61,MATCH(A321,'IR data'!$C$4:$C$61,1))-(INDEX('IR data'!$D$4:$D$61,MATCH(A321,'IR data'!$C$4:$C$61,1)+1)))))</f>
        <v>0.95631596185869572</v>
      </c>
      <c r="C321" s="30">
        <f t="shared" si="26"/>
        <v>2.2265683352418148E-2</v>
      </c>
      <c r="D321" s="45">
        <f t="shared" si="27"/>
        <v>45669</v>
      </c>
      <c r="E321" s="14" cm="1">
        <f t="array" ref="E321">_xlfn.IFNA(INDEX('IR data'!$I$4:$I$61,MATCH(D321,'IR data'!$H$4:$H$61,0)),((INDEX('IR data'!$I$4:$I$61,MATCH(D321,'IR data'!$H$4:$H$61,1)))-((D321-(INDEX('IR data'!$H$4:$H$61,MATCH(D321,'IR data'!$H$4:$H$61,1))))/((INDEX('IR data'!$H$4:$H$61,MATCH(D321,'IR data'!$H$4:$H$61,1)+1)-INDEX('IR data'!$H$4:$H$61,MATCH(D321,'IR data'!$H$4:$H$61,1))))) * (INDEX('IR data'!$I$4:$I$61,MATCH(D321,'IR data'!$H$4:$H$61,1))-(INDEX('IR data'!$I$4:$I$61,MATCH(D321,'IR data'!$H$4:$H$61,1)+1)))))</f>
        <v>0.95466764036666674</v>
      </c>
      <c r="F321" s="30">
        <f t="shared" si="28"/>
        <v>2.3125617351612438E-2</v>
      </c>
      <c r="G321" s="45">
        <f t="shared" si="24"/>
        <v>45703</v>
      </c>
      <c r="H321" s="14" cm="1">
        <f t="array" ref="H321">_xlfn.IFNA(INDEX('IR data'!$N$4:$N$61,MATCH(G321,'IR data'!$M$4:$M$61,0)),((INDEX('IR data'!$N$4:$N$61,MATCH(G321,'IR data'!$M$4:$M$61,1)))-((G321-(INDEX('IR data'!$M$4:$M$61,MATCH(G321,'IR data'!$M$4:$M$61,1))))/((INDEX('IR data'!$M$4:$M$61,MATCH(G321,'IR data'!$M$4:$M$61,1)+1)-INDEX('IR data'!$M$4:$M$61,MATCH(G321,'IR data'!$M$4:$M$61,1))))) * (INDEX('IR data'!$N$4:$N$61,MATCH(G321,'IR data'!$M$4:$M$61,1))-(INDEX('IR data'!$N$4:$N$61,MATCH(G321,'IR data'!$M$4:$M$61,1)+1)))))</f>
        <v>0.95475515819780221</v>
      </c>
      <c r="I321" s="44">
        <f t="shared" si="29"/>
        <v>2.3079921740007472E-2</v>
      </c>
    </row>
    <row r="322" spans="1:9" x14ac:dyDescent="0.25">
      <c r="A322" s="45">
        <f t="shared" si="25"/>
        <v>45610</v>
      </c>
      <c r="B322" s="14" cm="1">
        <f t="array" ref="B322">_xlfn.IFNA(INDEX('IR data'!$D$4:$D$61,MATCH(A322,'IR data'!$C$4:$C$61,0)),((INDEX('IR data'!$D$4:$D$61,MATCH(A322,'IR data'!$C$4:$C$61,1)))-((A322-(INDEX('IR data'!$C$4:$C$61,MATCH(A322,'IR data'!$C$4:$C$61,1))))/((INDEX('IR data'!$C$4:$C$61,MATCH(A322,'IR data'!$C$4:$C$61,1)+1)-INDEX('IR data'!$C$4:$C$61,MATCH(A322,'IR data'!$C$4:$C$61,1))))) * (INDEX('IR data'!$D$4:$D$61,MATCH(A322,'IR data'!$C$4:$C$61,1))-(INDEX('IR data'!$D$4:$D$61,MATCH(A322,'IR data'!$C$4:$C$61,1)+1)))))</f>
        <v>0.95620270758695658</v>
      </c>
      <c r="C322" s="30">
        <f t="shared" si="26"/>
        <v>2.2254737537230548E-2</v>
      </c>
      <c r="D322" s="45">
        <f t="shared" si="27"/>
        <v>45670</v>
      </c>
      <c r="E322" s="14" cm="1">
        <f t="array" ref="E322">_xlfn.IFNA(INDEX('IR data'!$I$4:$I$61,MATCH(D322,'IR data'!$H$4:$H$61,0)),((INDEX('IR data'!$I$4:$I$61,MATCH(D322,'IR data'!$H$4:$H$61,1)))-((D322-(INDEX('IR data'!$H$4:$H$61,MATCH(D322,'IR data'!$H$4:$H$61,1))))/((INDEX('IR data'!$H$4:$H$61,MATCH(D322,'IR data'!$H$4:$H$61,1)+1)-INDEX('IR data'!$H$4:$H$61,MATCH(D322,'IR data'!$H$4:$H$61,1))))) * (INDEX('IR data'!$I$4:$I$61,MATCH(D322,'IR data'!$H$4:$H$61,1))-(INDEX('IR data'!$I$4:$I$61,MATCH(D322,'IR data'!$H$4:$H$61,1)+1)))))</f>
        <v>0.95454205922222224</v>
      </c>
      <c r="F322" s="30">
        <f t="shared" si="28"/>
        <v>2.3118494579196212E-2</v>
      </c>
      <c r="G322" s="45">
        <f t="shared" si="24"/>
        <v>45704</v>
      </c>
      <c r="H322" s="14" cm="1">
        <f t="array" ref="H322">_xlfn.IFNA(INDEX('IR data'!$N$4:$N$61,MATCH(G322,'IR data'!$M$4:$M$61,0)),((INDEX('IR data'!$N$4:$N$61,MATCH(G322,'IR data'!$M$4:$M$61,1)))-((G322-(INDEX('IR data'!$M$4:$M$61,MATCH(G322,'IR data'!$M$4:$M$61,1))))/((INDEX('IR data'!$M$4:$M$61,MATCH(G322,'IR data'!$M$4:$M$61,1)+1)-INDEX('IR data'!$M$4:$M$61,MATCH(G322,'IR data'!$M$4:$M$61,1))))) * (INDEX('IR data'!$N$4:$N$61,MATCH(G322,'IR data'!$M$4:$M$61,1))-(INDEX('IR data'!$N$4:$N$61,MATCH(G322,'IR data'!$M$4:$M$61,1)+1)))))</f>
        <v>0.95462830825274725</v>
      </c>
      <c r="I322" s="44">
        <f t="shared" si="29"/>
        <v>2.30735966794576E-2</v>
      </c>
    </row>
    <row r="323" spans="1:9" x14ac:dyDescent="0.25">
      <c r="A323" s="45">
        <f t="shared" si="25"/>
        <v>45611</v>
      </c>
      <c r="B323" s="14" cm="1">
        <f t="array" ref="B323">_xlfn.IFNA(INDEX('IR data'!$D$4:$D$61,MATCH(A323,'IR data'!$C$4:$C$61,0)),((INDEX('IR data'!$D$4:$D$61,MATCH(A323,'IR data'!$C$4:$C$61,1)))-((A323-(INDEX('IR data'!$C$4:$C$61,MATCH(A323,'IR data'!$C$4:$C$61,1))))/((INDEX('IR data'!$C$4:$C$61,MATCH(A323,'IR data'!$C$4:$C$61,1)+1)-INDEX('IR data'!$C$4:$C$61,MATCH(A323,'IR data'!$C$4:$C$61,1))))) * (INDEX('IR data'!$D$4:$D$61,MATCH(A323,'IR data'!$C$4:$C$61,1))-(INDEX('IR data'!$D$4:$D$61,MATCH(A323,'IR data'!$C$4:$C$61,1)+1)))))</f>
        <v>0.95608945331521744</v>
      </c>
      <c r="C323" s="30">
        <f t="shared" si="26"/>
        <v>2.2243867082614027E-2</v>
      </c>
      <c r="D323" s="45">
        <f t="shared" si="27"/>
        <v>45671</v>
      </c>
      <c r="E323" s="14" cm="1">
        <f t="array" ref="E323">_xlfn.IFNA(INDEX('IR data'!$I$4:$I$61,MATCH(D323,'IR data'!$H$4:$H$61,0)),((INDEX('IR data'!$I$4:$I$61,MATCH(D323,'IR data'!$H$4:$H$61,1)))-((D323-(INDEX('IR data'!$H$4:$H$61,MATCH(D323,'IR data'!$H$4:$H$61,1))))/((INDEX('IR data'!$H$4:$H$61,MATCH(D323,'IR data'!$H$4:$H$61,1)+1)-INDEX('IR data'!$H$4:$H$61,MATCH(D323,'IR data'!$H$4:$H$61,1))))) * (INDEX('IR data'!$I$4:$I$61,MATCH(D323,'IR data'!$H$4:$H$61,1))-(INDEX('IR data'!$I$4:$I$61,MATCH(D323,'IR data'!$H$4:$H$61,1)+1)))))</f>
        <v>0.95441647807777785</v>
      </c>
      <c r="F323" s="30">
        <f t="shared" si="28"/>
        <v>2.3111424898156034E-2</v>
      </c>
      <c r="G323" s="45">
        <f t="shared" ref="G323:G386" si="30">G322+1</f>
        <v>45705</v>
      </c>
      <c r="H323" s="14" cm="1">
        <f t="array" ref="H323">_xlfn.IFNA(INDEX('IR data'!$N$4:$N$61,MATCH(G323,'IR data'!$M$4:$M$61,0)),((INDEX('IR data'!$N$4:$N$61,MATCH(G323,'IR data'!$M$4:$M$61,1)))-((G323-(INDEX('IR data'!$M$4:$M$61,MATCH(G323,'IR data'!$M$4:$M$61,1))))/((INDEX('IR data'!$M$4:$M$61,MATCH(G323,'IR data'!$M$4:$M$61,1)+1)-INDEX('IR data'!$M$4:$M$61,MATCH(G323,'IR data'!$M$4:$M$61,1))))) * (INDEX('IR data'!$N$4:$N$61,MATCH(G323,'IR data'!$M$4:$M$61,1))-(INDEX('IR data'!$N$4:$N$61,MATCH(G323,'IR data'!$M$4:$M$61,1)+1)))))</f>
        <v>0.95450145830769229</v>
      </c>
      <c r="I323" s="44">
        <f t="shared" si="29"/>
        <v>2.3067319897133853E-2</v>
      </c>
    </row>
    <row r="324" spans="1:9" x14ac:dyDescent="0.25">
      <c r="A324" s="45">
        <f t="shared" si="25"/>
        <v>45612</v>
      </c>
      <c r="B324" s="14" cm="1">
        <f t="array" ref="B324">_xlfn.IFNA(INDEX('IR data'!$D$4:$D$61,MATCH(A324,'IR data'!$C$4:$C$61,0)),((INDEX('IR data'!$D$4:$D$61,MATCH(A324,'IR data'!$C$4:$C$61,1)))-((A324-(INDEX('IR data'!$C$4:$C$61,MATCH(A324,'IR data'!$C$4:$C$61,1))))/((INDEX('IR data'!$C$4:$C$61,MATCH(A324,'IR data'!$C$4:$C$61,1)+1)-INDEX('IR data'!$C$4:$C$61,MATCH(A324,'IR data'!$C$4:$C$61,1))))) * (INDEX('IR data'!$D$4:$D$61,MATCH(A324,'IR data'!$C$4:$C$61,1))-(INDEX('IR data'!$D$4:$D$61,MATCH(A324,'IR data'!$C$4:$C$61,1)+1)))))</f>
        <v>0.9559761990434783</v>
      </c>
      <c r="C324" s="30">
        <f t="shared" si="26"/>
        <v>2.2233071285905501E-2</v>
      </c>
      <c r="D324" s="45">
        <f t="shared" si="27"/>
        <v>45672</v>
      </c>
      <c r="E324" s="14" cm="1">
        <f t="array" ref="E324">_xlfn.IFNA(INDEX('IR data'!$I$4:$I$61,MATCH(D324,'IR data'!$H$4:$H$61,0)),((INDEX('IR data'!$I$4:$I$61,MATCH(D324,'IR data'!$H$4:$H$61,1)))-((D324-(INDEX('IR data'!$H$4:$H$61,MATCH(D324,'IR data'!$H$4:$H$61,1))))/((INDEX('IR data'!$H$4:$H$61,MATCH(D324,'IR data'!$H$4:$H$61,1)+1)-INDEX('IR data'!$H$4:$H$61,MATCH(D324,'IR data'!$H$4:$H$61,1))))) * (INDEX('IR data'!$I$4:$I$61,MATCH(D324,'IR data'!$H$4:$H$61,1))-(INDEX('IR data'!$I$4:$I$61,MATCH(D324,'IR data'!$H$4:$H$61,1)+1)))))</f>
        <v>0.95429089693333335</v>
      </c>
      <c r="F324" s="30">
        <f t="shared" si="28"/>
        <v>2.3104407814560381E-2</v>
      </c>
      <c r="G324" s="45">
        <f t="shared" si="30"/>
        <v>45706</v>
      </c>
      <c r="H324" s="14" cm="1">
        <f t="array" ref="H324">_xlfn.IFNA(INDEX('IR data'!$N$4:$N$61,MATCH(G324,'IR data'!$M$4:$M$61,0)),((INDEX('IR data'!$N$4:$N$61,MATCH(G324,'IR data'!$M$4:$M$61,1)))-((G324-(INDEX('IR data'!$M$4:$M$61,MATCH(G324,'IR data'!$M$4:$M$61,1))))/((INDEX('IR data'!$M$4:$M$61,MATCH(G324,'IR data'!$M$4:$M$61,1)+1)-INDEX('IR data'!$M$4:$M$61,MATCH(G324,'IR data'!$M$4:$M$61,1))))) * (INDEX('IR data'!$N$4:$N$61,MATCH(G324,'IR data'!$M$4:$M$61,1))-(INDEX('IR data'!$N$4:$N$61,MATCH(G324,'IR data'!$M$4:$M$61,1)+1)))))</f>
        <v>0.95437460836263732</v>
      </c>
      <c r="I324" s="44">
        <f t="shared" si="29"/>
        <v>2.3061090944155541E-2</v>
      </c>
    </row>
    <row r="325" spans="1:9" x14ac:dyDescent="0.25">
      <c r="A325" s="45">
        <f t="shared" ref="A325:A388" si="31">A324+1</f>
        <v>45613</v>
      </c>
      <c r="B325" s="14" cm="1">
        <f t="array" ref="B325">_xlfn.IFNA(INDEX('IR data'!$D$4:$D$61,MATCH(A325,'IR data'!$C$4:$C$61,0)),((INDEX('IR data'!$D$4:$D$61,MATCH(A325,'IR data'!$C$4:$C$61,1)))-((A325-(INDEX('IR data'!$C$4:$C$61,MATCH(A325,'IR data'!$C$4:$C$61,1))))/((INDEX('IR data'!$C$4:$C$61,MATCH(A325,'IR data'!$C$4:$C$61,1)+1)-INDEX('IR data'!$C$4:$C$61,MATCH(A325,'IR data'!$C$4:$C$61,1))))) * (INDEX('IR data'!$D$4:$D$61,MATCH(A325,'IR data'!$C$4:$C$61,1))-(INDEX('IR data'!$D$4:$D$61,MATCH(A325,'IR data'!$C$4:$C$61,1)+1)))))</f>
        <v>0.95586294477173916</v>
      </c>
      <c r="C325" s="30">
        <f t="shared" ref="C325:C388" si="32">-LOG(B325)/YEARFRAC($B$1, A325, 3)</f>
        <v>2.2222349453171208E-2</v>
      </c>
      <c r="D325" s="45">
        <f t="shared" ref="D325:D388" si="33">D324+1</f>
        <v>45673</v>
      </c>
      <c r="E325" s="14" cm="1">
        <f t="array" ref="E325">_xlfn.IFNA(INDEX('IR data'!$I$4:$I$61,MATCH(D325,'IR data'!$H$4:$H$61,0)),((INDEX('IR data'!$I$4:$I$61,MATCH(D325,'IR data'!$H$4:$H$61,1)))-((D325-(INDEX('IR data'!$H$4:$H$61,MATCH(D325,'IR data'!$H$4:$H$61,1))))/((INDEX('IR data'!$H$4:$H$61,MATCH(D325,'IR data'!$H$4:$H$61,1)+1)-INDEX('IR data'!$H$4:$H$61,MATCH(D325,'IR data'!$H$4:$H$61,1))))) * (INDEX('IR data'!$I$4:$I$61,MATCH(D325,'IR data'!$H$4:$H$61,1))-(INDEX('IR data'!$I$4:$I$61,MATCH(D325,'IR data'!$H$4:$H$61,1)+1)))))</f>
        <v>0.95416531578888897</v>
      </c>
      <c r="F325" s="30">
        <f t="shared" ref="F325:F388" si="34">-LOG(E325)/YEARFRAC($E$1, D325, 3)</f>
        <v>2.3097442840614185E-2</v>
      </c>
      <c r="G325" s="45">
        <f t="shared" si="30"/>
        <v>45707</v>
      </c>
      <c r="H325" s="14" cm="1">
        <f t="array" ref="H325">_xlfn.IFNA(INDEX('IR data'!$N$4:$N$61,MATCH(G325,'IR data'!$M$4:$M$61,0)),((INDEX('IR data'!$N$4:$N$61,MATCH(G325,'IR data'!$M$4:$M$61,1)))-((G325-(INDEX('IR data'!$M$4:$M$61,MATCH(G325,'IR data'!$M$4:$M$61,1))))/((INDEX('IR data'!$M$4:$M$61,MATCH(G325,'IR data'!$M$4:$M$61,1)+1)-INDEX('IR data'!$M$4:$M$61,MATCH(G325,'IR data'!$M$4:$M$61,1))))) * (INDEX('IR data'!$N$4:$N$61,MATCH(G325,'IR data'!$M$4:$M$61,1))-(INDEX('IR data'!$N$4:$N$61,MATCH(G325,'IR data'!$M$4:$M$61,1)+1)))))</f>
        <v>0.95424775841758236</v>
      </c>
      <c r="I325" s="44">
        <f t="shared" ref="I325:I388" si="35">-LOG(H325)/YEARFRAC($H$1, G325, 3)</f>
        <v>2.3054909377219081E-2</v>
      </c>
    </row>
    <row r="326" spans="1:9" x14ac:dyDescent="0.25">
      <c r="A326" s="45">
        <f t="shared" si="31"/>
        <v>45614</v>
      </c>
      <c r="B326" s="14" cm="1">
        <f t="array" ref="B326">_xlfn.IFNA(INDEX('IR data'!$D$4:$D$61,MATCH(A326,'IR data'!$C$4:$C$61,0)),((INDEX('IR data'!$D$4:$D$61,MATCH(A326,'IR data'!$C$4:$C$61,1)))-((A326-(INDEX('IR data'!$C$4:$C$61,MATCH(A326,'IR data'!$C$4:$C$61,1))))/((INDEX('IR data'!$C$4:$C$61,MATCH(A326,'IR data'!$C$4:$C$61,1)+1)-INDEX('IR data'!$C$4:$C$61,MATCH(A326,'IR data'!$C$4:$C$61,1))))) * (INDEX('IR data'!$D$4:$D$61,MATCH(A326,'IR data'!$C$4:$C$61,1))-(INDEX('IR data'!$D$4:$D$61,MATCH(A326,'IR data'!$C$4:$C$61,1)+1)))))</f>
        <v>0.95574969050000003</v>
      </c>
      <c r="C326" s="30">
        <f t="shared" si="32"/>
        <v>2.2211700899071565E-2</v>
      </c>
      <c r="D326" s="45">
        <f t="shared" si="33"/>
        <v>45674</v>
      </c>
      <c r="E326" s="14" cm="1">
        <f t="array" ref="E326">_xlfn.IFNA(INDEX('IR data'!$I$4:$I$61,MATCH(D326,'IR data'!$H$4:$H$61,0)),((INDEX('IR data'!$I$4:$I$61,MATCH(D326,'IR data'!$H$4:$H$61,1)))-((D326-(INDEX('IR data'!$H$4:$H$61,MATCH(D326,'IR data'!$H$4:$H$61,1))))/((INDEX('IR data'!$H$4:$H$61,MATCH(D326,'IR data'!$H$4:$H$61,1)+1)-INDEX('IR data'!$H$4:$H$61,MATCH(D326,'IR data'!$H$4:$H$61,1))))) * (INDEX('IR data'!$I$4:$I$61,MATCH(D326,'IR data'!$H$4:$H$61,1))-(INDEX('IR data'!$I$4:$I$61,MATCH(D326,'IR data'!$H$4:$H$61,1)+1)))))</f>
        <v>0.95403973464444447</v>
      </c>
      <c r="F326" s="30">
        <f t="shared" si="34"/>
        <v>2.3090529494564298E-2</v>
      </c>
      <c r="G326" s="45">
        <f t="shared" si="30"/>
        <v>45708</v>
      </c>
      <c r="H326" s="14" cm="1">
        <f t="array" ref="H326">_xlfn.IFNA(INDEX('IR data'!$N$4:$N$61,MATCH(G326,'IR data'!$M$4:$M$61,0)),((INDEX('IR data'!$N$4:$N$61,MATCH(G326,'IR data'!$M$4:$M$61,1)))-((G326-(INDEX('IR data'!$M$4:$M$61,MATCH(G326,'IR data'!$M$4:$M$61,1))))/((INDEX('IR data'!$M$4:$M$61,MATCH(G326,'IR data'!$M$4:$M$61,1)+1)-INDEX('IR data'!$M$4:$M$61,MATCH(G326,'IR data'!$M$4:$M$61,1))))) * (INDEX('IR data'!$N$4:$N$61,MATCH(G326,'IR data'!$M$4:$M$61,1))-(INDEX('IR data'!$N$4:$N$61,MATCH(G326,'IR data'!$M$4:$M$61,1)+1)))))</f>
        <v>0.9541209084725274</v>
      </c>
      <c r="I326" s="44">
        <f t="shared" si="35"/>
        <v>2.3048774758511612E-2</v>
      </c>
    </row>
    <row r="327" spans="1:9" x14ac:dyDescent="0.25">
      <c r="A327" s="45">
        <f t="shared" si="31"/>
        <v>45615</v>
      </c>
      <c r="B327" s="14" cm="1">
        <f t="array" ref="B327">_xlfn.IFNA(INDEX('IR data'!$D$4:$D$61,MATCH(A327,'IR data'!$C$4:$C$61,0)),((INDEX('IR data'!$D$4:$D$61,MATCH(A327,'IR data'!$C$4:$C$61,1)))-((A327-(INDEX('IR data'!$C$4:$C$61,MATCH(A327,'IR data'!$C$4:$C$61,1))))/((INDEX('IR data'!$C$4:$C$61,MATCH(A327,'IR data'!$C$4:$C$61,1)+1)-INDEX('IR data'!$C$4:$C$61,MATCH(A327,'IR data'!$C$4:$C$61,1))))) * (INDEX('IR data'!$D$4:$D$61,MATCH(A327,'IR data'!$C$4:$C$61,1))-(INDEX('IR data'!$D$4:$D$61,MATCH(A327,'IR data'!$C$4:$C$61,1)+1)))))</f>
        <v>0.95563643622826089</v>
      </c>
      <c r="C327" s="30">
        <f t="shared" si="32"/>
        <v>2.2201124946728556E-2</v>
      </c>
      <c r="D327" s="45">
        <f t="shared" si="33"/>
        <v>45675</v>
      </c>
      <c r="E327" s="14" cm="1">
        <f t="array" ref="E327">_xlfn.IFNA(INDEX('IR data'!$I$4:$I$61,MATCH(D327,'IR data'!$H$4:$H$61,0)),((INDEX('IR data'!$I$4:$I$61,MATCH(D327,'IR data'!$H$4:$H$61,1)))-((D327-(INDEX('IR data'!$H$4:$H$61,MATCH(D327,'IR data'!$H$4:$H$61,1))))/((INDEX('IR data'!$H$4:$H$61,MATCH(D327,'IR data'!$H$4:$H$61,1)+1)-INDEX('IR data'!$H$4:$H$61,MATCH(D327,'IR data'!$H$4:$H$61,1))))) * (INDEX('IR data'!$I$4:$I$61,MATCH(D327,'IR data'!$H$4:$H$61,1))-(INDEX('IR data'!$I$4:$I$61,MATCH(D327,'IR data'!$H$4:$H$61,1)+1)))))</f>
        <v>0.95391415349999997</v>
      </c>
      <c r="F327" s="30">
        <f t="shared" si="34"/>
        <v>2.3083667300605838E-2</v>
      </c>
      <c r="G327" s="45">
        <f t="shared" si="30"/>
        <v>45709</v>
      </c>
      <c r="H327" s="14" cm="1">
        <f t="array" ref="H327">_xlfn.IFNA(INDEX('IR data'!$N$4:$N$61,MATCH(G327,'IR data'!$M$4:$M$61,0)),((INDEX('IR data'!$N$4:$N$61,MATCH(G327,'IR data'!$M$4:$M$61,1)))-((G327-(INDEX('IR data'!$M$4:$M$61,MATCH(G327,'IR data'!$M$4:$M$61,1))))/((INDEX('IR data'!$M$4:$M$61,MATCH(G327,'IR data'!$M$4:$M$61,1)+1)-INDEX('IR data'!$M$4:$M$61,MATCH(G327,'IR data'!$M$4:$M$61,1))))) * (INDEX('IR data'!$N$4:$N$61,MATCH(G327,'IR data'!$M$4:$M$61,1))-(INDEX('IR data'!$N$4:$N$61,MATCH(G327,'IR data'!$M$4:$M$61,1)+1)))))</f>
        <v>0.95399405852747254</v>
      </c>
      <c r="I327" s="44">
        <f t="shared" si="35"/>
        <v>2.3042686655626237E-2</v>
      </c>
    </row>
    <row r="328" spans="1:9" x14ac:dyDescent="0.25">
      <c r="A328" s="45">
        <f t="shared" si="31"/>
        <v>45616</v>
      </c>
      <c r="B328" s="14" cm="1">
        <f t="array" ref="B328">_xlfn.IFNA(INDEX('IR data'!$D$4:$D$61,MATCH(A328,'IR data'!$C$4:$C$61,0)),((INDEX('IR data'!$D$4:$D$61,MATCH(A328,'IR data'!$C$4:$C$61,1)))-((A328-(INDEX('IR data'!$C$4:$C$61,MATCH(A328,'IR data'!$C$4:$C$61,1))))/((INDEX('IR data'!$C$4:$C$61,MATCH(A328,'IR data'!$C$4:$C$61,1)+1)-INDEX('IR data'!$C$4:$C$61,MATCH(A328,'IR data'!$C$4:$C$61,1))))) * (INDEX('IR data'!$D$4:$D$61,MATCH(A328,'IR data'!$C$4:$C$61,1))-(INDEX('IR data'!$D$4:$D$61,MATCH(A328,'IR data'!$C$4:$C$61,1)+1)))))</f>
        <v>0.95552318195652175</v>
      </c>
      <c r="C328" s="30">
        <f t="shared" si="32"/>
        <v>2.219062092759554E-2</v>
      </c>
      <c r="D328" s="45">
        <f t="shared" si="33"/>
        <v>45676</v>
      </c>
      <c r="E328" s="14" cm="1">
        <f t="array" ref="E328">_xlfn.IFNA(INDEX('IR data'!$I$4:$I$61,MATCH(D328,'IR data'!$H$4:$H$61,0)),((INDEX('IR data'!$I$4:$I$61,MATCH(D328,'IR data'!$H$4:$H$61,1)))-((D328-(INDEX('IR data'!$H$4:$H$61,MATCH(D328,'IR data'!$H$4:$H$61,1))))/((INDEX('IR data'!$H$4:$H$61,MATCH(D328,'IR data'!$H$4:$H$61,1)+1)-INDEX('IR data'!$H$4:$H$61,MATCH(D328,'IR data'!$H$4:$H$61,1))))) * (INDEX('IR data'!$I$4:$I$61,MATCH(D328,'IR data'!$H$4:$H$61,1))-(INDEX('IR data'!$I$4:$I$61,MATCH(D328,'IR data'!$H$4:$H$61,1)+1)))))</f>
        <v>0.95378857235555559</v>
      </c>
      <c r="F328" s="30">
        <f t="shared" si="34"/>
        <v>2.3076855788790873E-2</v>
      </c>
      <c r="G328" s="45">
        <f t="shared" si="30"/>
        <v>45710</v>
      </c>
      <c r="H328" s="14" cm="1">
        <f t="array" ref="H328">_xlfn.IFNA(INDEX('IR data'!$N$4:$N$61,MATCH(G328,'IR data'!$M$4:$M$61,0)),((INDEX('IR data'!$N$4:$N$61,MATCH(G328,'IR data'!$M$4:$M$61,1)))-((G328-(INDEX('IR data'!$M$4:$M$61,MATCH(G328,'IR data'!$M$4:$M$61,1))))/((INDEX('IR data'!$M$4:$M$61,MATCH(G328,'IR data'!$M$4:$M$61,1)+1)-INDEX('IR data'!$M$4:$M$61,MATCH(G328,'IR data'!$M$4:$M$61,1))))) * (INDEX('IR data'!$N$4:$N$61,MATCH(G328,'IR data'!$M$4:$M$61,1))-(INDEX('IR data'!$N$4:$N$61,MATCH(G328,'IR data'!$M$4:$M$61,1)+1)))))</f>
        <v>0.95386720858241758</v>
      </c>
      <c r="I328" s="44">
        <f t="shared" si="35"/>
        <v>2.303664464147908E-2</v>
      </c>
    </row>
    <row r="329" spans="1:9" x14ac:dyDescent="0.25">
      <c r="A329" s="45">
        <f t="shared" si="31"/>
        <v>45617</v>
      </c>
      <c r="B329" s="14" cm="1">
        <f t="array" ref="B329">_xlfn.IFNA(INDEX('IR data'!$D$4:$D$61,MATCH(A329,'IR data'!$C$4:$C$61,0)),((INDEX('IR data'!$D$4:$D$61,MATCH(A329,'IR data'!$C$4:$C$61,1)))-((A329-(INDEX('IR data'!$C$4:$C$61,MATCH(A329,'IR data'!$C$4:$C$61,1))))/((INDEX('IR data'!$C$4:$C$61,MATCH(A329,'IR data'!$C$4:$C$61,1)+1)-INDEX('IR data'!$C$4:$C$61,MATCH(A329,'IR data'!$C$4:$C$61,1))))) * (INDEX('IR data'!$D$4:$D$61,MATCH(A329,'IR data'!$C$4:$C$61,1))-(INDEX('IR data'!$D$4:$D$61,MATCH(A329,'IR data'!$C$4:$C$61,1)+1)))))</f>
        <v>0.95540992768478261</v>
      </c>
      <c r="C329" s="30">
        <f t="shared" si="32"/>
        <v>2.2180188181329486E-2</v>
      </c>
      <c r="D329" s="45">
        <f t="shared" si="33"/>
        <v>45677</v>
      </c>
      <c r="E329" s="14" cm="1">
        <f t="array" ref="E329">_xlfn.IFNA(INDEX('IR data'!$I$4:$I$61,MATCH(D329,'IR data'!$H$4:$H$61,0)),((INDEX('IR data'!$I$4:$I$61,MATCH(D329,'IR data'!$H$4:$H$61,1)))-((D329-(INDEX('IR data'!$H$4:$H$61,MATCH(D329,'IR data'!$H$4:$H$61,1))))/((INDEX('IR data'!$H$4:$H$61,MATCH(D329,'IR data'!$H$4:$H$61,1)+1)-INDEX('IR data'!$H$4:$H$61,MATCH(D329,'IR data'!$H$4:$H$61,1))))) * (INDEX('IR data'!$I$4:$I$61,MATCH(D329,'IR data'!$H$4:$H$61,1))-(INDEX('IR data'!$I$4:$I$61,MATCH(D329,'IR data'!$H$4:$H$61,1)+1)))))</f>
        <v>0.95366299121111109</v>
      </c>
      <c r="F329" s="30">
        <f t="shared" si="34"/>
        <v>2.3070094494938752E-2</v>
      </c>
      <c r="G329" s="45">
        <f t="shared" si="30"/>
        <v>45711</v>
      </c>
      <c r="H329" s="14" cm="1">
        <f t="array" ref="H329">_xlfn.IFNA(INDEX('IR data'!$N$4:$N$61,MATCH(G329,'IR data'!$M$4:$M$61,0)),((INDEX('IR data'!$N$4:$N$61,MATCH(G329,'IR data'!$M$4:$M$61,1)))-((G329-(INDEX('IR data'!$M$4:$M$61,MATCH(G329,'IR data'!$M$4:$M$61,1))))/((INDEX('IR data'!$M$4:$M$61,MATCH(G329,'IR data'!$M$4:$M$61,1)+1)-INDEX('IR data'!$M$4:$M$61,MATCH(G329,'IR data'!$M$4:$M$61,1))))) * (INDEX('IR data'!$N$4:$N$61,MATCH(G329,'IR data'!$M$4:$M$61,1))-(INDEX('IR data'!$N$4:$N$61,MATCH(G329,'IR data'!$M$4:$M$61,1)+1)))))</f>
        <v>0.95374035863736262</v>
      </c>
      <c r="I329" s="44">
        <f t="shared" si="35"/>
        <v>2.3030648294227293E-2</v>
      </c>
    </row>
    <row r="330" spans="1:9" x14ac:dyDescent="0.25">
      <c r="A330" s="45">
        <f t="shared" si="31"/>
        <v>45618</v>
      </c>
      <c r="B330" s="14" cm="1">
        <f t="array" ref="B330">_xlfn.IFNA(INDEX('IR data'!$D$4:$D$61,MATCH(A330,'IR data'!$C$4:$C$61,0)),((INDEX('IR data'!$D$4:$D$61,MATCH(A330,'IR data'!$C$4:$C$61,1)))-((A330-(INDEX('IR data'!$C$4:$C$61,MATCH(A330,'IR data'!$C$4:$C$61,1))))/((INDEX('IR data'!$C$4:$C$61,MATCH(A330,'IR data'!$C$4:$C$61,1)+1)-INDEX('IR data'!$C$4:$C$61,MATCH(A330,'IR data'!$C$4:$C$61,1))))) * (INDEX('IR data'!$D$4:$D$61,MATCH(A330,'IR data'!$C$4:$C$61,1))-(INDEX('IR data'!$D$4:$D$61,MATCH(A330,'IR data'!$C$4:$C$61,1)+1)))))</f>
        <v>0.95529667341304347</v>
      </c>
      <c r="C330" s="30">
        <f t="shared" si="32"/>
        <v>2.2169826055665528E-2</v>
      </c>
      <c r="D330" s="45">
        <f t="shared" si="33"/>
        <v>45678</v>
      </c>
      <c r="E330" s="14" cm="1">
        <f t="array" ref="E330">_xlfn.IFNA(INDEX('IR data'!$I$4:$I$61,MATCH(D330,'IR data'!$H$4:$H$61,0)),((INDEX('IR data'!$I$4:$I$61,MATCH(D330,'IR data'!$H$4:$H$61,1)))-((D330-(INDEX('IR data'!$H$4:$H$61,MATCH(D330,'IR data'!$H$4:$H$61,1))))/((INDEX('IR data'!$H$4:$H$61,MATCH(D330,'IR data'!$H$4:$H$61,1)+1)-INDEX('IR data'!$H$4:$H$61,MATCH(D330,'IR data'!$H$4:$H$61,1))))) * (INDEX('IR data'!$I$4:$I$61,MATCH(D330,'IR data'!$H$4:$H$61,1))-(INDEX('IR data'!$I$4:$I$61,MATCH(D330,'IR data'!$H$4:$H$61,1)+1)))))</f>
        <v>0.9535374100666667</v>
      </c>
      <c r="F330" s="30">
        <f t="shared" si="34"/>
        <v>2.3063382960547513E-2</v>
      </c>
      <c r="G330" s="45">
        <f t="shared" si="30"/>
        <v>45712</v>
      </c>
      <c r="H330" s="14" cm="1">
        <f t="array" ref="H330">_xlfn.IFNA(INDEX('IR data'!$N$4:$N$61,MATCH(G330,'IR data'!$M$4:$M$61,0)),((INDEX('IR data'!$N$4:$N$61,MATCH(G330,'IR data'!$M$4:$M$61,1)))-((G330-(INDEX('IR data'!$M$4:$M$61,MATCH(G330,'IR data'!$M$4:$M$61,1))))/((INDEX('IR data'!$M$4:$M$61,MATCH(G330,'IR data'!$M$4:$M$61,1)+1)-INDEX('IR data'!$M$4:$M$61,MATCH(G330,'IR data'!$M$4:$M$61,1))))) * (INDEX('IR data'!$N$4:$N$61,MATCH(G330,'IR data'!$M$4:$M$61,1))-(INDEX('IR data'!$N$4:$N$61,MATCH(G330,'IR data'!$M$4:$M$61,1)+1)))))</f>
        <v>0.95361350869230765</v>
      </c>
      <c r="I330" s="44">
        <f t="shared" si="35"/>
        <v>2.3024697197189154E-2</v>
      </c>
    </row>
    <row r="331" spans="1:9" x14ac:dyDescent="0.25">
      <c r="A331" s="45">
        <f t="shared" si="31"/>
        <v>45619</v>
      </c>
      <c r="B331" s="14" cm="1">
        <f t="array" ref="B331">_xlfn.IFNA(INDEX('IR data'!$D$4:$D$61,MATCH(A331,'IR data'!$C$4:$C$61,0)),((INDEX('IR data'!$D$4:$D$61,MATCH(A331,'IR data'!$C$4:$C$61,1)))-((A331-(INDEX('IR data'!$C$4:$C$61,MATCH(A331,'IR data'!$C$4:$C$61,1))))/((INDEX('IR data'!$C$4:$C$61,MATCH(A331,'IR data'!$C$4:$C$61,1)+1)-INDEX('IR data'!$C$4:$C$61,MATCH(A331,'IR data'!$C$4:$C$61,1))))) * (INDEX('IR data'!$D$4:$D$61,MATCH(A331,'IR data'!$C$4:$C$61,1))-(INDEX('IR data'!$D$4:$D$61,MATCH(A331,'IR data'!$C$4:$C$61,1)+1)))))</f>
        <v>0.95518341914130434</v>
      </c>
      <c r="C331" s="30">
        <f t="shared" si="32"/>
        <v>2.2159533906293809E-2</v>
      </c>
      <c r="D331" s="45">
        <f t="shared" si="33"/>
        <v>45679</v>
      </c>
      <c r="E331" s="14" cm="1">
        <f t="array" ref="E331">_xlfn.IFNA(INDEX('IR data'!$I$4:$I$61,MATCH(D331,'IR data'!$H$4:$H$61,0)),((INDEX('IR data'!$I$4:$I$61,MATCH(D331,'IR data'!$H$4:$H$61,1)))-((D331-(INDEX('IR data'!$H$4:$H$61,MATCH(D331,'IR data'!$H$4:$H$61,1))))/((INDEX('IR data'!$H$4:$H$61,MATCH(D331,'IR data'!$H$4:$H$61,1)+1)-INDEX('IR data'!$H$4:$H$61,MATCH(D331,'IR data'!$H$4:$H$61,1))))) * (INDEX('IR data'!$I$4:$I$61,MATCH(D331,'IR data'!$H$4:$H$61,1))-(INDEX('IR data'!$I$4:$I$61,MATCH(D331,'IR data'!$H$4:$H$61,1)+1)))))</f>
        <v>0.9534118289222222</v>
      </c>
      <c r="F331" s="30">
        <f t="shared" si="34"/>
        <v>2.3056720732707786E-2</v>
      </c>
      <c r="G331" s="45">
        <f t="shared" si="30"/>
        <v>45713</v>
      </c>
      <c r="H331" s="14" cm="1">
        <f t="array" ref="H331">_xlfn.IFNA(INDEX('IR data'!$N$4:$N$61,MATCH(G331,'IR data'!$M$4:$M$61,0)),((INDEX('IR data'!$N$4:$N$61,MATCH(G331,'IR data'!$M$4:$M$61,1)))-((G331-(INDEX('IR data'!$M$4:$M$61,MATCH(G331,'IR data'!$M$4:$M$61,1))))/((INDEX('IR data'!$M$4:$M$61,MATCH(G331,'IR data'!$M$4:$M$61,1)+1)-INDEX('IR data'!$M$4:$M$61,MATCH(G331,'IR data'!$M$4:$M$61,1))))) * (INDEX('IR data'!$N$4:$N$61,MATCH(G331,'IR data'!$M$4:$M$61,1))-(INDEX('IR data'!$N$4:$N$61,MATCH(G331,'IR data'!$M$4:$M$61,1)+1)))))</f>
        <v>0.95348665874725269</v>
      </c>
      <c r="I331" s="44">
        <f t="shared" si="35"/>
        <v>2.3018790938765341E-2</v>
      </c>
    </row>
    <row r="332" spans="1:9" x14ac:dyDescent="0.25">
      <c r="A332" s="45">
        <f t="shared" si="31"/>
        <v>45620</v>
      </c>
      <c r="B332" s="14" cm="1">
        <f t="array" ref="B332">_xlfn.IFNA(INDEX('IR data'!$D$4:$D$61,MATCH(A332,'IR data'!$C$4:$C$61,0)),((INDEX('IR data'!$D$4:$D$61,MATCH(A332,'IR data'!$C$4:$C$61,1)))-((A332-(INDEX('IR data'!$C$4:$C$61,MATCH(A332,'IR data'!$C$4:$C$61,1))))/((INDEX('IR data'!$C$4:$C$61,MATCH(A332,'IR data'!$C$4:$C$61,1)+1)-INDEX('IR data'!$C$4:$C$61,MATCH(A332,'IR data'!$C$4:$C$61,1))))) * (INDEX('IR data'!$D$4:$D$61,MATCH(A332,'IR data'!$C$4:$C$61,1))-(INDEX('IR data'!$D$4:$D$61,MATCH(A332,'IR data'!$C$4:$C$61,1)+1)))))</f>
        <v>0.9550701648695652</v>
      </c>
      <c r="C332" s="30">
        <f t="shared" si="32"/>
        <v>2.2149311096738612E-2</v>
      </c>
      <c r="D332" s="45">
        <f t="shared" si="33"/>
        <v>45680</v>
      </c>
      <c r="E332" s="14" cm="1">
        <f t="array" ref="E332">_xlfn.IFNA(INDEX('IR data'!$I$4:$I$61,MATCH(D332,'IR data'!$H$4:$H$61,0)),((INDEX('IR data'!$I$4:$I$61,MATCH(D332,'IR data'!$H$4:$H$61,1)))-((D332-(INDEX('IR data'!$H$4:$H$61,MATCH(D332,'IR data'!$H$4:$H$61,1))))/((INDEX('IR data'!$H$4:$H$61,MATCH(D332,'IR data'!$H$4:$H$61,1)+1)-INDEX('IR data'!$H$4:$H$61,MATCH(D332,'IR data'!$H$4:$H$61,1))))) * (INDEX('IR data'!$I$4:$I$61,MATCH(D332,'IR data'!$H$4:$H$61,1))-(INDEX('IR data'!$I$4:$I$61,MATCH(D332,'IR data'!$H$4:$H$61,1)+1)))))</f>
        <v>0.95328624777777782</v>
      </c>
      <c r="F332" s="30">
        <f t="shared" si="34"/>
        <v>2.3050107364017341E-2</v>
      </c>
      <c r="G332" s="45">
        <f t="shared" si="30"/>
        <v>45714</v>
      </c>
      <c r="H332" s="14" cm="1">
        <f t="array" ref="H332">_xlfn.IFNA(INDEX('IR data'!$N$4:$N$61,MATCH(G332,'IR data'!$M$4:$M$61,0)),((INDEX('IR data'!$N$4:$N$61,MATCH(G332,'IR data'!$M$4:$M$61,1)))-((G332-(INDEX('IR data'!$M$4:$M$61,MATCH(G332,'IR data'!$M$4:$M$61,1))))/((INDEX('IR data'!$M$4:$M$61,MATCH(G332,'IR data'!$M$4:$M$61,1)+1)-INDEX('IR data'!$M$4:$M$61,MATCH(G332,'IR data'!$M$4:$M$61,1))))) * (INDEX('IR data'!$N$4:$N$61,MATCH(G332,'IR data'!$M$4:$M$61,1))-(INDEX('IR data'!$N$4:$N$61,MATCH(G332,'IR data'!$M$4:$M$61,1)+1)))))</f>
        <v>0.95335980880219773</v>
      </c>
      <c r="I332" s="44">
        <f t="shared" si="35"/>
        <v>2.3012929112361663E-2</v>
      </c>
    </row>
    <row r="333" spans="1:9" x14ac:dyDescent="0.25">
      <c r="A333" s="45">
        <f t="shared" si="31"/>
        <v>45621</v>
      </c>
      <c r="B333" s="14" cm="1">
        <f t="array" ref="B333">_xlfn.IFNA(INDEX('IR data'!$D$4:$D$61,MATCH(A333,'IR data'!$C$4:$C$61,0)),((INDEX('IR data'!$D$4:$D$61,MATCH(A333,'IR data'!$C$4:$C$61,1)))-((A333-(INDEX('IR data'!$C$4:$C$61,MATCH(A333,'IR data'!$C$4:$C$61,1))))/((INDEX('IR data'!$C$4:$C$61,MATCH(A333,'IR data'!$C$4:$C$61,1)+1)-INDEX('IR data'!$C$4:$C$61,MATCH(A333,'IR data'!$C$4:$C$61,1))))) * (INDEX('IR data'!$D$4:$D$61,MATCH(A333,'IR data'!$C$4:$C$61,1))-(INDEX('IR data'!$D$4:$D$61,MATCH(A333,'IR data'!$C$4:$C$61,1)+1)))))</f>
        <v>0.95495691059782606</v>
      </c>
      <c r="C333" s="30">
        <f t="shared" si="32"/>
        <v>2.2139156998239644E-2</v>
      </c>
      <c r="D333" s="45">
        <f t="shared" si="33"/>
        <v>45681</v>
      </c>
      <c r="E333" s="14" cm="1">
        <f t="array" ref="E333">_xlfn.IFNA(INDEX('IR data'!$I$4:$I$61,MATCH(D333,'IR data'!$H$4:$H$61,0)),((INDEX('IR data'!$I$4:$I$61,MATCH(D333,'IR data'!$H$4:$H$61,1)))-((D333-(INDEX('IR data'!$H$4:$H$61,MATCH(D333,'IR data'!$H$4:$H$61,1))))/((INDEX('IR data'!$H$4:$H$61,MATCH(D333,'IR data'!$H$4:$H$61,1)+1)-INDEX('IR data'!$H$4:$H$61,MATCH(D333,'IR data'!$H$4:$H$61,1))))) * (INDEX('IR data'!$I$4:$I$61,MATCH(D333,'IR data'!$H$4:$H$61,1))-(INDEX('IR data'!$I$4:$I$61,MATCH(D333,'IR data'!$H$4:$H$61,1)+1)))))</f>
        <v>0.95316066663333332</v>
      </c>
      <c r="F333" s="30">
        <f t="shared" si="34"/>
        <v>2.3043542412498095E-2</v>
      </c>
      <c r="G333" s="45">
        <f t="shared" si="30"/>
        <v>45715</v>
      </c>
      <c r="H333" s="14" cm="1">
        <f t="array" ref="H333">_xlfn.IFNA(INDEX('IR data'!$N$4:$N$61,MATCH(G333,'IR data'!$M$4:$M$61,0)),((INDEX('IR data'!$N$4:$N$61,MATCH(G333,'IR data'!$M$4:$M$61,1)))-((G333-(INDEX('IR data'!$M$4:$M$61,MATCH(G333,'IR data'!$M$4:$M$61,1))))/((INDEX('IR data'!$M$4:$M$61,MATCH(G333,'IR data'!$M$4:$M$61,1)+1)-INDEX('IR data'!$M$4:$M$61,MATCH(G333,'IR data'!$M$4:$M$61,1))))) * (INDEX('IR data'!$N$4:$N$61,MATCH(G333,'IR data'!$M$4:$M$61,1))-(INDEX('IR data'!$N$4:$N$61,MATCH(G333,'IR data'!$M$4:$M$61,1)+1)))))</f>
        <v>0.95323295885714288</v>
      </c>
      <c r="I333" s="44">
        <f t="shared" si="35"/>
        <v>2.3007111316313212E-2</v>
      </c>
    </row>
    <row r="334" spans="1:9" x14ac:dyDescent="0.25">
      <c r="A334" s="45">
        <f t="shared" si="31"/>
        <v>45622</v>
      </c>
      <c r="B334" s="14" cm="1">
        <f t="array" ref="B334">_xlfn.IFNA(INDEX('IR data'!$D$4:$D$61,MATCH(A334,'IR data'!$C$4:$C$61,0)),((INDEX('IR data'!$D$4:$D$61,MATCH(A334,'IR data'!$C$4:$C$61,1)))-((A334-(INDEX('IR data'!$C$4:$C$61,MATCH(A334,'IR data'!$C$4:$C$61,1))))/((INDEX('IR data'!$C$4:$C$61,MATCH(A334,'IR data'!$C$4:$C$61,1)+1)-INDEX('IR data'!$C$4:$C$61,MATCH(A334,'IR data'!$C$4:$C$61,1))))) * (INDEX('IR data'!$D$4:$D$61,MATCH(A334,'IR data'!$C$4:$C$61,1))-(INDEX('IR data'!$D$4:$D$61,MATCH(A334,'IR data'!$C$4:$C$61,1)+1)))))</f>
        <v>0.95484365632608703</v>
      </c>
      <c r="C334" s="30">
        <f t="shared" si="32"/>
        <v>2.212907098963543E-2</v>
      </c>
      <c r="D334" s="45">
        <f t="shared" si="33"/>
        <v>45682</v>
      </c>
      <c r="E334" s="14" cm="1">
        <f t="array" ref="E334">_xlfn.IFNA(INDEX('IR data'!$I$4:$I$61,MATCH(D334,'IR data'!$H$4:$H$61,0)),((INDEX('IR data'!$I$4:$I$61,MATCH(D334,'IR data'!$H$4:$H$61,1)))-((D334-(INDEX('IR data'!$H$4:$H$61,MATCH(D334,'IR data'!$H$4:$H$61,1))))/((INDEX('IR data'!$H$4:$H$61,MATCH(D334,'IR data'!$H$4:$H$61,1)+1)-INDEX('IR data'!$H$4:$H$61,MATCH(D334,'IR data'!$H$4:$H$61,1))))) * (INDEX('IR data'!$I$4:$I$61,MATCH(D334,'IR data'!$H$4:$H$61,1))-(INDEX('IR data'!$I$4:$I$61,MATCH(D334,'IR data'!$H$4:$H$61,1)+1)))))</f>
        <v>0.95303508548888893</v>
      </c>
      <c r="F334" s="30">
        <f t="shared" si="34"/>
        <v>2.3037025441513728E-2</v>
      </c>
      <c r="G334" s="45">
        <f t="shared" si="30"/>
        <v>45716</v>
      </c>
      <c r="H334" s="14" cm="1">
        <f t="array" ref="H334">_xlfn.IFNA(INDEX('IR data'!$N$4:$N$61,MATCH(G334,'IR data'!$M$4:$M$61,0)),((INDEX('IR data'!$N$4:$N$61,MATCH(G334,'IR data'!$M$4:$M$61,1)))-((G334-(INDEX('IR data'!$M$4:$M$61,MATCH(G334,'IR data'!$M$4:$M$61,1))))/((INDEX('IR data'!$M$4:$M$61,MATCH(G334,'IR data'!$M$4:$M$61,1)+1)-INDEX('IR data'!$M$4:$M$61,MATCH(G334,'IR data'!$M$4:$M$61,1))))) * (INDEX('IR data'!$N$4:$N$61,MATCH(G334,'IR data'!$M$4:$M$61,1))-(INDEX('IR data'!$N$4:$N$61,MATCH(G334,'IR data'!$M$4:$M$61,1)+1)))))</f>
        <v>0.95310610891208791</v>
      </c>
      <c r="I334" s="44">
        <f t="shared" si="35"/>
        <v>2.3001337153810093E-2</v>
      </c>
    </row>
    <row r="335" spans="1:9" x14ac:dyDescent="0.25">
      <c r="A335" s="45">
        <f t="shared" si="31"/>
        <v>45623</v>
      </c>
      <c r="B335" s="14" cm="1">
        <f t="array" ref="B335">_xlfn.IFNA(INDEX('IR data'!$D$4:$D$61,MATCH(A335,'IR data'!$C$4:$C$61,0)),((INDEX('IR data'!$D$4:$D$61,MATCH(A335,'IR data'!$C$4:$C$61,1)))-((A335-(INDEX('IR data'!$C$4:$C$61,MATCH(A335,'IR data'!$C$4:$C$61,1))))/((INDEX('IR data'!$C$4:$C$61,MATCH(A335,'IR data'!$C$4:$C$61,1)+1)-INDEX('IR data'!$C$4:$C$61,MATCH(A335,'IR data'!$C$4:$C$61,1))))) * (INDEX('IR data'!$D$4:$D$61,MATCH(A335,'IR data'!$C$4:$C$61,1))-(INDEX('IR data'!$D$4:$D$61,MATCH(A335,'IR data'!$C$4:$C$61,1)+1)))))</f>
        <v>0.95473040205434789</v>
      </c>
      <c r="C335" s="30">
        <f t="shared" si="32"/>
        <v>2.211905245724911E-2</v>
      </c>
      <c r="D335" s="45">
        <f t="shared" si="33"/>
        <v>45683</v>
      </c>
      <c r="E335" s="14" cm="1">
        <f t="array" ref="E335">_xlfn.IFNA(INDEX('IR data'!$I$4:$I$61,MATCH(D335,'IR data'!$H$4:$H$61,0)),((INDEX('IR data'!$I$4:$I$61,MATCH(D335,'IR data'!$H$4:$H$61,1)))-((D335-(INDEX('IR data'!$H$4:$H$61,MATCH(D335,'IR data'!$H$4:$H$61,1))))/((INDEX('IR data'!$H$4:$H$61,MATCH(D335,'IR data'!$H$4:$H$61,1)+1)-INDEX('IR data'!$H$4:$H$61,MATCH(D335,'IR data'!$H$4:$H$61,1))))) * (INDEX('IR data'!$I$4:$I$61,MATCH(D335,'IR data'!$H$4:$H$61,1))-(INDEX('IR data'!$I$4:$I$61,MATCH(D335,'IR data'!$H$4:$H$61,1)+1)))))</f>
        <v>0.95290950434444444</v>
      </c>
      <c r="F335" s="30">
        <f t="shared" si="34"/>
        <v>2.3030556019689698E-2</v>
      </c>
      <c r="G335" s="45">
        <f t="shared" si="30"/>
        <v>45717</v>
      </c>
      <c r="H335" s="14" cm="1">
        <f t="array" ref="H335">_xlfn.IFNA(INDEX('IR data'!$N$4:$N$61,MATCH(G335,'IR data'!$M$4:$M$61,0)),((INDEX('IR data'!$N$4:$N$61,MATCH(G335,'IR data'!$M$4:$M$61,1)))-((G335-(INDEX('IR data'!$M$4:$M$61,MATCH(G335,'IR data'!$M$4:$M$61,1))))/((INDEX('IR data'!$M$4:$M$61,MATCH(G335,'IR data'!$M$4:$M$61,1)+1)-INDEX('IR data'!$M$4:$M$61,MATCH(G335,'IR data'!$M$4:$M$61,1))))) * (INDEX('IR data'!$N$4:$N$61,MATCH(G335,'IR data'!$M$4:$M$61,1))-(INDEX('IR data'!$N$4:$N$61,MATCH(G335,'IR data'!$M$4:$M$61,1)+1)))))</f>
        <v>0.95297925896703295</v>
      </c>
      <c r="I335" s="44">
        <f t="shared" si="35"/>
        <v>2.2995606232823994E-2</v>
      </c>
    </row>
    <row r="336" spans="1:9" x14ac:dyDescent="0.25">
      <c r="A336" s="45">
        <f t="shared" si="31"/>
        <v>45624</v>
      </c>
      <c r="B336" s="14" cm="1">
        <f t="array" ref="B336">_xlfn.IFNA(INDEX('IR data'!$D$4:$D$61,MATCH(A336,'IR data'!$C$4:$C$61,0)),((INDEX('IR data'!$D$4:$D$61,MATCH(A336,'IR data'!$C$4:$C$61,1)))-((A336-(INDEX('IR data'!$C$4:$C$61,MATCH(A336,'IR data'!$C$4:$C$61,1))))/((INDEX('IR data'!$C$4:$C$61,MATCH(A336,'IR data'!$C$4:$C$61,1)+1)-INDEX('IR data'!$C$4:$C$61,MATCH(A336,'IR data'!$C$4:$C$61,1))))) * (INDEX('IR data'!$D$4:$D$61,MATCH(A336,'IR data'!$C$4:$C$61,1))-(INDEX('IR data'!$D$4:$D$61,MATCH(A336,'IR data'!$C$4:$C$61,1)+1)))))</f>
        <v>0.95461714778260875</v>
      </c>
      <c r="C336" s="30">
        <f t="shared" si="32"/>
        <v>2.2109100794775707E-2</v>
      </c>
      <c r="D336" s="45">
        <f t="shared" si="33"/>
        <v>45684</v>
      </c>
      <c r="E336" s="14" cm="1">
        <f t="array" ref="E336">_xlfn.IFNA(INDEX('IR data'!$I$4:$I$61,MATCH(D336,'IR data'!$H$4:$H$61,0)),((INDEX('IR data'!$I$4:$I$61,MATCH(D336,'IR data'!$H$4:$H$61,1)))-((D336-(INDEX('IR data'!$H$4:$H$61,MATCH(D336,'IR data'!$H$4:$H$61,1))))/((INDEX('IR data'!$H$4:$H$61,MATCH(D336,'IR data'!$H$4:$H$61,1)+1)-INDEX('IR data'!$H$4:$H$61,MATCH(D336,'IR data'!$H$4:$H$61,1))))) * (INDEX('IR data'!$I$4:$I$61,MATCH(D336,'IR data'!$H$4:$H$61,1))-(INDEX('IR data'!$I$4:$I$61,MATCH(D336,'IR data'!$H$4:$H$61,1)+1)))))</f>
        <v>0.95278392320000005</v>
      </c>
      <c r="F336" s="30">
        <f t="shared" si="34"/>
        <v>2.3024133720833773E-2</v>
      </c>
      <c r="G336" s="45">
        <f t="shared" si="30"/>
        <v>45718</v>
      </c>
      <c r="H336" s="14" cm="1">
        <f t="array" ref="H336">_xlfn.IFNA(INDEX('IR data'!$N$4:$N$61,MATCH(G336,'IR data'!$M$4:$M$61,0)),((INDEX('IR data'!$N$4:$N$61,MATCH(G336,'IR data'!$M$4:$M$61,1)))-((G336-(INDEX('IR data'!$M$4:$M$61,MATCH(G336,'IR data'!$M$4:$M$61,1))))/((INDEX('IR data'!$M$4:$M$61,MATCH(G336,'IR data'!$M$4:$M$61,1)+1)-INDEX('IR data'!$M$4:$M$61,MATCH(G336,'IR data'!$M$4:$M$61,1))))) * (INDEX('IR data'!$N$4:$N$61,MATCH(G336,'IR data'!$M$4:$M$61,1))-(INDEX('IR data'!$N$4:$N$61,MATCH(G336,'IR data'!$M$4:$M$61,1)+1)))))</f>
        <v>0.95285240902197799</v>
      </c>
      <c r="I336" s="44">
        <f t="shared" si="35"/>
        <v>2.2989918166036596E-2</v>
      </c>
    </row>
    <row r="337" spans="1:9" x14ac:dyDescent="0.25">
      <c r="A337" s="45">
        <f t="shared" si="31"/>
        <v>45625</v>
      </c>
      <c r="B337" s="14" cm="1">
        <f t="array" ref="B337">_xlfn.IFNA(INDEX('IR data'!$D$4:$D$61,MATCH(A337,'IR data'!$C$4:$C$61,0)),((INDEX('IR data'!$D$4:$D$61,MATCH(A337,'IR data'!$C$4:$C$61,1)))-((A337-(INDEX('IR data'!$C$4:$C$61,MATCH(A337,'IR data'!$C$4:$C$61,1))))/((INDEX('IR data'!$C$4:$C$61,MATCH(A337,'IR data'!$C$4:$C$61,1)+1)-INDEX('IR data'!$C$4:$C$61,MATCH(A337,'IR data'!$C$4:$C$61,1))))) * (INDEX('IR data'!$D$4:$D$61,MATCH(A337,'IR data'!$C$4:$C$61,1))-(INDEX('IR data'!$D$4:$D$61,MATCH(A337,'IR data'!$C$4:$C$61,1)+1)))))</f>
        <v>0.95450389351086962</v>
      </c>
      <c r="C337" s="30">
        <f t="shared" si="32"/>
        <v>2.2099215403172015E-2</v>
      </c>
      <c r="D337" s="45">
        <f t="shared" si="33"/>
        <v>45685</v>
      </c>
      <c r="E337" s="14" cm="1">
        <f t="array" ref="E337">_xlfn.IFNA(INDEX('IR data'!$I$4:$I$61,MATCH(D337,'IR data'!$H$4:$H$61,0)),((INDEX('IR data'!$I$4:$I$61,MATCH(D337,'IR data'!$H$4:$H$61,1)))-((D337-(INDEX('IR data'!$H$4:$H$61,MATCH(D337,'IR data'!$H$4:$H$61,1))))/((INDEX('IR data'!$H$4:$H$61,MATCH(D337,'IR data'!$H$4:$H$61,1)+1)-INDEX('IR data'!$H$4:$H$61,MATCH(D337,'IR data'!$H$4:$H$61,1))))) * (INDEX('IR data'!$I$4:$I$61,MATCH(D337,'IR data'!$H$4:$H$61,1))-(INDEX('IR data'!$I$4:$I$61,MATCH(D337,'IR data'!$H$4:$H$61,1)+1)))))</f>
        <v>0.95265834205555555</v>
      </c>
      <c r="F337" s="30">
        <f t="shared" si="34"/>
        <v>2.3017758123858891E-2</v>
      </c>
      <c r="G337" s="45">
        <f t="shared" si="30"/>
        <v>45719</v>
      </c>
      <c r="H337" s="14" cm="1">
        <f t="array" ref="H337">_xlfn.IFNA(INDEX('IR data'!$N$4:$N$61,MATCH(G337,'IR data'!$M$4:$M$61,0)),((INDEX('IR data'!$N$4:$N$61,MATCH(G337,'IR data'!$M$4:$M$61,1)))-((G337-(INDEX('IR data'!$M$4:$M$61,MATCH(G337,'IR data'!$M$4:$M$61,1))))/((INDEX('IR data'!$M$4:$M$61,MATCH(G337,'IR data'!$M$4:$M$61,1)+1)-INDEX('IR data'!$M$4:$M$61,MATCH(G337,'IR data'!$M$4:$M$61,1))))) * (INDEX('IR data'!$N$4:$N$61,MATCH(G337,'IR data'!$M$4:$M$61,1))-(INDEX('IR data'!$N$4:$N$61,MATCH(G337,'IR data'!$M$4:$M$61,1)+1)))))</f>
        <v>0.95272555907692302</v>
      </c>
      <c r="I337" s="44">
        <f t="shared" si="35"/>
        <v>2.2984272570769012E-2</v>
      </c>
    </row>
    <row r="338" spans="1:9" x14ac:dyDescent="0.25">
      <c r="A338" s="45">
        <f t="shared" si="31"/>
        <v>45626</v>
      </c>
      <c r="B338" s="14" cm="1">
        <f t="array" ref="B338">_xlfn.IFNA(INDEX('IR data'!$D$4:$D$61,MATCH(A338,'IR data'!$C$4:$C$61,0)),((INDEX('IR data'!$D$4:$D$61,MATCH(A338,'IR data'!$C$4:$C$61,1)))-((A338-(INDEX('IR data'!$C$4:$C$61,MATCH(A338,'IR data'!$C$4:$C$61,1))))/((INDEX('IR data'!$C$4:$C$61,MATCH(A338,'IR data'!$C$4:$C$61,1)+1)-INDEX('IR data'!$C$4:$C$61,MATCH(A338,'IR data'!$C$4:$C$61,1))))) * (INDEX('IR data'!$D$4:$D$61,MATCH(A338,'IR data'!$C$4:$C$61,1))-(INDEX('IR data'!$D$4:$D$61,MATCH(A338,'IR data'!$C$4:$C$61,1)+1)))))</f>
        <v>0.95439063923913048</v>
      </c>
      <c r="C338" s="30">
        <f t="shared" si="32"/>
        <v>2.2089395690548127E-2</v>
      </c>
      <c r="D338" s="45">
        <f t="shared" si="33"/>
        <v>45686</v>
      </c>
      <c r="E338" s="14" cm="1">
        <f t="array" ref="E338">_xlfn.IFNA(INDEX('IR data'!$I$4:$I$61,MATCH(D338,'IR data'!$H$4:$H$61,0)),((INDEX('IR data'!$I$4:$I$61,MATCH(D338,'IR data'!$H$4:$H$61,1)))-((D338-(INDEX('IR data'!$H$4:$H$61,MATCH(D338,'IR data'!$H$4:$H$61,1))))/((INDEX('IR data'!$H$4:$H$61,MATCH(D338,'IR data'!$H$4:$H$61,1)+1)-INDEX('IR data'!$H$4:$H$61,MATCH(D338,'IR data'!$H$4:$H$61,1))))) * (INDEX('IR data'!$I$4:$I$61,MATCH(D338,'IR data'!$H$4:$H$61,1))-(INDEX('IR data'!$I$4:$I$61,MATCH(D338,'IR data'!$H$4:$H$61,1)+1)))))</f>
        <v>0.95253276091111116</v>
      </c>
      <c r="F338" s="30">
        <f t="shared" si="34"/>
        <v>2.3011428812706534E-2</v>
      </c>
      <c r="G338" s="45">
        <f t="shared" si="30"/>
        <v>45720</v>
      </c>
      <c r="H338" s="14" cm="1">
        <f t="array" ref="H338">_xlfn.IFNA(INDEX('IR data'!$N$4:$N$61,MATCH(G338,'IR data'!$M$4:$M$61,0)),((INDEX('IR data'!$N$4:$N$61,MATCH(G338,'IR data'!$M$4:$M$61,1)))-((G338-(INDEX('IR data'!$M$4:$M$61,MATCH(G338,'IR data'!$M$4:$M$61,1))))/((INDEX('IR data'!$M$4:$M$61,MATCH(G338,'IR data'!$M$4:$M$61,1)+1)-INDEX('IR data'!$M$4:$M$61,MATCH(G338,'IR data'!$M$4:$M$61,1))))) * (INDEX('IR data'!$N$4:$N$61,MATCH(G338,'IR data'!$M$4:$M$61,1))-(INDEX('IR data'!$N$4:$N$61,MATCH(G338,'IR data'!$M$4:$M$61,1)+1)))))</f>
        <v>0.95259870913186806</v>
      </c>
      <c r="I338" s="44">
        <f t="shared" si="35"/>
        <v>2.2978669068912553E-2</v>
      </c>
    </row>
    <row r="339" spans="1:9" x14ac:dyDescent="0.25">
      <c r="A339" s="45">
        <f t="shared" si="31"/>
        <v>45627</v>
      </c>
      <c r="B339" s="14" cm="1">
        <f t="array" ref="B339">_xlfn.IFNA(INDEX('IR data'!$D$4:$D$61,MATCH(A339,'IR data'!$C$4:$C$61,0)),((INDEX('IR data'!$D$4:$D$61,MATCH(A339,'IR data'!$C$4:$C$61,1)))-((A339-(INDEX('IR data'!$C$4:$C$61,MATCH(A339,'IR data'!$C$4:$C$61,1))))/((INDEX('IR data'!$C$4:$C$61,MATCH(A339,'IR data'!$C$4:$C$61,1)+1)-INDEX('IR data'!$C$4:$C$61,MATCH(A339,'IR data'!$C$4:$C$61,1))))) * (INDEX('IR data'!$D$4:$D$61,MATCH(A339,'IR data'!$C$4:$C$61,1))-(INDEX('IR data'!$D$4:$D$61,MATCH(A339,'IR data'!$C$4:$C$61,1)+1)))))</f>
        <v>0.95427738496739134</v>
      </c>
      <c r="C339" s="30">
        <f t="shared" si="32"/>
        <v>2.2079641072061017E-2</v>
      </c>
      <c r="D339" s="45">
        <f t="shared" si="33"/>
        <v>45687</v>
      </c>
      <c r="E339" s="14" cm="1">
        <f t="array" ref="E339">_xlfn.IFNA(INDEX('IR data'!$I$4:$I$61,MATCH(D339,'IR data'!$H$4:$H$61,0)),((INDEX('IR data'!$I$4:$I$61,MATCH(D339,'IR data'!$H$4:$H$61,1)))-((D339-(INDEX('IR data'!$H$4:$H$61,MATCH(D339,'IR data'!$H$4:$H$61,1))))/((INDEX('IR data'!$H$4:$H$61,MATCH(D339,'IR data'!$H$4:$H$61,1)+1)-INDEX('IR data'!$H$4:$H$61,MATCH(D339,'IR data'!$H$4:$H$61,1))))) * (INDEX('IR data'!$I$4:$I$61,MATCH(D339,'IR data'!$H$4:$H$61,1))-(INDEX('IR data'!$I$4:$I$61,MATCH(D339,'IR data'!$H$4:$H$61,1)+1)))))</f>
        <v>0.95240717976666667</v>
      </c>
      <c r="F339" s="30">
        <f t="shared" si="34"/>
        <v>2.3005145376272348E-2</v>
      </c>
      <c r="G339" s="45">
        <f t="shared" si="30"/>
        <v>45721</v>
      </c>
      <c r="H339" s="14" cm="1">
        <f t="array" ref="H339">_xlfn.IFNA(INDEX('IR data'!$N$4:$N$61,MATCH(G339,'IR data'!$M$4:$M$61,0)),((INDEX('IR data'!$N$4:$N$61,MATCH(G339,'IR data'!$M$4:$M$61,1)))-((G339-(INDEX('IR data'!$M$4:$M$61,MATCH(G339,'IR data'!$M$4:$M$61,1))))/((INDEX('IR data'!$M$4:$M$61,MATCH(G339,'IR data'!$M$4:$M$61,1)+1)-INDEX('IR data'!$M$4:$M$61,MATCH(G339,'IR data'!$M$4:$M$61,1))))) * (INDEX('IR data'!$N$4:$N$61,MATCH(G339,'IR data'!$M$4:$M$61,1))-(INDEX('IR data'!$N$4:$N$61,MATCH(G339,'IR data'!$M$4:$M$61,1)+1)))))</f>
        <v>0.95247185918681321</v>
      </c>
      <c r="I339" s="44">
        <f t="shared" si="35"/>
        <v>2.2973107286860667E-2</v>
      </c>
    </row>
    <row r="340" spans="1:9" x14ac:dyDescent="0.25">
      <c r="A340" s="45">
        <f t="shared" si="31"/>
        <v>45628</v>
      </c>
      <c r="B340" s="14" cm="1">
        <f t="array" ref="B340">_xlfn.IFNA(INDEX('IR data'!$D$4:$D$61,MATCH(A340,'IR data'!$C$4:$C$61,0)),((INDEX('IR data'!$D$4:$D$61,MATCH(A340,'IR data'!$C$4:$C$61,1)))-((A340-(INDEX('IR data'!$C$4:$C$61,MATCH(A340,'IR data'!$C$4:$C$61,1))))/((INDEX('IR data'!$C$4:$C$61,MATCH(A340,'IR data'!$C$4:$C$61,1)+1)-INDEX('IR data'!$C$4:$C$61,MATCH(A340,'IR data'!$C$4:$C$61,1))))) * (INDEX('IR data'!$D$4:$D$61,MATCH(A340,'IR data'!$C$4:$C$61,1))-(INDEX('IR data'!$D$4:$D$61,MATCH(A340,'IR data'!$C$4:$C$61,1)+1)))))</f>
        <v>0.9541641306956522</v>
      </c>
      <c r="C340" s="30">
        <f t="shared" si="32"/>
        <v>2.206995096980998E-2</v>
      </c>
      <c r="D340" s="45">
        <f t="shared" si="33"/>
        <v>45688</v>
      </c>
      <c r="E340" s="14" cm="1">
        <f t="array" ref="E340">_xlfn.IFNA(INDEX('IR data'!$I$4:$I$61,MATCH(D340,'IR data'!$H$4:$H$61,0)),((INDEX('IR data'!$I$4:$I$61,MATCH(D340,'IR data'!$H$4:$H$61,1)))-((D340-(INDEX('IR data'!$H$4:$H$61,MATCH(D340,'IR data'!$H$4:$H$61,1))))/((INDEX('IR data'!$H$4:$H$61,MATCH(D340,'IR data'!$H$4:$H$61,1)+1)-INDEX('IR data'!$H$4:$H$61,MATCH(D340,'IR data'!$H$4:$H$61,1))))) * (INDEX('IR data'!$I$4:$I$61,MATCH(D340,'IR data'!$H$4:$H$61,1))-(INDEX('IR data'!$I$4:$I$61,MATCH(D340,'IR data'!$H$4:$H$61,1)+1)))))</f>
        <v>0.95228159862222228</v>
      </c>
      <c r="F340" s="30">
        <f t="shared" si="34"/>
        <v>2.2998907408332173E-2</v>
      </c>
      <c r="G340" s="45">
        <f t="shared" si="30"/>
        <v>45722</v>
      </c>
      <c r="H340" s="14" cm="1">
        <f t="array" ref="H340">_xlfn.IFNA(INDEX('IR data'!$N$4:$N$61,MATCH(G340,'IR data'!$M$4:$M$61,0)),((INDEX('IR data'!$N$4:$N$61,MATCH(G340,'IR data'!$M$4:$M$61,1)))-((G340-(INDEX('IR data'!$M$4:$M$61,MATCH(G340,'IR data'!$M$4:$M$61,1))))/((INDEX('IR data'!$M$4:$M$61,MATCH(G340,'IR data'!$M$4:$M$61,1)+1)-INDEX('IR data'!$M$4:$M$61,MATCH(G340,'IR data'!$M$4:$M$61,1))))) * (INDEX('IR data'!$N$4:$N$61,MATCH(G340,'IR data'!$M$4:$M$61,1))-(INDEX('IR data'!$N$4:$N$61,MATCH(G340,'IR data'!$M$4:$M$61,1)+1)))))</f>
        <v>0.95234500924175824</v>
      </c>
      <c r="I340" s="44">
        <f t="shared" si="35"/>
        <v>2.2967586855442337E-2</v>
      </c>
    </row>
    <row r="341" spans="1:9" x14ac:dyDescent="0.25">
      <c r="A341" s="45">
        <f t="shared" si="31"/>
        <v>45629</v>
      </c>
      <c r="B341" s="14" cm="1">
        <f t="array" ref="B341">_xlfn.IFNA(INDEX('IR data'!$D$4:$D$61,MATCH(A341,'IR data'!$C$4:$C$61,0)),((INDEX('IR data'!$D$4:$D$61,MATCH(A341,'IR data'!$C$4:$C$61,1)))-((A341-(INDEX('IR data'!$C$4:$C$61,MATCH(A341,'IR data'!$C$4:$C$61,1))))/((INDEX('IR data'!$C$4:$C$61,MATCH(A341,'IR data'!$C$4:$C$61,1)+1)-INDEX('IR data'!$C$4:$C$61,MATCH(A341,'IR data'!$C$4:$C$61,1))))) * (INDEX('IR data'!$D$4:$D$61,MATCH(A341,'IR data'!$C$4:$C$61,1))-(INDEX('IR data'!$D$4:$D$61,MATCH(A341,'IR data'!$C$4:$C$61,1)+1)))))</f>
        <v>0.95405087642391306</v>
      </c>
      <c r="C341" s="30">
        <f t="shared" si="32"/>
        <v>2.2060324812733914E-2</v>
      </c>
      <c r="D341" s="45">
        <f t="shared" si="33"/>
        <v>45689</v>
      </c>
      <c r="E341" s="14" cm="1">
        <f t="array" ref="E341">_xlfn.IFNA(INDEX('IR data'!$I$4:$I$61,MATCH(D341,'IR data'!$H$4:$H$61,0)),((INDEX('IR data'!$I$4:$I$61,MATCH(D341,'IR data'!$H$4:$H$61,1)))-((D341-(INDEX('IR data'!$H$4:$H$61,MATCH(D341,'IR data'!$H$4:$H$61,1))))/((INDEX('IR data'!$H$4:$H$61,MATCH(D341,'IR data'!$H$4:$H$61,1)+1)-INDEX('IR data'!$H$4:$H$61,MATCH(D341,'IR data'!$H$4:$H$61,1))))) * (INDEX('IR data'!$I$4:$I$61,MATCH(D341,'IR data'!$H$4:$H$61,1))-(INDEX('IR data'!$I$4:$I$61,MATCH(D341,'IR data'!$H$4:$H$61,1)+1)))))</f>
        <v>0.95215601747777778</v>
      </c>
      <c r="F341" s="30">
        <f t="shared" si="34"/>
        <v>2.299271450747032E-2</v>
      </c>
      <c r="G341" s="45">
        <f t="shared" si="30"/>
        <v>45723</v>
      </c>
      <c r="H341" s="14" cm="1">
        <f t="array" ref="H341">_xlfn.IFNA(INDEX('IR data'!$N$4:$N$61,MATCH(G341,'IR data'!$M$4:$M$61,0)),((INDEX('IR data'!$N$4:$N$61,MATCH(G341,'IR data'!$M$4:$M$61,1)))-((G341-(INDEX('IR data'!$M$4:$M$61,MATCH(G341,'IR data'!$M$4:$M$61,1))))/((INDEX('IR data'!$M$4:$M$61,MATCH(G341,'IR data'!$M$4:$M$61,1)+1)-INDEX('IR data'!$M$4:$M$61,MATCH(G341,'IR data'!$M$4:$M$61,1))))) * (INDEX('IR data'!$N$4:$N$61,MATCH(G341,'IR data'!$M$4:$M$61,1))-(INDEX('IR data'!$N$4:$N$61,MATCH(G341,'IR data'!$M$4:$M$61,1)+1)))))</f>
        <v>0.95221815929670328</v>
      </c>
      <c r="I341" s="44">
        <f t="shared" si="35"/>
        <v>2.2962107409856158E-2</v>
      </c>
    </row>
    <row r="342" spans="1:9" x14ac:dyDescent="0.25">
      <c r="A342" s="45">
        <f t="shared" si="31"/>
        <v>45630</v>
      </c>
      <c r="B342" s="14" cm="1">
        <f t="array" ref="B342">_xlfn.IFNA(INDEX('IR data'!$D$4:$D$61,MATCH(A342,'IR data'!$C$4:$C$61,0)),((INDEX('IR data'!$D$4:$D$61,MATCH(A342,'IR data'!$C$4:$C$61,1)))-((A342-(INDEX('IR data'!$C$4:$C$61,MATCH(A342,'IR data'!$C$4:$C$61,1))))/((INDEX('IR data'!$C$4:$C$61,MATCH(A342,'IR data'!$C$4:$C$61,1)+1)-INDEX('IR data'!$C$4:$C$61,MATCH(A342,'IR data'!$C$4:$C$61,1))))) * (INDEX('IR data'!$D$4:$D$61,MATCH(A342,'IR data'!$C$4:$C$61,1))-(INDEX('IR data'!$D$4:$D$61,MATCH(A342,'IR data'!$C$4:$C$61,1)+1)))))</f>
        <v>0.95393762215217393</v>
      </c>
      <c r="C342" s="30">
        <f t="shared" si="32"/>
        <v>2.2050762036510477E-2</v>
      </c>
      <c r="D342" s="45">
        <f t="shared" si="33"/>
        <v>45690</v>
      </c>
      <c r="E342" s="14" cm="1">
        <f t="array" ref="E342">_xlfn.IFNA(INDEX('IR data'!$I$4:$I$61,MATCH(D342,'IR data'!$H$4:$H$61,0)),((INDEX('IR data'!$I$4:$I$61,MATCH(D342,'IR data'!$H$4:$H$61,1)))-((D342-(INDEX('IR data'!$H$4:$H$61,MATCH(D342,'IR data'!$H$4:$H$61,1))))/((INDEX('IR data'!$H$4:$H$61,MATCH(D342,'IR data'!$H$4:$H$61,1)+1)-INDEX('IR data'!$H$4:$H$61,MATCH(D342,'IR data'!$H$4:$H$61,1))))) * (INDEX('IR data'!$I$4:$I$61,MATCH(D342,'IR data'!$H$4:$H$61,1))-(INDEX('IR data'!$I$4:$I$61,MATCH(D342,'IR data'!$H$4:$H$61,1)+1)))))</f>
        <v>0.9520304363333334</v>
      </c>
      <c r="F342" s="30">
        <f t="shared" si="34"/>
        <v>2.2986566277008187E-2</v>
      </c>
      <c r="G342" s="45">
        <f t="shared" si="30"/>
        <v>45724</v>
      </c>
      <c r="H342" s="14" cm="1">
        <f t="array" ref="H342">_xlfn.IFNA(INDEX('IR data'!$N$4:$N$61,MATCH(G342,'IR data'!$M$4:$M$61,0)),((INDEX('IR data'!$N$4:$N$61,MATCH(G342,'IR data'!$M$4:$M$61,1)))-((G342-(INDEX('IR data'!$M$4:$M$61,MATCH(G342,'IR data'!$M$4:$M$61,1))))/((INDEX('IR data'!$M$4:$M$61,MATCH(G342,'IR data'!$M$4:$M$61,1)+1)-INDEX('IR data'!$M$4:$M$61,MATCH(G342,'IR data'!$M$4:$M$61,1))))) * (INDEX('IR data'!$N$4:$N$61,MATCH(G342,'IR data'!$M$4:$M$61,1))-(INDEX('IR data'!$N$4:$N$61,MATCH(G342,'IR data'!$M$4:$M$61,1)+1)))))</f>
        <v>0.95209130935164832</v>
      </c>
      <c r="I342" s="44">
        <f t="shared" si="35"/>
        <v>2.2956668589606124E-2</v>
      </c>
    </row>
    <row r="343" spans="1:9" x14ac:dyDescent="0.25">
      <c r="A343" s="45">
        <f t="shared" si="31"/>
        <v>45631</v>
      </c>
      <c r="B343" s="14" cm="1">
        <f t="array" ref="B343">_xlfn.IFNA(INDEX('IR data'!$D$4:$D$61,MATCH(A343,'IR data'!$C$4:$C$61,0)),((INDEX('IR data'!$D$4:$D$61,MATCH(A343,'IR data'!$C$4:$C$61,1)))-((A343-(INDEX('IR data'!$C$4:$C$61,MATCH(A343,'IR data'!$C$4:$C$61,1))))/((INDEX('IR data'!$C$4:$C$61,MATCH(A343,'IR data'!$C$4:$C$61,1)+1)-INDEX('IR data'!$C$4:$C$61,MATCH(A343,'IR data'!$C$4:$C$61,1))))) * (INDEX('IR data'!$D$4:$D$61,MATCH(A343,'IR data'!$C$4:$C$61,1))-(INDEX('IR data'!$D$4:$D$61,MATCH(A343,'IR data'!$C$4:$C$61,1)+1)))))</f>
        <v>0.95382436788043479</v>
      </c>
      <c r="C343" s="30">
        <f t="shared" si="32"/>
        <v>2.2041262083456956E-2</v>
      </c>
      <c r="D343" s="45">
        <f t="shared" si="33"/>
        <v>45691</v>
      </c>
      <c r="E343" s="14" cm="1">
        <f t="array" ref="E343">_xlfn.IFNA(INDEX('IR data'!$I$4:$I$61,MATCH(D343,'IR data'!$H$4:$H$61,0)),((INDEX('IR data'!$I$4:$I$61,MATCH(D343,'IR data'!$H$4:$H$61,1)))-((D343-(INDEX('IR data'!$H$4:$H$61,MATCH(D343,'IR data'!$H$4:$H$61,1))))/((INDEX('IR data'!$H$4:$H$61,MATCH(D343,'IR data'!$H$4:$H$61,1)+1)-INDEX('IR data'!$H$4:$H$61,MATCH(D343,'IR data'!$H$4:$H$61,1))))) * (INDEX('IR data'!$I$4:$I$61,MATCH(D343,'IR data'!$H$4:$H$61,1))-(INDEX('IR data'!$I$4:$I$61,MATCH(D343,'IR data'!$H$4:$H$61,1)+1)))))</f>
        <v>0.9519048551888889</v>
      </c>
      <c r="F343" s="30">
        <f t="shared" si="34"/>
        <v>2.2980462324935051E-2</v>
      </c>
      <c r="G343" s="45">
        <f t="shared" si="30"/>
        <v>45725</v>
      </c>
      <c r="H343" s="14" cm="1">
        <f t="array" ref="H343">_xlfn.IFNA(INDEX('IR data'!$N$4:$N$61,MATCH(G343,'IR data'!$M$4:$M$61,0)),((INDEX('IR data'!$N$4:$N$61,MATCH(G343,'IR data'!$M$4:$M$61,1)))-((G343-(INDEX('IR data'!$M$4:$M$61,MATCH(G343,'IR data'!$M$4:$M$61,1))))/((INDEX('IR data'!$M$4:$M$61,MATCH(G343,'IR data'!$M$4:$M$61,1)+1)-INDEX('IR data'!$M$4:$M$61,MATCH(G343,'IR data'!$M$4:$M$61,1))))) * (INDEX('IR data'!$N$4:$N$61,MATCH(G343,'IR data'!$M$4:$M$61,1))-(INDEX('IR data'!$N$4:$N$61,MATCH(G343,'IR data'!$M$4:$M$61,1)+1)))))</f>
        <v>0.95196445940659336</v>
      </c>
      <c r="I343" s="44">
        <f t="shared" si="35"/>
        <v>2.295127003843821E-2</v>
      </c>
    </row>
    <row r="344" spans="1:9" x14ac:dyDescent="0.25">
      <c r="A344" s="45">
        <f t="shared" si="31"/>
        <v>45632</v>
      </c>
      <c r="B344" s="14" cm="1">
        <f t="array" ref="B344">_xlfn.IFNA(INDEX('IR data'!$D$4:$D$61,MATCH(A344,'IR data'!$C$4:$C$61,0)),((INDEX('IR data'!$D$4:$D$61,MATCH(A344,'IR data'!$C$4:$C$61,1)))-((A344-(INDEX('IR data'!$C$4:$C$61,MATCH(A344,'IR data'!$C$4:$C$61,1))))/((INDEX('IR data'!$C$4:$C$61,MATCH(A344,'IR data'!$C$4:$C$61,1)+1)-INDEX('IR data'!$C$4:$C$61,MATCH(A344,'IR data'!$C$4:$C$61,1))))) * (INDEX('IR data'!$D$4:$D$61,MATCH(A344,'IR data'!$C$4:$C$61,1))-(INDEX('IR data'!$D$4:$D$61,MATCH(A344,'IR data'!$C$4:$C$61,1)+1)))))</f>
        <v>0.95371111360869565</v>
      </c>
      <c r="C344" s="30">
        <f t="shared" si="32"/>
        <v>2.2031824402432926E-2</v>
      </c>
      <c r="D344" s="45">
        <f t="shared" si="33"/>
        <v>45692</v>
      </c>
      <c r="E344" s="14" cm="1">
        <f t="array" ref="E344">_xlfn.IFNA(INDEX('IR data'!$I$4:$I$61,MATCH(D344,'IR data'!$H$4:$H$61,0)),((INDEX('IR data'!$I$4:$I$61,MATCH(D344,'IR data'!$H$4:$H$61,1)))-((D344-(INDEX('IR data'!$H$4:$H$61,MATCH(D344,'IR data'!$H$4:$H$61,1))))/((INDEX('IR data'!$H$4:$H$61,MATCH(D344,'IR data'!$H$4:$H$61,1)+1)-INDEX('IR data'!$H$4:$H$61,MATCH(D344,'IR data'!$H$4:$H$61,1))))) * (INDEX('IR data'!$I$4:$I$61,MATCH(D344,'IR data'!$H$4:$H$61,1))-(INDEX('IR data'!$I$4:$I$61,MATCH(D344,'IR data'!$H$4:$H$61,1)+1)))))</f>
        <v>0.95177927404444451</v>
      </c>
      <c r="F344" s="30">
        <f t="shared" si="34"/>
        <v>2.2974402263839171E-2</v>
      </c>
      <c r="G344" s="45">
        <f t="shared" si="30"/>
        <v>45726</v>
      </c>
      <c r="H344" s="14" cm="1">
        <f t="array" ref="H344">_xlfn.IFNA(INDEX('IR data'!$N$4:$N$61,MATCH(G344,'IR data'!$M$4:$M$61,0)),((INDEX('IR data'!$N$4:$N$61,MATCH(G344,'IR data'!$M$4:$M$61,1)))-((G344-(INDEX('IR data'!$M$4:$M$61,MATCH(G344,'IR data'!$M$4:$M$61,1))))/((INDEX('IR data'!$M$4:$M$61,MATCH(G344,'IR data'!$M$4:$M$61,1)+1)-INDEX('IR data'!$M$4:$M$61,MATCH(G344,'IR data'!$M$4:$M$61,1))))) * (INDEX('IR data'!$N$4:$N$61,MATCH(G344,'IR data'!$M$4:$M$61,1))-(INDEX('IR data'!$N$4:$N$61,MATCH(G344,'IR data'!$M$4:$M$61,1)+1)))))</f>
        <v>0.95183760946153839</v>
      </c>
      <c r="I344" s="44">
        <f t="shared" si="35"/>
        <v>2.2945911404278214E-2</v>
      </c>
    </row>
    <row r="345" spans="1:9" x14ac:dyDescent="0.25">
      <c r="A345" s="45">
        <f t="shared" si="31"/>
        <v>45633</v>
      </c>
      <c r="B345" s="14" cm="1">
        <f t="array" ref="B345">_xlfn.IFNA(INDEX('IR data'!$D$4:$D$61,MATCH(A345,'IR data'!$C$4:$C$61,0)),((INDEX('IR data'!$D$4:$D$61,MATCH(A345,'IR data'!$C$4:$C$61,1)))-((A345-(INDEX('IR data'!$C$4:$C$61,MATCH(A345,'IR data'!$C$4:$C$61,1))))/((INDEX('IR data'!$C$4:$C$61,MATCH(A345,'IR data'!$C$4:$C$61,1)+1)-INDEX('IR data'!$C$4:$C$61,MATCH(A345,'IR data'!$C$4:$C$61,1))))) * (INDEX('IR data'!$D$4:$D$61,MATCH(A345,'IR data'!$C$4:$C$61,1))-(INDEX('IR data'!$D$4:$D$61,MATCH(A345,'IR data'!$C$4:$C$61,1)+1)))))</f>
        <v>0.95359785933695651</v>
      </c>
      <c r="C345" s="30">
        <f t="shared" si="32"/>
        <v>2.2022448448744607E-2</v>
      </c>
      <c r="D345" s="45">
        <f t="shared" si="33"/>
        <v>45693</v>
      </c>
      <c r="E345" s="14" cm="1">
        <f t="array" ref="E345">_xlfn.IFNA(INDEX('IR data'!$I$4:$I$61,MATCH(D345,'IR data'!$H$4:$H$61,0)),((INDEX('IR data'!$I$4:$I$61,MATCH(D345,'IR data'!$H$4:$H$61,1)))-((D345-(INDEX('IR data'!$H$4:$H$61,MATCH(D345,'IR data'!$H$4:$H$61,1))))/((INDEX('IR data'!$H$4:$H$61,MATCH(D345,'IR data'!$H$4:$H$61,1)+1)-INDEX('IR data'!$H$4:$H$61,MATCH(D345,'IR data'!$H$4:$H$61,1))))) * (INDEX('IR data'!$I$4:$I$61,MATCH(D345,'IR data'!$H$4:$H$61,1))-(INDEX('IR data'!$I$4:$I$61,MATCH(D345,'IR data'!$H$4:$H$61,1)+1)))))</f>
        <v>0.95165369290000001</v>
      </c>
      <c r="F345" s="30">
        <f t="shared" si="34"/>
        <v>2.2968385710841015E-2</v>
      </c>
      <c r="G345" s="45">
        <f t="shared" si="30"/>
        <v>45727</v>
      </c>
      <c r="H345" s="14" cm="1">
        <f t="array" ref="H345">_xlfn.IFNA(INDEX('IR data'!$N$4:$N$61,MATCH(G345,'IR data'!$M$4:$M$61,0)),((INDEX('IR data'!$N$4:$N$61,MATCH(G345,'IR data'!$M$4:$M$61,1)))-((G345-(INDEX('IR data'!$M$4:$M$61,MATCH(G345,'IR data'!$M$4:$M$61,1))))/((INDEX('IR data'!$M$4:$M$61,MATCH(G345,'IR data'!$M$4:$M$61,1)+1)-INDEX('IR data'!$M$4:$M$61,MATCH(G345,'IR data'!$M$4:$M$61,1))))) * (INDEX('IR data'!$N$4:$N$61,MATCH(G345,'IR data'!$M$4:$M$61,1))-(INDEX('IR data'!$N$4:$N$61,MATCH(G345,'IR data'!$M$4:$M$61,1)+1)))))</f>
        <v>0.95171075951648354</v>
      </c>
      <c r="I345" s="44">
        <f t="shared" si="35"/>
        <v>2.2940592339170601E-2</v>
      </c>
    </row>
    <row r="346" spans="1:9" x14ac:dyDescent="0.25">
      <c r="A346" s="45">
        <f t="shared" si="31"/>
        <v>45634</v>
      </c>
      <c r="B346" s="14" cm="1">
        <f t="array" ref="B346">_xlfn.IFNA(INDEX('IR data'!$D$4:$D$61,MATCH(A346,'IR data'!$C$4:$C$61,0)),((INDEX('IR data'!$D$4:$D$61,MATCH(A346,'IR data'!$C$4:$C$61,1)))-((A346-(INDEX('IR data'!$C$4:$C$61,MATCH(A346,'IR data'!$C$4:$C$61,1))))/((INDEX('IR data'!$C$4:$C$61,MATCH(A346,'IR data'!$C$4:$C$61,1)+1)-INDEX('IR data'!$C$4:$C$61,MATCH(A346,'IR data'!$C$4:$C$61,1))))) * (INDEX('IR data'!$D$4:$D$61,MATCH(A346,'IR data'!$C$4:$C$61,1))-(INDEX('IR data'!$D$4:$D$61,MATCH(A346,'IR data'!$C$4:$C$61,1)+1)))))</f>
        <v>0.95348460506521737</v>
      </c>
      <c r="C346" s="30">
        <f t="shared" si="32"/>
        <v>2.2013133684050886E-2</v>
      </c>
      <c r="D346" s="45">
        <f t="shared" si="33"/>
        <v>45694</v>
      </c>
      <c r="E346" s="14" cm="1">
        <f t="array" ref="E346">_xlfn.IFNA(INDEX('IR data'!$I$4:$I$61,MATCH(D346,'IR data'!$H$4:$H$61,0)),((INDEX('IR data'!$I$4:$I$61,MATCH(D346,'IR data'!$H$4:$H$61,1)))-((D346-(INDEX('IR data'!$H$4:$H$61,MATCH(D346,'IR data'!$H$4:$H$61,1))))/((INDEX('IR data'!$H$4:$H$61,MATCH(D346,'IR data'!$H$4:$H$61,1)+1)-INDEX('IR data'!$H$4:$H$61,MATCH(D346,'IR data'!$H$4:$H$61,1))))) * (INDEX('IR data'!$I$4:$I$61,MATCH(D346,'IR data'!$H$4:$H$61,1))-(INDEX('IR data'!$I$4:$I$61,MATCH(D346,'IR data'!$H$4:$H$61,1)+1)))))</f>
        <v>0.95152811175555563</v>
      </c>
      <c r="F346" s="30">
        <f t="shared" si="34"/>
        <v>2.296241228752673E-2</v>
      </c>
      <c r="G346" s="45">
        <f t="shared" si="30"/>
        <v>45728</v>
      </c>
      <c r="H346" s="14" cm="1">
        <f t="array" ref="H346">_xlfn.IFNA(INDEX('IR data'!$N$4:$N$61,MATCH(G346,'IR data'!$M$4:$M$61,0)),((INDEX('IR data'!$N$4:$N$61,MATCH(G346,'IR data'!$M$4:$M$61,1)))-((G346-(INDEX('IR data'!$M$4:$M$61,MATCH(G346,'IR data'!$M$4:$M$61,1))))/((INDEX('IR data'!$M$4:$M$61,MATCH(G346,'IR data'!$M$4:$M$61,1)+1)-INDEX('IR data'!$M$4:$M$61,MATCH(G346,'IR data'!$M$4:$M$61,1))))) * (INDEX('IR data'!$N$4:$N$61,MATCH(G346,'IR data'!$M$4:$M$61,1))-(INDEX('IR data'!$N$4:$N$61,MATCH(G346,'IR data'!$M$4:$M$61,1)+1)))))</f>
        <v>0.95158390957142858</v>
      </c>
      <c r="I346" s="44">
        <f t="shared" si="35"/>
        <v>2.2935312499218638E-2</v>
      </c>
    </row>
    <row r="347" spans="1:9" x14ac:dyDescent="0.25">
      <c r="A347" s="45">
        <f t="shared" si="31"/>
        <v>45635</v>
      </c>
      <c r="B347" s="14" cm="1">
        <f t="array" ref="B347">_xlfn.IFNA(INDEX('IR data'!$D$4:$D$61,MATCH(A347,'IR data'!$C$4:$C$61,0)),((INDEX('IR data'!$D$4:$D$61,MATCH(A347,'IR data'!$C$4:$C$61,1)))-((A347-(INDEX('IR data'!$C$4:$C$61,MATCH(A347,'IR data'!$C$4:$C$61,1))))/((INDEX('IR data'!$C$4:$C$61,MATCH(A347,'IR data'!$C$4:$C$61,1)+1)-INDEX('IR data'!$C$4:$C$61,MATCH(A347,'IR data'!$C$4:$C$61,1))))) * (INDEX('IR data'!$D$4:$D$61,MATCH(A347,'IR data'!$C$4:$C$61,1))-(INDEX('IR data'!$D$4:$D$61,MATCH(A347,'IR data'!$C$4:$C$61,1)+1)))))</f>
        <v>0.95337135079347823</v>
      </c>
      <c r="C347" s="30">
        <f t="shared" si="32"/>
        <v>2.2003879576270972E-2</v>
      </c>
      <c r="D347" s="45">
        <f t="shared" si="33"/>
        <v>45695</v>
      </c>
      <c r="E347" s="14" cm="1">
        <f t="array" ref="E347">_xlfn.IFNA(INDEX('IR data'!$I$4:$I$61,MATCH(D347,'IR data'!$H$4:$H$61,0)),((INDEX('IR data'!$I$4:$I$61,MATCH(D347,'IR data'!$H$4:$H$61,1)))-((D347-(INDEX('IR data'!$H$4:$H$61,MATCH(D347,'IR data'!$H$4:$H$61,1))))/((INDEX('IR data'!$H$4:$H$61,MATCH(D347,'IR data'!$H$4:$H$61,1)+1)-INDEX('IR data'!$H$4:$H$61,MATCH(D347,'IR data'!$H$4:$H$61,1))))) * (INDEX('IR data'!$I$4:$I$61,MATCH(D347,'IR data'!$H$4:$H$61,1))-(INDEX('IR data'!$I$4:$I$61,MATCH(D347,'IR data'!$H$4:$H$61,1)+1)))))</f>
        <v>0.95140253061111113</v>
      </c>
      <c r="F347" s="30">
        <f t="shared" si="34"/>
        <v>2.2956481619883676E-2</v>
      </c>
      <c r="G347" s="45">
        <f t="shared" si="30"/>
        <v>45729</v>
      </c>
      <c r="H347" s="14" cm="1">
        <f t="array" ref="H347">_xlfn.IFNA(INDEX('IR data'!$N$4:$N$61,MATCH(G347,'IR data'!$M$4:$M$61,0)),((INDEX('IR data'!$N$4:$N$61,MATCH(G347,'IR data'!$M$4:$M$61,1)))-((G347-(INDEX('IR data'!$M$4:$M$61,MATCH(G347,'IR data'!$M$4:$M$61,1))))/((INDEX('IR data'!$M$4:$M$61,MATCH(G347,'IR data'!$M$4:$M$61,1)+1)-INDEX('IR data'!$M$4:$M$61,MATCH(G347,'IR data'!$M$4:$M$61,1))))) * (INDEX('IR data'!$N$4:$N$61,MATCH(G347,'IR data'!$M$4:$M$61,1))-(INDEX('IR data'!$N$4:$N$61,MATCH(G347,'IR data'!$M$4:$M$61,1)+1)))))</f>
        <v>0.95145705962637361</v>
      </c>
      <c r="I347" s="44">
        <f t="shared" si="35"/>
        <v>2.2930071544525116E-2</v>
      </c>
    </row>
    <row r="348" spans="1:9" x14ac:dyDescent="0.25">
      <c r="A348" s="45">
        <f t="shared" si="31"/>
        <v>45636</v>
      </c>
      <c r="B348" s="14" cm="1">
        <f t="array" ref="B348">_xlfn.IFNA(INDEX('IR data'!$D$4:$D$61,MATCH(A348,'IR data'!$C$4:$C$61,0)),((INDEX('IR data'!$D$4:$D$61,MATCH(A348,'IR data'!$C$4:$C$61,1)))-((A348-(INDEX('IR data'!$C$4:$C$61,MATCH(A348,'IR data'!$C$4:$C$61,1))))/((INDEX('IR data'!$C$4:$C$61,MATCH(A348,'IR data'!$C$4:$C$61,1)+1)-INDEX('IR data'!$C$4:$C$61,MATCH(A348,'IR data'!$C$4:$C$61,1))))) * (INDEX('IR data'!$D$4:$D$61,MATCH(A348,'IR data'!$C$4:$C$61,1))-(INDEX('IR data'!$D$4:$D$61,MATCH(A348,'IR data'!$C$4:$C$61,1)+1)))))</f>
        <v>0.9532580965217391</v>
      </c>
      <c r="C348" s="30">
        <f t="shared" si="32"/>
        <v>2.1994685599493684E-2</v>
      </c>
      <c r="D348" s="45">
        <f t="shared" si="33"/>
        <v>45696</v>
      </c>
      <c r="E348" s="14" cm="1">
        <f t="array" ref="E348">_xlfn.IFNA(INDEX('IR data'!$I$4:$I$61,MATCH(D348,'IR data'!$H$4:$H$61,0)),((INDEX('IR data'!$I$4:$I$61,MATCH(D348,'IR data'!$H$4:$H$61,1)))-((D348-(INDEX('IR data'!$H$4:$H$61,MATCH(D348,'IR data'!$H$4:$H$61,1))))/((INDEX('IR data'!$H$4:$H$61,MATCH(D348,'IR data'!$H$4:$H$61,1)+1)-INDEX('IR data'!$H$4:$H$61,MATCH(D348,'IR data'!$H$4:$H$61,1))))) * (INDEX('IR data'!$I$4:$I$61,MATCH(D348,'IR data'!$H$4:$H$61,1))-(INDEX('IR data'!$I$4:$I$61,MATCH(D348,'IR data'!$H$4:$H$61,1)+1)))))</f>
        <v>0.95127694946666674</v>
      </c>
      <c r="F348" s="30">
        <f t="shared" si="34"/>
        <v>2.2950593338236219E-2</v>
      </c>
      <c r="G348" s="45">
        <f t="shared" si="30"/>
        <v>45730</v>
      </c>
      <c r="H348" s="14" cm="1">
        <f t="array" ref="H348">_xlfn.IFNA(INDEX('IR data'!$N$4:$N$61,MATCH(G348,'IR data'!$M$4:$M$61,0)),((INDEX('IR data'!$N$4:$N$61,MATCH(G348,'IR data'!$M$4:$M$61,1)))-((G348-(INDEX('IR data'!$M$4:$M$61,MATCH(G348,'IR data'!$M$4:$M$61,1))))/((INDEX('IR data'!$M$4:$M$61,MATCH(G348,'IR data'!$M$4:$M$61,1)+1)-INDEX('IR data'!$M$4:$M$61,MATCH(G348,'IR data'!$M$4:$M$61,1))))) * (INDEX('IR data'!$N$4:$N$61,MATCH(G348,'IR data'!$M$4:$M$61,1))-(INDEX('IR data'!$N$4:$N$61,MATCH(G348,'IR data'!$M$4:$M$61,1)+1)))))</f>
        <v>0.95133020968131865</v>
      </c>
      <c r="I348" s="44">
        <f t="shared" si="35"/>
        <v>2.2924869139134579E-2</v>
      </c>
    </row>
    <row r="349" spans="1:9" x14ac:dyDescent="0.25">
      <c r="A349" s="45">
        <f t="shared" si="31"/>
        <v>45637</v>
      </c>
      <c r="B349" s="14" cm="1">
        <f t="array" ref="B349">_xlfn.IFNA(INDEX('IR data'!$D$4:$D$61,MATCH(A349,'IR data'!$C$4:$C$61,0)),((INDEX('IR data'!$D$4:$D$61,MATCH(A349,'IR data'!$C$4:$C$61,1)))-((A349-(INDEX('IR data'!$C$4:$C$61,MATCH(A349,'IR data'!$C$4:$C$61,1))))/((INDEX('IR data'!$C$4:$C$61,MATCH(A349,'IR data'!$C$4:$C$61,1)+1)-INDEX('IR data'!$C$4:$C$61,MATCH(A349,'IR data'!$C$4:$C$61,1))))) * (INDEX('IR data'!$D$4:$D$61,MATCH(A349,'IR data'!$C$4:$C$61,1))-(INDEX('IR data'!$D$4:$D$61,MATCH(A349,'IR data'!$C$4:$C$61,1)+1)))))</f>
        <v>0.95314484224999996</v>
      </c>
      <c r="C349" s="30">
        <f t="shared" si="32"/>
        <v>2.1985551233888272E-2</v>
      </c>
      <c r="D349" s="45">
        <f t="shared" si="33"/>
        <v>45697</v>
      </c>
      <c r="E349" s="14" cm="1">
        <f t="array" ref="E349">_xlfn.IFNA(INDEX('IR data'!$I$4:$I$61,MATCH(D349,'IR data'!$H$4:$H$61,0)),((INDEX('IR data'!$I$4:$I$61,MATCH(D349,'IR data'!$H$4:$H$61,1)))-((D349-(INDEX('IR data'!$H$4:$H$61,MATCH(D349,'IR data'!$H$4:$H$61,1))))/((INDEX('IR data'!$H$4:$H$61,MATCH(D349,'IR data'!$H$4:$H$61,1)+1)-INDEX('IR data'!$H$4:$H$61,MATCH(D349,'IR data'!$H$4:$H$61,1))))) * (INDEX('IR data'!$I$4:$I$61,MATCH(D349,'IR data'!$H$4:$H$61,1))-(INDEX('IR data'!$I$4:$I$61,MATCH(D349,'IR data'!$H$4:$H$61,1)+1)))))</f>
        <v>0.95115136832222225</v>
      </c>
      <c r="F349" s="30">
        <f t="shared" si="34"/>
        <v>2.294474707718348E-2</v>
      </c>
      <c r="G349" s="45">
        <f t="shared" si="30"/>
        <v>45731</v>
      </c>
      <c r="H349" s="14" cm="1">
        <f t="array" ref="H349">_xlfn.IFNA(INDEX('IR data'!$N$4:$N$61,MATCH(G349,'IR data'!$M$4:$M$61,0)),((INDEX('IR data'!$N$4:$N$61,MATCH(G349,'IR data'!$M$4:$M$61,1)))-((G349-(INDEX('IR data'!$M$4:$M$61,MATCH(G349,'IR data'!$M$4:$M$61,1))))/((INDEX('IR data'!$M$4:$M$61,MATCH(G349,'IR data'!$M$4:$M$61,1)+1)-INDEX('IR data'!$M$4:$M$61,MATCH(G349,'IR data'!$M$4:$M$61,1))))) * (INDEX('IR data'!$N$4:$N$61,MATCH(G349,'IR data'!$M$4:$M$61,1))-(INDEX('IR data'!$N$4:$N$61,MATCH(G349,'IR data'!$M$4:$M$61,1)+1)))))</f>
        <v>0.95120335973626369</v>
      </c>
      <c r="I349" s="44">
        <f t="shared" si="35"/>
        <v>2.2919704950976331E-2</v>
      </c>
    </row>
    <row r="350" spans="1:9" x14ac:dyDescent="0.25">
      <c r="A350" s="45">
        <f t="shared" si="31"/>
        <v>45638</v>
      </c>
      <c r="B350" s="14" cm="1">
        <f t="array" ref="B350">_xlfn.IFNA(INDEX('IR data'!$D$4:$D$61,MATCH(A350,'IR data'!$C$4:$C$61,0)),((INDEX('IR data'!$D$4:$D$61,MATCH(A350,'IR data'!$C$4:$C$61,1)))-((A350-(INDEX('IR data'!$C$4:$C$61,MATCH(A350,'IR data'!$C$4:$C$61,1))))/((INDEX('IR data'!$C$4:$C$61,MATCH(A350,'IR data'!$C$4:$C$61,1)+1)-INDEX('IR data'!$C$4:$C$61,MATCH(A350,'IR data'!$C$4:$C$61,1))))) * (INDEX('IR data'!$D$4:$D$61,MATCH(A350,'IR data'!$C$4:$C$61,1))-(INDEX('IR data'!$D$4:$D$61,MATCH(A350,'IR data'!$C$4:$C$61,1)+1)))))</f>
        <v>0.95303158797826093</v>
      </c>
      <c r="C350" s="30">
        <f t="shared" si="32"/>
        <v>2.197647596561679E-2</v>
      </c>
      <c r="D350" s="45">
        <f t="shared" si="33"/>
        <v>45698</v>
      </c>
      <c r="E350" s="14" cm="1">
        <f t="array" ref="E350">_xlfn.IFNA(INDEX('IR data'!$I$4:$I$61,MATCH(D350,'IR data'!$H$4:$H$61,0)),((INDEX('IR data'!$I$4:$I$61,MATCH(D350,'IR data'!$H$4:$H$61,1)))-((D350-(INDEX('IR data'!$H$4:$H$61,MATCH(D350,'IR data'!$H$4:$H$61,1))))/((INDEX('IR data'!$H$4:$H$61,MATCH(D350,'IR data'!$H$4:$H$61,1)+1)-INDEX('IR data'!$H$4:$H$61,MATCH(D350,'IR data'!$H$4:$H$61,1))))) * (INDEX('IR data'!$I$4:$I$61,MATCH(D350,'IR data'!$H$4:$H$61,1))-(INDEX('IR data'!$I$4:$I$61,MATCH(D350,'IR data'!$H$4:$H$61,1)+1)))))</f>
        <v>0.95102578717777775</v>
      </c>
      <c r="F350" s="30">
        <f t="shared" si="34"/>
        <v>2.293894247553737E-2</v>
      </c>
      <c r="G350" s="45">
        <f t="shared" si="30"/>
        <v>45732</v>
      </c>
      <c r="H350" s="14" cm="1">
        <f t="array" ref="H350">_xlfn.IFNA(INDEX('IR data'!$N$4:$N$61,MATCH(G350,'IR data'!$M$4:$M$61,0)),((INDEX('IR data'!$N$4:$N$61,MATCH(G350,'IR data'!$M$4:$M$61,1)))-((G350-(INDEX('IR data'!$M$4:$M$61,MATCH(G350,'IR data'!$M$4:$M$61,1))))/((INDEX('IR data'!$M$4:$M$61,MATCH(G350,'IR data'!$M$4:$M$61,1)+1)-INDEX('IR data'!$M$4:$M$61,MATCH(G350,'IR data'!$M$4:$M$61,1))))) * (INDEX('IR data'!$N$4:$N$61,MATCH(G350,'IR data'!$M$4:$M$61,1))-(INDEX('IR data'!$N$4:$N$61,MATCH(G350,'IR data'!$M$4:$M$61,1)+1)))))</f>
        <v>0.95107650979120872</v>
      </c>
      <c r="I350" s="44">
        <f t="shared" si="35"/>
        <v>2.2914578651808428E-2</v>
      </c>
    </row>
    <row r="351" spans="1:9" x14ac:dyDescent="0.25">
      <c r="A351" s="45">
        <f t="shared" si="31"/>
        <v>45639</v>
      </c>
      <c r="B351" s="14" cm="1">
        <f t="array" ref="B351">_xlfn.IFNA(INDEX('IR data'!$D$4:$D$61,MATCH(A351,'IR data'!$C$4:$C$61,0)),((INDEX('IR data'!$D$4:$D$61,MATCH(A351,'IR data'!$C$4:$C$61,1)))-((A351-(INDEX('IR data'!$C$4:$C$61,MATCH(A351,'IR data'!$C$4:$C$61,1))))/((INDEX('IR data'!$C$4:$C$61,MATCH(A351,'IR data'!$C$4:$C$61,1)+1)-INDEX('IR data'!$C$4:$C$61,MATCH(A351,'IR data'!$C$4:$C$61,1))))) * (INDEX('IR data'!$D$4:$D$61,MATCH(A351,'IR data'!$C$4:$C$61,1))-(INDEX('IR data'!$D$4:$D$61,MATCH(A351,'IR data'!$C$4:$C$61,1)+1)))))</f>
        <v>0.95291833370652179</v>
      </c>
      <c r="C351" s="30">
        <f t="shared" si="32"/>
        <v>2.1967459286748151E-2</v>
      </c>
      <c r="D351" s="45">
        <f t="shared" si="33"/>
        <v>45699</v>
      </c>
      <c r="E351" s="14" cm="1">
        <f t="array" ref="E351">_xlfn.IFNA(INDEX('IR data'!$I$4:$I$61,MATCH(D351,'IR data'!$H$4:$H$61,0)),((INDEX('IR data'!$I$4:$I$61,MATCH(D351,'IR data'!$H$4:$H$61,1)))-((D351-(INDEX('IR data'!$H$4:$H$61,MATCH(D351,'IR data'!$H$4:$H$61,1))))/((INDEX('IR data'!$H$4:$H$61,MATCH(D351,'IR data'!$H$4:$H$61,1)+1)-INDEX('IR data'!$H$4:$H$61,MATCH(D351,'IR data'!$H$4:$H$61,1))))) * (INDEX('IR data'!$I$4:$I$61,MATCH(D351,'IR data'!$H$4:$H$61,1))-(INDEX('IR data'!$I$4:$I$61,MATCH(D351,'IR data'!$H$4:$H$61,1)+1)))))</f>
        <v>0.95090020603333336</v>
      </c>
      <c r="F351" s="30">
        <f t="shared" si="34"/>
        <v>2.2933179176262204E-2</v>
      </c>
      <c r="G351" s="45">
        <f t="shared" si="30"/>
        <v>45733</v>
      </c>
      <c r="H351" s="14" cm="1">
        <f t="array" ref="H351">_xlfn.IFNA(INDEX('IR data'!$N$4:$N$61,MATCH(G351,'IR data'!$M$4:$M$61,0)),((INDEX('IR data'!$N$4:$N$61,MATCH(G351,'IR data'!$M$4:$M$61,1)))-((G351-(INDEX('IR data'!$M$4:$M$61,MATCH(G351,'IR data'!$M$4:$M$61,1))))/((INDEX('IR data'!$M$4:$M$61,MATCH(G351,'IR data'!$M$4:$M$61,1)+1)-INDEX('IR data'!$M$4:$M$61,MATCH(G351,'IR data'!$M$4:$M$61,1))))) * (INDEX('IR data'!$N$4:$N$61,MATCH(G351,'IR data'!$M$4:$M$61,1))-(INDEX('IR data'!$N$4:$N$61,MATCH(G351,'IR data'!$M$4:$M$61,1)+1)))))</f>
        <v>0.95094965984615387</v>
      </c>
      <c r="I351" s="44">
        <f t="shared" si="35"/>
        <v>2.290948991716265E-2</v>
      </c>
    </row>
    <row r="352" spans="1:9" x14ac:dyDescent="0.25">
      <c r="A352" s="45">
        <f t="shared" si="31"/>
        <v>45640</v>
      </c>
      <c r="B352" s="14" cm="1">
        <f t="array" ref="B352">_xlfn.IFNA(INDEX('IR data'!$D$4:$D$61,MATCH(A352,'IR data'!$C$4:$C$61,0)),((INDEX('IR data'!$D$4:$D$61,MATCH(A352,'IR data'!$C$4:$C$61,1)))-((A352-(INDEX('IR data'!$C$4:$C$61,MATCH(A352,'IR data'!$C$4:$C$61,1))))/((INDEX('IR data'!$C$4:$C$61,MATCH(A352,'IR data'!$C$4:$C$61,1)+1)-INDEX('IR data'!$C$4:$C$61,MATCH(A352,'IR data'!$C$4:$C$61,1))))) * (INDEX('IR data'!$D$4:$D$61,MATCH(A352,'IR data'!$C$4:$C$61,1))-(INDEX('IR data'!$D$4:$D$61,MATCH(A352,'IR data'!$C$4:$C$61,1)+1)))))</f>
        <v>0.95280507943478265</v>
      </c>
      <c r="C352" s="30">
        <f t="shared" si="32"/>
        <v>2.195850069517323E-2</v>
      </c>
      <c r="D352" s="45">
        <f t="shared" si="33"/>
        <v>45700</v>
      </c>
      <c r="E352" s="14" cm="1">
        <f t="array" ref="E352">_xlfn.IFNA(INDEX('IR data'!$I$4:$I$61,MATCH(D352,'IR data'!$H$4:$H$61,0)),((INDEX('IR data'!$I$4:$I$61,MATCH(D352,'IR data'!$H$4:$H$61,1)))-((D352-(INDEX('IR data'!$H$4:$H$61,MATCH(D352,'IR data'!$H$4:$H$61,1))))/((INDEX('IR data'!$H$4:$H$61,MATCH(D352,'IR data'!$H$4:$H$61,1)+1)-INDEX('IR data'!$H$4:$H$61,MATCH(D352,'IR data'!$H$4:$H$61,1))))) * (INDEX('IR data'!$I$4:$I$61,MATCH(D352,'IR data'!$H$4:$H$61,1))-(INDEX('IR data'!$I$4:$I$61,MATCH(D352,'IR data'!$H$4:$H$61,1)+1)))))</f>
        <v>0.95077462488888886</v>
      </c>
      <c r="F352" s="30">
        <f t="shared" si="34"/>
        <v>2.2927456826415397E-2</v>
      </c>
      <c r="G352" s="45">
        <f t="shared" si="30"/>
        <v>45734</v>
      </c>
      <c r="H352" s="14" cm="1">
        <f t="array" ref="H352">_xlfn.IFNA(INDEX('IR data'!$N$4:$N$61,MATCH(G352,'IR data'!$M$4:$M$61,0)),((INDEX('IR data'!$N$4:$N$61,MATCH(G352,'IR data'!$M$4:$M$61,1)))-((G352-(INDEX('IR data'!$M$4:$M$61,MATCH(G352,'IR data'!$M$4:$M$61,1))))/((INDEX('IR data'!$M$4:$M$61,MATCH(G352,'IR data'!$M$4:$M$61,1)+1)-INDEX('IR data'!$M$4:$M$61,MATCH(G352,'IR data'!$M$4:$M$61,1))))) * (INDEX('IR data'!$N$4:$N$61,MATCH(G352,'IR data'!$M$4:$M$61,1))-(INDEX('IR data'!$N$4:$N$61,MATCH(G352,'IR data'!$M$4:$M$61,1)+1)))))</f>
        <v>0.95082280990109891</v>
      </c>
      <c r="I352" s="44">
        <f t="shared" si="35"/>
        <v>2.2904438426290624E-2</v>
      </c>
    </row>
    <row r="353" spans="1:9" x14ac:dyDescent="0.25">
      <c r="A353" s="45">
        <f t="shared" si="31"/>
        <v>45641</v>
      </c>
      <c r="B353" s="14" cm="1">
        <f t="array" ref="B353">_xlfn.IFNA(INDEX('IR data'!$D$4:$D$61,MATCH(A353,'IR data'!$C$4:$C$61,0)),((INDEX('IR data'!$D$4:$D$61,MATCH(A353,'IR data'!$C$4:$C$61,1)))-((A353-(INDEX('IR data'!$C$4:$C$61,MATCH(A353,'IR data'!$C$4:$C$61,1))))/((INDEX('IR data'!$C$4:$C$61,MATCH(A353,'IR data'!$C$4:$C$61,1)+1)-INDEX('IR data'!$C$4:$C$61,MATCH(A353,'IR data'!$C$4:$C$61,1))))) * (INDEX('IR data'!$D$4:$D$61,MATCH(A353,'IR data'!$C$4:$C$61,1))-(INDEX('IR data'!$D$4:$D$61,MATCH(A353,'IR data'!$C$4:$C$61,1)+1)))))</f>
        <v>0.95269182516304352</v>
      </c>
      <c r="C353" s="30">
        <f t="shared" si="32"/>
        <v>2.1949599694521881E-2</v>
      </c>
      <c r="D353" s="45">
        <f t="shared" si="33"/>
        <v>45701</v>
      </c>
      <c r="E353" s="14" cm="1">
        <f t="array" ref="E353">_xlfn.IFNA(INDEX('IR data'!$I$4:$I$61,MATCH(D353,'IR data'!$H$4:$H$61,0)),((INDEX('IR data'!$I$4:$I$61,MATCH(D353,'IR data'!$H$4:$H$61,1)))-((D353-(INDEX('IR data'!$H$4:$H$61,MATCH(D353,'IR data'!$H$4:$H$61,1))))/((INDEX('IR data'!$H$4:$H$61,MATCH(D353,'IR data'!$H$4:$H$61,1)+1)-INDEX('IR data'!$H$4:$H$61,MATCH(D353,'IR data'!$H$4:$H$61,1))))) * (INDEX('IR data'!$I$4:$I$61,MATCH(D353,'IR data'!$H$4:$H$61,1))-(INDEX('IR data'!$I$4:$I$61,MATCH(D353,'IR data'!$H$4:$H$61,1)+1)))))</f>
        <v>0.95064904374444448</v>
      </c>
      <c r="F353" s="30">
        <f t="shared" si="34"/>
        <v>2.2921775077088605E-2</v>
      </c>
      <c r="G353" s="45">
        <f t="shared" si="30"/>
        <v>45735</v>
      </c>
      <c r="H353" s="14" cm="1">
        <f t="array" ref="H353">_xlfn.IFNA(INDEX('IR data'!$N$4:$N$61,MATCH(G353,'IR data'!$M$4:$M$61,0)),((INDEX('IR data'!$N$4:$N$61,MATCH(G353,'IR data'!$M$4:$M$61,1)))-((G353-(INDEX('IR data'!$M$4:$M$61,MATCH(G353,'IR data'!$M$4:$M$61,1))))/((INDEX('IR data'!$M$4:$M$61,MATCH(G353,'IR data'!$M$4:$M$61,1)+1)-INDEX('IR data'!$M$4:$M$61,MATCH(G353,'IR data'!$M$4:$M$61,1))))) * (INDEX('IR data'!$N$4:$N$61,MATCH(G353,'IR data'!$M$4:$M$61,1))-(INDEX('IR data'!$N$4:$N$61,MATCH(G353,'IR data'!$M$4:$M$61,1)+1)))))</f>
        <v>0.95069595995604395</v>
      </c>
      <c r="I353" s="44">
        <f t="shared" si="35"/>
        <v>2.2899423862110375E-2</v>
      </c>
    </row>
    <row r="354" spans="1:9" x14ac:dyDescent="0.25">
      <c r="A354" s="45">
        <f t="shared" si="31"/>
        <v>45642</v>
      </c>
      <c r="B354" s="14" cm="1">
        <f t="array" ref="B354">_xlfn.IFNA(INDEX('IR data'!$D$4:$D$61,MATCH(A354,'IR data'!$C$4:$C$61,0)),((INDEX('IR data'!$D$4:$D$61,MATCH(A354,'IR data'!$C$4:$C$61,1)))-((A354-(INDEX('IR data'!$C$4:$C$61,MATCH(A354,'IR data'!$C$4:$C$61,1))))/((INDEX('IR data'!$C$4:$C$61,MATCH(A354,'IR data'!$C$4:$C$61,1)+1)-INDEX('IR data'!$C$4:$C$61,MATCH(A354,'IR data'!$C$4:$C$61,1))))) * (INDEX('IR data'!$D$4:$D$61,MATCH(A354,'IR data'!$C$4:$C$61,1))-(INDEX('IR data'!$D$4:$D$61,MATCH(A354,'IR data'!$C$4:$C$61,1)+1)))))</f>
        <v>0.95257857089130438</v>
      </c>
      <c r="C354" s="30">
        <f t="shared" si="32"/>
        <v>2.194075579408114E-2</v>
      </c>
      <c r="D354" s="45">
        <f t="shared" si="33"/>
        <v>45702</v>
      </c>
      <c r="E354" s="14" cm="1">
        <f t="array" ref="E354">_xlfn.IFNA(INDEX('IR data'!$I$4:$I$61,MATCH(D354,'IR data'!$H$4:$H$61,0)),((INDEX('IR data'!$I$4:$I$61,MATCH(D354,'IR data'!$H$4:$H$61,1)))-((D354-(INDEX('IR data'!$H$4:$H$61,MATCH(D354,'IR data'!$H$4:$H$61,1))))/((INDEX('IR data'!$H$4:$H$61,MATCH(D354,'IR data'!$H$4:$H$61,1)+1)-INDEX('IR data'!$H$4:$H$61,MATCH(D354,'IR data'!$H$4:$H$61,1))))) * (INDEX('IR data'!$I$4:$I$61,MATCH(D354,'IR data'!$H$4:$H$61,1))-(INDEX('IR data'!$I$4:$I$61,MATCH(D354,'IR data'!$H$4:$H$61,1)+1)))))</f>
        <v>0.95052346259999998</v>
      </c>
      <c r="F354" s="30">
        <f t="shared" si="34"/>
        <v>2.2916133583350675E-2</v>
      </c>
      <c r="G354" s="45">
        <f t="shared" si="30"/>
        <v>45736</v>
      </c>
      <c r="H354" s="14" cm="1">
        <f t="array" ref="H354">_xlfn.IFNA(INDEX('IR data'!$N$4:$N$61,MATCH(G354,'IR data'!$M$4:$M$61,0)),((INDEX('IR data'!$N$4:$N$61,MATCH(G354,'IR data'!$M$4:$M$61,1)))-((G354-(INDEX('IR data'!$M$4:$M$61,MATCH(G354,'IR data'!$M$4:$M$61,1))))/((INDEX('IR data'!$M$4:$M$61,MATCH(G354,'IR data'!$M$4:$M$61,1)+1)-INDEX('IR data'!$M$4:$M$61,MATCH(G354,'IR data'!$M$4:$M$61,1))))) * (INDEX('IR data'!$N$4:$N$61,MATCH(G354,'IR data'!$M$4:$M$61,1))-(INDEX('IR data'!$N$4:$N$61,MATCH(G354,'IR data'!$M$4:$M$61,1)+1)))))</f>
        <v>0.95056911001098898</v>
      </c>
      <c r="I354" s="44">
        <f t="shared" si="35"/>
        <v>2.2894445911154311E-2</v>
      </c>
    </row>
    <row r="355" spans="1:9" x14ac:dyDescent="0.25">
      <c r="A355" s="45">
        <f t="shared" si="31"/>
        <v>45643</v>
      </c>
      <c r="B355" s="14" cm="1">
        <f t="array" ref="B355">_xlfn.IFNA(INDEX('IR data'!$D$4:$D$61,MATCH(A355,'IR data'!$C$4:$C$61,0)),((INDEX('IR data'!$D$4:$D$61,MATCH(A355,'IR data'!$C$4:$C$61,1)))-((A355-(INDEX('IR data'!$C$4:$C$61,MATCH(A355,'IR data'!$C$4:$C$61,1))))/((INDEX('IR data'!$C$4:$C$61,MATCH(A355,'IR data'!$C$4:$C$61,1)+1)-INDEX('IR data'!$C$4:$C$61,MATCH(A355,'IR data'!$C$4:$C$61,1))))) * (INDEX('IR data'!$D$4:$D$61,MATCH(A355,'IR data'!$C$4:$C$61,1))-(INDEX('IR data'!$D$4:$D$61,MATCH(A355,'IR data'!$C$4:$C$61,1)+1)))))</f>
        <v>0.95246531661956524</v>
      </c>
      <c r="C355" s="30">
        <f t="shared" si="32"/>
        <v>2.1931968508714872E-2</v>
      </c>
      <c r="D355" s="45">
        <f t="shared" si="33"/>
        <v>45703</v>
      </c>
      <c r="E355" s="14" cm="1">
        <f t="array" ref="E355">_xlfn.IFNA(INDEX('IR data'!$I$4:$I$61,MATCH(D355,'IR data'!$H$4:$H$61,0)),((INDEX('IR data'!$I$4:$I$61,MATCH(D355,'IR data'!$H$4:$H$61,1)))-((D355-(INDEX('IR data'!$H$4:$H$61,MATCH(D355,'IR data'!$H$4:$H$61,1))))/((INDEX('IR data'!$H$4:$H$61,MATCH(D355,'IR data'!$H$4:$H$61,1)+1)-INDEX('IR data'!$H$4:$H$61,MATCH(D355,'IR data'!$H$4:$H$61,1))))) * (INDEX('IR data'!$I$4:$I$61,MATCH(D355,'IR data'!$H$4:$H$61,1))-(INDEX('IR data'!$I$4:$I$61,MATCH(D355,'IR data'!$H$4:$H$61,1)+1)))))</f>
        <v>0.95039788145555559</v>
      </c>
      <c r="F355" s="30">
        <f t="shared" si="34"/>
        <v>2.291053200419076E-2</v>
      </c>
      <c r="G355" s="45">
        <f t="shared" si="30"/>
        <v>45737</v>
      </c>
      <c r="H355" s="14" cm="1">
        <f t="array" ref="H355">_xlfn.IFNA(INDEX('IR data'!$N$4:$N$61,MATCH(G355,'IR data'!$M$4:$M$61,0)),((INDEX('IR data'!$N$4:$N$61,MATCH(G355,'IR data'!$M$4:$M$61,1)))-((G355-(INDEX('IR data'!$M$4:$M$61,MATCH(G355,'IR data'!$M$4:$M$61,1))))/((INDEX('IR data'!$M$4:$M$61,MATCH(G355,'IR data'!$M$4:$M$61,1)+1)-INDEX('IR data'!$M$4:$M$61,MATCH(G355,'IR data'!$M$4:$M$61,1))))) * (INDEX('IR data'!$N$4:$N$61,MATCH(G355,'IR data'!$M$4:$M$61,1))-(INDEX('IR data'!$N$4:$N$61,MATCH(G355,'IR data'!$M$4:$M$61,1)+1)))))</f>
        <v>0.95044226006593402</v>
      </c>
      <c r="I355" s="44">
        <f t="shared" si="35"/>
        <v>2.288950426351782E-2</v>
      </c>
    </row>
    <row r="356" spans="1:9" x14ac:dyDescent="0.25">
      <c r="A356" s="45">
        <f t="shared" si="31"/>
        <v>45644</v>
      </c>
      <c r="B356" s="14" cm="1">
        <f t="array" ref="B356">_xlfn.IFNA(INDEX('IR data'!$D$4:$D$61,MATCH(A356,'IR data'!$C$4:$C$61,0)),((INDEX('IR data'!$D$4:$D$61,MATCH(A356,'IR data'!$C$4:$C$61,1)))-((A356-(INDEX('IR data'!$C$4:$C$61,MATCH(A356,'IR data'!$C$4:$C$61,1))))/((INDEX('IR data'!$C$4:$C$61,MATCH(A356,'IR data'!$C$4:$C$61,1)+1)-INDEX('IR data'!$C$4:$C$61,MATCH(A356,'IR data'!$C$4:$C$61,1))))) * (INDEX('IR data'!$D$4:$D$61,MATCH(A356,'IR data'!$C$4:$C$61,1))-(INDEX('IR data'!$D$4:$D$61,MATCH(A356,'IR data'!$C$4:$C$61,1)+1)))))</f>
        <v>0.9523520623478261</v>
      </c>
      <c r="C356" s="30">
        <f t="shared" si="32"/>
        <v>2.1923237358784757E-2</v>
      </c>
      <c r="D356" s="45">
        <f t="shared" si="33"/>
        <v>45704</v>
      </c>
      <c r="E356" s="14" cm="1">
        <f t="array" ref="E356">_xlfn.IFNA(INDEX('IR data'!$I$4:$I$61,MATCH(D356,'IR data'!$H$4:$H$61,0)),((INDEX('IR data'!$I$4:$I$61,MATCH(D356,'IR data'!$H$4:$H$61,1)))-((D356-(INDEX('IR data'!$H$4:$H$61,MATCH(D356,'IR data'!$H$4:$H$61,1))))/((INDEX('IR data'!$H$4:$H$61,MATCH(D356,'IR data'!$H$4:$H$61,1)+1)-INDEX('IR data'!$H$4:$H$61,MATCH(D356,'IR data'!$H$4:$H$61,1))))) * (INDEX('IR data'!$I$4:$I$61,MATCH(D356,'IR data'!$H$4:$H$61,1))-(INDEX('IR data'!$I$4:$I$61,MATCH(D356,'IR data'!$H$4:$H$61,1)+1)))))</f>
        <v>0.9502723003111111</v>
      </c>
      <c r="F356" s="30">
        <f t="shared" si="34"/>
        <v>2.2904970002463172E-2</v>
      </c>
      <c r="G356" s="45">
        <f t="shared" si="30"/>
        <v>45738</v>
      </c>
      <c r="H356" s="14" cm="1">
        <f t="array" ref="H356">_xlfn.IFNA(INDEX('IR data'!$N$4:$N$61,MATCH(G356,'IR data'!$M$4:$M$61,0)),((INDEX('IR data'!$N$4:$N$61,MATCH(G356,'IR data'!$M$4:$M$61,1)))-((G356-(INDEX('IR data'!$M$4:$M$61,MATCH(G356,'IR data'!$M$4:$M$61,1))))/((INDEX('IR data'!$M$4:$M$61,MATCH(G356,'IR data'!$M$4:$M$61,1)+1)-INDEX('IR data'!$M$4:$M$61,MATCH(G356,'IR data'!$M$4:$M$61,1))))) * (INDEX('IR data'!$N$4:$N$61,MATCH(G356,'IR data'!$M$4:$M$61,1))-(INDEX('IR data'!$N$4:$N$61,MATCH(G356,'IR data'!$M$4:$M$61,1)+1)))))</f>
        <v>0.95031541012087906</v>
      </c>
      <c r="I356" s="44">
        <f t="shared" si="35"/>
        <v>2.2884598612808831E-2</v>
      </c>
    </row>
    <row r="357" spans="1:9" x14ac:dyDescent="0.25">
      <c r="A357" s="45">
        <f t="shared" si="31"/>
        <v>45645</v>
      </c>
      <c r="B357" s="14" cm="1">
        <f t="array" ref="B357">_xlfn.IFNA(INDEX('IR data'!$D$4:$D$61,MATCH(A357,'IR data'!$C$4:$C$61,0)),((INDEX('IR data'!$D$4:$D$61,MATCH(A357,'IR data'!$C$4:$C$61,1)))-((A357-(INDEX('IR data'!$C$4:$C$61,MATCH(A357,'IR data'!$C$4:$C$61,1))))/((INDEX('IR data'!$C$4:$C$61,MATCH(A357,'IR data'!$C$4:$C$61,1)+1)-INDEX('IR data'!$C$4:$C$61,MATCH(A357,'IR data'!$C$4:$C$61,1))))) * (INDEX('IR data'!$D$4:$D$61,MATCH(A357,'IR data'!$C$4:$C$61,1))-(INDEX('IR data'!$D$4:$D$61,MATCH(A357,'IR data'!$C$4:$C$61,1)+1)))))</f>
        <v>0.95223880807608696</v>
      </c>
      <c r="C357" s="30">
        <f t="shared" si="32"/>
        <v>2.1914561870072676E-2</v>
      </c>
      <c r="D357" s="45">
        <f t="shared" si="33"/>
        <v>45705</v>
      </c>
      <c r="E357" s="14" cm="1">
        <f t="array" ref="E357">_xlfn.IFNA(INDEX('IR data'!$I$4:$I$61,MATCH(D357,'IR data'!$H$4:$H$61,0)),((INDEX('IR data'!$I$4:$I$61,MATCH(D357,'IR data'!$H$4:$H$61,1)))-((D357-(INDEX('IR data'!$H$4:$H$61,MATCH(D357,'IR data'!$H$4:$H$61,1))))/((INDEX('IR data'!$H$4:$H$61,MATCH(D357,'IR data'!$H$4:$H$61,1)+1)-INDEX('IR data'!$H$4:$H$61,MATCH(D357,'IR data'!$H$4:$H$61,1))))) * (INDEX('IR data'!$I$4:$I$61,MATCH(D357,'IR data'!$H$4:$H$61,1))-(INDEX('IR data'!$I$4:$I$61,MATCH(D357,'IR data'!$H$4:$H$61,1)+1)))))</f>
        <v>0.95014671916666671</v>
      </c>
      <c r="F357" s="30">
        <f t="shared" si="34"/>
        <v>2.2899447244832387E-2</v>
      </c>
      <c r="G357" s="45">
        <f t="shared" si="30"/>
        <v>45739</v>
      </c>
      <c r="H357" s="14" cm="1">
        <f t="array" ref="H357">_xlfn.IFNA(INDEX('IR data'!$N$4:$N$61,MATCH(G357,'IR data'!$M$4:$M$61,0)),((INDEX('IR data'!$N$4:$N$61,MATCH(G357,'IR data'!$M$4:$M$61,1)))-((G357-(INDEX('IR data'!$M$4:$M$61,MATCH(G357,'IR data'!$M$4:$M$61,1))))/((INDEX('IR data'!$M$4:$M$61,MATCH(G357,'IR data'!$M$4:$M$61,1)+1)-INDEX('IR data'!$M$4:$M$61,MATCH(G357,'IR data'!$M$4:$M$61,1))))) * (INDEX('IR data'!$N$4:$N$61,MATCH(G357,'IR data'!$M$4:$M$61,1))-(INDEX('IR data'!$N$4:$N$61,MATCH(G357,'IR data'!$M$4:$M$61,1)+1)))))</f>
        <v>0.9501885601758242</v>
      </c>
      <c r="I357" s="44">
        <f t="shared" si="35"/>
        <v>2.2879728656098108E-2</v>
      </c>
    </row>
    <row r="358" spans="1:9" x14ac:dyDescent="0.25">
      <c r="A358" s="45">
        <f t="shared" si="31"/>
        <v>45646</v>
      </c>
      <c r="B358" s="14" cm="1">
        <f t="array" ref="B358">_xlfn.IFNA(INDEX('IR data'!$D$4:$D$61,MATCH(A358,'IR data'!$C$4:$C$61,0)),((INDEX('IR data'!$D$4:$D$61,MATCH(A358,'IR data'!$C$4:$C$61,1)))-((A358-(INDEX('IR data'!$C$4:$C$61,MATCH(A358,'IR data'!$C$4:$C$61,1))))/((INDEX('IR data'!$C$4:$C$61,MATCH(A358,'IR data'!$C$4:$C$61,1)+1)-INDEX('IR data'!$C$4:$C$61,MATCH(A358,'IR data'!$C$4:$C$61,1))))) * (INDEX('IR data'!$D$4:$D$61,MATCH(A358,'IR data'!$C$4:$C$61,1))-(INDEX('IR data'!$D$4:$D$61,MATCH(A358,'IR data'!$C$4:$C$61,1)+1)))))</f>
        <v>0.95212555380434782</v>
      </c>
      <c r="C358" s="30">
        <f t="shared" si="32"/>
        <v>2.1905941573704332E-2</v>
      </c>
      <c r="D358" s="45">
        <f t="shared" si="33"/>
        <v>45706</v>
      </c>
      <c r="E358" s="14" cm="1">
        <f t="array" ref="E358">_xlfn.IFNA(INDEX('IR data'!$I$4:$I$61,MATCH(D358,'IR data'!$H$4:$H$61,0)),((INDEX('IR data'!$I$4:$I$61,MATCH(D358,'IR data'!$H$4:$H$61,1)))-((D358-(INDEX('IR data'!$H$4:$H$61,MATCH(D358,'IR data'!$H$4:$H$61,1))))/((INDEX('IR data'!$H$4:$H$61,MATCH(D358,'IR data'!$H$4:$H$61,1)+1)-INDEX('IR data'!$H$4:$H$61,MATCH(D358,'IR data'!$H$4:$H$61,1))))) * (INDEX('IR data'!$I$4:$I$61,MATCH(D358,'IR data'!$H$4:$H$61,1))-(INDEX('IR data'!$I$4:$I$61,MATCH(D358,'IR data'!$H$4:$H$61,1)+1)))))</f>
        <v>0.95002113802222221</v>
      </c>
      <c r="F358" s="30">
        <f t="shared" si="34"/>
        <v>2.2893963401719807E-2</v>
      </c>
      <c r="G358" s="45">
        <f t="shared" si="30"/>
        <v>45740</v>
      </c>
      <c r="H358" s="14" cm="1">
        <f t="array" ref="H358">_xlfn.IFNA(INDEX('IR data'!$N$4:$N$61,MATCH(G358,'IR data'!$M$4:$M$61,0)),((INDEX('IR data'!$N$4:$N$61,MATCH(G358,'IR data'!$M$4:$M$61,1)))-((G358-(INDEX('IR data'!$M$4:$M$61,MATCH(G358,'IR data'!$M$4:$M$61,1))))/((INDEX('IR data'!$M$4:$M$61,MATCH(G358,'IR data'!$M$4:$M$61,1)+1)-INDEX('IR data'!$M$4:$M$61,MATCH(G358,'IR data'!$M$4:$M$61,1))))) * (INDEX('IR data'!$N$4:$N$61,MATCH(G358,'IR data'!$M$4:$M$61,1))-(INDEX('IR data'!$N$4:$N$61,MATCH(G358,'IR data'!$M$4:$M$61,1)+1)))))</f>
        <v>0.95006171023076924</v>
      </c>
      <c r="I358" s="44">
        <f t="shared" si="35"/>
        <v>2.2874894093870723E-2</v>
      </c>
    </row>
    <row r="359" spans="1:9" x14ac:dyDescent="0.25">
      <c r="A359" s="45">
        <f t="shared" si="31"/>
        <v>45647</v>
      </c>
      <c r="B359" s="14" cm="1">
        <f t="array" ref="B359">_xlfn.IFNA(INDEX('IR data'!$D$4:$D$61,MATCH(A359,'IR data'!$C$4:$C$61,0)),((INDEX('IR data'!$D$4:$D$61,MATCH(A359,'IR data'!$C$4:$C$61,1)))-((A359-(INDEX('IR data'!$C$4:$C$61,MATCH(A359,'IR data'!$C$4:$C$61,1))))/((INDEX('IR data'!$C$4:$C$61,MATCH(A359,'IR data'!$C$4:$C$61,1)+1)-INDEX('IR data'!$C$4:$C$61,MATCH(A359,'IR data'!$C$4:$C$61,1))))) * (INDEX('IR data'!$D$4:$D$61,MATCH(A359,'IR data'!$C$4:$C$61,1))-(INDEX('IR data'!$D$4:$D$61,MATCH(A359,'IR data'!$C$4:$C$61,1)+1)))))</f>
        <v>0.95201229953260869</v>
      </c>
      <c r="C359" s="30">
        <f t="shared" si="32"/>
        <v>2.1897376006074221E-2</v>
      </c>
      <c r="D359" s="45">
        <f t="shared" si="33"/>
        <v>45707</v>
      </c>
      <c r="E359" s="14" cm="1">
        <f t="array" ref="E359">_xlfn.IFNA(INDEX('IR data'!$I$4:$I$61,MATCH(D359,'IR data'!$H$4:$H$61,0)),((INDEX('IR data'!$I$4:$I$61,MATCH(D359,'IR data'!$H$4:$H$61,1)))-((D359-(INDEX('IR data'!$H$4:$H$61,MATCH(D359,'IR data'!$H$4:$H$61,1))))/((INDEX('IR data'!$H$4:$H$61,MATCH(D359,'IR data'!$H$4:$H$61,1)+1)-INDEX('IR data'!$H$4:$H$61,MATCH(D359,'IR data'!$H$4:$H$61,1))))) * (INDEX('IR data'!$I$4:$I$61,MATCH(D359,'IR data'!$H$4:$H$61,1))-(INDEX('IR data'!$I$4:$I$61,MATCH(D359,'IR data'!$H$4:$H$61,1)+1)))))</f>
        <v>0.94989555687777782</v>
      </c>
      <c r="F359" s="30">
        <f t="shared" si="34"/>
        <v>2.2888518147250569E-2</v>
      </c>
      <c r="G359" s="45">
        <f t="shared" si="30"/>
        <v>45741</v>
      </c>
      <c r="H359" s="14" cm="1">
        <f t="array" ref="H359">_xlfn.IFNA(INDEX('IR data'!$N$4:$N$61,MATCH(G359,'IR data'!$M$4:$M$61,0)),((INDEX('IR data'!$N$4:$N$61,MATCH(G359,'IR data'!$M$4:$M$61,1)))-((G359-(INDEX('IR data'!$M$4:$M$61,MATCH(G359,'IR data'!$M$4:$M$61,1))))/((INDEX('IR data'!$M$4:$M$61,MATCH(G359,'IR data'!$M$4:$M$61,1)+1)-INDEX('IR data'!$M$4:$M$61,MATCH(G359,'IR data'!$M$4:$M$61,1))))) * (INDEX('IR data'!$N$4:$N$61,MATCH(G359,'IR data'!$M$4:$M$61,1))-(INDEX('IR data'!$N$4:$N$61,MATCH(G359,'IR data'!$M$4:$M$61,1)+1)))))</f>
        <v>0.94993486028571428</v>
      </c>
      <c r="I359" s="44">
        <f t="shared" si="35"/>
        <v>2.2870094629977772E-2</v>
      </c>
    </row>
    <row r="360" spans="1:9" x14ac:dyDescent="0.25">
      <c r="A360" s="45">
        <f t="shared" si="31"/>
        <v>45648</v>
      </c>
      <c r="B360" s="14" cm="1">
        <f t="array" ref="B360">_xlfn.IFNA(INDEX('IR data'!$D$4:$D$61,MATCH(A360,'IR data'!$C$4:$C$61,0)),((INDEX('IR data'!$D$4:$D$61,MATCH(A360,'IR data'!$C$4:$C$61,1)))-((A360-(INDEX('IR data'!$C$4:$C$61,MATCH(A360,'IR data'!$C$4:$C$61,1))))/((INDEX('IR data'!$C$4:$C$61,MATCH(A360,'IR data'!$C$4:$C$61,1)+1)-INDEX('IR data'!$C$4:$C$61,MATCH(A360,'IR data'!$C$4:$C$61,1))))) * (INDEX('IR data'!$D$4:$D$61,MATCH(A360,'IR data'!$C$4:$C$61,1))-(INDEX('IR data'!$D$4:$D$61,MATCH(A360,'IR data'!$C$4:$C$61,1)+1)))))</f>
        <v>0.95189904526086955</v>
      </c>
      <c r="C360" s="30">
        <f t="shared" si="32"/>
        <v>2.1888864708771827E-2</v>
      </c>
      <c r="D360" s="45">
        <f t="shared" si="33"/>
        <v>45708</v>
      </c>
      <c r="E360" s="14" cm="1">
        <f t="array" ref="E360">_xlfn.IFNA(INDEX('IR data'!$I$4:$I$61,MATCH(D360,'IR data'!$H$4:$H$61,0)),((INDEX('IR data'!$I$4:$I$61,MATCH(D360,'IR data'!$H$4:$H$61,1)))-((D360-(INDEX('IR data'!$H$4:$H$61,MATCH(D360,'IR data'!$H$4:$H$61,1))))/((INDEX('IR data'!$H$4:$H$61,MATCH(D360,'IR data'!$H$4:$H$61,1)+1)-INDEX('IR data'!$H$4:$H$61,MATCH(D360,'IR data'!$H$4:$H$61,1))))) * (INDEX('IR data'!$I$4:$I$61,MATCH(D360,'IR data'!$H$4:$H$61,1))-(INDEX('IR data'!$I$4:$I$61,MATCH(D360,'IR data'!$H$4:$H$61,1)+1)))))</f>
        <v>0.94976997573333333</v>
      </c>
      <c r="F360" s="30">
        <f t="shared" si="34"/>
        <v>2.2883111159202101E-2</v>
      </c>
      <c r="G360" s="45">
        <f t="shared" si="30"/>
        <v>45742</v>
      </c>
      <c r="H360" s="14" cm="1">
        <f t="array" ref="H360">_xlfn.IFNA(INDEX('IR data'!$N$4:$N$61,MATCH(G360,'IR data'!$M$4:$M$61,0)),((INDEX('IR data'!$N$4:$N$61,MATCH(G360,'IR data'!$M$4:$M$61,1)))-((G360-(INDEX('IR data'!$M$4:$M$61,MATCH(G360,'IR data'!$M$4:$M$61,1))))/((INDEX('IR data'!$M$4:$M$61,MATCH(G360,'IR data'!$M$4:$M$61,1)+1)-INDEX('IR data'!$M$4:$M$61,MATCH(G360,'IR data'!$M$4:$M$61,1))))) * (INDEX('IR data'!$N$4:$N$61,MATCH(G360,'IR data'!$M$4:$M$61,1))-(INDEX('IR data'!$N$4:$N$61,MATCH(G360,'IR data'!$M$4:$M$61,1)+1)))))</f>
        <v>0.94980801034065931</v>
      </c>
      <c r="I360" s="44">
        <f t="shared" si="35"/>
        <v>2.2865329971589445E-2</v>
      </c>
    </row>
    <row r="361" spans="1:9" x14ac:dyDescent="0.25">
      <c r="A361" s="45">
        <f t="shared" si="31"/>
        <v>45649</v>
      </c>
      <c r="B361" s="14" cm="1">
        <f t="array" ref="B361">_xlfn.IFNA(INDEX('IR data'!$D$4:$D$61,MATCH(A361,'IR data'!$C$4:$C$61,0)),((INDEX('IR data'!$D$4:$D$61,MATCH(A361,'IR data'!$C$4:$C$61,1)))-((A361-(INDEX('IR data'!$C$4:$C$61,MATCH(A361,'IR data'!$C$4:$C$61,1))))/((INDEX('IR data'!$C$4:$C$61,MATCH(A361,'IR data'!$C$4:$C$61,1)+1)-INDEX('IR data'!$C$4:$C$61,MATCH(A361,'IR data'!$C$4:$C$61,1))))) * (INDEX('IR data'!$D$4:$D$61,MATCH(A361,'IR data'!$C$4:$C$61,1))-(INDEX('IR data'!$D$4:$D$61,MATCH(A361,'IR data'!$C$4:$C$61,1)+1)))))</f>
        <v>0.95178579098913041</v>
      </c>
      <c r="C361" s="30">
        <f t="shared" si="32"/>
        <v>2.1880407228509074E-2</v>
      </c>
      <c r="D361" s="45">
        <f t="shared" si="33"/>
        <v>45709</v>
      </c>
      <c r="E361" s="14" cm="1">
        <f t="array" ref="E361">_xlfn.IFNA(INDEX('IR data'!$I$4:$I$61,MATCH(D361,'IR data'!$H$4:$H$61,0)),((INDEX('IR data'!$I$4:$I$61,MATCH(D361,'IR data'!$H$4:$H$61,1)))-((D361-(INDEX('IR data'!$H$4:$H$61,MATCH(D361,'IR data'!$H$4:$H$61,1))))/((INDEX('IR data'!$H$4:$H$61,MATCH(D361,'IR data'!$H$4:$H$61,1)+1)-INDEX('IR data'!$H$4:$H$61,MATCH(D361,'IR data'!$H$4:$H$61,1))))) * (INDEX('IR data'!$I$4:$I$61,MATCH(D361,'IR data'!$H$4:$H$61,1))-(INDEX('IR data'!$I$4:$I$61,MATCH(D361,'IR data'!$H$4:$H$61,1)+1)))))</f>
        <v>0.94964439458888894</v>
      </c>
      <c r="F361" s="30">
        <f t="shared" si="34"/>
        <v>2.2877742118952663E-2</v>
      </c>
      <c r="G361" s="45">
        <f t="shared" si="30"/>
        <v>45743</v>
      </c>
      <c r="H361" s="14" cm="1">
        <f t="array" ref="H361">_xlfn.IFNA(INDEX('IR data'!$N$4:$N$61,MATCH(G361,'IR data'!$M$4:$M$61,0)),((INDEX('IR data'!$N$4:$N$61,MATCH(G361,'IR data'!$M$4:$M$61,1)))-((G361-(INDEX('IR data'!$M$4:$M$61,MATCH(G361,'IR data'!$M$4:$M$61,1))))/((INDEX('IR data'!$M$4:$M$61,MATCH(G361,'IR data'!$M$4:$M$61,1)+1)-INDEX('IR data'!$M$4:$M$61,MATCH(G361,'IR data'!$M$4:$M$61,1))))) * (INDEX('IR data'!$N$4:$N$61,MATCH(G361,'IR data'!$M$4:$M$61,1))-(INDEX('IR data'!$N$4:$N$61,MATCH(G361,'IR data'!$M$4:$M$61,1)+1)))))</f>
        <v>0.94968116039560435</v>
      </c>
      <c r="I361" s="44">
        <f t="shared" si="35"/>
        <v>2.2860599829148613E-2</v>
      </c>
    </row>
    <row r="362" spans="1:9" x14ac:dyDescent="0.25">
      <c r="A362" s="45">
        <f t="shared" si="31"/>
        <v>45650</v>
      </c>
      <c r="B362" s="14" cm="1">
        <f t="array" ref="B362">_xlfn.IFNA(INDEX('IR data'!$D$4:$D$61,MATCH(A362,'IR data'!$C$4:$C$61,0)),((INDEX('IR data'!$D$4:$D$61,MATCH(A362,'IR data'!$C$4:$C$61,1)))-((A362-(INDEX('IR data'!$C$4:$C$61,MATCH(A362,'IR data'!$C$4:$C$61,1))))/((INDEX('IR data'!$C$4:$C$61,MATCH(A362,'IR data'!$C$4:$C$61,1)+1)-INDEX('IR data'!$C$4:$C$61,MATCH(A362,'IR data'!$C$4:$C$61,1))))) * (INDEX('IR data'!$D$4:$D$61,MATCH(A362,'IR data'!$C$4:$C$61,1))-(INDEX('IR data'!$D$4:$D$61,MATCH(A362,'IR data'!$C$4:$C$61,1)+1)))))</f>
        <v>0.95167253671739127</v>
      </c>
      <c r="C362" s="30">
        <f t="shared" si="32"/>
        <v>2.1872003117048983E-2</v>
      </c>
      <c r="D362" s="45">
        <f t="shared" si="33"/>
        <v>45710</v>
      </c>
      <c r="E362" s="14" cm="1">
        <f t="array" ref="E362">_xlfn.IFNA(INDEX('IR data'!$I$4:$I$61,MATCH(D362,'IR data'!$H$4:$H$61,0)),((INDEX('IR data'!$I$4:$I$61,MATCH(D362,'IR data'!$H$4:$H$61,1)))-((D362-(INDEX('IR data'!$H$4:$H$61,MATCH(D362,'IR data'!$H$4:$H$61,1))))/((INDEX('IR data'!$H$4:$H$61,MATCH(D362,'IR data'!$H$4:$H$61,1)+1)-INDEX('IR data'!$H$4:$H$61,MATCH(D362,'IR data'!$H$4:$H$61,1))))) * (INDEX('IR data'!$I$4:$I$61,MATCH(D362,'IR data'!$H$4:$H$61,1))-(INDEX('IR data'!$I$4:$I$61,MATCH(D362,'IR data'!$H$4:$H$61,1)+1)))))</f>
        <v>0.94951881344444444</v>
      </c>
      <c r="F362" s="30">
        <f t="shared" si="34"/>
        <v>2.2872410711431656E-2</v>
      </c>
      <c r="G362" s="45">
        <f t="shared" si="30"/>
        <v>45744</v>
      </c>
      <c r="H362" s="14" cm="1">
        <f t="array" ref="H362">_xlfn.IFNA(INDEX('IR data'!$N$4:$N$61,MATCH(G362,'IR data'!$M$4:$M$61,0)),((INDEX('IR data'!$N$4:$N$61,MATCH(G362,'IR data'!$M$4:$M$61,1)))-((G362-(INDEX('IR data'!$M$4:$M$61,MATCH(G362,'IR data'!$M$4:$M$61,1))))/((INDEX('IR data'!$M$4:$M$61,MATCH(G362,'IR data'!$M$4:$M$61,1)+1)-INDEX('IR data'!$M$4:$M$61,MATCH(G362,'IR data'!$M$4:$M$61,1))))) * (INDEX('IR data'!$N$4:$N$61,MATCH(G362,'IR data'!$M$4:$M$61,1))-(INDEX('IR data'!$N$4:$N$61,MATCH(G362,'IR data'!$M$4:$M$61,1)+1)))))</f>
        <v>0.94955431045054939</v>
      </c>
      <c r="I362" s="44">
        <f t="shared" si="35"/>
        <v>2.2855903916325266E-2</v>
      </c>
    </row>
    <row r="363" spans="1:9" x14ac:dyDescent="0.25">
      <c r="A363" s="45">
        <f t="shared" si="31"/>
        <v>45651</v>
      </c>
      <c r="B363" s="14" cm="1">
        <f t="array" ref="B363">_xlfn.IFNA(INDEX('IR data'!$D$4:$D$61,MATCH(A363,'IR data'!$C$4:$C$61,0)),((INDEX('IR data'!$D$4:$D$61,MATCH(A363,'IR data'!$C$4:$C$61,1)))-((A363-(INDEX('IR data'!$C$4:$C$61,MATCH(A363,'IR data'!$C$4:$C$61,1))))/((INDEX('IR data'!$C$4:$C$61,MATCH(A363,'IR data'!$C$4:$C$61,1)+1)-INDEX('IR data'!$C$4:$C$61,MATCH(A363,'IR data'!$C$4:$C$61,1))))) * (INDEX('IR data'!$D$4:$D$61,MATCH(A363,'IR data'!$C$4:$C$61,1))-(INDEX('IR data'!$D$4:$D$61,MATCH(A363,'IR data'!$C$4:$C$61,1)+1)))))</f>
        <v>0.95155928244565213</v>
      </c>
      <c r="C363" s="30">
        <f t="shared" si="32"/>
        <v>2.186365193113551E-2</v>
      </c>
      <c r="D363" s="45">
        <f t="shared" si="33"/>
        <v>45711</v>
      </c>
      <c r="E363" s="14" cm="1">
        <f t="array" ref="E363">_xlfn.IFNA(INDEX('IR data'!$I$4:$I$61,MATCH(D363,'IR data'!$H$4:$H$61,0)),((INDEX('IR data'!$I$4:$I$61,MATCH(D363,'IR data'!$H$4:$H$61,1)))-((D363-(INDEX('IR data'!$H$4:$H$61,MATCH(D363,'IR data'!$H$4:$H$61,1))))/((INDEX('IR data'!$H$4:$H$61,MATCH(D363,'IR data'!$H$4:$H$61,1)+1)-INDEX('IR data'!$H$4:$H$61,MATCH(D363,'IR data'!$H$4:$H$61,1))))) * (INDEX('IR data'!$I$4:$I$61,MATCH(D363,'IR data'!$H$4:$H$61,1))-(INDEX('IR data'!$I$4:$I$61,MATCH(D363,'IR data'!$H$4:$H$61,1)+1)))))</f>
        <v>0.94939323230000006</v>
      </c>
      <c r="F363" s="30">
        <f t="shared" si="34"/>
        <v>2.286711662506986E-2</v>
      </c>
      <c r="G363" s="45">
        <f t="shared" si="30"/>
        <v>45745</v>
      </c>
      <c r="H363" s="14" cm="1">
        <f t="array" ref="H363">_xlfn.IFNA(INDEX('IR data'!$N$4:$N$61,MATCH(G363,'IR data'!$M$4:$M$61,0)),((INDEX('IR data'!$N$4:$N$61,MATCH(G363,'IR data'!$M$4:$M$61,1)))-((G363-(INDEX('IR data'!$M$4:$M$61,MATCH(G363,'IR data'!$M$4:$M$61,1))))/((INDEX('IR data'!$M$4:$M$61,MATCH(G363,'IR data'!$M$4:$M$61,1)+1)-INDEX('IR data'!$M$4:$M$61,MATCH(G363,'IR data'!$M$4:$M$61,1))))) * (INDEX('IR data'!$N$4:$N$61,MATCH(G363,'IR data'!$M$4:$M$61,1))-(INDEX('IR data'!$N$4:$N$61,MATCH(G363,'IR data'!$M$4:$M$61,1)+1)))))</f>
        <v>0.94942746050549454</v>
      </c>
      <c r="I363" s="44">
        <f t="shared" si="35"/>
        <v>2.2851241949971617E-2</v>
      </c>
    </row>
    <row r="364" spans="1:9" x14ac:dyDescent="0.25">
      <c r="A364" s="45">
        <f t="shared" si="31"/>
        <v>45652</v>
      </c>
      <c r="B364" s="14" cm="1">
        <f t="array" ref="B364">_xlfn.IFNA(INDEX('IR data'!$D$4:$D$61,MATCH(A364,'IR data'!$C$4:$C$61,0)),((INDEX('IR data'!$D$4:$D$61,MATCH(A364,'IR data'!$C$4:$C$61,1)))-((A364-(INDEX('IR data'!$C$4:$C$61,MATCH(A364,'IR data'!$C$4:$C$61,1))))/((INDEX('IR data'!$C$4:$C$61,MATCH(A364,'IR data'!$C$4:$C$61,1)+1)-INDEX('IR data'!$C$4:$C$61,MATCH(A364,'IR data'!$C$4:$C$61,1))))) * (INDEX('IR data'!$D$4:$D$61,MATCH(A364,'IR data'!$C$4:$C$61,1))-(INDEX('IR data'!$D$4:$D$61,MATCH(A364,'IR data'!$C$4:$C$61,1)+1)))))</f>
        <v>0.95144602817391299</v>
      </c>
      <c r="C364" s="30">
        <f t="shared" si="32"/>
        <v>2.1855353232424567E-2</v>
      </c>
      <c r="D364" s="45">
        <f t="shared" si="33"/>
        <v>45712</v>
      </c>
      <c r="E364" s="14" cm="1">
        <f t="array" ref="E364">_xlfn.IFNA(INDEX('IR data'!$I$4:$I$61,MATCH(D364,'IR data'!$H$4:$H$61,0)),((INDEX('IR data'!$I$4:$I$61,MATCH(D364,'IR data'!$H$4:$H$61,1)))-((D364-(INDEX('IR data'!$H$4:$H$61,MATCH(D364,'IR data'!$H$4:$H$61,1))))/((INDEX('IR data'!$H$4:$H$61,MATCH(D364,'IR data'!$H$4:$H$61,1)+1)-INDEX('IR data'!$H$4:$H$61,MATCH(D364,'IR data'!$H$4:$H$61,1))))) * (INDEX('IR data'!$I$4:$I$61,MATCH(D364,'IR data'!$H$4:$H$61,1))-(INDEX('IR data'!$I$4:$I$61,MATCH(D364,'IR data'!$H$4:$H$61,1)+1)))))</f>
        <v>0.94926765115555556</v>
      </c>
      <c r="F364" s="30">
        <f t="shared" si="34"/>
        <v>2.2861859551751355E-2</v>
      </c>
      <c r="G364" s="45">
        <f t="shared" si="30"/>
        <v>45746</v>
      </c>
      <c r="H364" s="14" cm="1">
        <f t="array" ref="H364">_xlfn.IFNA(INDEX('IR data'!$N$4:$N$61,MATCH(G364,'IR data'!$M$4:$M$61,0)),((INDEX('IR data'!$N$4:$N$61,MATCH(G364,'IR data'!$M$4:$M$61,1)))-((G364-(INDEX('IR data'!$M$4:$M$61,MATCH(G364,'IR data'!$M$4:$M$61,1))))/((INDEX('IR data'!$M$4:$M$61,MATCH(G364,'IR data'!$M$4:$M$61,1)+1)-INDEX('IR data'!$M$4:$M$61,MATCH(G364,'IR data'!$M$4:$M$61,1))))) * (INDEX('IR data'!$N$4:$N$61,MATCH(G364,'IR data'!$M$4:$M$61,1))-(INDEX('IR data'!$N$4:$N$61,MATCH(G364,'IR data'!$M$4:$M$61,1)+1)))))</f>
        <v>0.94930061056043957</v>
      </c>
      <c r="I364" s="44">
        <f t="shared" si="35"/>
        <v>2.2846613650078246E-2</v>
      </c>
    </row>
    <row r="365" spans="1:9" x14ac:dyDescent="0.25">
      <c r="A365" s="45">
        <f t="shared" si="31"/>
        <v>45653</v>
      </c>
      <c r="B365" s="14" cm="1">
        <f t="array" ref="B365">_xlfn.IFNA(INDEX('IR data'!$D$4:$D$61,MATCH(A365,'IR data'!$C$4:$C$61,0)),((INDEX('IR data'!$D$4:$D$61,MATCH(A365,'IR data'!$C$4:$C$61,1)))-((A365-(INDEX('IR data'!$C$4:$C$61,MATCH(A365,'IR data'!$C$4:$C$61,1))))/((INDEX('IR data'!$C$4:$C$61,MATCH(A365,'IR data'!$C$4:$C$61,1)+1)-INDEX('IR data'!$C$4:$C$61,MATCH(A365,'IR data'!$C$4:$C$61,1))))) * (INDEX('IR data'!$D$4:$D$61,MATCH(A365,'IR data'!$C$4:$C$61,1))-(INDEX('IR data'!$D$4:$D$61,MATCH(A365,'IR data'!$C$4:$C$61,1)+1)))))</f>
        <v>0.95133277390217397</v>
      </c>
      <c r="C365" s="30">
        <f t="shared" si="32"/>
        <v>2.1847106587416121E-2</v>
      </c>
      <c r="D365" s="45">
        <f t="shared" si="33"/>
        <v>45713</v>
      </c>
      <c r="E365" s="14" cm="1">
        <f t="array" ref="E365">_xlfn.IFNA(INDEX('IR data'!$I$4:$I$61,MATCH(D365,'IR data'!$H$4:$H$61,0)),((INDEX('IR data'!$I$4:$I$61,MATCH(D365,'IR data'!$H$4:$H$61,1)))-((D365-(INDEX('IR data'!$H$4:$H$61,MATCH(D365,'IR data'!$H$4:$H$61,1))))/((INDEX('IR data'!$H$4:$H$61,MATCH(D365,'IR data'!$H$4:$H$61,1)+1)-INDEX('IR data'!$H$4:$H$61,MATCH(D365,'IR data'!$H$4:$H$61,1))))) * (INDEX('IR data'!$I$4:$I$61,MATCH(D365,'IR data'!$H$4:$H$61,1))-(INDEX('IR data'!$I$4:$I$61,MATCH(D365,'IR data'!$H$4:$H$61,1)+1)))))</f>
        <v>0.94914207001111117</v>
      </c>
      <c r="F365" s="30">
        <f t="shared" si="34"/>
        <v>2.2856639186765421E-2</v>
      </c>
      <c r="G365" s="45">
        <f t="shared" si="30"/>
        <v>45747</v>
      </c>
      <c r="H365" s="14" cm="1">
        <f t="array" ref="H365">_xlfn.IFNA(INDEX('IR data'!$N$4:$N$61,MATCH(G365,'IR data'!$M$4:$M$61,0)),((INDEX('IR data'!$N$4:$N$61,MATCH(G365,'IR data'!$M$4:$M$61,1)))-((G365-(INDEX('IR data'!$M$4:$M$61,MATCH(G365,'IR data'!$M$4:$M$61,1))))/((INDEX('IR data'!$M$4:$M$61,MATCH(G365,'IR data'!$M$4:$M$61,1)+1)-INDEX('IR data'!$M$4:$M$61,MATCH(G365,'IR data'!$M$4:$M$61,1))))) * (INDEX('IR data'!$N$4:$N$61,MATCH(G365,'IR data'!$M$4:$M$61,1))-(INDEX('IR data'!$N$4:$N$61,MATCH(G365,'IR data'!$M$4:$M$61,1)+1)))))</f>
        <v>0.94917376061538461</v>
      </c>
      <c r="I365" s="44">
        <f t="shared" si="35"/>
        <v>2.2842018739730449E-2</v>
      </c>
    </row>
    <row r="366" spans="1:9" x14ac:dyDescent="0.25">
      <c r="A366" s="45">
        <f t="shared" si="31"/>
        <v>45654</v>
      </c>
      <c r="B366" s="14" cm="1">
        <f t="array" ref="B366">_xlfn.IFNA(INDEX('IR data'!$D$4:$D$61,MATCH(A366,'IR data'!$C$4:$C$61,0)),((INDEX('IR data'!$D$4:$D$61,MATCH(A366,'IR data'!$C$4:$C$61,1)))-((A366-(INDEX('IR data'!$C$4:$C$61,MATCH(A366,'IR data'!$C$4:$C$61,1))))/((INDEX('IR data'!$C$4:$C$61,MATCH(A366,'IR data'!$C$4:$C$61,1)+1)-INDEX('IR data'!$C$4:$C$61,MATCH(A366,'IR data'!$C$4:$C$61,1))))) * (INDEX('IR data'!$D$4:$D$61,MATCH(A366,'IR data'!$C$4:$C$61,1))-(INDEX('IR data'!$D$4:$D$61,MATCH(A366,'IR data'!$C$4:$C$61,1)+1)))))</f>
        <v>0.95121951963043483</v>
      </c>
      <c r="C366" s="30">
        <f t="shared" si="32"/>
        <v>2.1838911567387688E-2</v>
      </c>
      <c r="D366" s="45">
        <f t="shared" si="33"/>
        <v>45714</v>
      </c>
      <c r="E366" s="14" cm="1">
        <f t="array" ref="E366">_xlfn.IFNA(INDEX('IR data'!$I$4:$I$61,MATCH(D366,'IR data'!$H$4:$H$61,0)),((INDEX('IR data'!$I$4:$I$61,MATCH(D366,'IR data'!$H$4:$H$61,1)))-((D366-(INDEX('IR data'!$H$4:$H$61,MATCH(D366,'IR data'!$H$4:$H$61,1))))/((INDEX('IR data'!$H$4:$H$61,MATCH(D366,'IR data'!$H$4:$H$61,1)+1)-INDEX('IR data'!$H$4:$H$61,MATCH(D366,'IR data'!$H$4:$H$61,1))))) * (INDEX('IR data'!$I$4:$I$61,MATCH(D366,'IR data'!$H$4:$H$61,1))-(INDEX('IR data'!$I$4:$I$61,MATCH(D366,'IR data'!$H$4:$H$61,1)+1)))))</f>
        <v>0.94901648886666667</v>
      </c>
      <c r="F366" s="30">
        <f t="shared" si="34"/>
        <v>2.2851455228760038E-2</v>
      </c>
      <c r="G366" s="45">
        <f t="shared" si="30"/>
        <v>45748</v>
      </c>
      <c r="H366" s="14" cm="1">
        <f t="array" ref="H366">_xlfn.IFNA(INDEX('IR data'!$N$4:$N$61,MATCH(G366,'IR data'!$M$4:$M$61,0)),((INDEX('IR data'!$N$4:$N$61,MATCH(G366,'IR data'!$M$4:$M$61,1)))-((G366-(INDEX('IR data'!$M$4:$M$61,MATCH(G366,'IR data'!$M$4:$M$61,1))))/((INDEX('IR data'!$M$4:$M$61,MATCH(G366,'IR data'!$M$4:$M$61,1)+1)-INDEX('IR data'!$M$4:$M$61,MATCH(G366,'IR data'!$M$4:$M$61,1))))) * (INDEX('IR data'!$N$4:$N$61,MATCH(G366,'IR data'!$M$4:$M$61,1))-(INDEX('IR data'!$N$4:$N$61,MATCH(G366,'IR data'!$M$4:$M$61,1)+1)))))</f>
        <v>0.94904691067032965</v>
      </c>
      <c r="I366" s="44">
        <f t="shared" si="35"/>
        <v>2.2837456945065806E-2</v>
      </c>
    </row>
    <row r="367" spans="1:9" x14ac:dyDescent="0.25">
      <c r="A367" s="45">
        <f t="shared" si="31"/>
        <v>45655</v>
      </c>
      <c r="B367" s="14" cm="1">
        <f t="array" ref="B367">_xlfn.IFNA(INDEX('IR data'!$D$4:$D$61,MATCH(A367,'IR data'!$C$4:$C$61,0)),((INDEX('IR data'!$D$4:$D$61,MATCH(A367,'IR data'!$C$4:$C$61,1)))-((A367-(INDEX('IR data'!$C$4:$C$61,MATCH(A367,'IR data'!$C$4:$C$61,1))))/((INDEX('IR data'!$C$4:$C$61,MATCH(A367,'IR data'!$C$4:$C$61,1)+1)-INDEX('IR data'!$C$4:$C$61,MATCH(A367,'IR data'!$C$4:$C$61,1))))) * (INDEX('IR data'!$D$4:$D$61,MATCH(A367,'IR data'!$C$4:$C$61,1))-(INDEX('IR data'!$D$4:$D$61,MATCH(A367,'IR data'!$C$4:$C$61,1)+1)))))</f>
        <v>0.95110626535869569</v>
      </c>
      <c r="C367" s="30">
        <f t="shared" si="32"/>
        <v>2.1830767748328372E-2</v>
      </c>
      <c r="D367" s="45">
        <f t="shared" si="33"/>
        <v>45715</v>
      </c>
      <c r="E367" s="14" cm="1">
        <f t="array" ref="E367">_xlfn.IFNA(INDEX('IR data'!$I$4:$I$61,MATCH(D367,'IR data'!$H$4:$H$61,0)),((INDEX('IR data'!$I$4:$I$61,MATCH(D367,'IR data'!$H$4:$H$61,1)))-((D367-(INDEX('IR data'!$H$4:$H$61,MATCH(D367,'IR data'!$H$4:$H$61,1))))/((INDEX('IR data'!$H$4:$H$61,MATCH(D367,'IR data'!$H$4:$H$61,1)+1)-INDEX('IR data'!$H$4:$H$61,MATCH(D367,'IR data'!$H$4:$H$61,1))))) * (INDEX('IR data'!$I$4:$I$61,MATCH(D367,'IR data'!$H$4:$H$61,1))-(INDEX('IR data'!$I$4:$I$61,MATCH(D367,'IR data'!$H$4:$H$61,1)+1)))))</f>
        <v>0.94889090772222229</v>
      </c>
      <c r="F367" s="30">
        <f t="shared" si="34"/>
        <v>2.2846307379695337E-2</v>
      </c>
      <c r="G367" s="45">
        <f t="shared" si="30"/>
        <v>45749</v>
      </c>
      <c r="H367" s="14" cm="1">
        <f t="array" ref="H367">_xlfn.IFNA(INDEX('IR data'!$N$4:$N$61,MATCH(G367,'IR data'!$M$4:$M$61,0)),((INDEX('IR data'!$N$4:$N$61,MATCH(G367,'IR data'!$M$4:$M$61,1)))-((G367-(INDEX('IR data'!$M$4:$M$61,MATCH(G367,'IR data'!$M$4:$M$61,1))))/((INDEX('IR data'!$M$4:$M$61,MATCH(G367,'IR data'!$M$4:$M$61,1)+1)-INDEX('IR data'!$M$4:$M$61,MATCH(G367,'IR data'!$M$4:$M$61,1))))) * (INDEX('IR data'!$N$4:$N$61,MATCH(G367,'IR data'!$M$4:$M$61,1))-(INDEX('IR data'!$N$4:$N$61,MATCH(G367,'IR data'!$M$4:$M$61,1)+1)))))</f>
        <v>0.94892006072527468</v>
      </c>
      <c r="I367" s="44">
        <f t="shared" si="35"/>
        <v>2.2832927995232202E-2</v>
      </c>
    </row>
    <row r="368" spans="1:9" x14ac:dyDescent="0.25">
      <c r="A368" s="45">
        <f t="shared" si="31"/>
        <v>45656</v>
      </c>
      <c r="B368" s="14" cm="1">
        <f t="array" ref="B368">_xlfn.IFNA(INDEX('IR data'!$D$4:$D$61,MATCH(A368,'IR data'!$C$4:$C$61,0)),((INDEX('IR data'!$D$4:$D$61,MATCH(A368,'IR data'!$C$4:$C$61,1)))-((A368-(INDEX('IR data'!$C$4:$C$61,MATCH(A368,'IR data'!$C$4:$C$61,1))))/((INDEX('IR data'!$C$4:$C$61,MATCH(A368,'IR data'!$C$4:$C$61,1)+1)-INDEX('IR data'!$C$4:$C$61,MATCH(A368,'IR data'!$C$4:$C$61,1))))) * (INDEX('IR data'!$D$4:$D$61,MATCH(A368,'IR data'!$C$4:$C$61,1))-(INDEX('IR data'!$D$4:$D$61,MATCH(A368,'IR data'!$C$4:$C$61,1)+1)))))</f>
        <v>0.95099301108695655</v>
      </c>
      <c r="C368" s="30">
        <f t="shared" si="32"/>
        <v>2.1822674710874564E-2</v>
      </c>
      <c r="D368" s="45">
        <f t="shared" si="33"/>
        <v>45716</v>
      </c>
      <c r="E368" s="14" cm="1">
        <f t="array" ref="E368">_xlfn.IFNA(INDEX('IR data'!$I$4:$I$61,MATCH(D368,'IR data'!$H$4:$H$61,0)),((INDEX('IR data'!$I$4:$I$61,MATCH(D368,'IR data'!$H$4:$H$61,1)))-((D368-(INDEX('IR data'!$H$4:$H$61,MATCH(D368,'IR data'!$H$4:$H$61,1))))/((INDEX('IR data'!$H$4:$H$61,MATCH(D368,'IR data'!$H$4:$H$61,1)+1)-INDEX('IR data'!$H$4:$H$61,MATCH(D368,'IR data'!$H$4:$H$61,1))))) * (INDEX('IR data'!$I$4:$I$61,MATCH(D368,'IR data'!$H$4:$H$61,1))-(INDEX('IR data'!$I$4:$I$61,MATCH(D368,'IR data'!$H$4:$H$61,1)+1)))))</f>
        <v>0.94876532657777779</v>
      </c>
      <c r="F368" s="30">
        <f t="shared" si="34"/>
        <v>2.284119534479865E-2</v>
      </c>
      <c r="G368" s="45">
        <f t="shared" si="30"/>
        <v>45750</v>
      </c>
      <c r="H368" s="14" cm="1">
        <f t="array" ref="H368">_xlfn.IFNA(INDEX('IR data'!$N$4:$N$61,MATCH(G368,'IR data'!$M$4:$M$61,0)),((INDEX('IR data'!$N$4:$N$61,MATCH(G368,'IR data'!$M$4:$M$61,1)))-((G368-(INDEX('IR data'!$M$4:$M$61,MATCH(G368,'IR data'!$M$4:$M$61,1))))/((INDEX('IR data'!$M$4:$M$61,MATCH(G368,'IR data'!$M$4:$M$61,1)+1)-INDEX('IR data'!$M$4:$M$61,MATCH(G368,'IR data'!$M$4:$M$61,1))))) * (INDEX('IR data'!$N$4:$N$61,MATCH(G368,'IR data'!$M$4:$M$61,1))-(INDEX('IR data'!$N$4:$N$61,MATCH(G368,'IR data'!$M$4:$M$61,1)+1)))))</f>
        <v>0.94879321078021972</v>
      </c>
      <c r="I368" s="44">
        <f t="shared" si="35"/>
        <v>2.2828431622346605E-2</v>
      </c>
    </row>
    <row r="369" spans="1:9" x14ac:dyDescent="0.25">
      <c r="A369" s="45">
        <f t="shared" si="31"/>
        <v>45657</v>
      </c>
      <c r="B369" s="14" cm="1">
        <f t="array" ref="B369">_xlfn.IFNA(INDEX('IR data'!$D$4:$D$61,MATCH(A369,'IR data'!$C$4:$C$61,0)),((INDEX('IR data'!$D$4:$D$61,MATCH(A369,'IR data'!$C$4:$C$61,1)))-((A369-(INDEX('IR data'!$C$4:$C$61,MATCH(A369,'IR data'!$C$4:$C$61,1))))/((INDEX('IR data'!$C$4:$C$61,MATCH(A369,'IR data'!$C$4:$C$61,1)+1)-INDEX('IR data'!$C$4:$C$61,MATCH(A369,'IR data'!$C$4:$C$61,1))))) * (INDEX('IR data'!$D$4:$D$61,MATCH(A369,'IR data'!$C$4:$C$61,1))-(INDEX('IR data'!$D$4:$D$61,MATCH(A369,'IR data'!$C$4:$C$61,1)+1)))))</f>
        <v>0.95087975681521741</v>
      </c>
      <c r="C369" s="30">
        <f t="shared" si="32"/>
        <v>2.1814632040246383E-2</v>
      </c>
      <c r="D369" s="45">
        <f t="shared" si="33"/>
        <v>45717</v>
      </c>
      <c r="E369" s="14" cm="1">
        <f t="array" ref="E369">_xlfn.IFNA(INDEX('IR data'!$I$4:$I$61,MATCH(D369,'IR data'!$H$4:$H$61,0)),((INDEX('IR data'!$I$4:$I$61,MATCH(D369,'IR data'!$H$4:$H$61,1)))-((D369-(INDEX('IR data'!$H$4:$H$61,MATCH(D369,'IR data'!$H$4:$H$61,1))))/((INDEX('IR data'!$H$4:$H$61,MATCH(D369,'IR data'!$H$4:$H$61,1)+1)-INDEX('IR data'!$H$4:$H$61,MATCH(D369,'IR data'!$H$4:$H$61,1))))) * (INDEX('IR data'!$I$4:$I$61,MATCH(D369,'IR data'!$H$4:$H$61,1))-(INDEX('IR data'!$I$4:$I$61,MATCH(D369,'IR data'!$H$4:$H$61,1)+1)))))</f>
        <v>0.9486397454333334</v>
      </c>
      <c r="F369" s="30">
        <f t="shared" si="34"/>
        <v>2.2836118832519459E-2</v>
      </c>
      <c r="G369" s="45">
        <f t="shared" si="30"/>
        <v>45751</v>
      </c>
      <c r="H369" s="14" cm="1">
        <f t="array" ref="H369">_xlfn.IFNA(INDEX('IR data'!$N$4:$N$61,MATCH(G369,'IR data'!$M$4:$M$61,0)),((INDEX('IR data'!$N$4:$N$61,MATCH(G369,'IR data'!$M$4:$M$61,1)))-((G369-(INDEX('IR data'!$M$4:$M$61,MATCH(G369,'IR data'!$M$4:$M$61,1))))/((INDEX('IR data'!$M$4:$M$61,MATCH(G369,'IR data'!$M$4:$M$61,1)+1)-INDEX('IR data'!$M$4:$M$61,MATCH(G369,'IR data'!$M$4:$M$61,1))))) * (INDEX('IR data'!$N$4:$N$61,MATCH(G369,'IR data'!$M$4:$M$61,1))-(INDEX('IR data'!$N$4:$N$61,MATCH(G369,'IR data'!$M$4:$M$61,1)+1)))))</f>
        <v>0.94866636083516487</v>
      </c>
      <c r="I369" s="44">
        <f t="shared" si="35"/>
        <v>2.2823967561454439E-2</v>
      </c>
    </row>
    <row r="370" spans="1:9" x14ac:dyDescent="0.25">
      <c r="A370" s="45">
        <f t="shared" si="31"/>
        <v>45658</v>
      </c>
      <c r="B370" s="14" cm="1">
        <f t="array" ref="B370">_xlfn.IFNA(INDEX('IR data'!$D$4:$D$61,MATCH(A370,'IR data'!$C$4:$C$61,0)),((INDEX('IR data'!$D$4:$D$61,MATCH(A370,'IR data'!$C$4:$C$61,1)))-((A370-(INDEX('IR data'!$C$4:$C$61,MATCH(A370,'IR data'!$C$4:$C$61,1))))/((INDEX('IR data'!$C$4:$C$61,MATCH(A370,'IR data'!$C$4:$C$61,1)+1)-INDEX('IR data'!$C$4:$C$61,MATCH(A370,'IR data'!$C$4:$C$61,1))))) * (INDEX('IR data'!$D$4:$D$61,MATCH(A370,'IR data'!$C$4:$C$61,1))-(INDEX('IR data'!$D$4:$D$61,MATCH(A370,'IR data'!$C$4:$C$61,1)+1)))))</f>
        <v>0.95076650254347828</v>
      </c>
      <c r="C370" s="30">
        <f t="shared" si="32"/>
        <v>2.1806639326185224E-2</v>
      </c>
      <c r="D370" s="45">
        <f t="shared" si="33"/>
        <v>45718</v>
      </c>
      <c r="E370" s="14" cm="1">
        <f t="array" ref="E370">_xlfn.IFNA(INDEX('IR data'!$I$4:$I$61,MATCH(D370,'IR data'!$H$4:$H$61,0)),((INDEX('IR data'!$I$4:$I$61,MATCH(D370,'IR data'!$H$4:$H$61,1)))-((D370-(INDEX('IR data'!$H$4:$H$61,MATCH(D370,'IR data'!$H$4:$H$61,1))))/((INDEX('IR data'!$H$4:$H$61,MATCH(D370,'IR data'!$H$4:$H$61,1)+1)-INDEX('IR data'!$H$4:$H$61,MATCH(D370,'IR data'!$H$4:$H$61,1))))) * (INDEX('IR data'!$I$4:$I$61,MATCH(D370,'IR data'!$H$4:$H$61,1))-(INDEX('IR data'!$I$4:$I$61,MATCH(D370,'IR data'!$H$4:$H$61,1)+1)))))</f>
        <v>0.94851416428888891</v>
      </c>
      <c r="F370" s="30">
        <f t="shared" si="34"/>
        <v>2.2831077554485907E-2</v>
      </c>
      <c r="G370" s="45">
        <f t="shared" si="30"/>
        <v>45752</v>
      </c>
      <c r="H370" s="14" cm="1">
        <f t="array" ref="H370">_xlfn.IFNA(INDEX('IR data'!$N$4:$N$61,MATCH(G370,'IR data'!$M$4:$M$61,0)),((INDEX('IR data'!$N$4:$N$61,MATCH(G370,'IR data'!$M$4:$M$61,1)))-((G370-(INDEX('IR data'!$M$4:$M$61,MATCH(G370,'IR data'!$M$4:$M$61,1))))/((INDEX('IR data'!$M$4:$M$61,MATCH(G370,'IR data'!$M$4:$M$61,1)+1)-INDEX('IR data'!$M$4:$M$61,MATCH(G370,'IR data'!$M$4:$M$61,1))))) * (INDEX('IR data'!$N$4:$N$61,MATCH(G370,'IR data'!$M$4:$M$61,1))-(INDEX('IR data'!$N$4:$N$61,MATCH(G370,'IR data'!$M$4:$M$61,1)+1)))))</f>
        <v>0.9485395108901099</v>
      </c>
      <c r="I370" s="44">
        <f t="shared" si="35"/>
        <v>2.2819535550489906E-2</v>
      </c>
    </row>
    <row r="371" spans="1:9" x14ac:dyDescent="0.25">
      <c r="A371" s="45">
        <f t="shared" si="31"/>
        <v>45659</v>
      </c>
      <c r="B371" s="14" cm="1">
        <f t="array" ref="B371">_xlfn.IFNA(INDEX('IR data'!$D$4:$D$61,MATCH(A371,'IR data'!$C$4:$C$61,0)),((INDEX('IR data'!$D$4:$D$61,MATCH(A371,'IR data'!$C$4:$C$61,1)))-((A371-(INDEX('IR data'!$C$4:$C$61,MATCH(A371,'IR data'!$C$4:$C$61,1))))/((INDEX('IR data'!$C$4:$C$61,MATCH(A371,'IR data'!$C$4:$C$61,1)+1)-INDEX('IR data'!$C$4:$C$61,MATCH(A371,'IR data'!$C$4:$C$61,1))))) * (INDEX('IR data'!$D$4:$D$61,MATCH(A371,'IR data'!$C$4:$C$61,1))-(INDEX('IR data'!$D$4:$D$61,MATCH(A371,'IR data'!$C$4:$C$61,1)+1)))))</f>
        <v>0.95065324827173914</v>
      </c>
      <c r="C371" s="30">
        <f t="shared" si="32"/>
        <v>2.1798696162892334E-2</v>
      </c>
      <c r="D371" s="45">
        <f t="shared" si="33"/>
        <v>45719</v>
      </c>
      <c r="E371" s="14" cm="1">
        <f t="array" ref="E371">_xlfn.IFNA(INDEX('IR data'!$I$4:$I$61,MATCH(D371,'IR data'!$H$4:$H$61,0)),((INDEX('IR data'!$I$4:$I$61,MATCH(D371,'IR data'!$H$4:$H$61,1)))-((D371-(INDEX('IR data'!$H$4:$H$61,MATCH(D371,'IR data'!$H$4:$H$61,1))))/((INDEX('IR data'!$H$4:$H$61,MATCH(D371,'IR data'!$H$4:$H$61,1)+1)-INDEX('IR data'!$H$4:$H$61,MATCH(D371,'IR data'!$H$4:$H$61,1))))) * (INDEX('IR data'!$I$4:$I$61,MATCH(D371,'IR data'!$H$4:$H$61,1))-(INDEX('IR data'!$I$4:$I$61,MATCH(D371,'IR data'!$H$4:$H$61,1)+1)))))</f>
        <v>0.94838858314444452</v>
      </c>
      <c r="F371" s="30">
        <f t="shared" si="34"/>
        <v>2.2826071225461198E-2</v>
      </c>
      <c r="G371" s="45">
        <f t="shared" si="30"/>
        <v>45753</v>
      </c>
      <c r="H371" s="14" cm="1">
        <f t="array" ref="H371">_xlfn.IFNA(INDEX('IR data'!$N$4:$N$61,MATCH(G371,'IR data'!$M$4:$M$61,0)),((INDEX('IR data'!$N$4:$N$61,MATCH(G371,'IR data'!$M$4:$M$61,1)))-((G371-(INDEX('IR data'!$M$4:$M$61,MATCH(G371,'IR data'!$M$4:$M$61,1))))/((INDEX('IR data'!$M$4:$M$61,MATCH(G371,'IR data'!$M$4:$M$61,1)+1)-INDEX('IR data'!$M$4:$M$61,MATCH(G371,'IR data'!$M$4:$M$61,1))))) * (INDEX('IR data'!$N$4:$N$61,MATCH(G371,'IR data'!$M$4:$M$61,1))-(INDEX('IR data'!$N$4:$N$61,MATCH(G371,'IR data'!$M$4:$M$61,1)+1)))))</f>
        <v>0.94841266094505494</v>
      </c>
      <c r="I371" s="44">
        <f t="shared" si="35"/>
        <v>2.2815135330236408E-2</v>
      </c>
    </row>
    <row r="372" spans="1:9" x14ac:dyDescent="0.25">
      <c r="A372" s="45">
        <f t="shared" si="31"/>
        <v>45660</v>
      </c>
      <c r="B372" s="14" cm="1">
        <f t="array" ref="B372">_xlfn.IFNA(INDEX('IR data'!$D$4:$D$61,MATCH(A372,'IR data'!$C$4:$C$61,0)),((INDEX('IR data'!$D$4:$D$61,MATCH(A372,'IR data'!$C$4:$C$61,1)))-((A372-(INDEX('IR data'!$C$4:$C$61,MATCH(A372,'IR data'!$C$4:$C$61,1))))/((INDEX('IR data'!$C$4:$C$61,MATCH(A372,'IR data'!$C$4:$C$61,1)+1)-INDEX('IR data'!$C$4:$C$61,MATCH(A372,'IR data'!$C$4:$C$61,1))))) * (INDEX('IR data'!$D$4:$D$61,MATCH(A372,'IR data'!$C$4:$C$61,1))-(INDEX('IR data'!$D$4:$D$61,MATCH(A372,'IR data'!$C$4:$C$61,1)+1)))))</f>
        <v>0.950539994</v>
      </c>
      <c r="C372" s="30">
        <f t="shared" si="32"/>
        <v>2.1790802148968402E-2</v>
      </c>
      <c r="D372" s="45">
        <f t="shared" si="33"/>
        <v>45720</v>
      </c>
      <c r="E372" s="14" cm="1">
        <f t="array" ref="E372">_xlfn.IFNA(INDEX('IR data'!$I$4:$I$61,MATCH(D372,'IR data'!$H$4:$H$61,0)),((INDEX('IR data'!$I$4:$I$61,MATCH(D372,'IR data'!$H$4:$H$61,1)))-((D372-(INDEX('IR data'!$H$4:$H$61,MATCH(D372,'IR data'!$H$4:$H$61,1))))/((INDEX('IR data'!$H$4:$H$61,MATCH(D372,'IR data'!$H$4:$H$61,1)+1)-INDEX('IR data'!$H$4:$H$61,MATCH(D372,'IR data'!$H$4:$H$61,1))))) * (INDEX('IR data'!$I$4:$I$61,MATCH(D372,'IR data'!$H$4:$H$61,1))-(INDEX('IR data'!$I$4:$I$61,MATCH(D372,'IR data'!$H$4:$H$61,1)+1)))))</f>
        <v>0.94826300200000002</v>
      </c>
      <c r="F372" s="30">
        <f t="shared" si="34"/>
        <v>2.2821099563301549E-2</v>
      </c>
      <c r="G372" s="45">
        <f t="shared" si="30"/>
        <v>45754</v>
      </c>
      <c r="H372" s="14" cm="1">
        <f t="array" ref="H372">_xlfn.IFNA(INDEX('IR data'!$N$4:$N$61,MATCH(G372,'IR data'!$M$4:$M$61,0)),((INDEX('IR data'!$N$4:$N$61,MATCH(G372,'IR data'!$M$4:$M$61,1)))-((G372-(INDEX('IR data'!$M$4:$M$61,MATCH(G372,'IR data'!$M$4:$M$61,1))))/((INDEX('IR data'!$M$4:$M$61,MATCH(G372,'IR data'!$M$4:$M$61,1)+1)-INDEX('IR data'!$M$4:$M$61,MATCH(G372,'IR data'!$M$4:$M$61,1))))) * (INDEX('IR data'!$N$4:$N$61,MATCH(G372,'IR data'!$M$4:$M$61,1))-(INDEX('IR data'!$N$4:$N$61,MATCH(G372,'IR data'!$M$4:$M$61,1)+1)))))</f>
        <v>0.94828581099999998</v>
      </c>
      <c r="I372" s="44">
        <f t="shared" si="35"/>
        <v>2.2810766644288175E-2</v>
      </c>
    </row>
    <row r="373" spans="1:9" x14ac:dyDescent="0.25">
      <c r="A373" s="45">
        <f t="shared" si="31"/>
        <v>45661</v>
      </c>
      <c r="B373" s="14" cm="1">
        <f t="array" ref="B373">_xlfn.IFNA(INDEX('IR data'!$D$4:$D$61,MATCH(A373,'IR data'!$C$4:$C$61,0)),((INDEX('IR data'!$D$4:$D$61,MATCH(A373,'IR data'!$C$4:$C$61,1)))-((A373-(INDEX('IR data'!$C$4:$C$61,MATCH(A373,'IR data'!$C$4:$C$61,1))))/((INDEX('IR data'!$C$4:$C$61,MATCH(A373,'IR data'!$C$4:$C$61,1)+1)-INDEX('IR data'!$C$4:$C$61,MATCH(A373,'IR data'!$C$4:$C$61,1))))) * (INDEX('IR data'!$D$4:$D$61,MATCH(A373,'IR data'!$C$4:$C$61,1))-(INDEX('IR data'!$D$4:$D$61,MATCH(A373,'IR data'!$C$4:$C$61,1)+1)))))</f>
        <v>0.95043674837777781</v>
      </c>
      <c r="C373" s="30">
        <f t="shared" si="32"/>
        <v>2.1778445293462949E-2</v>
      </c>
      <c r="D373" s="45">
        <f t="shared" si="33"/>
        <v>45721</v>
      </c>
      <c r="E373" s="14" cm="1">
        <f t="array" ref="E373">_xlfn.IFNA(INDEX('IR data'!$I$4:$I$61,MATCH(D373,'IR data'!$H$4:$H$61,0)),((INDEX('IR data'!$I$4:$I$61,MATCH(D373,'IR data'!$H$4:$H$61,1)))-((D373-(INDEX('IR data'!$H$4:$H$61,MATCH(D373,'IR data'!$H$4:$H$61,1))))/((INDEX('IR data'!$H$4:$H$61,MATCH(D373,'IR data'!$H$4:$H$61,1)+1)-INDEX('IR data'!$H$4:$H$61,MATCH(D373,'IR data'!$H$4:$H$61,1))))) * (INDEX('IR data'!$I$4:$I$61,MATCH(D373,'IR data'!$H$4:$H$61,1))-(INDEX('IR data'!$I$4:$I$61,MATCH(D373,'IR data'!$H$4:$H$61,1)+1)))))</f>
        <v>0.94814601255434783</v>
      </c>
      <c r="F373" s="30">
        <f t="shared" si="34"/>
        <v>2.2812280059108115E-2</v>
      </c>
      <c r="G373" s="45">
        <f t="shared" si="30"/>
        <v>45755</v>
      </c>
      <c r="H373" s="14" cm="1">
        <f t="array" ref="H373">_xlfn.IFNA(INDEX('IR data'!$N$4:$N$61,MATCH(G373,'IR data'!$M$4:$M$61,0)),((INDEX('IR data'!$N$4:$N$61,MATCH(G373,'IR data'!$M$4:$M$61,1)))-((G373-(INDEX('IR data'!$M$4:$M$61,MATCH(G373,'IR data'!$M$4:$M$61,1))))/((INDEX('IR data'!$M$4:$M$61,MATCH(G373,'IR data'!$M$4:$M$61,1)+1)-INDEX('IR data'!$M$4:$M$61,MATCH(G373,'IR data'!$M$4:$M$61,1))))) * (INDEX('IR data'!$N$4:$N$61,MATCH(G373,'IR data'!$M$4:$M$61,1))-(INDEX('IR data'!$N$4:$N$61,MATCH(G373,'IR data'!$M$4:$M$61,1)+1)))))</f>
        <v>0.94816669768131867</v>
      </c>
      <c r="I373" s="44">
        <f t="shared" si="35"/>
        <v>2.2802933458557616E-2</v>
      </c>
    </row>
    <row r="374" spans="1:9" x14ac:dyDescent="0.25">
      <c r="A374" s="45">
        <f t="shared" si="31"/>
        <v>45662</v>
      </c>
      <c r="B374" s="14" cm="1">
        <f t="array" ref="B374">_xlfn.IFNA(INDEX('IR data'!$D$4:$D$61,MATCH(A374,'IR data'!$C$4:$C$61,0)),((INDEX('IR data'!$D$4:$D$61,MATCH(A374,'IR data'!$C$4:$C$61,1)))-((A374-(INDEX('IR data'!$C$4:$C$61,MATCH(A374,'IR data'!$C$4:$C$61,1))))/((INDEX('IR data'!$C$4:$C$61,MATCH(A374,'IR data'!$C$4:$C$61,1)+1)-INDEX('IR data'!$C$4:$C$61,MATCH(A374,'IR data'!$C$4:$C$61,1))))) * (INDEX('IR data'!$D$4:$D$61,MATCH(A374,'IR data'!$C$4:$C$61,1))-(INDEX('IR data'!$D$4:$D$61,MATCH(A374,'IR data'!$C$4:$C$61,1)+1)))))</f>
        <v>0.9503335027555555</v>
      </c>
      <c r="C374" s="30">
        <f t="shared" si="32"/>
        <v>2.1766160093702275E-2</v>
      </c>
      <c r="D374" s="45">
        <f t="shared" si="33"/>
        <v>45722</v>
      </c>
      <c r="E374" s="14" cm="1">
        <f t="array" ref="E374">_xlfn.IFNA(INDEX('IR data'!$I$4:$I$61,MATCH(D374,'IR data'!$H$4:$H$61,0)),((INDEX('IR data'!$I$4:$I$61,MATCH(D374,'IR data'!$H$4:$H$61,1)))-((D374-(INDEX('IR data'!$H$4:$H$61,MATCH(D374,'IR data'!$H$4:$H$61,1))))/((INDEX('IR data'!$H$4:$H$61,MATCH(D374,'IR data'!$H$4:$H$61,1)+1)-INDEX('IR data'!$H$4:$H$61,MATCH(D374,'IR data'!$H$4:$H$61,1))))) * (INDEX('IR data'!$I$4:$I$61,MATCH(D374,'IR data'!$H$4:$H$61,1))-(INDEX('IR data'!$I$4:$I$61,MATCH(D374,'IR data'!$H$4:$H$61,1)+1)))))</f>
        <v>0.94802902310869563</v>
      </c>
      <c r="F374" s="30">
        <f t="shared" si="34"/>
        <v>2.2803514604395045E-2</v>
      </c>
      <c r="G374" s="45">
        <f t="shared" si="30"/>
        <v>45756</v>
      </c>
      <c r="H374" s="14" cm="1">
        <f t="array" ref="H374">_xlfn.IFNA(INDEX('IR data'!$N$4:$N$61,MATCH(G374,'IR data'!$M$4:$M$61,0)),((INDEX('IR data'!$N$4:$N$61,MATCH(G374,'IR data'!$M$4:$M$61,1)))-((G374-(INDEX('IR data'!$M$4:$M$61,MATCH(G374,'IR data'!$M$4:$M$61,1))))/((INDEX('IR data'!$M$4:$M$61,MATCH(G374,'IR data'!$M$4:$M$61,1)+1)-INDEX('IR data'!$M$4:$M$61,MATCH(G374,'IR data'!$M$4:$M$61,1))))) * (INDEX('IR data'!$N$4:$N$61,MATCH(G374,'IR data'!$M$4:$M$61,1))-(INDEX('IR data'!$N$4:$N$61,MATCH(G374,'IR data'!$M$4:$M$61,1)+1)))))</f>
        <v>0.94804758436263736</v>
      </c>
      <c r="I374" s="44">
        <f t="shared" si="35"/>
        <v>2.2795149243264586E-2</v>
      </c>
    </row>
    <row r="375" spans="1:9" x14ac:dyDescent="0.25">
      <c r="A375" s="45">
        <f t="shared" si="31"/>
        <v>45663</v>
      </c>
      <c r="B375" s="14" cm="1">
        <f t="array" ref="B375">_xlfn.IFNA(INDEX('IR data'!$D$4:$D$61,MATCH(A375,'IR data'!$C$4:$C$61,0)),((INDEX('IR data'!$D$4:$D$61,MATCH(A375,'IR data'!$C$4:$C$61,1)))-((A375-(INDEX('IR data'!$C$4:$C$61,MATCH(A375,'IR data'!$C$4:$C$61,1))))/((INDEX('IR data'!$C$4:$C$61,MATCH(A375,'IR data'!$C$4:$C$61,1)+1)-INDEX('IR data'!$C$4:$C$61,MATCH(A375,'IR data'!$C$4:$C$61,1))))) * (INDEX('IR data'!$D$4:$D$61,MATCH(A375,'IR data'!$C$4:$C$61,1))-(INDEX('IR data'!$D$4:$D$61,MATCH(A375,'IR data'!$C$4:$C$61,1)+1)))))</f>
        <v>0.95023025713333331</v>
      </c>
      <c r="C375" s="30">
        <f t="shared" si="32"/>
        <v>2.1753945972910017E-2</v>
      </c>
      <c r="D375" s="45">
        <f t="shared" si="33"/>
        <v>45723</v>
      </c>
      <c r="E375" s="14" cm="1">
        <f t="array" ref="E375">_xlfn.IFNA(INDEX('IR data'!$I$4:$I$61,MATCH(D375,'IR data'!$H$4:$H$61,0)),((INDEX('IR data'!$I$4:$I$61,MATCH(D375,'IR data'!$H$4:$H$61,1)))-((D375-(INDEX('IR data'!$H$4:$H$61,MATCH(D375,'IR data'!$H$4:$H$61,1))))/((INDEX('IR data'!$H$4:$H$61,MATCH(D375,'IR data'!$H$4:$H$61,1)+1)-INDEX('IR data'!$H$4:$H$61,MATCH(D375,'IR data'!$H$4:$H$61,1))))) * (INDEX('IR data'!$I$4:$I$61,MATCH(D375,'IR data'!$H$4:$H$61,1))-(INDEX('IR data'!$I$4:$I$61,MATCH(D375,'IR data'!$H$4:$H$61,1)+1)))))</f>
        <v>0.94791203366304355</v>
      </c>
      <c r="F375" s="30">
        <f t="shared" si="34"/>
        <v>2.2794802764880617E-2</v>
      </c>
      <c r="G375" s="45">
        <f t="shared" si="30"/>
        <v>45757</v>
      </c>
      <c r="H375" s="14" cm="1">
        <f t="array" ref="H375">_xlfn.IFNA(INDEX('IR data'!$N$4:$N$61,MATCH(G375,'IR data'!$M$4:$M$61,0)),((INDEX('IR data'!$N$4:$N$61,MATCH(G375,'IR data'!$M$4:$M$61,1)))-((G375-(INDEX('IR data'!$M$4:$M$61,MATCH(G375,'IR data'!$M$4:$M$61,1))))/((INDEX('IR data'!$M$4:$M$61,MATCH(G375,'IR data'!$M$4:$M$61,1)+1)-INDEX('IR data'!$M$4:$M$61,MATCH(G375,'IR data'!$M$4:$M$61,1))))) * (INDEX('IR data'!$N$4:$N$61,MATCH(G375,'IR data'!$M$4:$M$61,1))-(INDEX('IR data'!$N$4:$N$61,MATCH(G375,'IR data'!$M$4:$M$61,1)+1)))))</f>
        <v>0.94792847104395606</v>
      </c>
      <c r="I375" s="44">
        <f t="shared" si="35"/>
        <v>2.2787413605176145E-2</v>
      </c>
    </row>
    <row r="376" spans="1:9" x14ac:dyDescent="0.25">
      <c r="A376" s="45">
        <f t="shared" si="31"/>
        <v>45664</v>
      </c>
      <c r="B376" s="14" cm="1">
        <f t="array" ref="B376">_xlfn.IFNA(INDEX('IR data'!$D$4:$D$61,MATCH(A376,'IR data'!$C$4:$C$61,0)),((INDEX('IR data'!$D$4:$D$61,MATCH(A376,'IR data'!$C$4:$C$61,1)))-((A376-(INDEX('IR data'!$C$4:$C$61,MATCH(A376,'IR data'!$C$4:$C$61,1))))/((INDEX('IR data'!$C$4:$C$61,MATCH(A376,'IR data'!$C$4:$C$61,1)+1)-INDEX('IR data'!$C$4:$C$61,MATCH(A376,'IR data'!$C$4:$C$61,1))))) * (INDEX('IR data'!$D$4:$D$61,MATCH(A376,'IR data'!$C$4:$C$61,1))-(INDEX('IR data'!$D$4:$D$61,MATCH(A376,'IR data'!$C$4:$C$61,1)+1)))))</f>
        <v>0.95012701151111112</v>
      </c>
      <c r="C376" s="30">
        <f t="shared" si="32"/>
        <v>2.1741802360495586E-2</v>
      </c>
      <c r="D376" s="45">
        <f t="shared" si="33"/>
        <v>45724</v>
      </c>
      <c r="E376" s="14" cm="1">
        <f t="array" ref="E376">_xlfn.IFNA(INDEX('IR data'!$I$4:$I$61,MATCH(D376,'IR data'!$H$4:$H$61,0)),((INDEX('IR data'!$I$4:$I$61,MATCH(D376,'IR data'!$H$4:$H$61,1)))-((D376-(INDEX('IR data'!$H$4:$H$61,MATCH(D376,'IR data'!$H$4:$H$61,1))))/((INDEX('IR data'!$H$4:$H$61,MATCH(D376,'IR data'!$H$4:$H$61,1)+1)-INDEX('IR data'!$H$4:$H$61,MATCH(D376,'IR data'!$H$4:$H$61,1))))) * (INDEX('IR data'!$I$4:$I$61,MATCH(D376,'IR data'!$H$4:$H$61,1))-(INDEX('IR data'!$I$4:$I$61,MATCH(D376,'IR data'!$H$4:$H$61,1)+1)))))</f>
        <v>0.94779504421739136</v>
      </c>
      <c r="F376" s="30">
        <f t="shared" si="34"/>
        <v>2.2786144110941056E-2</v>
      </c>
      <c r="G376" s="45">
        <f t="shared" si="30"/>
        <v>45758</v>
      </c>
      <c r="H376" s="14" cm="1">
        <f t="array" ref="H376">_xlfn.IFNA(INDEX('IR data'!$N$4:$N$61,MATCH(G376,'IR data'!$M$4:$M$61,0)),((INDEX('IR data'!$N$4:$N$61,MATCH(G376,'IR data'!$M$4:$M$61,1)))-((G376-(INDEX('IR data'!$M$4:$M$61,MATCH(G376,'IR data'!$M$4:$M$61,1))))/((INDEX('IR data'!$M$4:$M$61,MATCH(G376,'IR data'!$M$4:$M$61,1)+1)-INDEX('IR data'!$M$4:$M$61,MATCH(G376,'IR data'!$M$4:$M$61,1))))) * (INDEX('IR data'!$N$4:$N$61,MATCH(G376,'IR data'!$M$4:$M$61,1))-(INDEX('IR data'!$N$4:$N$61,MATCH(G376,'IR data'!$M$4:$M$61,1)+1)))))</f>
        <v>0.94780935772527475</v>
      </c>
      <c r="I376" s="44">
        <f t="shared" si="35"/>
        <v>2.2779726155276962E-2</v>
      </c>
    </row>
    <row r="377" spans="1:9" x14ac:dyDescent="0.25">
      <c r="A377" s="45">
        <f t="shared" si="31"/>
        <v>45665</v>
      </c>
      <c r="B377" s="14" cm="1">
        <f t="array" ref="B377">_xlfn.IFNA(INDEX('IR data'!$D$4:$D$61,MATCH(A377,'IR data'!$C$4:$C$61,0)),((INDEX('IR data'!$D$4:$D$61,MATCH(A377,'IR data'!$C$4:$C$61,1)))-((A377-(INDEX('IR data'!$C$4:$C$61,MATCH(A377,'IR data'!$C$4:$C$61,1))))/((INDEX('IR data'!$C$4:$C$61,MATCH(A377,'IR data'!$C$4:$C$61,1)+1)-INDEX('IR data'!$C$4:$C$61,MATCH(A377,'IR data'!$C$4:$C$61,1))))) * (INDEX('IR data'!$D$4:$D$61,MATCH(A377,'IR data'!$C$4:$C$61,1))-(INDEX('IR data'!$D$4:$D$61,MATCH(A377,'IR data'!$C$4:$C$61,1)+1)))))</f>
        <v>0.95002376588888893</v>
      </c>
      <c r="C377" s="30">
        <f t="shared" si="32"/>
        <v>2.1729728691971272E-2</v>
      </c>
      <c r="D377" s="45">
        <f t="shared" si="33"/>
        <v>45725</v>
      </c>
      <c r="E377" s="14" cm="1">
        <f t="array" ref="E377">_xlfn.IFNA(INDEX('IR data'!$I$4:$I$61,MATCH(D377,'IR data'!$H$4:$H$61,0)),((INDEX('IR data'!$I$4:$I$61,MATCH(D377,'IR data'!$H$4:$H$61,1)))-((D377-(INDEX('IR data'!$H$4:$H$61,MATCH(D377,'IR data'!$H$4:$H$61,1))))/((INDEX('IR data'!$H$4:$H$61,MATCH(D377,'IR data'!$H$4:$H$61,1)+1)-INDEX('IR data'!$H$4:$H$61,MATCH(D377,'IR data'!$H$4:$H$61,1))))) * (INDEX('IR data'!$I$4:$I$61,MATCH(D377,'IR data'!$H$4:$H$61,1))-(INDEX('IR data'!$I$4:$I$61,MATCH(D377,'IR data'!$H$4:$H$61,1)+1)))))</f>
        <v>0.94767805477173916</v>
      </c>
      <c r="F377" s="30">
        <f t="shared" si="34"/>
        <v>2.2777538217547907E-2</v>
      </c>
      <c r="G377" s="45">
        <f t="shared" si="30"/>
        <v>45759</v>
      </c>
      <c r="H377" s="14" cm="1">
        <f t="array" ref="H377">_xlfn.IFNA(INDEX('IR data'!$N$4:$N$61,MATCH(G377,'IR data'!$M$4:$M$61,0)),((INDEX('IR data'!$N$4:$N$61,MATCH(G377,'IR data'!$M$4:$M$61,1)))-((G377-(INDEX('IR data'!$M$4:$M$61,MATCH(G377,'IR data'!$M$4:$M$61,1))))/((INDEX('IR data'!$M$4:$M$61,MATCH(G377,'IR data'!$M$4:$M$61,1)+1)-INDEX('IR data'!$M$4:$M$61,MATCH(G377,'IR data'!$M$4:$M$61,1))))) * (INDEX('IR data'!$N$4:$N$61,MATCH(G377,'IR data'!$M$4:$M$61,1))-(INDEX('IR data'!$N$4:$N$61,MATCH(G377,'IR data'!$M$4:$M$61,1)+1)))))</f>
        <v>0.94769024440659344</v>
      </c>
      <c r="I377" s="44">
        <f t="shared" si="35"/>
        <v>2.2772086508712944E-2</v>
      </c>
    </row>
    <row r="378" spans="1:9" x14ac:dyDescent="0.25">
      <c r="A378" s="45">
        <f t="shared" si="31"/>
        <v>45666</v>
      </c>
      <c r="B378" s="14" cm="1">
        <f t="array" ref="B378">_xlfn.IFNA(INDEX('IR data'!$D$4:$D$61,MATCH(A378,'IR data'!$C$4:$C$61,0)),((INDEX('IR data'!$D$4:$D$61,MATCH(A378,'IR data'!$C$4:$C$61,1)))-((A378-(INDEX('IR data'!$C$4:$C$61,MATCH(A378,'IR data'!$C$4:$C$61,1))))/((INDEX('IR data'!$C$4:$C$61,MATCH(A378,'IR data'!$C$4:$C$61,1)+1)-INDEX('IR data'!$C$4:$C$61,MATCH(A378,'IR data'!$C$4:$C$61,1))))) * (INDEX('IR data'!$D$4:$D$61,MATCH(A378,'IR data'!$C$4:$C$61,1))-(INDEX('IR data'!$D$4:$D$61,MATCH(A378,'IR data'!$C$4:$C$61,1)+1)))))</f>
        <v>0.94992052026666662</v>
      </c>
      <c r="C378" s="30">
        <f t="shared" si="32"/>
        <v>2.1717724408870969E-2</v>
      </c>
      <c r="D378" s="45">
        <f t="shared" si="33"/>
        <v>45726</v>
      </c>
      <c r="E378" s="14" cm="1">
        <f t="array" ref="E378">_xlfn.IFNA(INDEX('IR data'!$I$4:$I$61,MATCH(D378,'IR data'!$H$4:$H$61,0)),((INDEX('IR data'!$I$4:$I$61,MATCH(D378,'IR data'!$H$4:$H$61,1)))-((D378-(INDEX('IR data'!$H$4:$H$61,MATCH(D378,'IR data'!$H$4:$H$61,1))))/((INDEX('IR data'!$H$4:$H$61,MATCH(D378,'IR data'!$H$4:$H$61,1)+1)-INDEX('IR data'!$H$4:$H$61,MATCH(D378,'IR data'!$H$4:$H$61,1))))) * (INDEX('IR data'!$I$4:$I$61,MATCH(D378,'IR data'!$H$4:$H$61,1))-(INDEX('IR data'!$I$4:$I$61,MATCH(D378,'IR data'!$H$4:$H$61,1)+1)))))</f>
        <v>0.94756106532608697</v>
      </c>
      <c r="F378" s="30">
        <f t="shared" si="34"/>
        <v>2.2768984664207011E-2</v>
      </c>
      <c r="G378" s="45">
        <f t="shared" si="30"/>
        <v>45760</v>
      </c>
      <c r="H378" s="14" cm="1">
        <f t="array" ref="H378">_xlfn.IFNA(INDEX('IR data'!$N$4:$N$61,MATCH(G378,'IR data'!$M$4:$M$61,0)),((INDEX('IR data'!$N$4:$N$61,MATCH(G378,'IR data'!$M$4:$M$61,1)))-((G378-(INDEX('IR data'!$M$4:$M$61,MATCH(G378,'IR data'!$M$4:$M$61,1))))/((INDEX('IR data'!$M$4:$M$61,MATCH(G378,'IR data'!$M$4:$M$61,1)+1)-INDEX('IR data'!$M$4:$M$61,MATCH(G378,'IR data'!$M$4:$M$61,1))))) * (INDEX('IR data'!$N$4:$N$61,MATCH(G378,'IR data'!$M$4:$M$61,1))-(INDEX('IR data'!$N$4:$N$61,MATCH(G378,'IR data'!$M$4:$M$61,1)+1)))))</f>
        <v>0.94757113108791202</v>
      </c>
      <c r="I378" s="44">
        <f t="shared" si="35"/>
        <v>2.2764494284735773E-2</v>
      </c>
    </row>
    <row r="379" spans="1:9" x14ac:dyDescent="0.25">
      <c r="A379" s="45">
        <f t="shared" si="31"/>
        <v>45667</v>
      </c>
      <c r="B379" s="14" cm="1">
        <f t="array" ref="B379">_xlfn.IFNA(INDEX('IR data'!$D$4:$D$61,MATCH(A379,'IR data'!$C$4:$C$61,0)),((INDEX('IR data'!$D$4:$D$61,MATCH(A379,'IR data'!$C$4:$C$61,1)))-((A379-(INDEX('IR data'!$C$4:$C$61,MATCH(A379,'IR data'!$C$4:$C$61,1))))/((INDEX('IR data'!$C$4:$C$61,MATCH(A379,'IR data'!$C$4:$C$61,1)+1)-INDEX('IR data'!$C$4:$C$61,MATCH(A379,'IR data'!$C$4:$C$61,1))))) * (INDEX('IR data'!$D$4:$D$61,MATCH(A379,'IR data'!$C$4:$C$61,1))-(INDEX('IR data'!$D$4:$D$61,MATCH(A379,'IR data'!$C$4:$C$61,1)+1)))))</f>
        <v>0.94981727464444443</v>
      </c>
      <c r="C379" s="30">
        <f t="shared" si="32"/>
        <v>2.1705788958669914E-2</v>
      </c>
      <c r="D379" s="45">
        <f t="shared" si="33"/>
        <v>45727</v>
      </c>
      <c r="E379" s="14" cm="1">
        <f t="array" ref="E379">_xlfn.IFNA(INDEX('IR data'!$I$4:$I$61,MATCH(D379,'IR data'!$H$4:$H$61,0)),((INDEX('IR data'!$I$4:$I$61,MATCH(D379,'IR data'!$H$4:$H$61,1)))-((D379-(INDEX('IR data'!$H$4:$H$61,MATCH(D379,'IR data'!$H$4:$H$61,1))))/((INDEX('IR data'!$H$4:$H$61,MATCH(D379,'IR data'!$H$4:$H$61,1)+1)-INDEX('IR data'!$H$4:$H$61,MATCH(D379,'IR data'!$H$4:$H$61,1))))) * (INDEX('IR data'!$I$4:$I$61,MATCH(D379,'IR data'!$H$4:$H$61,1))-(INDEX('IR data'!$I$4:$I$61,MATCH(D379,'IR data'!$H$4:$H$61,1)+1)))))</f>
        <v>0.94744407588043478</v>
      </c>
      <c r="F379" s="30">
        <f t="shared" si="34"/>
        <v>2.2760483034898134E-2</v>
      </c>
      <c r="G379" s="45">
        <f t="shared" si="30"/>
        <v>45761</v>
      </c>
      <c r="H379" s="14" cm="1">
        <f t="array" ref="H379">_xlfn.IFNA(INDEX('IR data'!$N$4:$N$61,MATCH(G379,'IR data'!$M$4:$M$61,0)),((INDEX('IR data'!$N$4:$N$61,MATCH(G379,'IR data'!$M$4:$M$61,1)))-((G379-(INDEX('IR data'!$M$4:$M$61,MATCH(G379,'IR data'!$M$4:$M$61,1))))/((INDEX('IR data'!$M$4:$M$61,MATCH(G379,'IR data'!$M$4:$M$61,1)+1)-INDEX('IR data'!$M$4:$M$61,MATCH(G379,'IR data'!$M$4:$M$61,1))))) * (INDEX('IR data'!$N$4:$N$61,MATCH(G379,'IR data'!$M$4:$M$61,1))-(INDEX('IR data'!$N$4:$N$61,MATCH(G379,'IR data'!$M$4:$M$61,1)+1)))))</f>
        <v>0.94745201776923071</v>
      </c>
      <c r="I379" s="44">
        <f t="shared" si="35"/>
        <v>2.2756949106648147E-2</v>
      </c>
    </row>
    <row r="380" spans="1:9" x14ac:dyDescent="0.25">
      <c r="A380" s="45">
        <f t="shared" si="31"/>
        <v>45668</v>
      </c>
      <c r="B380" s="14" cm="1">
        <f t="array" ref="B380">_xlfn.IFNA(INDEX('IR data'!$D$4:$D$61,MATCH(A380,'IR data'!$C$4:$C$61,0)),((INDEX('IR data'!$D$4:$D$61,MATCH(A380,'IR data'!$C$4:$C$61,1)))-((A380-(INDEX('IR data'!$C$4:$C$61,MATCH(A380,'IR data'!$C$4:$C$61,1))))/((INDEX('IR data'!$C$4:$C$61,MATCH(A380,'IR data'!$C$4:$C$61,1)+1)-INDEX('IR data'!$C$4:$C$61,MATCH(A380,'IR data'!$C$4:$C$61,1))))) * (INDEX('IR data'!$D$4:$D$61,MATCH(A380,'IR data'!$C$4:$C$61,1))-(INDEX('IR data'!$D$4:$D$61,MATCH(A380,'IR data'!$C$4:$C$61,1)+1)))))</f>
        <v>0.94971402902222224</v>
      </c>
      <c r="C380" s="30">
        <f t="shared" si="32"/>
        <v>2.1693921794706163E-2</v>
      </c>
      <c r="D380" s="45">
        <f t="shared" si="33"/>
        <v>45728</v>
      </c>
      <c r="E380" s="14" cm="1">
        <f t="array" ref="E380">_xlfn.IFNA(INDEX('IR data'!$I$4:$I$61,MATCH(D380,'IR data'!$H$4:$H$61,0)),((INDEX('IR data'!$I$4:$I$61,MATCH(D380,'IR data'!$H$4:$H$61,1)))-((D380-(INDEX('IR data'!$H$4:$H$61,MATCH(D380,'IR data'!$H$4:$H$61,1))))/((INDEX('IR data'!$H$4:$H$61,MATCH(D380,'IR data'!$H$4:$H$61,1)+1)-INDEX('IR data'!$H$4:$H$61,MATCH(D380,'IR data'!$H$4:$H$61,1))))) * (INDEX('IR data'!$I$4:$I$61,MATCH(D380,'IR data'!$H$4:$H$61,1))-(INDEX('IR data'!$I$4:$I$61,MATCH(D380,'IR data'!$H$4:$H$61,1)+1)))))</f>
        <v>0.94732708643478258</v>
      </c>
      <c r="F380" s="30">
        <f t="shared" si="34"/>
        <v>2.2752032918015627E-2</v>
      </c>
      <c r="G380" s="45">
        <f t="shared" si="30"/>
        <v>45762</v>
      </c>
      <c r="H380" s="14" cm="1">
        <f t="array" ref="H380">_xlfn.IFNA(INDEX('IR data'!$N$4:$N$61,MATCH(G380,'IR data'!$M$4:$M$61,0)),((INDEX('IR data'!$N$4:$N$61,MATCH(G380,'IR data'!$M$4:$M$61,1)))-((G380-(INDEX('IR data'!$M$4:$M$61,MATCH(G380,'IR data'!$M$4:$M$61,1))))/((INDEX('IR data'!$M$4:$M$61,MATCH(G380,'IR data'!$M$4:$M$61,1)+1)-INDEX('IR data'!$M$4:$M$61,MATCH(G380,'IR data'!$M$4:$M$61,1))))) * (INDEX('IR data'!$N$4:$N$61,MATCH(G380,'IR data'!$M$4:$M$61,1))-(INDEX('IR data'!$N$4:$N$61,MATCH(G380,'IR data'!$M$4:$M$61,1)+1)))))</f>
        <v>0.94733290445054941</v>
      </c>
      <c r="I380" s="44">
        <f t="shared" si="35"/>
        <v>2.2749450601750317E-2</v>
      </c>
    </row>
    <row r="381" spans="1:9" x14ac:dyDescent="0.25">
      <c r="A381" s="45">
        <f t="shared" si="31"/>
        <v>45669</v>
      </c>
      <c r="B381" s="14" cm="1">
        <f t="array" ref="B381">_xlfn.IFNA(INDEX('IR data'!$D$4:$D$61,MATCH(A381,'IR data'!$C$4:$C$61,0)),((INDEX('IR data'!$D$4:$D$61,MATCH(A381,'IR data'!$C$4:$C$61,1)))-((A381-(INDEX('IR data'!$C$4:$C$61,MATCH(A381,'IR data'!$C$4:$C$61,1))))/((INDEX('IR data'!$C$4:$C$61,MATCH(A381,'IR data'!$C$4:$C$61,1)+1)-INDEX('IR data'!$C$4:$C$61,MATCH(A381,'IR data'!$C$4:$C$61,1))))) * (INDEX('IR data'!$D$4:$D$61,MATCH(A381,'IR data'!$C$4:$C$61,1))-(INDEX('IR data'!$D$4:$D$61,MATCH(A381,'IR data'!$C$4:$C$61,1)+1)))))</f>
        <v>0.94961078340000005</v>
      </c>
      <c r="C381" s="30">
        <f t="shared" si="32"/>
        <v>2.1682122376102866E-2</v>
      </c>
      <c r="D381" s="45">
        <f t="shared" si="33"/>
        <v>45729</v>
      </c>
      <c r="E381" s="14" cm="1">
        <f t="array" ref="E381">_xlfn.IFNA(INDEX('IR data'!$I$4:$I$61,MATCH(D381,'IR data'!$H$4:$H$61,0)),((INDEX('IR data'!$I$4:$I$61,MATCH(D381,'IR data'!$H$4:$H$61,1)))-((D381-(INDEX('IR data'!$H$4:$H$61,MATCH(D381,'IR data'!$H$4:$H$61,1))))/((INDEX('IR data'!$H$4:$H$61,MATCH(D381,'IR data'!$H$4:$H$61,1)+1)-INDEX('IR data'!$H$4:$H$61,MATCH(D381,'IR data'!$H$4:$H$61,1))))) * (INDEX('IR data'!$I$4:$I$61,MATCH(D381,'IR data'!$H$4:$H$61,1))-(INDEX('IR data'!$I$4:$I$61,MATCH(D381,'IR data'!$H$4:$H$61,1)+1)))))</f>
        <v>0.9472100969891305</v>
      </c>
      <c r="F381" s="30">
        <f t="shared" si="34"/>
        <v>2.2743633906310009E-2</v>
      </c>
      <c r="G381" s="45">
        <f t="shared" si="30"/>
        <v>45763</v>
      </c>
      <c r="H381" s="14" cm="1">
        <f t="array" ref="H381">_xlfn.IFNA(INDEX('IR data'!$N$4:$N$61,MATCH(G381,'IR data'!$M$4:$M$61,0)),((INDEX('IR data'!$N$4:$N$61,MATCH(G381,'IR data'!$M$4:$M$61,1)))-((G381-(INDEX('IR data'!$M$4:$M$61,MATCH(G381,'IR data'!$M$4:$M$61,1))))/((INDEX('IR data'!$M$4:$M$61,MATCH(G381,'IR data'!$M$4:$M$61,1)+1)-INDEX('IR data'!$M$4:$M$61,MATCH(G381,'IR data'!$M$4:$M$61,1))))) * (INDEX('IR data'!$N$4:$N$61,MATCH(G381,'IR data'!$M$4:$M$61,1))-(INDEX('IR data'!$N$4:$N$61,MATCH(G381,'IR data'!$M$4:$M$61,1)+1)))))</f>
        <v>0.9472137911318681</v>
      </c>
      <c r="I381" s="44">
        <f t="shared" si="35"/>
        <v>2.2741998401287034E-2</v>
      </c>
    </row>
    <row r="382" spans="1:9" x14ac:dyDescent="0.25">
      <c r="A382" s="45">
        <f t="shared" si="31"/>
        <v>45670</v>
      </c>
      <c r="B382" s="14" cm="1">
        <f t="array" ref="B382">_xlfn.IFNA(INDEX('IR data'!$D$4:$D$61,MATCH(A382,'IR data'!$C$4:$C$61,0)),((INDEX('IR data'!$D$4:$D$61,MATCH(A382,'IR data'!$C$4:$C$61,1)))-((A382-(INDEX('IR data'!$C$4:$C$61,MATCH(A382,'IR data'!$C$4:$C$61,1))))/((INDEX('IR data'!$C$4:$C$61,MATCH(A382,'IR data'!$C$4:$C$61,1)+1)-INDEX('IR data'!$C$4:$C$61,MATCH(A382,'IR data'!$C$4:$C$61,1))))) * (INDEX('IR data'!$D$4:$D$61,MATCH(A382,'IR data'!$C$4:$C$61,1))-(INDEX('IR data'!$D$4:$D$61,MATCH(A382,'IR data'!$C$4:$C$61,1)+1)))))</f>
        <v>0.94950753777777774</v>
      </c>
      <c r="C382" s="30">
        <f t="shared" si="32"/>
        <v>2.1670390167692021E-2</v>
      </c>
      <c r="D382" s="45">
        <f t="shared" si="33"/>
        <v>45730</v>
      </c>
      <c r="E382" s="14" cm="1">
        <f t="array" ref="E382">_xlfn.IFNA(INDEX('IR data'!$I$4:$I$61,MATCH(D382,'IR data'!$H$4:$H$61,0)),((INDEX('IR data'!$I$4:$I$61,MATCH(D382,'IR data'!$H$4:$H$61,1)))-((D382-(INDEX('IR data'!$H$4:$H$61,MATCH(D382,'IR data'!$H$4:$H$61,1))))/((INDEX('IR data'!$H$4:$H$61,MATCH(D382,'IR data'!$H$4:$H$61,1)+1)-INDEX('IR data'!$H$4:$H$61,MATCH(D382,'IR data'!$H$4:$H$61,1))))) * (INDEX('IR data'!$I$4:$I$61,MATCH(D382,'IR data'!$H$4:$H$61,1))-(INDEX('IR data'!$I$4:$I$61,MATCH(D382,'IR data'!$H$4:$H$61,1)+1)))))</f>
        <v>0.94709310754347831</v>
      </c>
      <c r="F382" s="30">
        <f t="shared" si="34"/>
        <v>2.2735285596830648E-2</v>
      </c>
      <c r="G382" s="45">
        <f t="shared" si="30"/>
        <v>45764</v>
      </c>
      <c r="H382" s="14" cm="1">
        <f t="array" ref="H382">_xlfn.IFNA(INDEX('IR data'!$N$4:$N$61,MATCH(G382,'IR data'!$M$4:$M$61,0)),((INDEX('IR data'!$N$4:$N$61,MATCH(G382,'IR data'!$M$4:$M$61,1)))-((G382-(INDEX('IR data'!$M$4:$M$61,MATCH(G382,'IR data'!$M$4:$M$61,1))))/((INDEX('IR data'!$M$4:$M$61,MATCH(G382,'IR data'!$M$4:$M$61,1)+1)-INDEX('IR data'!$M$4:$M$61,MATCH(G382,'IR data'!$M$4:$M$61,1))))) * (INDEX('IR data'!$N$4:$N$61,MATCH(G382,'IR data'!$M$4:$M$61,1))-(INDEX('IR data'!$N$4:$N$61,MATCH(G382,'IR data'!$M$4:$M$61,1)+1)))))</f>
        <v>0.94709467781318679</v>
      </c>
      <c r="I382" s="44">
        <f t="shared" si="35"/>
        <v>2.2734592140395547E-2</v>
      </c>
    </row>
    <row r="383" spans="1:9" x14ac:dyDescent="0.25">
      <c r="A383" s="45">
        <f t="shared" si="31"/>
        <v>45671</v>
      </c>
      <c r="B383" s="14" cm="1">
        <f t="array" ref="B383">_xlfn.IFNA(INDEX('IR data'!$D$4:$D$61,MATCH(A383,'IR data'!$C$4:$C$61,0)),((INDEX('IR data'!$D$4:$D$61,MATCH(A383,'IR data'!$C$4:$C$61,1)))-((A383-(INDEX('IR data'!$C$4:$C$61,MATCH(A383,'IR data'!$C$4:$C$61,1))))/((INDEX('IR data'!$C$4:$C$61,MATCH(A383,'IR data'!$C$4:$C$61,1)+1)-INDEX('IR data'!$C$4:$C$61,MATCH(A383,'IR data'!$C$4:$C$61,1))))) * (INDEX('IR data'!$D$4:$D$61,MATCH(A383,'IR data'!$C$4:$C$61,1))-(INDEX('IR data'!$D$4:$D$61,MATCH(A383,'IR data'!$C$4:$C$61,1)+1)))))</f>
        <v>0.94940429215555555</v>
      </c>
      <c r="C383" s="30">
        <f t="shared" si="32"/>
        <v>2.16587246399392E-2</v>
      </c>
      <c r="D383" s="45">
        <f t="shared" si="33"/>
        <v>45731</v>
      </c>
      <c r="E383" s="14" cm="1">
        <f t="array" ref="E383">_xlfn.IFNA(INDEX('IR data'!$I$4:$I$61,MATCH(D383,'IR data'!$H$4:$H$61,0)),((INDEX('IR data'!$I$4:$I$61,MATCH(D383,'IR data'!$H$4:$H$61,1)))-((D383-(INDEX('IR data'!$H$4:$H$61,MATCH(D383,'IR data'!$H$4:$H$61,1))))/((INDEX('IR data'!$H$4:$H$61,MATCH(D383,'IR data'!$H$4:$H$61,1)+1)-INDEX('IR data'!$H$4:$H$61,MATCH(D383,'IR data'!$H$4:$H$61,1))))) * (INDEX('IR data'!$I$4:$I$61,MATCH(D383,'IR data'!$H$4:$H$61,1))-(INDEX('IR data'!$I$4:$I$61,MATCH(D383,'IR data'!$H$4:$H$61,1)+1)))))</f>
        <v>0.94697611809782611</v>
      </c>
      <c r="F383" s="30">
        <f t="shared" si="34"/>
        <v>2.2726987590868972E-2</v>
      </c>
      <c r="G383" s="45">
        <f t="shared" si="30"/>
        <v>45765</v>
      </c>
      <c r="H383" s="14" cm="1">
        <f t="array" ref="H383">_xlfn.IFNA(INDEX('IR data'!$N$4:$N$61,MATCH(G383,'IR data'!$M$4:$M$61,0)),((INDEX('IR data'!$N$4:$N$61,MATCH(G383,'IR data'!$M$4:$M$61,1)))-((G383-(INDEX('IR data'!$M$4:$M$61,MATCH(G383,'IR data'!$M$4:$M$61,1))))/((INDEX('IR data'!$M$4:$M$61,MATCH(G383,'IR data'!$M$4:$M$61,1)+1)-INDEX('IR data'!$M$4:$M$61,MATCH(G383,'IR data'!$M$4:$M$61,1))))) * (INDEX('IR data'!$N$4:$N$61,MATCH(G383,'IR data'!$M$4:$M$61,1))-(INDEX('IR data'!$N$4:$N$61,MATCH(G383,'IR data'!$M$4:$M$61,1)+1)))))</f>
        <v>0.94697556449450548</v>
      </c>
      <c r="I383" s="44">
        <f t="shared" si="35"/>
        <v>2.272723145805439E-2</v>
      </c>
    </row>
    <row r="384" spans="1:9" x14ac:dyDescent="0.25">
      <c r="A384" s="45">
        <f t="shared" si="31"/>
        <v>45672</v>
      </c>
      <c r="B384" s="14" cm="1">
        <f t="array" ref="B384">_xlfn.IFNA(INDEX('IR data'!$D$4:$D$61,MATCH(A384,'IR data'!$C$4:$C$61,0)),((INDEX('IR data'!$D$4:$D$61,MATCH(A384,'IR data'!$C$4:$C$61,1)))-((A384-(INDEX('IR data'!$C$4:$C$61,MATCH(A384,'IR data'!$C$4:$C$61,1))))/((INDEX('IR data'!$C$4:$C$61,MATCH(A384,'IR data'!$C$4:$C$61,1)+1)-INDEX('IR data'!$C$4:$C$61,MATCH(A384,'IR data'!$C$4:$C$61,1))))) * (INDEX('IR data'!$D$4:$D$61,MATCH(A384,'IR data'!$C$4:$C$61,1))-(INDEX('IR data'!$D$4:$D$61,MATCH(A384,'IR data'!$C$4:$C$61,1)+1)))))</f>
        <v>0.94930104653333336</v>
      </c>
      <c r="C384" s="30">
        <f t="shared" si="32"/>
        <v>2.1647125268869857E-2</v>
      </c>
      <c r="D384" s="45">
        <f t="shared" si="33"/>
        <v>45732</v>
      </c>
      <c r="E384" s="14" cm="1">
        <f t="array" ref="E384">_xlfn.IFNA(INDEX('IR data'!$I$4:$I$61,MATCH(D384,'IR data'!$H$4:$H$61,0)),((INDEX('IR data'!$I$4:$I$61,MATCH(D384,'IR data'!$H$4:$H$61,1)))-((D384-(INDEX('IR data'!$H$4:$H$61,MATCH(D384,'IR data'!$H$4:$H$61,1))))/((INDEX('IR data'!$H$4:$H$61,MATCH(D384,'IR data'!$H$4:$H$61,1)+1)-INDEX('IR data'!$H$4:$H$61,MATCH(D384,'IR data'!$H$4:$H$61,1))))) * (INDEX('IR data'!$I$4:$I$61,MATCH(D384,'IR data'!$H$4:$H$61,1))-(INDEX('IR data'!$I$4:$I$61,MATCH(D384,'IR data'!$H$4:$H$61,1)+1)))))</f>
        <v>0.94685912865217392</v>
      </c>
      <c r="F384" s="30">
        <f t="shared" si="34"/>
        <v>2.271873949390292E-2</v>
      </c>
      <c r="G384" s="45">
        <f t="shared" si="30"/>
        <v>45766</v>
      </c>
      <c r="H384" s="14" cm="1">
        <f t="array" ref="H384">_xlfn.IFNA(INDEX('IR data'!$N$4:$N$61,MATCH(G384,'IR data'!$M$4:$M$61,0)),((INDEX('IR data'!$N$4:$N$61,MATCH(G384,'IR data'!$M$4:$M$61,1)))-((G384-(INDEX('IR data'!$M$4:$M$61,MATCH(G384,'IR data'!$M$4:$M$61,1))))/((INDEX('IR data'!$M$4:$M$61,MATCH(G384,'IR data'!$M$4:$M$61,1)+1)-INDEX('IR data'!$M$4:$M$61,MATCH(G384,'IR data'!$M$4:$M$61,1))))) * (INDEX('IR data'!$N$4:$N$61,MATCH(G384,'IR data'!$M$4:$M$61,1))-(INDEX('IR data'!$N$4:$N$61,MATCH(G384,'IR data'!$M$4:$M$61,1)+1)))))</f>
        <v>0.94685645117582418</v>
      </c>
      <c r="I384" s="44">
        <f t="shared" si="35"/>
        <v>2.2719915997032977E-2</v>
      </c>
    </row>
    <row r="385" spans="1:9" x14ac:dyDescent="0.25">
      <c r="A385" s="45">
        <f t="shared" si="31"/>
        <v>45673</v>
      </c>
      <c r="B385" s="14" cm="1">
        <f t="array" ref="B385">_xlfn.IFNA(INDEX('IR data'!$D$4:$D$61,MATCH(A385,'IR data'!$C$4:$C$61,0)),((INDEX('IR data'!$D$4:$D$61,MATCH(A385,'IR data'!$C$4:$C$61,1)))-((A385-(INDEX('IR data'!$C$4:$C$61,MATCH(A385,'IR data'!$C$4:$C$61,1))))/((INDEX('IR data'!$C$4:$C$61,MATCH(A385,'IR data'!$C$4:$C$61,1)+1)-INDEX('IR data'!$C$4:$C$61,MATCH(A385,'IR data'!$C$4:$C$61,1))))) * (INDEX('IR data'!$D$4:$D$61,MATCH(A385,'IR data'!$C$4:$C$61,1))-(INDEX('IR data'!$D$4:$D$61,MATCH(A385,'IR data'!$C$4:$C$61,1)+1)))))</f>
        <v>0.94919780091111117</v>
      </c>
      <c r="C385" s="30">
        <f t="shared" si="32"/>
        <v>2.1635591535996417E-2</v>
      </c>
      <c r="D385" s="45">
        <f t="shared" si="33"/>
        <v>45733</v>
      </c>
      <c r="E385" s="14" cm="1">
        <f t="array" ref="E385">_xlfn.IFNA(INDEX('IR data'!$I$4:$I$61,MATCH(D385,'IR data'!$H$4:$H$61,0)),((INDEX('IR data'!$I$4:$I$61,MATCH(D385,'IR data'!$H$4:$H$61,1)))-((D385-(INDEX('IR data'!$H$4:$H$61,MATCH(D385,'IR data'!$H$4:$H$61,1))))/((INDEX('IR data'!$H$4:$H$61,MATCH(D385,'IR data'!$H$4:$H$61,1)+1)-INDEX('IR data'!$H$4:$H$61,MATCH(D385,'IR data'!$H$4:$H$61,1))))) * (INDEX('IR data'!$I$4:$I$61,MATCH(D385,'IR data'!$H$4:$H$61,1))-(INDEX('IR data'!$I$4:$I$61,MATCH(D385,'IR data'!$H$4:$H$61,1)+1)))))</f>
        <v>0.94674213920652173</v>
      </c>
      <c r="F385" s="30">
        <f t="shared" si="34"/>
        <v>2.2710540915542157E-2</v>
      </c>
      <c r="G385" s="45">
        <f t="shared" si="30"/>
        <v>45767</v>
      </c>
      <c r="H385" s="14" cm="1">
        <f t="array" ref="H385">_xlfn.IFNA(INDEX('IR data'!$N$4:$N$61,MATCH(G385,'IR data'!$M$4:$M$61,0)),((INDEX('IR data'!$N$4:$N$61,MATCH(G385,'IR data'!$M$4:$M$61,1)))-((G385-(INDEX('IR data'!$M$4:$M$61,MATCH(G385,'IR data'!$M$4:$M$61,1))))/((INDEX('IR data'!$M$4:$M$61,MATCH(G385,'IR data'!$M$4:$M$61,1)+1)-INDEX('IR data'!$M$4:$M$61,MATCH(G385,'IR data'!$M$4:$M$61,1))))) * (INDEX('IR data'!$N$4:$N$61,MATCH(G385,'IR data'!$M$4:$M$61,1))-(INDEX('IR data'!$N$4:$N$61,MATCH(G385,'IR data'!$M$4:$M$61,1)+1)))))</f>
        <v>0.94673733785714287</v>
      </c>
      <c r="I385" s="44">
        <f t="shared" si="35"/>
        <v>2.2712645403841984E-2</v>
      </c>
    </row>
    <row r="386" spans="1:9" x14ac:dyDescent="0.25">
      <c r="A386" s="45">
        <f t="shared" si="31"/>
        <v>45674</v>
      </c>
      <c r="B386" s="14" cm="1">
        <f t="array" ref="B386">_xlfn.IFNA(INDEX('IR data'!$D$4:$D$61,MATCH(A386,'IR data'!$C$4:$C$61,0)),((INDEX('IR data'!$D$4:$D$61,MATCH(A386,'IR data'!$C$4:$C$61,1)))-((A386-(INDEX('IR data'!$C$4:$C$61,MATCH(A386,'IR data'!$C$4:$C$61,1))))/((INDEX('IR data'!$C$4:$C$61,MATCH(A386,'IR data'!$C$4:$C$61,1)+1)-INDEX('IR data'!$C$4:$C$61,MATCH(A386,'IR data'!$C$4:$C$61,1))))) * (INDEX('IR data'!$D$4:$D$61,MATCH(A386,'IR data'!$C$4:$C$61,1))-(INDEX('IR data'!$D$4:$D$61,MATCH(A386,'IR data'!$C$4:$C$61,1)+1)))))</f>
        <v>0.94909455528888886</v>
      </c>
      <c r="C386" s="30">
        <f t="shared" si="32"/>
        <v>2.1624122928246704E-2</v>
      </c>
      <c r="D386" s="45">
        <f t="shared" si="33"/>
        <v>45734</v>
      </c>
      <c r="E386" s="14" cm="1">
        <f t="array" ref="E386">_xlfn.IFNA(INDEX('IR data'!$I$4:$I$61,MATCH(D386,'IR data'!$H$4:$H$61,0)),((INDEX('IR data'!$I$4:$I$61,MATCH(D386,'IR data'!$H$4:$H$61,1)))-((D386-(INDEX('IR data'!$H$4:$H$61,MATCH(D386,'IR data'!$H$4:$H$61,1))))/((INDEX('IR data'!$H$4:$H$61,MATCH(D386,'IR data'!$H$4:$H$61,1)+1)-INDEX('IR data'!$H$4:$H$61,MATCH(D386,'IR data'!$H$4:$H$61,1))))) * (INDEX('IR data'!$I$4:$I$61,MATCH(D386,'IR data'!$H$4:$H$61,1))-(INDEX('IR data'!$I$4:$I$61,MATCH(D386,'IR data'!$H$4:$H$61,1)+1)))))</f>
        <v>0.94662514976086953</v>
      </c>
      <c r="F386" s="30">
        <f t="shared" si="34"/>
        <v>2.2702391469474094E-2</v>
      </c>
      <c r="G386" s="45">
        <f t="shared" si="30"/>
        <v>45768</v>
      </c>
      <c r="H386" s="14" cm="1">
        <f t="array" ref="H386">_xlfn.IFNA(INDEX('IR data'!$N$4:$N$61,MATCH(G386,'IR data'!$M$4:$M$61,0)),((INDEX('IR data'!$N$4:$N$61,MATCH(G386,'IR data'!$M$4:$M$61,1)))-((G386-(INDEX('IR data'!$M$4:$M$61,MATCH(G386,'IR data'!$M$4:$M$61,1))))/((INDEX('IR data'!$M$4:$M$61,MATCH(G386,'IR data'!$M$4:$M$61,1)+1)-INDEX('IR data'!$M$4:$M$61,MATCH(G386,'IR data'!$M$4:$M$61,1))))) * (INDEX('IR data'!$N$4:$N$61,MATCH(G386,'IR data'!$M$4:$M$61,1))-(INDEX('IR data'!$N$4:$N$61,MATCH(G386,'IR data'!$M$4:$M$61,1)+1)))))</f>
        <v>0.94661822453846156</v>
      </c>
      <c r="I386" s="44">
        <f t="shared" si="35"/>
        <v>2.2705419328684494E-2</v>
      </c>
    </row>
    <row r="387" spans="1:9" x14ac:dyDescent="0.25">
      <c r="A387" s="45">
        <f t="shared" si="31"/>
        <v>45675</v>
      </c>
      <c r="B387" s="14" cm="1">
        <f t="array" ref="B387">_xlfn.IFNA(INDEX('IR data'!$D$4:$D$61,MATCH(A387,'IR data'!$C$4:$C$61,0)),((INDEX('IR data'!$D$4:$D$61,MATCH(A387,'IR data'!$C$4:$C$61,1)))-((A387-(INDEX('IR data'!$C$4:$C$61,MATCH(A387,'IR data'!$C$4:$C$61,1))))/((INDEX('IR data'!$C$4:$C$61,MATCH(A387,'IR data'!$C$4:$C$61,1)+1)-INDEX('IR data'!$C$4:$C$61,MATCH(A387,'IR data'!$C$4:$C$61,1))))) * (INDEX('IR data'!$D$4:$D$61,MATCH(A387,'IR data'!$C$4:$C$61,1))-(INDEX('IR data'!$D$4:$D$61,MATCH(A387,'IR data'!$C$4:$C$61,1)+1)))))</f>
        <v>0.94899130966666667</v>
      </c>
      <c r="C387" s="30">
        <f t="shared" si="32"/>
        <v>2.1612718937893245E-2</v>
      </c>
      <c r="D387" s="45">
        <f t="shared" si="33"/>
        <v>45735</v>
      </c>
      <c r="E387" s="14" cm="1">
        <f t="array" ref="E387">_xlfn.IFNA(INDEX('IR data'!$I$4:$I$61,MATCH(D387,'IR data'!$H$4:$H$61,0)),((INDEX('IR data'!$I$4:$I$61,MATCH(D387,'IR data'!$H$4:$H$61,1)))-((D387-(INDEX('IR data'!$H$4:$H$61,MATCH(D387,'IR data'!$H$4:$H$61,1))))/((INDEX('IR data'!$H$4:$H$61,MATCH(D387,'IR data'!$H$4:$H$61,1)+1)-INDEX('IR data'!$H$4:$H$61,MATCH(D387,'IR data'!$H$4:$H$61,1))))) * (INDEX('IR data'!$I$4:$I$61,MATCH(D387,'IR data'!$H$4:$H$61,1))-(INDEX('IR data'!$I$4:$I$61,MATCH(D387,'IR data'!$H$4:$H$61,1)+1)))))</f>
        <v>0.94650816031521745</v>
      </c>
      <c r="F387" s="30">
        <f t="shared" si="34"/>
        <v>2.2694290773410779E-2</v>
      </c>
      <c r="G387" s="45">
        <f t="shared" ref="G387:G450" si="36">G386+1</f>
        <v>45769</v>
      </c>
      <c r="H387" s="14" cm="1">
        <f t="array" ref="H387">_xlfn.IFNA(INDEX('IR data'!$N$4:$N$61,MATCH(G387,'IR data'!$M$4:$M$61,0)),((INDEX('IR data'!$N$4:$N$61,MATCH(G387,'IR data'!$M$4:$M$61,1)))-((G387-(INDEX('IR data'!$M$4:$M$61,MATCH(G387,'IR data'!$M$4:$M$61,1))))/((INDEX('IR data'!$M$4:$M$61,MATCH(G387,'IR data'!$M$4:$M$61,1)+1)-INDEX('IR data'!$M$4:$M$61,MATCH(G387,'IR data'!$M$4:$M$61,1))))) * (INDEX('IR data'!$N$4:$N$61,MATCH(G387,'IR data'!$M$4:$M$61,1))-(INDEX('IR data'!$N$4:$N$61,MATCH(G387,'IR data'!$M$4:$M$61,1)+1)))))</f>
        <v>0.94649911121978025</v>
      </c>
      <c r="I387" s="44">
        <f t="shared" si="35"/>
        <v>2.2698237425407934E-2</v>
      </c>
    </row>
    <row r="388" spans="1:9" x14ac:dyDescent="0.25">
      <c r="A388" s="45">
        <f t="shared" si="31"/>
        <v>45676</v>
      </c>
      <c r="B388" s="14" cm="1">
        <f t="array" ref="B388">_xlfn.IFNA(INDEX('IR data'!$D$4:$D$61,MATCH(A388,'IR data'!$C$4:$C$61,0)),((INDEX('IR data'!$D$4:$D$61,MATCH(A388,'IR data'!$C$4:$C$61,1)))-((A388-(INDEX('IR data'!$C$4:$C$61,MATCH(A388,'IR data'!$C$4:$C$61,1))))/((INDEX('IR data'!$C$4:$C$61,MATCH(A388,'IR data'!$C$4:$C$61,1)+1)-INDEX('IR data'!$C$4:$C$61,MATCH(A388,'IR data'!$C$4:$C$61,1))))) * (INDEX('IR data'!$D$4:$D$61,MATCH(A388,'IR data'!$C$4:$C$61,1))-(INDEX('IR data'!$D$4:$D$61,MATCH(A388,'IR data'!$C$4:$C$61,1)+1)))))</f>
        <v>0.94888806404444448</v>
      </c>
      <c r="C388" s="30">
        <f t="shared" si="32"/>
        <v>2.160137906248414E-2</v>
      </c>
      <c r="D388" s="45">
        <f t="shared" si="33"/>
        <v>45736</v>
      </c>
      <c r="E388" s="14" cm="1">
        <f t="array" ref="E388">_xlfn.IFNA(INDEX('IR data'!$I$4:$I$61,MATCH(D388,'IR data'!$H$4:$H$61,0)),((INDEX('IR data'!$I$4:$I$61,MATCH(D388,'IR data'!$H$4:$H$61,1)))-((D388-(INDEX('IR data'!$H$4:$H$61,MATCH(D388,'IR data'!$H$4:$H$61,1))))/((INDEX('IR data'!$H$4:$H$61,MATCH(D388,'IR data'!$H$4:$H$61,1)+1)-INDEX('IR data'!$H$4:$H$61,MATCH(D388,'IR data'!$H$4:$H$61,1))))) * (INDEX('IR data'!$I$4:$I$61,MATCH(D388,'IR data'!$H$4:$H$61,1))-(INDEX('IR data'!$I$4:$I$61,MATCH(D388,'IR data'!$H$4:$H$61,1)+1)))))</f>
        <v>0.94639117086956526</v>
      </c>
      <c r="F388" s="30">
        <f t="shared" si="34"/>
        <v>2.2686238449036777E-2</v>
      </c>
      <c r="G388" s="45">
        <f t="shared" si="36"/>
        <v>45770</v>
      </c>
      <c r="H388" s="14" cm="1">
        <f t="array" ref="H388">_xlfn.IFNA(INDEX('IR data'!$N$4:$N$61,MATCH(G388,'IR data'!$M$4:$M$61,0)),((INDEX('IR data'!$N$4:$N$61,MATCH(G388,'IR data'!$M$4:$M$61,1)))-((G388-(INDEX('IR data'!$M$4:$M$61,MATCH(G388,'IR data'!$M$4:$M$61,1))))/((INDEX('IR data'!$M$4:$M$61,MATCH(G388,'IR data'!$M$4:$M$61,1)+1)-INDEX('IR data'!$M$4:$M$61,MATCH(G388,'IR data'!$M$4:$M$61,1))))) * (INDEX('IR data'!$N$4:$N$61,MATCH(G388,'IR data'!$M$4:$M$61,1))-(INDEX('IR data'!$N$4:$N$61,MATCH(G388,'IR data'!$M$4:$M$61,1)+1)))))</f>
        <v>0.94637999790109884</v>
      </c>
      <c r="I388" s="44">
        <f t="shared" si="35"/>
        <v>2.2691099351456787E-2</v>
      </c>
    </row>
    <row r="389" spans="1:9" x14ac:dyDescent="0.25">
      <c r="A389" s="45">
        <f t="shared" ref="A389:A452" si="37">A388+1</f>
        <v>45677</v>
      </c>
      <c r="B389" s="14" cm="1">
        <f t="array" ref="B389">_xlfn.IFNA(INDEX('IR data'!$D$4:$D$61,MATCH(A389,'IR data'!$C$4:$C$61,0)),((INDEX('IR data'!$D$4:$D$61,MATCH(A389,'IR data'!$C$4:$C$61,1)))-((A389-(INDEX('IR data'!$C$4:$C$61,MATCH(A389,'IR data'!$C$4:$C$61,1))))/((INDEX('IR data'!$C$4:$C$61,MATCH(A389,'IR data'!$C$4:$C$61,1)+1)-INDEX('IR data'!$C$4:$C$61,MATCH(A389,'IR data'!$C$4:$C$61,1))))) * (INDEX('IR data'!$D$4:$D$61,MATCH(A389,'IR data'!$C$4:$C$61,1))-(INDEX('IR data'!$D$4:$D$61,MATCH(A389,'IR data'!$C$4:$C$61,1)+1)))))</f>
        <v>0.94878481842222218</v>
      </c>
      <c r="C389" s="30">
        <f t="shared" ref="C389:C452" si="38">-LOG(B389)/YEARFRAC($B$1, A389, 3)</f>
        <v>2.1590102804774608E-2</v>
      </c>
      <c r="D389" s="45">
        <f t="shared" ref="D389:D452" si="39">D388+1</f>
        <v>45737</v>
      </c>
      <c r="E389" s="14" cm="1">
        <f t="array" ref="E389">_xlfn.IFNA(INDEX('IR data'!$I$4:$I$61,MATCH(D389,'IR data'!$H$4:$H$61,0)),((INDEX('IR data'!$I$4:$I$61,MATCH(D389,'IR data'!$H$4:$H$61,1)))-((D389-(INDEX('IR data'!$H$4:$H$61,MATCH(D389,'IR data'!$H$4:$H$61,1))))/((INDEX('IR data'!$H$4:$H$61,MATCH(D389,'IR data'!$H$4:$H$61,1)+1)-INDEX('IR data'!$H$4:$H$61,MATCH(D389,'IR data'!$H$4:$H$61,1))))) * (INDEX('IR data'!$I$4:$I$61,MATCH(D389,'IR data'!$H$4:$H$61,1))-(INDEX('IR data'!$I$4:$I$61,MATCH(D389,'IR data'!$H$4:$H$61,1)+1)))))</f>
        <v>0.94627418142391306</v>
      </c>
      <c r="F389" s="30">
        <f t="shared" ref="F389:F452" si="40">-LOG(E389)/YEARFRAC($E$1, D389, 3)</f>
        <v>2.2678234121957474E-2</v>
      </c>
      <c r="G389" s="45">
        <f t="shared" si="36"/>
        <v>45771</v>
      </c>
      <c r="H389" s="14" cm="1">
        <f t="array" ref="H389">_xlfn.IFNA(INDEX('IR data'!$N$4:$N$61,MATCH(G389,'IR data'!$M$4:$M$61,0)),((INDEX('IR data'!$N$4:$N$61,MATCH(G389,'IR data'!$M$4:$M$61,1)))-((G389-(INDEX('IR data'!$M$4:$M$61,MATCH(G389,'IR data'!$M$4:$M$61,1))))/((INDEX('IR data'!$M$4:$M$61,MATCH(G389,'IR data'!$M$4:$M$61,1)+1)-INDEX('IR data'!$M$4:$M$61,MATCH(G389,'IR data'!$M$4:$M$61,1))))) * (INDEX('IR data'!$N$4:$N$61,MATCH(G389,'IR data'!$M$4:$M$61,1))-(INDEX('IR data'!$N$4:$N$61,MATCH(G389,'IR data'!$M$4:$M$61,1)+1)))))</f>
        <v>0.94626088458241753</v>
      </c>
      <c r="I389" s="44">
        <f t="shared" ref="I389:I452" si="41">-LOG(H389)/YEARFRAC($H$1, G389, 3)</f>
        <v>2.26840047678258E-2</v>
      </c>
    </row>
    <row r="390" spans="1:9" x14ac:dyDescent="0.25">
      <c r="A390" s="45">
        <f t="shared" si="37"/>
        <v>45678</v>
      </c>
      <c r="B390" s="14" cm="1">
        <f t="array" ref="B390">_xlfn.IFNA(INDEX('IR data'!$D$4:$D$61,MATCH(A390,'IR data'!$C$4:$C$61,0)),((INDEX('IR data'!$D$4:$D$61,MATCH(A390,'IR data'!$C$4:$C$61,1)))-((A390-(INDEX('IR data'!$C$4:$C$61,MATCH(A390,'IR data'!$C$4:$C$61,1))))/((INDEX('IR data'!$C$4:$C$61,MATCH(A390,'IR data'!$C$4:$C$61,1)+1)-INDEX('IR data'!$C$4:$C$61,MATCH(A390,'IR data'!$C$4:$C$61,1))))) * (INDEX('IR data'!$D$4:$D$61,MATCH(A390,'IR data'!$C$4:$C$61,1))-(INDEX('IR data'!$D$4:$D$61,MATCH(A390,'IR data'!$C$4:$C$61,1)+1)))))</f>
        <v>0.94868157279999998</v>
      </c>
      <c r="C390" s="30">
        <f t="shared" si="38"/>
        <v>2.1578889672659536E-2</v>
      </c>
      <c r="D390" s="45">
        <f t="shared" si="39"/>
        <v>45738</v>
      </c>
      <c r="E390" s="14" cm="1">
        <f t="array" ref="E390">_xlfn.IFNA(INDEX('IR data'!$I$4:$I$61,MATCH(D390,'IR data'!$H$4:$H$61,0)),((INDEX('IR data'!$I$4:$I$61,MATCH(D390,'IR data'!$H$4:$H$61,1)))-((D390-(INDEX('IR data'!$H$4:$H$61,MATCH(D390,'IR data'!$H$4:$H$61,1))))/((INDEX('IR data'!$H$4:$H$61,MATCH(D390,'IR data'!$H$4:$H$61,1)+1)-INDEX('IR data'!$H$4:$H$61,MATCH(D390,'IR data'!$H$4:$H$61,1))))) * (INDEX('IR data'!$I$4:$I$61,MATCH(D390,'IR data'!$H$4:$H$61,1))-(INDEX('IR data'!$I$4:$I$61,MATCH(D390,'IR data'!$H$4:$H$61,1)+1)))))</f>
        <v>0.94615719197826087</v>
      </c>
      <c r="F390" s="30">
        <f t="shared" si="40"/>
        <v>2.267027742164859E-2</v>
      </c>
      <c r="G390" s="45">
        <f t="shared" si="36"/>
        <v>45772</v>
      </c>
      <c r="H390" s="14" cm="1">
        <f t="array" ref="H390">_xlfn.IFNA(INDEX('IR data'!$N$4:$N$61,MATCH(G390,'IR data'!$M$4:$M$61,0)),((INDEX('IR data'!$N$4:$N$61,MATCH(G390,'IR data'!$M$4:$M$61,1)))-((G390-(INDEX('IR data'!$M$4:$M$61,MATCH(G390,'IR data'!$M$4:$M$61,1))))/((INDEX('IR data'!$M$4:$M$61,MATCH(G390,'IR data'!$M$4:$M$61,1)+1)-INDEX('IR data'!$M$4:$M$61,MATCH(G390,'IR data'!$M$4:$M$61,1))))) * (INDEX('IR data'!$N$4:$N$61,MATCH(G390,'IR data'!$M$4:$M$61,1))-(INDEX('IR data'!$N$4:$N$61,MATCH(G390,'IR data'!$M$4:$M$61,1)+1)))))</f>
        <v>0.94614177126373622</v>
      </c>
      <c r="I390" s="44">
        <f t="shared" si="41"/>
        <v>2.2676953339014438E-2</v>
      </c>
    </row>
    <row r="391" spans="1:9" x14ac:dyDescent="0.25">
      <c r="A391" s="45">
        <f t="shared" si="37"/>
        <v>45679</v>
      </c>
      <c r="B391" s="14" cm="1">
        <f t="array" ref="B391">_xlfn.IFNA(INDEX('IR data'!$D$4:$D$61,MATCH(A391,'IR data'!$C$4:$C$61,0)),((INDEX('IR data'!$D$4:$D$61,MATCH(A391,'IR data'!$C$4:$C$61,1)))-((A391-(INDEX('IR data'!$C$4:$C$61,MATCH(A391,'IR data'!$C$4:$C$61,1))))/((INDEX('IR data'!$C$4:$C$61,MATCH(A391,'IR data'!$C$4:$C$61,1)+1)-INDEX('IR data'!$C$4:$C$61,MATCH(A391,'IR data'!$C$4:$C$61,1))))) * (INDEX('IR data'!$D$4:$D$61,MATCH(A391,'IR data'!$C$4:$C$61,1))-(INDEX('IR data'!$D$4:$D$61,MATCH(A391,'IR data'!$C$4:$C$61,1)+1)))))</f>
        <v>0.94857832717777779</v>
      </c>
      <c r="C391" s="30">
        <f t="shared" si="38"/>
        <v>2.1567739179107551E-2</v>
      </c>
      <c r="D391" s="45">
        <f t="shared" si="39"/>
        <v>45739</v>
      </c>
      <c r="E391" s="14" cm="1">
        <f t="array" ref="E391">_xlfn.IFNA(INDEX('IR data'!$I$4:$I$61,MATCH(D391,'IR data'!$H$4:$H$61,0)),((INDEX('IR data'!$I$4:$I$61,MATCH(D391,'IR data'!$H$4:$H$61,1)))-((D391-(INDEX('IR data'!$H$4:$H$61,MATCH(D391,'IR data'!$H$4:$H$61,1))))/((INDEX('IR data'!$H$4:$H$61,MATCH(D391,'IR data'!$H$4:$H$61,1)+1)-INDEX('IR data'!$H$4:$H$61,MATCH(D391,'IR data'!$H$4:$H$61,1))))) * (INDEX('IR data'!$I$4:$I$61,MATCH(D391,'IR data'!$H$4:$H$61,1))-(INDEX('IR data'!$I$4:$I$61,MATCH(D391,'IR data'!$H$4:$H$61,1)+1)))))</f>
        <v>0.94604020253260868</v>
      </c>
      <c r="F391" s="30">
        <f t="shared" si="40"/>
        <v>2.2662367981406233E-2</v>
      </c>
      <c r="G391" s="45">
        <f t="shared" si="36"/>
        <v>45773</v>
      </c>
      <c r="H391" s="14" cm="1">
        <f t="array" ref="H391">_xlfn.IFNA(INDEX('IR data'!$N$4:$N$61,MATCH(G391,'IR data'!$M$4:$M$61,0)),((INDEX('IR data'!$N$4:$N$61,MATCH(G391,'IR data'!$M$4:$M$61,1)))-((G391-(INDEX('IR data'!$M$4:$M$61,MATCH(G391,'IR data'!$M$4:$M$61,1))))/((INDEX('IR data'!$M$4:$M$61,MATCH(G391,'IR data'!$M$4:$M$61,1)+1)-INDEX('IR data'!$M$4:$M$61,MATCH(G391,'IR data'!$M$4:$M$61,1))))) * (INDEX('IR data'!$N$4:$N$61,MATCH(G391,'IR data'!$M$4:$M$61,1))-(INDEX('IR data'!$N$4:$N$61,MATCH(G391,'IR data'!$M$4:$M$61,1)+1)))))</f>
        <v>0.94602265794505491</v>
      </c>
      <c r="I391" s="44">
        <f t="shared" si="41"/>
        <v>2.2669944732981472E-2</v>
      </c>
    </row>
    <row r="392" spans="1:9" x14ac:dyDescent="0.25">
      <c r="A392" s="45">
        <f t="shared" si="37"/>
        <v>45680</v>
      </c>
      <c r="B392" s="14" cm="1">
        <f t="array" ref="B392">_xlfn.IFNA(INDEX('IR data'!$D$4:$D$61,MATCH(A392,'IR data'!$C$4:$C$61,0)),((INDEX('IR data'!$D$4:$D$61,MATCH(A392,'IR data'!$C$4:$C$61,1)))-((A392-(INDEX('IR data'!$C$4:$C$61,MATCH(A392,'IR data'!$C$4:$C$61,1))))/((INDEX('IR data'!$C$4:$C$61,MATCH(A392,'IR data'!$C$4:$C$61,1)+1)-INDEX('IR data'!$C$4:$C$61,MATCH(A392,'IR data'!$C$4:$C$61,1))))) * (INDEX('IR data'!$D$4:$D$61,MATCH(A392,'IR data'!$C$4:$C$61,1))-(INDEX('IR data'!$D$4:$D$61,MATCH(A392,'IR data'!$C$4:$C$61,1)+1)))))</f>
        <v>0.9484750815555556</v>
      </c>
      <c r="C392" s="30">
        <f t="shared" si="38"/>
        <v>2.1556650842095616E-2</v>
      </c>
      <c r="D392" s="45">
        <f t="shared" si="39"/>
        <v>45740</v>
      </c>
      <c r="E392" s="14" cm="1">
        <f t="array" ref="E392">_xlfn.IFNA(INDEX('IR data'!$I$4:$I$61,MATCH(D392,'IR data'!$H$4:$H$61,0)),((INDEX('IR data'!$I$4:$I$61,MATCH(D392,'IR data'!$H$4:$H$61,1)))-((D392-(INDEX('IR data'!$H$4:$H$61,MATCH(D392,'IR data'!$H$4:$H$61,1))))/((INDEX('IR data'!$H$4:$H$61,MATCH(D392,'IR data'!$H$4:$H$61,1)+1)-INDEX('IR data'!$H$4:$H$61,MATCH(D392,'IR data'!$H$4:$H$61,1))))) * (INDEX('IR data'!$I$4:$I$61,MATCH(D392,'IR data'!$H$4:$H$61,1))-(INDEX('IR data'!$I$4:$I$61,MATCH(D392,'IR data'!$H$4:$H$61,1)+1)))))</f>
        <v>0.94592321308695648</v>
      </c>
      <c r="F392" s="30">
        <f t="shared" si="40"/>
        <v>2.2654505438297848E-2</v>
      </c>
      <c r="G392" s="45">
        <f t="shared" si="36"/>
        <v>45774</v>
      </c>
      <c r="H392" s="14" cm="1">
        <f t="array" ref="H392">_xlfn.IFNA(INDEX('IR data'!$N$4:$N$61,MATCH(G392,'IR data'!$M$4:$M$61,0)),((INDEX('IR data'!$N$4:$N$61,MATCH(G392,'IR data'!$M$4:$M$61,1)))-((G392-(INDEX('IR data'!$M$4:$M$61,MATCH(G392,'IR data'!$M$4:$M$61,1))))/((INDEX('IR data'!$M$4:$M$61,MATCH(G392,'IR data'!$M$4:$M$61,1)+1)-INDEX('IR data'!$M$4:$M$61,MATCH(G392,'IR data'!$M$4:$M$61,1))))) * (INDEX('IR data'!$N$4:$N$61,MATCH(G392,'IR data'!$M$4:$M$61,1))-(INDEX('IR data'!$N$4:$N$61,MATCH(G392,'IR data'!$M$4:$M$61,1)+1)))))</f>
        <v>0.9459035446263736</v>
      </c>
      <c r="I392" s="44">
        <f t="shared" si="41"/>
        <v>2.2662978621100602E-2</v>
      </c>
    </row>
    <row r="393" spans="1:9" x14ac:dyDescent="0.25">
      <c r="A393" s="45">
        <f t="shared" si="37"/>
        <v>45681</v>
      </c>
      <c r="B393" s="14" cm="1">
        <f t="array" ref="B393">_xlfn.IFNA(INDEX('IR data'!$D$4:$D$61,MATCH(A393,'IR data'!$C$4:$C$61,0)),((INDEX('IR data'!$D$4:$D$61,MATCH(A393,'IR data'!$C$4:$C$61,1)))-((A393-(INDEX('IR data'!$C$4:$C$61,MATCH(A393,'IR data'!$C$4:$C$61,1))))/((INDEX('IR data'!$C$4:$C$61,MATCH(A393,'IR data'!$C$4:$C$61,1)+1)-INDEX('IR data'!$C$4:$C$61,MATCH(A393,'IR data'!$C$4:$C$61,1))))) * (INDEX('IR data'!$D$4:$D$61,MATCH(A393,'IR data'!$C$4:$C$61,1))-(INDEX('IR data'!$D$4:$D$61,MATCH(A393,'IR data'!$C$4:$C$61,1)+1)))))</f>
        <v>0.9483718359333333</v>
      </c>
      <c r="C393" s="30">
        <f t="shared" si="38"/>
        <v>2.1545624184544889E-2</v>
      </c>
      <c r="D393" s="45">
        <f t="shared" si="39"/>
        <v>45741</v>
      </c>
      <c r="E393" s="14" cm="1">
        <f t="array" ref="E393">_xlfn.IFNA(INDEX('IR data'!$I$4:$I$61,MATCH(D393,'IR data'!$H$4:$H$61,0)),((INDEX('IR data'!$I$4:$I$61,MATCH(D393,'IR data'!$H$4:$H$61,1)))-((D393-(INDEX('IR data'!$H$4:$H$61,MATCH(D393,'IR data'!$H$4:$H$61,1))))/((INDEX('IR data'!$H$4:$H$61,MATCH(D393,'IR data'!$H$4:$H$61,1)+1)-INDEX('IR data'!$H$4:$H$61,MATCH(D393,'IR data'!$H$4:$H$61,1))))) * (INDEX('IR data'!$I$4:$I$61,MATCH(D393,'IR data'!$H$4:$H$61,1))-(INDEX('IR data'!$I$4:$I$61,MATCH(D393,'IR data'!$H$4:$H$61,1)+1)))))</f>
        <v>0.9458062236413044</v>
      </c>
      <c r="F393" s="30">
        <f t="shared" si="40"/>
        <v>2.2646689433113754E-2</v>
      </c>
      <c r="G393" s="45">
        <f t="shared" si="36"/>
        <v>45775</v>
      </c>
      <c r="H393" s="14" cm="1">
        <f t="array" ref="H393">_xlfn.IFNA(INDEX('IR data'!$N$4:$N$61,MATCH(G393,'IR data'!$M$4:$M$61,0)),((INDEX('IR data'!$N$4:$N$61,MATCH(G393,'IR data'!$M$4:$M$61,1)))-((G393-(INDEX('IR data'!$M$4:$M$61,MATCH(G393,'IR data'!$M$4:$M$61,1))))/((INDEX('IR data'!$M$4:$M$61,MATCH(G393,'IR data'!$M$4:$M$61,1)+1)-INDEX('IR data'!$M$4:$M$61,MATCH(G393,'IR data'!$M$4:$M$61,1))))) * (INDEX('IR data'!$N$4:$N$61,MATCH(G393,'IR data'!$M$4:$M$61,1))-(INDEX('IR data'!$N$4:$N$61,MATCH(G393,'IR data'!$M$4:$M$61,1)+1)))))</f>
        <v>0.9457844313076923</v>
      </c>
      <c r="I393" s="44">
        <f t="shared" si="41"/>
        <v>2.2656054678116676E-2</v>
      </c>
    </row>
    <row r="394" spans="1:9" x14ac:dyDescent="0.25">
      <c r="A394" s="45">
        <f t="shared" si="37"/>
        <v>45682</v>
      </c>
      <c r="B394" s="14" cm="1">
        <f t="array" ref="B394">_xlfn.IFNA(INDEX('IR data'!$D$4:$D$61,MATCH(A394,'IR data'!$C$4:$C$61,0)),((INDEX('IR data'!$D$4:$D$61,MATCH(A394,'IR data'!$C$4:$C$61,1)))-((A394-(INDEX('IR data'!$C$4:$C$61,MATCH(A394,'IR data'!$C$4:$C$61,1))))/((INDEX('IR data'!$C$4:$C$61,MATCH(A394,'IR data'!$C$4:$C$61,1)+1)-INDEX('IR data'!$C$4:$C$61,MATCH(A394,'IR data'!$C$4:$C$61,1))))) * (INDEX('IR data'!$D$4:$D$61,MATCH(A394,'IR data'!$C$4:$C$61,1))-(INDEX('IR data'!$D$4:$D$61,MATCH(A394,'IR data'!$C$4:$C$61,1)+1)))))</f>
        <v>0.9482685903111111</v>
      </c>
      <c r="C394" s="30">
        <f t="shared" si="38"/>
        <v>2.1534658734257365E-2</v>
      </c>
      <c r="D394" s="45">
        <f t="shared" si="39"/>
        <v>45742</v>
      </c>
      <c r="E394" s="14" cm="1">
        <f t="array" ref="E394">_xlfn.IFNA(INDEX('IR data'!$I$4:$I$61,MATCH(D394,'IR data'!$H$4:$H$61,0)),((INDEX('IR data'!$I$4:$I$61,MATCH(D394,'IR data'!$H$4:$H$61,1)))-((D394-(INDEX('IR data'!$H$4:$H$61,MATCH(D394,'IR data'!$H$4:$H$61,1))))/((INDEX('IR data'!$H$4:$H$61,MATCH(D394,'IR data'!$H$4:$H$61,1)+1)-INDEX('IR data'!$H$4:$H$61,MATCH(D394,'IR data'!$H$4:$H$61,1))))) * (INDEX('IR data'!$I$4:$I$61,MATCH(D394,'IR data'!$H$4:$H$61,1))-(INDEX('IR data'!$I$4:$I$61,MATCH(D394,'IR data'!$H$4:$H$61,1)+1)))))</f>
        <v>0.94568923419565221</v>
      </c>
      <c r="F394" s="30">
        <f t="shared" si="40"/>
        <v>2.2638919610319795E-2</v>
      </c>
      <c r="G394" s="45">
        <f t="shared" si="36"/>
        <v>45776</v>
      </c>
      <c r="H394" s="14" cm="1">
        <f t="array" ref="H394">_xlfn.IFNA(INDEX('IR data'!$N$4:$N$61,MATCH(G394,'IR data'!$M$4:$M$61,0)),((INDEX('IR data'!$N$4:$N$61,MATCH(G394,'IR data'!$M$4:$M$61,1)))-((G394-(INDEX('IR data'!$M$4:$M$61,MATCH(G394,'IR data'!$M$4:$M$61,1))))/((INDEX('IR data'!$M$4:$M$61,MATCH(G394,'IR data'!$M$4:$M$61,1)+1)-INDEX('IR data'!$M$4:$M$61,MATCH(G394,'IR data'!$M$4:$M$61,1))))) * (INDEX('IR data'!$N$4:$N$61,MATCH(G394,'IR data'!$M$4:$M$61,1))-(INDEX('IR data'!$N$4:$N$61,MATCH(G394,'IR data'!$M$4:$M$61,1)+1)))))</f>
        <v>0.94566531798901099</v>
      </c>
      <c r="I394" s="44">
        <f t="shared" si="41"/>
        <v>2.2649172582102563E-2</v>
      </c>
    </row>
    <row r="395" spans="1:9" x14ac:dyDescent="0.25">
      <c r="A395" s="45">
        <f t="shared" si="37"/>
        <v>45683</v>
      </c>
      <c r="B395" s="14" cm="1">
        <f t="array" ref="B395">_xlfn.IFNA(INDEX('IR data'!$D$4:$D$61,MATCH(A395,'IR data'!$C$4:$C$61,0)),((INDEX('IR data'!$D$4:$D$61,MATCH(A395,'IR data'!$C$4:$C$61,1)))-((A395-(INDEX('IR data'!$C$4:$C$61,MATCH(A395,'IR data'!$C$4:$C$61,1))))/((INDEX('IR data'!$C$4:$C$61,MATCH(A395,'IR data'!$C$4:$C$61,1)+1)-INDEX('IR data'!$C$4:$C$61,MATCH(A395,'IR data'!$C$4:$C$61,1))))) * (INDEX('IR data'!$D$4:$D$61,MATCH(A395,'IR data'!$C$4:$C$61,1))-(INDEX('IR data'!$D$4:$D$61,MATCH(A395,'IR data'!$C$4:$C$61,1)+1)))))</f>
        <v>0.94816534468888891</v>
      </c>
      <c r="C395" s="30">
        <f t="shared" si="38"/>
        <v>2.1523754023853821E-2</v>
      </c>
      <c r="D395" s="45">
        <f t="shared" si="39"/>
        <v>45743</v>
      </c>
      <c r="E395" s="14" cm="1">
        <f t="array" ref="E395">_xlfn.IFNA(INDEX('IR data'!$I$4:$I$61,MATCH(D395,'IR data'!$H$4:$H$61,0)),((INDEX('IR data'!$I$4:$I$61,MATCH(D395,'IR data'!$H$4:$H$61,1)))-((D395-(INDEX('IR data'!$H$4:$H$61,MATCH(D395,'IR data'!$H$4:$H$61,1))))/((INDEX('IR data'!$H$4:$H$61,MATCH(D395,'IR data'!$H$4:$H$61,1)+1)-INDEX('IR data'!$H$4:$H$61,MATCH(D395,'IR data'!$H$4:$H$61,1))))) * (INDEX('IR data'!$I$4:$I$61,MATCH(D395,'IR data'!$H$4:$H$61,1))-(INDEX('IR data'!$I$4:$I$61,MATCH(D395,'IR data'!$H$4:$H$61,1)+1)))))</f>
        <v>0.94557224475000001</v>
      </c>
      <c r="F395" s="30">
        <f t="shared" si="40"/>
        <v>2.2631195618010105E-2</v>
      </c>
      <c r="G395" s="45">
        <f t="shared" si="36"/>
        <v>45777</v>
      </c>
      <c r="H395" s="14" cm="1">
        <f t="array" ref="H395">_xlfn.IFNA(INDEX('IR data'!$N$4:$N$61,MATCH(G395,'IR data'!$M$4:$M$61,0)),((INDEX('IR data'!$N$4:$N$61,MATCH(G395,'IR data'!$M$4:$M$61,1)))-((G395-(INDEX('IR data'!$M$4:$M$61,MATCH(G395,'IR data'!$M$4:$M$61,1))))/((INDEX('IR data'!$M$4:$M$61,MATCH(G395,'IR data'!$M$4:$M$61,1)+1)-INDEX('IR data'!$M$4:$M$61,MATCH(G395,'IR data'!$M$4:$M$61,1))))) * (INDEX('IR data'!$N$4:$N$61,MATCH(G395,'IR data'!$M$4:$M$61,1))-(INDEX('IR data'!$N$4:$N$61,MATCH(G395,'IR data'!$M$4:$M$61,1)+1)))))</f>
        <v>0.94554620467032968</v>
      </c>
      <c r="I395" s="44">
        <f t="shared" si="41"/>
        <v>2.2642332014416709E-2</v>
      </c>
    </row>
    <row r="396" spans="1:9" x14ac:dyDescent="0.25">
      <c r="A396" s="45">
        <f t="shared" si="37"/>
        <v>45684</v>
      </c>
      <c r="B396" s="14" cm="1">
        <f t="array" ref="B396">_xlfn.IFNA(INDEX('IR data'!$D$4:$D$61,MATCH(A396,'IR data'!$C$4:$C$61,0)),((INDEX('IR data'!$D$4:$D$61,MATCH(A396,'IR data'!$C$4:$C$61,1)))-((A396-(INDEX('IR data'!$C$4:$C$61,MATCH(A396,'IR data'!$C$4:$C$61,1))))/((INDEX('IR data'!$C$4:$C$61,MATCH(A396,'IR data'!$C$4:$C$61,1)+1)-INDEX('IR data'!$C$4:$C$61,MATCH(A396,'IR data'!$C$4:$C$61,1))))) * (INDEX('IR data'!$D$4:$D$61,MATCH(A396,'IR data'!$C$4:$C$61,1))-(INDEX('IR data'!$D$4:$D$61,MATCH(A396,'IR data'!$C$4:$C$61,1)+1)))))</f>
        <v>0.94806209906666672</v>
      </c>
      <c r="C396" s="30">
        <f t="shared" si="38"/>
        <v>2.151290959071242E-2</v>
      </c>
      <c r="D396" s="45">
        <f t="shared" si="39"/>
        <v>45744</v>
      </c>
      <c r="E396" s="14" cm="1">
        <f t="array" ref="E396">_xlfn.IFNA(INDEX('IR data'!$I$4:$I$61,MATCH(D396,'IR data'!$H$4:$H$61,0)),((INDEX('IR data'!$I$4:$I$61,MATCH(D396,'IR data'!$H$4:$H$61,1)))-((D396-(INDEX('IR data'!$H$4:$H$61,MATCH(D396,'IR data'!$H$4:$H$61,1))))/((INDEX('IR data'!$H$4:$H$61,MATCH(D396,'IR data'!$H$4:$H$61,1)+1)-INDEX('IR data'!$H$4:$H$61,MATCH(D396,'IR data'!$H$4:$H$61,1))))) * (INDEX('IR data'!$I$4:$I$61,MATCH(D396,'IR data'!$H$4:$H$61,1))-(INDEX('IR data'!$I$4:$I$61,MATCH(D396,'IR data'!$H$4:$H$61,1)+1)))))</f>
        <v>0.94545525530434782</v>
      </c>
      <c r="F396" s="30">
        <f t="shared" si="40"/>
        <v>2.2623517107861209E-2</v>
      </c>
      <c r="G396" s="45">
        <f t="shared" si="36"/>
        <v>45778</v>
      </c>
      <c r="H396" s="14" cm="1">
        <f t="array" ref="H396">_xlfn.IFNA(INDEX('IR data'!$N$4:$N$61,MATCH(G396,'IR data'!$M$4:$M$61,0)),((INDEX('IR data'!$N$4:$N$61,MATCH(G396,'IR data'!$M$4:$M$61,1)))-((G396-(INDEX('IR data'!$M$4:$M$61,MATCH(G396,'IR data'!$M$4:$M$61,1))))/((INDEX('IR data'!$M$4:$M$61,MATCH(G396,'IR data'!$M$4:$M$61,1)+1)-INDEX('IR data'!$M$4:$M$61,MATCH(G396,'IR data'!$M$4:$M$61,1))))) * (INDEX('IR data'!$N$4:$N$61,MATCH(G396,'IR data'!$M$4:$M$61,1))-(INDEX('IR data'!$N$4:$N$61,MATCH(G396,'IR data'!$M$4:$M$61,1)+1)))))</f>
        <v>0.94542709135164837</v>
      </c>
      <c r="I396" s="44">
        <f t="shared" si="41"/>
        <v>2.263553265966136E-2</v>
      </c>
    </row>
    <row r="397" spans="1:9" x14ac:dyDescent="0.25">
      <c r="A397" s="45">
        <f t="shared" si="37"/>
        <v>45685</v>
      </c>
      <c r="B397" s="14" cm="1">
        <f t="array" ref="B397">_xlfn.IFNA(INDEX('IR data'!$D$4:$D$61,MATCH(A397,'IR data'!$C$4:$C$61,0)),((INDEX('IR data'!$D$4:$D$61,MATCH(A397,'IR data'!$C$4:$C$61,1)))-((A397-(INDEX('IR data'!$C$4:$C$61,MATCH(A397,'IR data'!$C$4:$C$61,1))))/((INDEX('IR data'!$C$4:$C$61,MATCH(A397,'IR data'!$C$4:$C$61,1)+1)-INDEX('IR data'!$C$4:$C$61,MATCH(A397,'IR data'!$C$4:$C$61,1))))) * (INDEX('IR data'!$D$4:$D$61,MATCH(A397,'IR data'!$C$4:$C$61,1))-(INDEX('IR data'!$D$4:$D$61,MATCH(A397,'IR data'!$C$4:$C$61,1)+1)))))</f>
        <v>0.94795885344444442</v>
      </c>
      <c r="C397" s="30">
        <f t="shared" si="38"/>
        <v>2.1502124976908329E-2</v>
      </c>
      <c r="D397" s="45">
        <f t="shared" si="39"/>
        <v>45745</v>
      </c>
      <c r="E397" s="14" cm="1">
        <f t="array" ref="E397">_xlfn.IFNA(INDEX('IR data'!$I$4:$I$61,MATCH(D397,'IR data'!$H$4:$H$61,0)),((INDEX('IR data'!$I$4:$I$61,MATCH(D397,'IR data'!$H$4:$H$61,1)))-((D397-(INDEX('IR data'!$H$4:$H$61,MATCH(D397,'IR data'!$H$4:$H$61,1))))/((INDEX('IR data'!$H$4:$H$61,MATCH(D397,'IR data'!$H$4:$H$61,1)+1)-INDEX('IR data'!$H$4:$H$61,MATCH(D397,'IR data'!$H$4:$H$61,1))))) * (INDEX('IR data'!$I$4:$I$61,MATCH(D397,'IR data'!$H$4:$H$61,1))-(INDEX('IR data'!$I$4:$I$61,MATCH(D397,'IR data'!$H$4:$H$61,1)+1)))))</f>
        <v>0.94533826585869563</v>
      </c>
      <c r="F397" s="30">
        <f t="shared" si="40"/>
        <v>2.2615883735086439E-2</v>
      </c>
      <c r="G397" s="45">
        <f t="shared" si="36"/>
        <v>45779</v>
      </c>
      <c r="H397" s="14" cm="1">
        <f t="array" ref="H397">_xlfn.IFNA(INDEX('IR data'!$N$4:$N$61,MATCH(G397,'IR data'!$M$4:$M$61,0)),((INDEX('IR data'!$N$4:$N$61,MATCH(G397,'IR data'!$M$4:$M$61,1)))-((G397-(INDEX('IR data'!$M$4:$M$61,MATCH(G397,'IR data'!$M$4:$M$61,1))))/((INDEX('IR data'!$M$4:$M$61,MATCH(G397,'IR data'!$M$4:$M$61,1)+1)-INDEX('IR data'!$M$4:$M$61,MATCH(G397,'IR data'!$M$4:$M$61,1))))) * (INDEX('IR data'!$N$4:$N$61,MATCH(G397,'IR data'!$M$4:$M$61,1))-(INDEX('IR data'!$N$4:$N$61,MATCH(G397,'IR data'!$M$4:$M$61,1)+1)))))</f>
        <v>0.94530797803296707</v>
      </c>
      <c r="I397" s="44">
        <f t="shared" si="41"/>
        <v>2.2628774205641349E-2</v>
      </c>
    </row>
    <row r="398" spans="1:9" x14ac:dyDescent="0.25">
      <c r="A398" s="45">
        <f t="shared" si="37"/>
        <v>45686</v>
      </c>
      <c r="B398" s="14" cm="1">
        <f t="array" ref="B398">_xlfn.IFNA(INDEX('IR data'!$D$4:$D$61,MATCH(A398,'IR data'!$C$4:$C$61,0)),((INDEX('IR data'!$D$4:$D$61,MATCH(A398,'IR data'!$C$4:$C$61,1)))-((A398-(INDEX('IR data'!$C$4:$C$61,MATCH(A398,'IR data'!$C$4:$C$61,1))))/((INDEX('IR data'!$C$4:$C$61,MATCH(A398,'IR data'!$C$4:$C$61,1)+1)-INDEX('IR data'!$C$4:$C$61,MATCH(A398,'IR data'!$C$4:$C$61,1))))) * (INDEX('IR data'!$D$4:$D$61,MATCH(A398,'IR data'!$C$4:$C$61,1))-(INDEX('IR data'!$D$4:$D$61,MATCH(A398,'IR data'!$C$4:$C$61,1)+1)))))</f>
        <v>0.94785560782222222</v>
      </c>
      <c r="C398" s="30">
        <f t="shared" si="38"/>
        <v>2.1491399729154165E-2</v>
      </c>
      <c r="D398" s="45">
        <f t="shared" si="39"/>
        <v>45746</v>
      </c>
      <c r="E398" s="14" cm="1">
        <f t="array" ref="E398">_xlfn.IFNA(INDEX('IR data'!$I$4:$I$61,MATCH(D398,'IR data'!$H$4:$H$61,0)),((INDEX('IR data'!$I$4:$I$61,MATCH(D398,'IR data'!$H$4:$H$61,1)))-((D398-(INDEX('IR data'!$H$4:$H$61,MATCH(D398,'IR data'!$H$4:$H$61,1))))/((INDEX('IR data'!$H$4:$H$61,MATCH(D398,'IR data'!$H$4:$H$61,1)+1)-INDEX('IR data'!$H$4:$H$61,MATCH(D398,'IR data'!$H$4:$H$61,1))))) * (INDEX('IR data'!$I$4:$I$61,MATCH(D398,'IR data'!$H$4:$H$61,1))-(INDEX('IR data'!$I$4:$I$61,MATCH(D398,'IR data'!$H$4:$H$61,1)+1)))))</f>
        <v>0.94522127641304354</v>
      </c>
      <c r="F398" s="30">
        <f t="shared" si="40"/>
        <v>2.2608295158391183E-2</v>
      </c>
      <c r="G398" s="45">
        <f t="shared" si="36"/>
        <v>45780</v>
      </c>
      <c r="H398" s="14" cm="1">
        <f t="array" ref="H398">_xlfn.IFNA(INDEX('IR data'!$N$4:$N$61,MATCH(G398,'IR data'!$M$4:$M$61,0)),((INDEX('IR data'!$N$4:$N$61,MATCH(G398,'IR data'!$M$4:$M$61,1)))-((G398-(INDEX('IR data'!$M$4:$M$61,MATCH(G398,'IR data'!$M$4:$M$61,1))))/((INDEX('IR data'!$M$4:$M$61,MATCH(G398,'IR data'!$M$4:$M$61,1)+1)-INDEX('IR data'!$M$4:$M$61,MATCH(G398,'IR data'!$M$4:$M$61,1))))) * (INDEX('IR data'!$N$4:$N$61,MATCH(G398,'IR data'!$M$4:$M$61,1))-(INDEX('IR data'!$N$4:$N$61,MATCH(G398,'IR data'!$M$4:$M$61,1)+1)))))</f>
        <v>0.94518886471428565</v>
      </c>
      <c r="I398" s="44">
        <f t="shared" si="41"/>
        <v>2.2622056343323659E-2</v>
      </c>
    </row>
    <row r="399" spans="1:9" x14ac:dyDescent="0.25">
      <c r="A399" s="45">
        <f t="shared" si="37"/>
        <v>45687</v>
      </c>
      <c r="B399" s="14" cm="1">
        <f t="array" ref="B399">_xlfn.IFNA(INDEX('IR data'!$D$4:$D$61,MATCH(A399,'IR data'!$C$4:$C$61,0)),((INDEX('IR data'!$D$4:$D$61,MATCH(A399,'IR data'!$C$4:$C$61,1)))-((A399-(INDEX('IR data'!$C$4:$C$61,MATCH(A399,'IR data'!$C$4:$C$61,1))))/((INDEX('IR data'!$C$4:$C$61,MATCH(A399,'IR data'!$C$4:$C$61,1)+1)-INDEX('IR data'!$C$4:$C$61,MATCH(A399,'IR data'!$C$4:$C$61,1))))) * (INDEX('IR data'!$D$4:$D$61,MATCH(A399,'IR data'!$C$4:$C$61,1))-(INDEX('IR data'!$D$4:$D$61,MATCH(A399,'IR data'!$C$4:$C$61,1)+1)))))</f>
        <v>0.94775236220000003</v>
      </c>
      <c r="C399" s="30">
        <f t="shared" si="38"/>
        <v>2.1480733398741677E-2</v>
      </c>
      <c r="D399" s="45">
        <f t="shared" si="39"/>
        <v>45747</v>
      </c>
      <c r="E399" s="14" cm="1">
        <f t="array" ref="E399">_xlfn.IFNA(INDEX('IR data'!$I$4:$I$61,MATCH(D399,'IR data'!$H$4:$H$61,0)),((INDEX('IR data'!$I$4:$I$61,MATCH(D399,'IR data'!$H$4:$H$61,1)))-((D399-(INDEX('IR data'!$H$4:$H$61,MATCH(D399,'IR data'!$H$4:$H$61,1))))/((INDEX('IR data'!$H$4:$H$61,MATCH(D399,'IR data'!$H$4:$H$61,1)+1)-INDEX('IR data'!$H$4:$H$61,MATCH(D399,'IR data'!$H$4:$H$61,1))))) * (INDEX('IR data'!$I$4:$I$61,MATCH(D399,'IR data'!$H$4:$H$61,1))-(INDEX('IR data'!$I$4:$I$61,MATCH(D399,'IR data'!$H$4:$H$61,1)+1)))))</f>
        <v>0.94510428696739135</v>
      </c>
      <c r="F399" s="30">
        <f t="shared" si="40"/>
        <v>2.2600751039928948E-2</v>
      </c>
      <c r="G399" s="45">
        <f t="shared" si="36"/>
        <v>45781</v>
      </c>
      <c r="H399" s="14" cm="1">
        <f t="array" ref="H399">_xlfn.IFNA(INDEX('IR data'!$N$4:$N$61,MATCH(G399,'IR data'!$M$4:$M$61,0)),((INDEX('IR data'!$N$4:$N$61,MATCH(G399,'IR data'!$M$4:$M$61,1)))-((G399-(INDEX('IR data'!$M$4:$M$61,MATCH(G399,'IR data'!$M$4:$M$61,1))))/((INDEX('IR data'!$M$4:$M$61,MATCH(G399,'IR data'!$M$4:$M$61,1)+1)-INDEX('IR data'!$M$4:$M$61,MATCH(G399,'IR data'!$M$4:$M$61,1))))) * (INDEX('IR data'!$N$4:$N$61,MATCH(G399,'IR data'!$M$4:$M$61,1))-(INDEX('IR data'!$N$4:$N$61,MATCH(G399,'IR data'!$M$4:$M$61,1)+1)))))</f>
        <v>0.94506975139560434</v>
      </c>
      <c r="I399" s="44">
        <f t="shared" si="41"/>
        <v>2.2615378766797273E-2</v>
      </c>
    </row>
    <row r="400" spans="1:9" x14ac:dyDescent="0.25">
      <c r="A400" s="45">
        <f t="shared" si="37"/>
        <v>45688</v>
      </c>
      <c r="B400" s="14" cm="1">
        <f t="array" ref="B400">_xlfn.IFNA(INDEX('IR data'!$D$4:$D$61,MATCH(A400,'IR data'!$C$4:$C$61,0)),((INDEX('IR data'!$D$4:$D$61,MATCH(A400,'IR data'!$C$4:$C$61,1)))-((A400-(INDEX('IR data'!$C$4:$C$61,MATCH(A400,'IR data'!$C$4:$C$61,1))))/((INDEX('IR data'!$C$4:$C$61,MATCH(A400,'IR data'!$C$4:$C$61,1)+1)-INDEX('IR data'!$C$4:$C$61,MATCH(A400,'IR data'!$C$4:$C$61,1))))) * (INDEX('IR data'!$D$4:$D$61,MATCH(A400,'IR data'!$C$4:$C$61,1))-(INDEX('IR data'!$D$4:$D$61,MATCH(A400,'IR data'!$C$4:$C$61,1)+1)))))</f>
        <v>0.94764911657777784</v>
      </c>
      <c r="C400" s="30">
        <f t="shared" si="38"/>
        <v>2.1470125541483871E-2</v>
      </c>
      <c r="D400" s="45">
        <f t="shared" si="39"/>
        <v>45748</v>
      </c>
      <c r="E400" s="14" cm="1">
        <f t="array" ref="E400">_xlfn.IFNA(INDEX('IR data'!$I$4:$I$61,MATCH(D400,'IR data'!$H$4:$H$61,0)),((INDEX('IR data'!$I$4:$I$61,MATCH(D400,'IR data'!$H$4:$H$61,1)))-((D400-(INDEX('IR data'!$H$4:$H$61,MATCH(D400,'IR data'!$H$4:$H$61,1))))/((INDEX('IR data'!$H$4:$H$61,MATCH(D400,'IR data'!$H$4:$H$61,1)+1)-INDEX('IR data'!$H$4:$H$61,MATCH(D400,'IR data'!$H$4:$H$61,1))))) * (INDEX('IR data'!$I$4:$I$61,MATCH(D400,'IR data'!$H$4:$H$61,1))-(INDEX('IR data'!$I$4:$I$61,MATCH(D400,'IR data'!$H$4:$H$61,1)+1)))))</f>
        <v>0.94498729752173916</v>
      </c>
      <c r="F400" s="30">
        <f t="shared" si="40"/>
        <v>2.2593251045257643E-2</v>
      </c>
      <c r="G400" s="45">
        <f t="shared" si="36"/>
        <v>45782</v>
      </c>
      <c r="H400" s="14" cm="1">
        <f t="array" ref="H400">_xlfn.IFNA(INDEX('IR data'!$N$4:$N$61,MATCH(G400,'IR data'!$M$4:$M$61,0)),((INDEX('IR data'!$N$4:$N$61,MATCH(G400,'IR data'!$M$4:$M$61,1)))-((G400-(INDEX('IR data'!$M$4:$M$61,MATCH(G400,'IR data'!$M$4:$M$61,1))))/((INDEX('IR data'!$M$4:$M$61,MATCH(G400,'IR data'!$M$4:$M$61,1)+1)-INDEX('IR data'!$M$4:$M$61,MATCH(G400,'IR data'!$M$4:$M$61,1))))) * (INDEX('IR data'!$N$4:$N$61,MATCH(G400,'IR data'!$M$4:$M$61,1))-(INDEX('IR data'!$N$4:$N$61,MATCH(G400,'IR data'!$M$4:$M$61,1)+1)))))</f>
        <v>0.94495063807692303</v>
      </c>
      <c r="I400" s="44">
        <f t="shared" si="41"/>
        <v>2.2608741173234137E-2</v>
      </c>
    </row>
    <row r="401" spans="1:9" x14ac:dyDescent="0.25">
      <c r="A401" s="45">
        <f t="shared" si="37"/>
        <v>45689</v>
      </c>
      <c r="B401" s="14" cm="1">
        <f t="array" ref="B401">_xlfn.IFNA(INDEX('IR data'!$D$4:$D$61,MATCH(A401,'IR data'!$C$4:$C$61,0)),((INDEX('IR data'!$D$4:$D$61,MATCH(A401,'IR data'!$C$4:$C$61,1)))-((A401-(INDEX('IR data'!$C$4:$C$61,MATCH(A401,'IR data'!$C$4:$C$61,1))))/((INDEX('IR data'!$C$4:$C$61,MATCH(A401,'IR data'!$C$4:$C$61,1)+1)-INDEX('IR data'!$C$4:$C$61,MATCH(A401,'IR data'!$C$4:$C$61,1))))) * (INDEX('IR data'!$D$4:$D$61,MATCH(A401,'IR data'!$C$4:$C$61,1))-(INDEX('IR data'!$D$4:$D$61,MATCH(A401,'IR data'!$C$4:$C$61,1)+1)))))</f>
        <v>0.94754587095555554</v>
      </c>
      <c r="C401" s="30">
        <f t="shared" si="38"/>
        <v>2.1459575717658354E-2</v>
      </c>
      <c r="D401" s="45">
        <f t="shared" si="39"/>
        <v>45749</v>
      </c>
      <c r="E401" s="14" cm="1">
        <f t="array" ref="E401">_xlfn.IFNA(INDEX('IR data'!$I$4:$I$61,MATCH(D401,'IR data'!$H$4:$H$61,0)),((INDEX('IR data'!$I$4:$I$61,MATCH(D401,'IR data'!$H$4:$H$61,1)))-((D401-(INDEX('IR data'!$H$4:$H$61,MATCH(D401,'IR data'!$H$4:$H$61,1))))/((INDEX('IR data'!$H$4:$H$61,MATCH(D401,'IR data'!$H$4:$H$61,1)+1)-INDEX('IR data'!$H$4:$H$61,MATCH(D401,'IR data'!$H$4:$H$61,1))))) * (INDEX('IR data'!$I$4:$I$61,MATCH(D401,'IR data'!$H$4:$H$61,1))-(INDEX('IR data'!$I$4:$I$61,MATCH(D401,'IR data'!$H$4:$H$61,1)+1)))))</f>
        <v>0.94487030807608696</v>
      </c>
      <c r="F401" s="30">
        <f t="shared" si="40"/>
        <v>2.2585794843297032E-2</v>
      </c>
      <c r="G401" s="45">
        <f t="shared" si="36"/>
        <v>45783</v>
      </c>
      <c r="H401" s="14" cm="1">
        <f t="array" ref="H401">_xlfn.IFNA(INDEX('IR data'!$N$4:$N$61,MATCH(G401,'IR data'!$M$4:$M$61,0)),((INDEX('IR data'!$N$4:$N$61,MATCH(G401,'IR data'!$M$4:$M$61,1)))-((G401-(INDEX('IR data'!$M$4:$M$61,MATCH(G401,'IR data'!$M$4:$M$61,1))))/((INDEX('IR data'!$M$4:$M$61,MATCH(G401,'IR data'!$M$4:$M$61,1)+1)-INDEX('IR data'!$M$4:$M$61,MATCH(G401,'IR data'!$M$4:$M$61,1))))) * (INDEX('IR data'!$N$4:$N$61,MATCH(G401,'IR data'!$M$4:$M$61,1))-(INDEX('IR data'!$N$4:$N$61,MATCH(G401,'IR data'!$M$4:$M$61,1)+1)))))</f>
        <v>0.94483152475824173</v>
      </c>
      <c r="I401" s="44">
        <f t="shared" si="41"/>
        <v>2.2602143262850267E-2</v>
      </c>
    </row>
    <row r="402" spans="1:9" x14ac:dyDescent="0.25">
      <c r="A402" s="45">
        <f t="shared" si="37"/>
        <v>45690</v>
      </c>
      <c r="B402" s="14" cm="1">
        <f t="array" ref="B402">_xlfn.IFNA(INDEX('IR data'!$D$4:$D$61,MATCH(A402,'IR data'!$C$4:$C$61,0)),((INDEX('IR data'!$D$4:$D$61,MATCH(A402,'IR data'!$C$4:$C$61,1)))-((A402-(INDEX('IR data'!$C$4:$C$61,MATCH(A402,'IR data'!$C$4:$C$61,1))))/((INDEX('IR data'!$C$4:$C$61,MATCH(A402,'IR data'!$C$4:$C$61,1)+1)-INDEX('IR data'!$C$4:$C$61,MATCH(A402,'IR data'!$C$4:$C$61,1))))) * (INDEX('IR data'!$D$4:$D$61,MATCH(A402,'IR data'!$C$4:$C$61,1))-(INDEX('IR data'!$D$4:$D$61,MATCH(A402,'IR data'!$C$4:$C$61,1)+1)))))</f>
        <v>0.94744262533333334</v>
      </c>
      <c r="C402" s="30">
        <f t="shared" si="38"/>
        <v>2.1449083491951158E-2</v>
      </c>
      <c r="D402" s="45">
        <f t="shared" si="39"/>
        <v>45750</v>
      </c>
      <c r="E402" s="14" cm="1">
        <f t="array" ref="E402">_xlfn.IFNA(INDEX('IR data'!$I$4:$I$61,MATCH(D402,'IR data'!$H$4:$H$61,0)),((INDEX('IR data'!$I$4:$I$61,MATCH(D402,'IR data'!$H$4:$H$61,1)))-((D402-(INDEX('IR data'!$H$4:$H$61,MATCH(D402,'IR data'!$H$4:$H$61,1))))/((INDEX('IR data'!$H$4:$H$61,MATCH(D402,'IR data'!$H$4:$H$61,1)+1)-INDEX('IR data'!$H$4:$H$61,MATCH(D402,'IR data'!$H$4:$H$61,1))))) * (INDEX('IR data'!$I$4:$I$61,MATCH(D402,'IR data'!$H$4:$H$61,1))-(INDEX('IR data'!$I$4:$I$61,MATCH(D402,'IR data'!$H$4:$H$61,1)+1)))))</f>
        <v>0.94475331863043477</v>
      </c>
      <c r="F402" s="30">
        <f t="shared" si="40"/>
        <v>2.2578382106286522E-2</v>
      </c>
      <c r="G402" s="45">
        <f t="shared" si="36"/>
        <v>45784</v>
      </c>
      <c r="H402" s="14" cm="1">
        <f t="array" ref="H402">_xlfn.IFNA(INDEX('IR data'!$N$4:$N$61,MATCH(G402,'IR data'!$M$4:$M$61,0)),((INDEX('IR data'!$N$4:$N$61,MATCH(G402,'IR data'!$M$4:$M$61,1)))-((G402-(INDEX('IR data'!$M$4:$M$61,MATCH(G402,'IR data'!$M$4:$M$61,1))))/((INDEX('IR data'!$M$4:$M$61,MATCH(G402,'IR data'!$M$4:$M$61,1)+1)-INDEX('IR data'!$M$4:$M$61,MATCH(G402,'IR data'!$M$4:$M$61,1))))) * (INDEX('IR data'!$N$4:$N$61,MATCH(G402,'IR data'!$M$4:$M$61,1))-(INDEX('IR data'!$N$4:$N$61,MATCH(G402,'IR data'!$M$4:$M$61,1)+1)))))</f>
        <v>0.94471241143956042</v>
      </c>
      <c r="I402" s="44">
        <f t="shared" si="41"/>
        <v>2.2595584738867618E-2</v>
      </c>
    </row>
    <row r="403" spans="1:9" x14ac:dyDescent="0.25">
      <c r="A403" s="45">
        <f t="shared" si="37"/>
        <v>45691</v>
      </c>
      <c r="B403" s="14" cm="1">
        <f t="array" ref="B403">_xlfn.IFNA(INDEX('IR data'!$D$4:$D$61,MATCH(A403,'IR data'!$C$4:$C$61,0)),((INDEX('IR data'!$D$4:$D$61,MATCH(A403,'IR data'!$C$4:$C$61,1)))-((A403-(INDEX('IR data'!$C$4:$C$61,MATCH(A403,'IR data'!$C$4:$C$61,1))))/((INDEX('IR data'!$C$4:$C$61,MATCH(A403,'IR data'!$C$4:$C$61,1)+1)-INDEX('IR data'!$C$4:$C$61,MATCH(A403,'IR data'!$C$4:$C$61,1))))) * (INDEX('IR data'!$D$4:$D$61,MATCH(A403,'IR data'!$C$4:$C$61,1))-(INDEX('IR data'!$D$4:$D$61,MATCH(A403,'IR data'!$C$4:$C$61,1)+1)))))</f>
        <v>0.94733937971111115</v>
      </c>
      <c r="C403" s="30">
        <f t="shared" si="38"/>
        <v>2.1438648433401937E-2</v>
      </c>
      <c r="D403" s="45">
        <f t="shared" si="39"/>
        <v>45751</v>
      </c>
      <c r="E403" s="14" cm="1">
        <f t="array" ref="E403">_xlfn.IFNA(INDEX('IR data'!$I$4:$I$61,MATCH(D403,'IR data'!$H$4:$H$61,0)),((INDEX('IR data'!$I$4:$I$61,MATCH(D403,'IR data'!$H$4:$H$61,1)))-((D403-(INDEX('IR data'!$H$4:$H$61,MATCH(D403,'IR data'!$H$4:$H$61,1))))/((INDEX('IR data'!$H$4:$H$61,MATCH(D403,'IR data'!$H$4:$H$61,1)+1)-INDEX('IR data'!$H$4:$H$61,MATCH(D403,'IR data'!$H$4:$H$61,1))))) * (INDEX('IR data'!$I$4:$I$61,MATCH(D403,'IR data'!$H$4:$H$61,1))-(INDEX('IR data'!$I$4:$I$61,MATCH(D403,'IR data'!$H$4:$H$61,1)+1)))))</f>
        <v>0.94463632918478257</v>
      </c>
      <c r="F403" s="30">
        <f t="shared" si="40"/>
        <v>2.25710125097437E-2</v>
      </c>
      <c r="G403" s="45">
        <f t="shared" si="36"/>
        <v>45785</v>
      </c>
      <c r="H403" s="14" cm="1">
        <f t="array" ref="H403">_xlfn.IFNA(INDEX('IR data'!$N$4:$N$61,MATCH(G403,'IR data'!$M$4:$M$61,0)),((INDEX('IR data'!$N$4:$N$61,MATCH(G403,'IR data'!$M$4:$M$61,1)))-((G403-(INDEX('IR data'!$M$4:$M$61,MATCH(G403,'IR data'!$M$4:$M$61,1))))/((INDEX('IR data'!$M$4:$M$61,MATCH(G403,'IR data'!$M$4:$M$61,1)+1)-INDEX('IR data'!$M$4:$M$61,MATCH(G403,'IR data'!$M$4:$M$61,1))))) * (INDEX('IR data'!$N$4:$N$61,MATCH(G403,'IR data'!$M$4:$M$61,1))-(INDEX('IR data'!$N$4:$N$61,MATCH(G403,'IR data'!$M$4:$M$61,1)+1)))))</f>
        <v>0.94459329812087911</v>
      </c>
      <c r="I403" s="44">
        <f t="shared" si="41"/>
        <v>2.2589065307476546E-2</v>
      </c>
    </row>
    <row r="404" spans="1:9" x14ac:dyDescent="0.25">
      <c r="A404" s="45">
        <f t="shared" si="37"/>
        <v>45692</v>
      </c>
      <c r="B404" s="14" cm="1">
        <f t="array" ref="B404">_xlfn.IFNA(INDEX('IR data'!$D$4:$D$61,MATCH(A404,'IR data'!$C$4:$C$61,0)),((INDEX('IR data'!$D$4:$D$61,MATCH(A404,'IR data'!$C$4:$C$61,1)))-((A404-(INDEX('IR data'!$C$4:$C$61,MATCH(A404,'IR data'!$C$4:$C$61,1))))/((INDEX('IR data'!$C$4:$C$61,MATCH(A404,'IR data'!$C$4:$C$61,1)+1)-INDEX('IR data'!$C$4:$C$61,MATCH(A404,'IR data'!$C$4:$C$61,1))))) * (INDEX('IR data'!$D$4:$D$61,MATCH(A404,'IR data'!$C$4:$C$61,1))-(INDEX('IR data'!$D$4:$D$61,MATCH(A404,'IR data'!$C$4:$C$61,1)+1)))))</f>
        <v>0.94723613408888885</v>
      </c>
      <c r="C404" s="30">
        <f t="shared" si="38"/>
        <v>2.1428270115349531E-2</v>
      </c>
      <c r="D404" s="45">
        <f t="shared" si="39"/>
        <v>45752</v>
      </c>
      <c r="E404" s="14" cm="1">
        <f t="array" ref="E404">_xlfn.IFNA(INDEX('IR data'!$I$4:$I$61,MATCH(D404,'IR data'!$H$4:$H$61,0)),((INDEX('IR data'!$I$4:$I$61,MATCH(D404,'IR data'!$H$4:$H$61,1)))-((D404-(INDEX('IR data'!$H$4:$H$61,MATCH(D404,'IR data'!$H$4:$H$61,1))))/((INDEX('IR data'!$H$4:$H$61,MATCH(D404,'IR data'!$H$4:$H$61,1)+1)-INDEX('IR data'!$H$4:$H$61,MATCH(D404,'IR data'!$H$4:$H$61,1))))) * (INDEX('IR data'!$I$4:$I$61,MATCH(D404,'IR data'!$H$4:$H$61,1))-(INDEX('IR data'!$I$4:$I$61,MATCH(D404,'IR data'!$H$4:$H$61,1)+1)))))</f>
        <v>0.94451933973913049</v>
      </c>
      <c r="F404" s="30">
        <f t="shared" si="40"/>
        <v>2.2563685732423375E-2</v>
      </c>
      <c r="G404" s="45">
        <f t="shared" si="36"/>
        <v>45786</v>
      </c>
      <c r="H404" s="14" cm="1">
        <f t="array" ref="H404">_xlfn.IFNA(INDEX('IR data'!$N$4:$N$61,MATCH(G404,'IR data'!$M$4:$M$61,0)),((INDEX('IR data'!$N$4:$N$61,MATCH(G404,'IR data'!$M$4:$M$61,1)))-((G404-(INDEX('IR data'!$M$4:$M$61,MATCH(G404,'IR data'!$M$4:$M$61,1))))/((INDEX('IR data'!$M$4:$M$61,MATCH(G404,'IR data'!$M$4:$M$61,1)+1)-INDEX('IR data'!$M$4:$M$61,MATCH(G404,'IR data'!$M$4:$M$61,1))))) * (INDEX('IR data'!$N$4:$N$61,MATCH(G404,'IR data'!$M$4:$M$61,1))-(INDEX('IR data'!$N$4:$N$61,MATCH(G404,'IR data'!$M$4:$M$61,1)+1)))))</f>
        <v>0.9444741848021978</v>
      </c>
      <c r="I404" s="44">
        <f t="shared" si="41"/>
        <v>2.2582584677798754E-2</v>
      </c>
    </row>
    <row r="405" spans="1:9" x14ac:dyDescent="0.25">
      <c r="A405" s="45">
        <f t="shared" si="37"/>
        <v>45693</v>
      </c>
      <c r="B405" s="14" cm="1">
        <f t="array" ref="B405">_xlfn.IFNA(INDEX('IR data'!$D$4:$D$61,MATCH(A405,'IR data'!$C$4:$C$61,0)),((INDEX('IR data'!$D$4:$D$61,MATCH(A405,'IR data'!$C$4:$C$61,1)))-((A405-(INDEX('IR data'!$C$4:$C$61,MATCH(A405,'IR data'!$C$4:$C$61,1))))/((INDEX('IR data'!$C$4:$C$61,MATCH(A405,'IR data'!$C$4:$C$61,1)+1)-INDEX('IR data'!$C$4:$C$61,MATCH(A405,'IR data'!$C$4:$C$61,1))))) * (INDEX('IR data'!$D$4:$D$61,MATCH(A405,'IR data'!$C$4:$C$61,1))-(INDEX('IR data'!$D$4:$D$61,MATCH(A405,'IR data'!$C$4:$C$61,1)+1)))))</f>
        <v>0.94713288846666666</v>
      </c>
      <c r="C405" s="30">
        <f t="shared" si="38"/>
        <v>2.1417948115378362E-2</v>
      </c>
      <c r="D405" s="45">
        <f t="shared" si="39"/>
        <v>45753</v>
      </c>
      <c r="E405" s="14" cm="1">
        <f t="array" ref="E405">_xlfn.IFNA(INDEX('IR data'!$I$4:$I$61,MATCH(D405,'IR data'!$H$4:$H$61,0)),((INDEX('IR data'!$I$4:$I$61,MATCH(D405,'IR data'!$H$4:$H$61,1)))-((D405-(INDEX('IR data'!$H$4:$H$61,MATCH(D405,'IR data'!$H$4:$H$61,1))))/((INDEX('IR data'!$H$4:$H$61,MATCH(D405,'IR data'!$H$4:$H$61,1)+1)-INDEX('IR data'!$H$4:$H$61,MATCH(D405,'IR data'!$H$4:$H$61,1))))) * (INDEX('IR data'!$I$4:$I$61,MATCH(D405,'IR data'!$H$4:$H$61,1))-(INDEX('IR data'!$I$4:$I$61,MATCH(D405,'IR data'!$H$4:$H$61,1)+1)))))</f>
        <v>0.9444023502934783</v>
      </c>
      <c r="F405" s="30">
        <f t="shared" si="40"/>
        <v>2.2556401456277551E-2</v>
      </c>
      <c r="G405" s="45">
        <f t="shared" si="36"/>
        <v>45787</v>
      </c>
      <c r="H405" s="14" cm="1">
        <f t="array" ref="H405">_xlfn.IFNA(INDEX('IR data'!$N$4:$N$61,MATCH(G405,'IR data'!$M$4:$M$61,0)),((INDEX('IR data'!$N$4:$N$61,MATCH(G405,'IR data'!$M$4:$M$61,1)))-((G405-(INDEX('IR data'!$M$4:$M$61,MATCH(G405,'IR data'!$M$4:$M$61,1))))/((INDEX('IR data'!$M$4:$M$61,MATCH(G405,'IR data'!$M$4:$M$61,1)+1)-INDEX('IR data'!$M$4:$M$61,MATCH(G405,'IR data'!$M$4:$M$61,1))))) * (INDEX('IR data'!$N$4:$N$61,MATCH(G405,'IR data'!$M$4:$M$61,1))-(INDEX('IR data'!$N$4:$N$61,MATCH(G405,'IR data'!$M$4:$M$61,1)+1)))))</f>
        <v>0.94435507148351649</v>
      </c>
      <c r="I405" s="44">
        <f t="shared" si="41"/>
        <v>2.2576142561850872E-2</v>
      </c>
    </row>
    <row r="406" spans="1:9" x14ac:dyDescent="0.25">
      <c r="A406" s="45">
        <f t="shared" si="37"/>
        <v>45694</v>
      </c>
      <c r="B406" s="14" cm="1">
        <f t="array" ref="B406">_xlfn.IFNA(INDEX('IR data'!$D$4:$D$61,MATCH(A406,'IR data'!$C$4:$C$61,0)),((INDEX('IR data'!$D$4:$D$61,MATCH(A406,'IR data'!$C$4:$C$61,1)))-((A406-(INDEX('IR data'!$C$4:$C$61,MATCH(A406,'IR data'!$C$4:$C$61,1))))/((INDEX('IR data'!$C$4:$C$61,MATCH(A406,'IR data'!$C$4:$C$61,1)+1)-INDEX('IR data'!$C$4:$C$61,MATCH(A406,'IR data'!$C$4:$C$61,1))))) * (INDEX('IR data'!$D$4:$D$61,MATCH(A406,'IR data'!$C$4:$C$61,1))-(INDEX('IR data'!$D$4:$D$61,MATCH(A406,'IR data'!$C$4:$C$61,1)+1)))))</f>
        <v>0.94702964284444446</v>
      </c>
      <c r="C406" s="30">
        <f t="shared" si="38"/>
        <v>2.1407682015266032E-2</v>
      </c>
      <c r="D406" s="45">
        <f t="shared" si="39"/>
        <v>45754</v>
      </c>
      <c r="E406" s="14" cm="1">
        <f t="array" ref="E406">_xlfn.IFNA(INDEX('IR data'!$I$4:$I$61,MATCH(D406,'IR data'!$H$4:$H$61,0)),((INDEX('IR data'!$I$4:$I$61,MATCH(D406,'IR data'!$H$4:$H$61,1)))-((D406-(INDEX('IR data'!$H$4:$H$61,MATCH(D406,'IR data'!$H$4:$H$61,1))))/((INDEX('IR data'!$H$4:$H$61,MATCH(D406,'IR data'!$H$4:$H$61,1)+1)-INDEX('IR data'!$H$4:$H$61,MATCH(D406,'IR data'!$H$4:$H$61,1))))) * (INDEX('IR data'!$I$4:$I$61,MATCH(D406,'IR data'!$H$4:$H$61,1))-(INDEX('IR data'!$I$4:$I$61,MATCH(D406,'IR data'!$H$4:$H$61,1)+1)))))</f>
        <v>0.94428536084782611</v>
      </c>
      <c r="F406" s="30">
        <f t="shared" si="40"/>
        <v>2.2549159366415425E-2</v>
      </c>
      <c r="G406" s="45">
        <f t="shared" si="36"/>
        <v>45788</v>
      </c>
      <c r="H406" s="14" cm="1">
        <f t="array" ref="H406">_xlfn.IFNA(INDEX('IR data'!$N$4:$N$61,MATCH(G406,'IR data'!$M$4:$M$61,0)),((INDEX('IR data'!$N$4:$N$61,MATCH(G406,'IR data'!$M$4:$M$61,1)))-((G406-(INDEX('IR data'!$M$4:$M$61,MATCH(G406,'IR data'!$M$4:$M$61,1))))/((INDEX('IR data'!$M$4:$M$61,MATCH(G406,'IR data'!$M$4:$M$61,1)+1)-INDEX('IR data'!$M$4:$M$61,MATCH(G406,'IR data'!$M$4:$M$61,1))))) * (INDEX('IR data'!$N$4:$N$61,MATCH(G406,'IR data'!$M$4:$M$61,1))-(INDEX('IR data'!$N$4:$N$61,MATCH(G406,'IR data'!$M$4:$M$61,1)+1)))))</f>
        <v>0.94423595816483519</v>
      </c>
      <c r="I406" s="44">
        <f t="shared" si="41"/>
        <v>2.2569738674508507E-2</v>
      </c>
    </row>
    <row r="407" spans="1:9" x14ac:dyDescent="0.25">
      <c r="A407" s="45">
        <f t="shared" si="37"/>
        <v>45695</v>
      </c>
      <c r="B407" s="14" cm="1">
        <f t="array" ref="B407">_xlfn.IFNA(INDEX('IR data'!$D$4:$D$61,MATCH(A407,'IR data'!$C$4:$C$61,0)),((INDEX('IR data'!$D$4:$D$61,MATCH(A407,'IR data'!$C$4:$C$61,1)))-((A407-(INDEX('IR data'!$C$4:$C$61,MATCH(A407,'IR data'!$C$4:$C$61,1))))/((INDEX('IR data'!$C$4:$C$61,MATCH(A407,'IR data'!$C$4:$C$61,1)+1)-INDEX('IR data'!$C$4:$C$61,MATCH(A407,'IR data'!$C$4:$C$61,1))))) * (INDEX('IR data'!$D$4:$D$61,MATCH(A407,'IR data'!$C$4:$C$61,1))-(INDEX('IR data'!$D$4:$D$61,MATCH(A407,'IR data'!$C$4:$C$61,1)+1)))))</f>
        <v>0.94692639722222227</v>
      </c>
      <c r="C407" s="30">
        <f t="shared" si="38"/>
        <v>2.1397471400931255E-2</v>
      </c>
      <c r="D407" s="45">
        <f t="shared" si="39"/>
        <v>45755</v>
      </c>
      <c r="E407" s="14" cm="1">
        <f t="array" ref="E407">_xlfn.IFNA(INDEX('IR data'!$I$4:$I$61,MATCH(D407,'IR data'!$H$4:$H$61,0)),((INDEX('IR data'!$I$4:$I$61,MATCH(D407,'IR data'!$H$4:$H$61,1)))-((D407-(INDEX('IR data'!$H$4:$H$61,MATCH(D407,'IR data'!$H$4:$H$61,1))))/((INDEX('IR data'!$H$4:$H$61,MATCH(D407,'IR data'!$H$4:$H$61,1)+1)-INDEX('IR data'!$H$4:$H$61,MATCH(D407,'IR data'!$H$4:$H$61,1))))) * (INDEX('IR data'!$I$4:$I$61,MATCH(D407,'IR data'!$H$4:$H$61,1))-(INDEX('IR data'!$I$4:$I$61,MATCH(D407,'IR data'!$H$4:$H$61,1)+1)))))</f>
        <v>0.94416837140217391</v>
      </c>
      <c r="F407" s="30">
        <f t="shared" si="40"/>
        <v>2.2541959151064543E-2</v>
      </c>
      <c r="G407" s="45">
        <f t="shared" si="36"/>
        <v>45789</v>
      </c>
      <c r="H407" s="14" cm="1">
        <f t="array" ref="H407">_xlfn.IFNA(INDEX('IR data'!$N$4:$N$61,MATCH(G407,'IR data'!$M$4:$M$61,0)),((INDEX('IR data'!$N$4:$N$61,MATCH(G407,'IR data'!$M$4:$M$61,1)))-((G407-(INDEX('IR data'!$M$4:$M$61,MATCH(G407,'IR data'!$M$4:$M$61,1))))/((INDEX('IR data'!$M$4:$M$61,MATCH(G407,'IR data'!$M$4:$M$61,1)+1)-INDEX('IR data'!$M$4:$M$61,MATCH(G407,'IR data'!$M$4:$M$61,1))))) * (INDEX('IR data'!$N$4:$N$61,MATCH(G407,'IR data'!$M$4:$M$61,1))-(INDEX('IR data'!$N$4:$N$61,MATCH(G407,'IR data'!$M$4:$M$61,1)+1)))))</f>
        <v>0.94411684484615388</v>
      </c>
      <c r="I407" s="44">
        <f t="shared" si="41"/>
        <v>2.2563372733470893E-2</v>
      </c>
    </row>
    <row r="408" spans="1:9" x14ac:dyDescent="0.25">
      <c r="A408" s="45">
        <f t="shared" si="37"/>
        <v>45696</v>
      </c>
      <c r="B408" s="14" cm="1">
        <f t="array" ref="B408">_xlfn.IFNA(INDEX('IR data'!$D$4:$D$61,MATCH(A408,'IR data'!$C$4:$C$61,0)),((INDEX('IR data'!$D$4:$D$61,MATCH(A408,'IR data'!$C$4:$C$61,1)))-((A408-(INDEX('IR data'!$C$4:$C$61,MATCH(A408,'IR data'!$C$4:$C$61,1))))/((INDEX('IR data'!$C$4:$C$61,MATCH(A408,'IR data'!$C$4:$C$61,1)+1)-INDEX('IR data'!$C$4:$C$61,MATCH(A408,'IR data'!$C$4:$C$61,1))))) * (INDEX('IR data'!$D$4:$D$61,MATCH(A408,'IR data'!$C$4:$C$61,1))-(INDEX('IR data'!$D$4:$D$61,MATCH(A408,'IR data'!$C$4:$C$61,1)+1)))))</f>
        <v>0.94682315159999997</v>
      </c>
      <c r="C408" s="30">
        <f t="shared" si="38"/>
        <v>2.1387315862382801E-2</v>
      </c>
      <c r="D408" s="45">
        <f t="shared" si="39"/>
        <v>45756</v>
      </c>
      <c r="E408" s="14" cm="1">
        <f t="array" ref="E408">_xlfn.IFNA(INDEX('IR data'!$I$4:$I$61,MATCH(D408,'IR data'!$H$4:$H$61,0)),((INDEX('IR data'!$I$4:$I$61,MATCH(D408,'IR data'!$H$4:$H$61,1)))-((D408-(INDEX('IR data'!$H$4:$H$61,MATCH(D408,'IR data'!$H$4:$H$61,1))))/((INDEX('IR data'!$H$4:$H$61,MATCH(D408,'IR data'!$H$4:$H$61,1)+1)-INDEX('IR data'!$H$4:$H$61,MATCH(D408,'IR data'!$H$4:$H$61,1))))) * (INDEX('IR data'!$I$4:$I$61,MATCH(D408,'IR data'!$H$4:$H$61,1))-(INDEX('IR data'!$I$4:$I$61,MATCH(D408,'IR data'!$H$4:$H$61,1)+1)))))</f>
        <v>0.94405138195652172</v>
      </c>
      <c r="F408" s="30">
        <f t="shared" si="40"/>
        <v>2.2534800501532223E-2</v>
      </c>
      <c r="G408" s="45">
        <f t="shared" si="36"/>
        <v>45790</v>
      </c>
      <c r="H408" s="14" cm="1">
        <f t="array" ref="H408">_xlfn.IFNA(INDEX('IR data'!$N$4:$N$61,MATCH(G408,'IR data'!$M$4:$M$61,0)),((INDEX('IR data'!$N$4:$N$61,MATCH(G408,'IR data'!$M$4:$M$61,1)))-((G408-(INDEX('IR data'!$M$4:$M$61,MATCH(G408,'IR data'!$M$4:$M$61,1))))/((INDEX('IR data'!$M$4:$M$61,MATCH(G408,'IR data'!$M$4:$M$61,1)+1)-INDEX('IR data'!$M$4:$M$61,MATCH(G408,'IR data'!$M$4:$M$61,1))))) * (INDEX('IR data'!$N$4:$N$61,MATCH(G408,'IR data'!$M$4:$M$61,1))-(INDEX('IR data'!$N$4:$N$61,MATCH(G408,'IR data'!$M$4:$M$61,1)+1)))))</f>
        <v>0.94399773152747246</v>
      </c>
      <c r="I408" s="44">
        <f t="shared" si="41"/>
        <v>2.2557044459226041E-2</v>
      </c>
    </row>
    <row r="409" spans="1:9" x14ac:dyDescent="0.25">
      <c r="A409" s="45">
        <f t="shared" si="37"/>
        <v>45697</v>
      </c>
      <c r="B409" s="14" cm="1">
        <f t="array" ref="B409">_xlfn.IFNA(INDEX('IR data'!$D$4:$D$61,MATCH(A409,'IR data'!$C$4:$C$61,0)),((INDEX('IR data'!$D$4:$D$61,MATCH(A409,'IR data'!$C$4:$C$61,1)))-((A409-(INDEX('IR data'!$C$4:$C$61,MATCH(A409,'IR data'!$C$4:$C$61,1))))/((INDEX('IR data'!$C$4:$C$61,MATCH(A409,'IR data'!$C$4:$C$61,1)+1)-INDEX('IR data'!$C$4:$C$61,MATCH(A409,'IR data'!$C$4:$C$61,1))))) * (INDEX('IR data'!$D$4:$D$61,MATCH(A409,'IR data'!$C$4:$C$61,1))-(INDEX('IR data'!$D$4:$D$61,MATCH(A409,'IR data'!$C$4:$C$61,1)+1)))))</f>
        <v>0.94671990597777778</v>
      </c>
      <c r="C409" s="30">
        <f t="shared" si="38"/>
        <v>2.1377214993668955E-2</v>
      </c>
      <c r="D409" s="45">
        <f t="shared" si="39"/>
        <v>45757</v>
      </c>
      <c r="E409" s="14" cm="1">
        <f t="array" ref="E409">_xlfn.IFNA(INDEX('IR data'!$I$4:$I$61,MATCH(D409,'IR data'!$H$4:$H$61,0)),((INDEX('IR data'!$I$4:$I$61,MATCH(D409,'IR data'!$H$4:$H$61,1)))-((D409-(INDEX('IR data'!$H$4:$H$61,MATCH(D409,'IR data'!$H$4:$H$61,1))))/((INDEX('IR data'!$H$4:$H$61,MATCH(D409,'IR data'!$H$4:$H$61,1)+1)-INDEX('IR data'!$H$4:$H$61,MATCH(D409,'IR data'!$H$4:$H$61,1))))) * (INDEX('IR data'!$I$4:$I$61,MATCH(D409,'IR data'!$H$4:$H$61,1))-(INDEX('IR data'!$I$4:$I$61,MATCH(D409,'IR data'!$H$4:$H$61,1)+1)))))</f>
        <v>0.94393439251086952</v>
      </c>
      <c r="F409" s="30">
        <f t="shared" si="40"/>
        <v>2.252768311216766E-2</v>
      </c>
      <c r="G409" s="45">
        <f t="shared" si="36"/>
        <v>45791</v>
      </c>
      <c r="H409" s="14" cm="1">
        <f t="array" ref="H409">_xlfn.IFNA(INDEX('IR data'!$N$4:$N$61,MATCH(G409,'IR data'!$M$4:$M$61,0)),((INDEX('IR data'!$N$4:$N$61,MATCH(G409,'IR data'!$M$4:$M$61,1)))-((G409-(INDEX('IR data'!$M$4:$M$61,MATCH(G409,'IR data'!$M$4:$M$61,1))))/((INDEX('IR data'!$M$4:$M$61,MATCH(G409,'IR data'!$M$4:$M$61,1)+1)-INDEX('IR data'!$M$4:$M$61,MATCH(G409,'IR data'!$M$4:$M$61,1))))) * (INDEX('IR data'!$N$4:$N$61,MATCH(G409,'IR data'!$M$4:$M$61,1))-(INDEX('IR data'!$N$4:$N$61,MATCH(G409,'IR data'!$M$4:$M$61,1)+1)))))</f>
        <v>0.94387861820879115</v>
      </c>
      <c r="I409" s="44">
        <f t="shared" si="41"/>
        <v>2.2550753575016257E-2</v>
      </c>
    </row>
    <row r="410" spans="1:9" x14ac:dyDescent="0.25">
      <c r="A410" s="45">
        <f t="shared" si="37"/>
        <v>45698</v>
      </c>
      <c r="B410" s="14" cm="1">
        <f t="array" ref="B410">_xlfn.IFNA(INDEX('IR data'!$D$4:$D$61,MATCH(A410,'IR data'!$C$4:$C$61,0)),((INDEX('IR data'!$D$4:$D$61,MATCH(A410,'IR data'!$C$4:$C$61,1)))-((A410-(INDEX('IR data'!$C$4:$C$61,MATCH(A410,'IR data'!$C$4:$C$61,1))))/((INDEX('IR data'!$C$4:$C$61,MATCH(A410,'IR data'!$C$4:$C$61,1)+1)-INDEX('IR data'!$C$4:$C$61,MATCH(A410,'IR data'!$C$4:$C$61,1))))) * (INDEX('IR data'!$D$4:$D$61,MATCH(A410,'IR data'!$C$4:$C$61,1))-(INDEX('IR data'!$D$4:$D$61,MATCH(A410,'IR data'!$C$4:$C$61,1)+1)))))</f>
        <v>0.94661666035555558</v>
      </c>
      <c r="C410" s="30">
        <f t="shared" si="38"/>
        <v>2.1367168392828186E-2</v>
      </c>
      <c r="D410" s="45">
        <f t="shared" si="39"/>
        <v>45758</v>
      </c>
      <c r="E410" s="14" cm="1">
        <f t="array" ref="E410">_xlfn.IFNA(INDEX('IR data'!$I$4:$I$61,MATCH(D410,'IR data'!$H$4:$H$61,0)),((INDEX('IR data'!$I$4:$I$61,MATCH(D410,'IR data'!$H$4:$H$61,1)))-((D410-(INDEX('IR data'!$H$4:$H$61,MATCH(D410,'IR data'!$H$4:$H$61,1))))/((INDEX('IR data'!$H$4:$H$61,MATCH(D410,'IR data'!$H$4:$H$61,1)+1)-INDEX('IR data'!$H$4:$H$61,MATCH(D410,'IR data'!$H$4:$H$61,1))))) * (INDEX('IR data'!$I$4:$I$61,MATCH(D410,'IR data'!$H$4:$H$61,1))-(INDEX('IR data'!$I$4:$I$61,MATCH(D410,'IR data'!$H$4:$H$61,1)+1)))))</f>
        <v>0.94381740306521744</v>
      </c>
      <c r="F410" s="30">
        <f t="shared" si="40"/>
        <v>2.252060668032449E-2</v>
      </c>
      <c r="G410" s="45">
        <f t="shared" si="36"/>
        <v>45792</v>
      </c>
      <c r="H410" s="14" cm="1">
        <f t="array" ref="H410">_xlfn.IFNA(INDEX('IR data'!$N$4:$N$61,MATCH(G410,'IR data'!$M$4:$M$61,0)),((INDEX('IR data'!$N$4:$N$61,MATCH(G410,'IR data'!$M$4:$M$61,1)))-((G410-(INDEX('IR data'!$M$4:$M$61,MATCH(G410,'IR data'!$M$4:$M$61,1))))/((INDEX('IR data'!$M$4:$M$61,MATCH(G410,'IR data'!$M$4:$M$61,1)+1)-INDEX('IR data'!$M$4:$M$61,MATCH(G410,'IR data'!$M$4:$M$61,1))))) * (INDEX('IR data'!$N$4:$N$61,MATCH(G410,'IR data'!$M$4:$M$61,1))-(INDEX('IR data'!$N$4:$N$61,MATCH(G410,'IR data'!$M$4:$M$61,1)+1)))))</f>
        <v>0.94375950489010985</v>
      </c>
      <c r="I410" s="44">
        <f t="shared" si="41"/>
        <v>2.2544499806804529E-2</v>
      </c>
    </row>
    <row r="411" spans="1:9" x14ac:dyDescent="0.25">
      <c r="A411" s="45">
        <f t="shared" si="37"/>
        <v>45699</v>
      </c>
      <c r="B411" s="14" cm="1">
        <f t="array" ref="B411">_xlfn.IFNA(INDEX('IR data'!$D$4:$D$61,MATCH(A411,'IR data'!$C$4:$C$61,0)),((INDEX('IR data'!$D$4:$D$61,MATCH(A411,'IR data'!$C$4:$C$61,1)))-((A411-(INDEX('IR data'!$C$4:$C$61,MATCH(A411,'IR data'!$C$4:$C$61,1))))/((INDEX('IR data'!$C$4:$C$61,MATCH(A411,'IR data'!$C$4:$C$61,1)+1)-INDEX('IR data'!$C$4:$C$61,MATCH(A411,'IR data'!$C$4:$C$61,1))))) * (INDEX('IR data'!$D$4:$D$61,MATCH(A411,'IR data'!$C$4:$C$61,1))-(INDEX('IR data'!$D$4:$D$61,MATCH(A411,'IR data'!$C$4:$C$61,1)+1)))))</f>
        <v>0.94651341473333339</v>
      </c>
      <c r="C411" s="30">
        <f t="shared" si="38"/>
        <v>2.1357175661840026E-2</v>
      </c>
      <c r="D411" s="45">
        <f t="shared" si="39"/>
        <v>45759</v>
      </c>
      <c r="E411" s="14" cm="1">
        <f t="array" ref="E411">_xlfn.IFNA(INDEX('IR data'!$I$4:$I$61,MATCH(D411,'IR data'!$H$4:$H$61,0)),((INDEX('IR data'!$I$4:$I$61,MATCH(D411,'IR data'!$H$4:$H$61,1)))-((D411-(INDEX('IR data'!$H$4:$H$61,MATCH(D411,'IR data'!$H$4:$H$61,1))))/((INDEX('IR data'!$H$4:$H$61,MATCH(D411,'IR data'!$H$4:$H$61,1)+1)-INDEX('IR data'!$H$4:$H$61,MATCH(D411,'IR data'!$H$4:$H$61,1))))) * (INDEX('IR data'!$I$4:$I$61,MATCH(D411,'IR data'!$H$4:$H$61,1))-(INDEX('IR data'!$I$4:$I$61,MATCH(D411,'IR data'!$H$4:$H$61,1)+1)))))</f>
        <v>0.94370041361956525</v>
      </c>
      <c r="F411" s="30">
        <f t="shared" si="40"/>
        <v>2.2513570906324134E-2</v>
      </c>
      <c r="G411" s="45">
        <f t="shared" si="36"/>
        <v>45793</v>
      </c>
      <c r="H411" s="14" cm="1">
        <f t="array" ref="H411">_xlfn.IFNA(INDEX('IR data'!$N$4:$N$61,MATCH(G411,'IR data'!$M$4:$M$61,0)),((INDEX('IR data'!$N$4:$N$61,MATCH(G411,'IR data'!$M$4:$M$61,1)))-((G411-(INDEX('IR data'!$M$4:$M$61,MATCH(G411,'IR data'!$M$4:$M$61,1))))/((INDEX('IR data'!$M$4:$M$61,MATCH(G411,'IR data'!$M$4:$M$61,1)+1)-INDEX('IR data'!$M$4:$M$61,MATCH(G411,'IR data'!$M$4:$M$61,1))))) * (INDEX('IR data'!$N$4:$N$61,MATCH(G411,'IR data'!$M$4:$M$61,1))-(INDEX('IR data'!$N$4:$N$61,MATCH(G411,'IR data'!$M$4:$M$61,1)+1)))))</f>
        <v>0.94364039157142854</v>
      </c>
      <c r="I411" s="44">
        <f t="shared" si="41"/>
        <v>2.2538282883241032E-2</v>
      </c>
    </row>
    <row r="412" spans="1:9" x14ac:dyDescent="0.25">
      <c r="A412" s="45">
        <f t="shared" si="37"/>
        <v>45700</v>
      </c>
      <c r="B412" s="14" cm="1">
        <f t="array" ref="B412">_xlfn.IFNA(INDEX('IR data'!$D$4:$D$61,MATCH(A412,'IR data'!$C$4:$C$61,0)),((INDEX('IR data'!$D$4:$D$61,MATCH(A412,'IR data'!$C$4:$C$61,1)))-((A412-(INDEX('IR data'!$C$4:$C$61,MATCH(A412,'IR data'!$C$4:$C$61,1))))/((INDEX('IR data'!$C$4:$C$61,MATCH(A412,'IR data'!$C$4:$C$61,1)+1)-INDEX('IR data'!$C$4:$C$61,MATCH(A412,'IR data'!$C$4:$C$61,1))))) * (INDEX('IR data'!$D$4:$D$61,MATCH(A412,'IR data'!$C$4:$C$61,1))-(INDEX('IR data'!$D$4:$D$61,MATCH(A412,'IR data'!$C$4:$C$61,1)+1)))))</f>
        <v>0.94641016911111109</v>
      </c>
      <c r="C412" s="30">
        <f t="shared" si="38"/>
        <v>2.1347236406577017E-2</v>
      </c>
      <c r="D412" s="45">
        <f t="shared" si="39"/>
        <v>45760</v>
      </c>
      <c r="E412" s="14" cm="1">
        <f t="array" ref="E412">_xlfn.IFNA(INDEX('IR data'!$I$4:$I$61,MATCH(D412,'IR data'!$H$4:$H$61,0)),((INDEX('IR data'!$I$4:$I$61,MATCH(D412,'IR data'!$H$4:$H$61,1)))-((D412-(INDEX('IR data'!$H$4:$H$61,MATCH(D412,'IR data'!$H$4:$H$61,1))))/((INDEX('IR data'!$H$4:$H$61,MATCH(D412,'IR data'!$H$4:$H$61,1)+1)-INDEX('IR data'!$H$4:$H$61,MATCH(D412,'IR data'!$H$4:$H$61,1))))) * (INDEX('IR data'!$I$4:$I$61,MATCH(D412,'IR data'!$H$4:$H$61,1))-(INDEX('IR data'!$I$4:$I$61,MATCH(D412,'IR data'!$H$4:$H$61,1)+1)))))</f>
        <v>0.94358342417391305</v>
      </c>
      <c r="F412" s="30">
        <f t="shared" si="40"/>
        <v>2.2506575493419306E-2</v>
      </c>
      <c r="G412" s="45">
        <f t="shared" si="36"/>
        <v>45794</v>
      </c>
      <c r="H412" s="14" cm="1">
        <f t="array" ref="H412">_xlfn.IFNA(INDEX('IR data'!$N$4:$N$61,MATCH(G412,'IR data'!$M$4:$M$61,0)),((INDEX('IR data'!$N$4:$N$61,MATCH(G412,'IR data'!$M$4:$M$61,1)))-((G412-(INDEX('IR data'!$M$4:$M$61,MATCH(G412,'IR data'!$M$4:$M$61,1))))/((INDEX('IR data'!$M$4:$M$61,MATCH(G412,'IR data'!$M$4:$M$61,1)+1)-INDEX('IR data'!$M$4:$M$61,MATCH(G412,'IR data'!$M$4:$M$61,1))))) * (INDEX('IR data'!$N$4:$N$61,MATCH(G412,'IR data'!$M$4:$M$61,1))-(INDEX('IR data'!$N$4:$N$61,MATCH(G412,'IR data'!$M$4:$M$61,1)+1)))))</f>
        <v>0.94352127825274723</v>
      </c>
      <c r="I412" s="44">
        <f t="shared" si="41"/>
        <v>2.2532102535630337E-2</v>
      </c>
    </row>
    <row r="413" spans="1:9" x14ac:dyDescent="0.25">
      <c r="A413" s="45">
        <f t="shared" si="37"/>
        <v>45701</v>
      </c>
      <c r="B413" s="14" cm="1">
        <f t="array" ref="B413">_xlfn.IFNA(INDEX('IR data'!$D$4:$D$61,MATCH(A413,'IR data'!$C$4:$C$61,0)),((INDEX('IR data'!$D$4:$D$61,MATCH(A413,'IR data'!$C$4:$C$61,1)))-((A413-(INDEX('IR data'!$C$4:$C$61,MATCH(A413,'IR data'!$C$4:$C$61,1))))/((INDEX('IR data'!$C$4:$C$61,MATCH(A413,'IR data'!$C$4:$C$61,1)+1)-INDEX('IR data'!$C$4:$C$61,MATCH(A413,'IR data'!$C$4:$C$61,1))))) * (INDEX('IR data'!$D$4:$D$61,MATCH(A413,'IR data'!$C$4:$C$61,1))-(INDEX('IR data'!$D$4:$D$61,MATCH(A413,'IR data'!$C$4:$C$61,1)+1)))))</f>
        <v>0.9463069234888889</v>
      </c>
      <c r="C413" s="30">
        <f t="shared" si="38"/>
        <v>2.1337350236757018E-2</v>
      </c>
      <c r="D413" s="45">
        <f t="shared" si="39"/>
        <v>45761</v>
      </c>
      <c r="E413" s="14" cm="1">
        <f t="array" ref="E413">_xlfn.IFNA(INDEX('IR data'!$I$4:$I$61,MATCH(D413,'IR data'!$H$4:$H$61,0)),((INDEX('IR data'!$I$4:$I$61,MATCH(D413,'IR data'!$H$4:$H$61,1)))-((D413-(INDEX('IR data'!$H$4:$H$61,MATCH(D413,'IR data'!$H$4:$H$61,1))))/((INDEX('IR data'!$H$4:$H$61,MATCH(D413,'IR data'!$H$4:$H$61,1)+1)-INDEX('IR data'!$H$4:$H$61,MATCH(D413,'IR data'!$H$4:$H$61,1))))) * (INDEX('IR data'!$I$4:$I$61,MATCH(D413,'IR data'!$H$4:$H$61,1))-(INDEX('IR data'!$I$4:$I$61,MATCH(D413,'IR data'!$H$4:$H$61,1)+1)))))</f>
        <v>0.94346643472826086</v>
      </c>
      <c r="F413" s="30">
        <f t="shared" si="40"/>
        <v>2.2499620147758369E-2</v>
      </c>
      <c r="G413" s="45">
        <f t="shared" si="36"/>
        <v>45795</v>
      </c>
      <c r="H413" s="14" cm="1">
        <f t="array" ref="H413">_xlfn.IFNA(INDEX('IR data'!$N$4:$N$61,MATCH(G413,'IR data'!$M$4:$M$61,0)),((INDEX('IR data'!$N$4:$N$61,MATCH(G413,'IR data'!$M$4:$M$61,1)))-((G413-(INDEX('IR data'!$M$4:$M$61,MATCH(G413,'IR data'!$M$4:$M$61,1))))/((INDEX('IR data'!$M$4:$M$61,MATCH(G413,'IR data'!$M$4:$M$61,1)+1)-INDEX('IR data'!$M$4:$M$61,MATCH(G413,'IR data'!$M$4:$M$61,1))))) * (INDEX('IR data'!$N$4:$N$61,MATCH(G413,'IR data'!$M$4:$M$61,1))-(INDEX('IR data'!$N$4:$N$61,MATCH(G413,'IR data'!$M$4:$M$61,1)+1)))))</f>
        <v>0.94340216493406592</v>
      </c>
      <c r="I413" s="44">
        <f t="shared" si="41"/>
        <v>2.2525958497899002E-2</v>
      </c>
    </row>
    <row r="414" spans="1:9" x14ac:dyDescent="0.25">
      <c r="A414" s="45">
        <f t="shared" si="37"/>
        <v>45702</v>
      </c>
      <c r="B414" s="14" cm="1">
        <f t="array" ref="B414">_xlfn.IFNA(INDEX('IR data'!$D$4:$D$61,MATCH(A414,'IR data'!$C$4:$C$61,0)),((INDEX('IR data'!$D$4:$D$61,MATCH(A414,'IR data'!$C$4:$C$61,1)))-((A414-(INDEX('IR data'!$C$4:$C$61,MATCH(A414,'IR data'!$C$4:$C$61,1))))/((INDEX('IR data'!$C$4:$C$61,MATCH(A414,'IR data'!$C$4:$C$61,1)+1)-INDEX('IR data'!$C$4:$C$61,MATCH(A414,'IR data'!$C$4:$C$61,1))))) * (INDEX('IR data'!$D$4:$D$61,MATCH(A414,'IR data'!$C$4:$C$61,1))-(INDEX('IR data'!$D$4:$D$61,MATCH(A414,'IR data'!$C$4:$C$61,1)+1)))))</f>
        <v>0.9462036778666667</v>
      </c>
      <c r="C414" s="30">
        <f t="shared" si="38"/>
        <v>2.132751676589675E-2</v>
      </c>
      <c r="D414" s="45">
        <f t="shared" si="39"/>
        <v>45762</v>
      </c>
      <c r="E414" s="14" cm="1">
        <f t="array" ref="E414">_xlfn.IFNA(INDEX('IR data'!$I$4:$I$61,MATCH(D414,'IR data'!$H$4:$H$61,0)),((INDEX('IR data'!$I$4:$I$61,MATCH(D414,'IR data'!$H$4:$H$61,1)))-((D414-(INDEX('IR data'!$H$4:$H$61,MATCH(D414,'IR data'!$H$4:$H$61,1))))/((INDEX('IR data'!$H$4:$H$61,MATCH(D414,'IR data'!$H$4:$H$61,1)+1)-INDEX('IR data'!$H$4:$H$61,MATCH(D414,'IR data'!$H$4:$H$61,1))))) * (INDEX('IR data'!$I$4:$I$61,MATCH(D414,'IR data'!$H$4:$H$61,1))-(INDEX('IR data'!$I$4:$I$61,MATCH(D414,'IR data'!$H$4:$H$61,1)+1)))))</f>
        <v>0.94334944528260867</v>
      </c>
      <c r="F414" s="30">
        <f t="shared" si="40"/>
        <v>2.2492704578350137E-2</v>
      </c>
      <c r="G414" s="45">
        <f t="shared" si="36"/>
        <v>45796</v>
      </c>
      <c r="H414" s="14" cm="1">
        <f t="array" ref="H414">_xlfn.IFNA(INDEX('IR data'!$N$4:$N$61,MATCH(G414,'IR data'!$M$4:$M$61,0)),((INDEX('IR data'!$N$4:$N$61,MATCH(G414,'IR data'!$M$4:$M$61,1)))-((G414-(INDEX('IR data'!$M$4:$M$61,MATCH(G414,'IR data'!$M$4:$M$61,1))))/((INDEX('IR data'!$M$4:$M$61,MATCH(G414,'IR data'!$M$4:$M$61,1)+1)-INDEX('IR data'!$M$4:$M$61,MATCH(G414,'IR data'!$M$4:$M$61,1))))) * (INDEX('IR data'!$N$4:$N$61,MATCH(G414,'IR data'!$M$4:$M$61,1))-(INDEX('IR data'!$N$4:$N$61,MATCH(G414,'IR data'!$M$4:$M$61,1)+1)))))</f>
        <v>0.94328305161538462</v>
      </c>
      <c r="I414" s="44">
        <f t="shared" si="41"/>
        <v>2.2519850506563709E-2</v>
      </c>
    </row>
    <row r="415" spans="1:9" x14ac:dyDescent="0.25">
      <c r="A415" s="45">
        <f t="shared" si="37"/>
        <v>45703</v>
      </c>
      <c r="B415" s="14" cm="1">
        <f t="array" ref="B415">_xlfn.IFNA(INDEX('IR data'!$D$4:$D$61,MATCH(A415,'IR data'!$C$4:$C$61,0)),((INDEX('IR data'!$D$4:$D$61,MATCH(A415,'IR data'!$C$4:$C$61,1)))-((A415-(INDEX('IR data'!$C$4:$C$61,MATCH(A415,'IR data'!$C$4:$C$61,1))))/((INDEX('IR data'!$C$4:$C$61,MATCH(A415,'IR data'!$C$4:$C$61,1)+1)-INDEX('IR data'!$C$4:$C$61,MATCH(A415,'IR data'!$C$4:$C$61,1))))) * (INDEX('IR data'!$D$4:$D$61,MATCH(A415,'IR data'!$C$4:$C$61,1))-(INDEX('IR data'!$D$4:$D$61,MATCH(A415,'IR data'!$C$4:$C$61,1)+1)))))</f>
        <v>0.94610043224444451</v>
      </c>
      <c r="C415" s="30">
        <f t="shared" si="38"/>
        <v>2.1317735611265449E-2</v>
      </c>
      <c r="D415" s="45">
        <f t="shared" si="39"/>
        <v>45763</v>
      </c>
      <c r="E415" s="14" cm="1">
        <f t="array" ref="E415">_xlfn.IFNA(INDEX('IR data'!$I$4:$I$61,MATCH(D415,'IR data'!$H$4:$H$61,0)),((INDEX('IR data'!$I$4:$I$61,MATCH(D415,'IR data'!$H$4:$H$61,1)))-((D415-(INDEX('IR data'!$H$4:$H$61,MATCH(D415,'IR data'!$H$4:$H$61,1))))/((INDEX('IR data'!$H$4:$H$61,MATCH(D415,'IR data'!$H$4:$H$61,1)+1)-INDEX('IR data'!$H$4:$H$61,MATCH(D415,'IR data'!$H$4:$H$61,1))))) * (INDEX('IR data'!$I$4:$I$61,MATCH(D415,'IR data'!$H$4:$H$61,1))-(INDEX('IR data'!$I$4:$I$61,MATCH(D415,'IR data'!$H$4:$H$61,1)+1)))))</f>
        <v>0.94323245583695647</v>
      </c>
      <c r="F415" s="30">
        <f t="shared" si="40"/>
        <v>2.2485828497029105E-2</v>
      </c>
      <c r="G415" s="45">
        <f t="shared" si="36"/>
        <v>45797</v>
      </c>
      <c r="H415" s="14" cm="1">
        <f t="array" ref="H415">_xlfn.IFNA(INDEX('IR data'!$N$4:$N$61,MATCH(G415,'IR data'!$M$4:$M$61,0)),((INDEX('IR data'!$N$4:$N$61,MATCH(G415,'IR data'!$M$4:$M$61,1)))-((G415-(INDEX('IR data'!$M$4:$M$61,MATCH(G415,'IR data'!$M$4:$M$61,1))))/((INDEX('IR data'!$M$4:$M$61,MATCH(G415,'IR data'!$M$4:$M$61,1)+1)-INDEX('IR data'!$M$4:$M$61,MATCH(G415,'IR data'!$M$4:$M$61,1))))) * (INDEX('IR data'!$N$4:$N$61,MATCH(G415,'IR data'!$M$4:$M$61,1))-(INDEX('IR data'!$N$4:$N$61,MATCH(G415,'IR data'!$M$4:$M$61,1)+1)))))</f>
        <v>0.94316393829670331</v>
      </c>
      <c r="I415" s="44">
        <f t="shared" si="41"/>
        <v>2.25137783006998E-2</v>
      </c>
    </row>
    <row r="416" spans="1:9" x14ac:dyDescent="0.25">
      <c r="A416" s="45">
        <f t="shared" si="37"/>
        <v>45704</v>
      </c>
      <c r="B416" s="14" cm="1">
        <f t="array" ref="B416">_xlfn.IFNA(INDEX('IR data'!$D$4:$D$61,MATCH(A416,'IR data'!$C$4:$C$61,0)),((INDEX('IR data'!$D$4:$D$61,MATCH(A416,'IR data'!$C$4:$C$61,1)))-((A416-(INDEX('IR data'!$C$4:$C$61,MATCH(A416,'IR data'!$C$4:$C$61,1))))/((INDEX('IR data'!$C$4:$C$61,MATCH(A416,'IR data'!$C$4:$C$61,1)+1)-INDEX('IR data'!$C$4:$C$61,MATCH(A416,'IR data'!$C$4:$C$61,1))))) * (INDEX('IR data'!$D$4:$D$61,MATCH(A416,'IR data'!$C$4:$C$61,1))-(INDEX('IR data'!$D$4:$D$61,MATCH(A416,'IR data'!$C$4:$C$61,1)+1)))))</f>
        <v>0.94599718662222221</v>
      </c>
      <c r="C416" s="30">
        <f t="shared" si="38"/>
        <v>2.1308006393839583E-2</v>
      </c>
      <c r="D416" s="45">
        <f t="shared" si="39"/>
        <v>45764</v>
      </c>
      <c r="E416" s="14" cm="1">
        <f t="array" ref="E416">_xlfn.IFNA(INDEX('IR data'!$I$4:$I$61,MATCH(D416,'IR data'!$H$4:$H$61,0)),((INDEX('IR data'!$I$4:$I$61,MATCH(D416,'IR data'!$H$4:$H$61,1)))-((D416-(INDEX('IR data'!$H$4:$H$61,MATCH(D416,'IR data'!$H$4:$H$61,1))))/((INDEX('IR data'!$H$4:$H$61,MATCH(D416,'IR data'!$H$4:$H$61,1)+1)-INDEX('IR data'!$H$4:$H$61,MATCH(D416,'IR data'!$H$4:$H$61,1))))) * (INDEX('IR data'!$I$4:$I$61,MATCH(D416,'IR data'!$H$4:$H$61,1))-(INDEX('IR data'!$I$4:$I$61,MATCH(D416,'IR data'!$H$4:$H$61,1)+1)))))</f>
        <v>0.94311546639130439</v>
      </c>
      <c r="F416" s="30">
        <f t="shared" si="40"/>
        <v>2.2478991618421228E-2</v>
      </c>
      <c r="G416" s="45">
        <f t="shared" si="36"/>
        <v>45798</v>
      </c>
      <c r="H416" s="14" cm="1">
        <f t="array" ref="H416">_xlfn.IFNA(INDEX('IR data'!$N$4:$N$61,MATCH(G416,'IR data'!$M$4:$M$61,0)),((INDEX('IR data'!$N$4:$N$61,MATCH(G416,'IR data'!$M$4:$M$61,1)))-((G416-(INDEX('IR data'!$M$4:$M$61,MATCH(G416,'IR data'!$M$4:$M$61,1))))/((INDEX('IR data'!$M$4:$M$61,MATCH(G416,'IR data'!$M$4:$M$61,1)+1)-INDEX('IR data'!$M$4:$M$61,MATCH(G416,'IR data'!$M$4:$M$61,1))))) * (INDEX('IR data'!$N$4:$N$61,MATCH(G416,'IR data'!$M$4:$M$61,1))-(INDEX('IR data'!$N$4:$N$61,MATCH(G416,'IR data'!$M$4:$M$61,1)+1)))))</f>
        <v>0.943044824978022</v>
      </c>
      <c r="I416" s="44">
        <f t="shared" si="41"/>
        <v>2.2507741621910347E-2</v>
      </c>
    </row>
    <row r="417" spans="1:9" x14ac:dyDescent="0.25">
      <c r="A417" s="45">
        <f t="shared" si="37"/>
        <v>45705</v>
      </c>
      <c r="B417" s="14" cm="1">
        <f t="array" ref="B417">_xlfn.IFNA(INDEX('IR data'!$D$4:$D$61,MATCH(A417,'IR data'!$C$4:$C$61,0)),((INDEX('IR data'!$D$4:$D$61,MATCH(A417,'IR data'!$C$4:$C$61,1)))-((A417-(INDEX('IR data'!$C$4:$C$61,MATCH(A417,'IR data'!$C$4:$C$61,1))))/((INDEX('IR data'!$C$4:$C$61,MATCH(A417,'IR data'!$C$4:$C$61,1)+1)-INDEX('IR data'!$C$4:$C$61,MATCH(A417,'IR data'!$C$4:$C$61,1))))) * (INDEX('IR data'!$D$4:$D$61,MATCH(A417,'IR data'!$C$4:$C$61,1))-(INDEX('IR data'!$D$4:$D$61,MATCH(A417,'IR data'!$C$4:$C$61,1)+1)))))</f>
        <v>0.94589394100000002</v>
      </c>
      <c r="C417" s="30">
        <f t="shared" si="38"/>
        <v>2.1298328738257852E-2</v>
      </c>
      <c r="D417" s="45">
        <f t="shared" si="39"/>
        <v>45765</v>
      </c>
      <c r="E417" s="14" cm="1">
        <f t="array" ref="E417">_xlfn.IFNA(INDEX('IR data'!$I$4:$I$61,MATCH(D417,'IR data'!$H$4:$H$61,0)),((INDEX('IR data'!$I$4:$I$61,MATCH(D417,'IR data'!$H$4:$H$61,1)))-((D417-(INDEX('IR data'!$H$4:$H$61,MATCH(D417,'IR data'!$H$4:$H$61,1))))/((INDEX('IR data'!$H$4:$H$61,MATCH(D417,'IR data'!$H$4:$H$61,1)+1)-INDEX('IR data'!$H$4:$H$61,MATCH(D417,'IR data'!$H$4:$H$61,1))))) * (INDEX('IR data'!$I$4:$I$61,MATCH(D417,'IR data'!$H$4:$H$61,1))-(INDEX('IR data'!$I$4:$I$61,MATCH(D417,'IR data'!$H$4:$H$61,1)+1)))))</f>
        <v>0.9429984769456522</v>
      </c>
      <c r="F417" s="30">
        <f t="shared" si="40"/>
        <v>2.247219365991036E-2</v>
      </c>
      <c r="G417" s="45">
        <f t="shared" si="36"/>
        <v>45799</v>
      </c>
      <c r="H417" s="14" cm="1">
        <f t="array" ref="H417">_xlfn.IFNA(INDEX('IR data'!$N$4:$N$61,MATCH(G417,'IR data'!$M$4:$M$61,0)),((INDEX('IR data'!$N$4:$N$61,MATCH(G417,'IR data'!$M$4:$M$61,1)))-((G417-(INDEX('IR data'!$M$4:$M$61,MATCH(G417,'IR data'!$M$4:$M$61,1))))/((INDEX('IR data'!$M$4:$M$61,MATCH(G417,'IR data'!$M$4:$M$61,1)+1)-INDEX('IR data'!$M$4:$M$61,MATCH(G417,'IR data'!$M$4:$M$61,1))))) * (INDEX('IR data'!$N$4:$N$61,MATCH(G417,'IR data'!$M$4:$M$61,1))-(INDEX('IR data'!$N$4:$N$61,MATCH(G417,'IR data'!$M$4:$M$61,1)+1)))))</f>
        <v>0.94292571165934069</v>
      </c>
      <c r="I417" s="44">
        <f t="shared" si="41"/>
        <v>2.250174021429556E-2</v>
      </c>
    </row>
    <row r="418" spans="1:9" x14ac:dyDescent="0.25">
      <c r="A418" s="45">
        <f t="shared" si="37"/>
        <v>45706</v>
      </c>
      <c r="B418" s="14" cm="1">
        <f t="array" ref="B418">_xlfn.IFNA(INDEX('IR data'!$D$4:$D$61,MATCH(A418,'IR data'!$C$4:$C$61,0)),((INDEX('IR data'!$D$4:$D$61,MATCH(A418,'IR data'!$C$4:$C$61,1)))-((A418-(INDEX('IR data'!$C$4:$C$61,MATCH(A418,'IR data'!$C$4:$C$61,1))))/((INDEX('IR data'!$C$4:$C$61,MATCH(A418,'IR data'!$C$4:$C$61,1)+1)-INDEX('IR data'!$C$4:$C$61,MATCH(A418,'IR data'!$C$4:$C$61,1))))) * (INDEX('IR data'!$D$4:$D$61,MATCH(A418,'IR data'!$C$4:$C$61,1))-(INDEX('IR data'!$D$4:$D$61,MATCH(A418,'IR data'!$C$4:$C$61,1)+1)))))</f>
        <v>0.94579069537777782</v>
      </c>
      <c r="C418" s="30">
        <f t="shared" si="38"/>
        <v>2.1288702272777373E-2</v>
      </c>
      <c r="D418" s="45">
        <f t="shared" si="39"/>
        <v>45766</v>
      </c>
      <c r="E418" s="14" cm="1">
        <f t="array" ref="E418">_xlfn.IFNA(INDEX('IR data'!$I$4:$I$61,MATCH(D418,'IR data'!$H$4:$H$61,0)),((INDEX('IR data'!$I$4:$I$61,MATCH(D418,'IR data'!$H$4:$H$61,1)))-((D418-(INDEX('IR data'!$H$4:$H$61,MATCH(D418,'IR data'!$H$4:$H$61,1))))/((INDEX('IR data'!$H$4:$H$61,MATCH(D418,'IR data'!$H$4:$H$61,1)+1)-INDEX('IR data'!$H$4:$H$61,MATCH(D418,'IR data'!$H$4:$H$61,1))))) * (INDEX('IR data'!$I$4:$I$61,MATCH(D418,'IR data'!$H$4:$H$61,1))-(INDEX('IR data'!$I$4:$I$61,MATCH(D418,'IR data'!$H$4:$H$61,1)+1)))))</f>
        <v>0.9428814875</v>
      </c>
      <c r="F418" s="30">
        <f t="shared" si="40"/>
        <v>2.2465434341604799E-2</v>
      </c>
      <c r="G418" s="45">
        <f t="shared" si="36"/>
        <v>45800</v>
      </c>
      <c r="H418" s="14" cm="1">
        <f t="array" ref="H418">_xlfn.IFNA(INDEX('IR data'!$N$4:$N$61,MATCH(G418,'IR data'!$M$4:$M$61,0)),((INDEX('IR data'!$N$4:$N$61,MATCH(G418,'IR data'!$M$4:$M$61,1)))-((G418-(INDEX('IR data'!$M$4:$M$61,MATCH(G418,'IR data'!$M$4:$M$61,1))))/((INDEX('IR data'!$M$4:$M$61,MATCH(G418,'IR data'!$M$4:$M$61,1)+1)-INDEX('IR data'!$M$4:$M$61,MATCH(G418,'IR data'!$M$4:$M$61,1))))) * (INDEX('IR data'!$N$4:$N$61,MATCH(G418,'IR data'!$M$4:$M$61,1))-(INDEX('IR data'!$N$4:$N$61,MATCH(G418,'IR data'!$M$4:$M$61,1)+1)))))</f>
        <v>0.94280659834065927</v>
      </c>
      <c r="I418" s="44">
        <f t="shared" si="41"/>
        <v>2.2495773824422804E-2</v>
      </c>
    </row>
    <row r="419" spans="1:9" x14ac:dyDescent="0.25">
      <c r="A419" s="45">
        <f t="shared" si="37"/>
        <v>45707</v>
      </c>
      <c r="B419" s="14" cm="1">
        <f t="array" ref="B419">_xlfn.IFNA(INDEX('IR data'!$D$4:$D$61,MATCH(A419,'IR data'!$C$4:$C$61,0)),((INDEX('IR data'!$D$4:$D$61,MATCH(A419,'IR data'!$C$4:$C$61,1)))-((A419-(INDEX('IR data'!$C$4:$C$61,MATCH(A419,'IR data'!$C$4:$C$61,1))))/((INDEX('IR data'!$C$4:$C$61,MATCH(A419,'IR data'!$C$4:$C$61,1)+1)-INDEX('IR data'!$C$4:$C$61,MATCH(A419,'IR data'!$C$4:$C$61,1))))) * (INDEX('IR data'!$D$4:$D$61,MATCH(A419,'IR data'!$C$4:$C$61,1))-(INDEX('IR data'!$D$4:$D$61,MATCH(A419,'IR data'!$C$4:$C$61,1)+1)))))</f>
        <v>0.94568744975555552</v>
      </c>
      <c r="C419" s="30">
        <f t="shared" si="38"/>
        <v>2.1279126629230042E-2</v>
      </c>
      <c r="D419" s="45">
        <f t="shared" si="39"/>
        <v>45767</v>
      </c>
      <c r="E419" s="14" cm="1">
        <f t="array" ref="E419">_xlfn.IFNA(INDEX('IR data'!$I$4:$I$61,MATCH(D419,'IR data'!$H$4:$H$61,0)),((INDEX('IR data'!$I$4:$I$61,MATCH(D419,'IR data'!$H$4:$H$61,1)))-((D419-(INDEX('IR data'!$H$4:$H$61,MATCH(D419,'IR data'!$H$4:$H$61,1))))/((INDEX('IR data'!$H$4:$H$61,MATCH(D419,'IR data'!$H$4:$H$61,1)+1)-INDEX('IR data'!$H$4:$H$61,MATCH(D419,'IR data'!$H$4:$H$61,1))))) * (INDEX('IR data'!$I$4:$I$61,MATCH(D419,'IR data'!$H$4:$H$61,1))-(INDEX('IR data'!$I$4:$I$61,MATCH(D419,'IR data'!$H$4:$H$61,1)+1)))))</f>
        <v>0.94276449805434781</v>
      </c>
      <c r="F419" s="30">
        <f t="shared" si="40"/>
        <v>2.2458713386304684E-2</v>
      </c>
      <c r="G419" s="45">
        <f t="shared" si="36"/>
        <v>45801</v>
      </c>
      <c r="H419" s="14" cm="1">
        <f t="array" ref="H419">_xlfn.IFNA(INDEX('IR data'!$N$4:$N$61,MATCH(G419,'IR data'!$M$4:$M$61,0)),((INDEX('IR data'!$N$4:$N$61,MATCH(G419,'IR data'!$M$4:$M$61,1)))-((G419-(INDEX('IR data'!$M$4:$M$61,MATCH(G419,'IR data'!$M$4:$M$61,1))))/((INDEX('IR data'!$M$4:$M$61,MATCH(G419,'IR data'!$M$4:$M$61,1)+1)-INDEX('IR data'!$M$4:$M$61,MATCH(G419,'IR data'!$M$4:$M$61,1))))) * (INDEX('IR data'!$N$4:$N$61,MATCH(G419,'IR data'!$M$4:$M$61,1))-(INDEX('IR data'!$N$4:$N$61,MATCH(G419,'IR data'!$M$4:$M$61,1)+1)))))</f>
        <v>0.94268748502197797</v>
      </c>
      <c r="I419" s="44">
        <f t="shared" si="41"/>
        <v>2.248984220129675E-2</v>
      </c>
    </row>
    <row r="420" spans="1:9" x14ac:dyDescent="0.25">
      <c r="A420" s="45">
        <f t="shared" si="37"/>
        <v>45708</v>
      </c>
      <c r="B420" s="14" cm="1">
        <f t="array" ref="B420">_xlfn.IFNA(INDEX('IR data'!$D$4:$D$61,MATCH(A420,'IR data'!$C$4:$C$61,0)),((INDEX('IR data'!$D$4:$D$61,MATCH(A420,'IR data'!$C$4:$C$61,1)))-((A420-(INDEX('IR data'!$C$4:$C$61,MATCH(A420,'IR data'!$C$4:$C$61,1))))/((INDEX('IR data'!$C$4:$C$61,MATCH(A420,'IR data'!$C$4:$C$61,1)+1)-INDEX('IR data'!$C$4:$C$61,MATCH(A420,'IR data'!$C$4:$C$61,1))))) * (INDEX('IR data'!$D$4:$D$61,MATCH(A420,'IR data'!$C$4:$C$61,1))-(INDEX('IR data'!$D$4:$D$61,MATCH(A420,'IR data'!$C$4:$C$61,1)+1)))))</f>
        <v>0.94558420413333333</v>
      </c>
      <c r="C420" s="30">
        <f t="shared" si="38"/>
        <v>2.1269601442979506E-2</v>
      </c>
      <c r="D420" s="45">
        <f t="shared" si="39"/>
        <v>45768</v>
      </c>
      <c r="E420" s="14" cm="1">
        <f t="array" ref="E420">_xlfn.IFNA(INDEX('IR data'!$I$4:$I$61,MATCH(D420,'IR data'!$H$4:$H$61,0)),((INDEX('IR data'!$I$4:$I$61,MATCH(D420,'IR data'!$H$4:$H$61,1)))-((D420-(INDEX('IR data'!$H$4:$H$61,MATCH(D420,'IR data'!$H$4:$H$61,1))))/((INDEX('IR data'!$H$4:$H$61,MATCH(D420,'IR data'!$H$4:$H$61,1)+1)-INDEX('IR data'!$H$4:$H$61,MATCH(D420,'IR data'!$H$4:$H$61,1))))) * (INDEX('IR data'!$I$4:$I$61,MATCH(D420,'IR data'!$H$4:$H$61,1))-(INDEX('IR data'!$I$4:$I$61,MATCH(D420,'IR data'!$H$4:$H$61,1)+1)))))</f>
        <v>0.94264750860869562</v>
      </c>
      <c r="F420" s="30">
        <f t="shared" si="40"/>
        <v>2.2452030519469677E-2</v>
      </c>
      <c r="G420" s="45">
        <f t="shared" si="36"/>
        <v>45802</v>
      </c>
      <c r="H420" s="14" cm="1">
        <f t="array" ref="H420">_xlfn.IFNA(INDEX('IR data'!$N$4:$N$61,MATCH(G420,'IR data'!$M$4:$M$61,0)),((INDEX('IR data'!$N$4:$N$61,MATCH(G420,'IR data'!$M$4:$M$61,1)))-((G420-(INDEX('IR data'!$M$4:$M$61,MATCH(G420,'IR data'!$M$4:$M$61,1))))/((INDEX('IR data'!$M$4:$M$61,MATCH(G420,'IR data'!$M$4:$M$61,1)+1)-INDEX('IR data'!$M$4:$M$61,MATCH(G420,'IR data'!$M$4:$M$61,1))))) * (INDEX('IR data'!$N$4:$N$61,MATCH(G420,'IR data'!$M$4:$M$61,1))-(INDEX('IR data'!$N$4:$N$61,MATCH(G420,'IR data'!$M$4:$M$61,1)+1)))))</f>
        <v>0.94256837170329666</v>
      </c>
      <c r="I420" s="44">
        <f t="shared" si="41"/>
        <v>2.248394509633039E-2</v>
      </c>
    </row>
    <row r="421" spans="1:9" x14ac:dyDescent="0.25">
      <c r="A421" s="45">
        <f t="shared" si="37"/>
        <v>45709</v>
      </c>
      <c r="B421" s="14" cm="1">
        <f t="array" ref="B421">_xlfn.IFNA(INDEX('IR data'!$D$4:$D$61,MATCH(A421,'IR data'!$C$4:$C$61,0)),((INDEX('IR data'!$D$4:$D$61,MATCH(A421,'IR data'!$C$4:$C$61,1)))-((A421-(INDEX('IR data'!$C$4:$C$61,MATCH(A421,'IR data'!$C$4:$C$61,1))))/((INDEX('IR data'!$C$4:$C$61,MATCH(A421,'IR data'!$C$4:$C$61,1)+1)-INDEX('IR data'!$C$4:$C$61,MATCH(A421,'IR data'!$C$4:$C$61,1))))) * (INDEX('IR data'!$D$4:$D$61,MATCH(A421,'IR data'!$C$4:$C$61,1))-(INDEX('IR data'!$D$4:$D$61,MATCH(A421,'IR data'!$C$4:$C$61,1)+1)))))</f>
        <v>0.94548095851111114</v>
      </c>
      <c r="C421" s="30">
        <f t="shared" si="38"/>
        <v>2.1260126352879244E-2</v>
      </c>
      <c r="D421" s="45">
        <f t="shared" si="39"/>
        <v>45769</v>
      </c>
      <c r="E421" s="14" cm="1">
        <f t="array" ref="E421">_xlfn.IFNA(INDEX('IR data'!$I$4:$I$61,MATCH(D421,'IR data'!$H$4:$H$61,0)),((INDEX('IR data'!$I$4:$I$61,MATCH(D421,'IR data'!$H$4:$H$61,1)))-((D421-(INDEX('IR data'!$H$4:$H$61,MATCH(D421,'IR data'!$H$4:$H$61,1))))/((INDEX('IR data'!$H$4:$H$61,MATCH(D421,'IR data'!$H$4:$H$61,1)+1)-INDEX('IR data'!$H$4:$H$61,MATCH(D421,'IR data'!$H$4:$H$61,1))))) * (INDEX('IR data'!$I$4:$I$61,MATCH(D421,'IR data'!$H$4:$H$61,1))-(INDEX('IR data'!$I$4:$I$61,MATCH(D421,'IR data'!$H$4:$H$61,1)+1)))))</f>
        <v>0.94253051916304353</v>
      </c>
      <c r="F421" s="30">
        <f t="shared" si="40"/>
        <v>2.2445385469187128E-2</v>
      </c>
      <c r="G421" s="45">
        <f t="shared" si="36"/>
        <v>45803</v>
      </c>
      <c r="H421" s="14" cm="1">
        <f t="array" ref="H421">_xlfn.IFNA(INDEX('IR data'!$N$4:$N$61,MATCH(G421,'IR data'!$M$4:$M$61,0)),((INDEX('IR data'!$N$4:$N$61,MATCH(G421,'IR data'!$M$4:$M$61,1)))-((G421-(INDEX('IR data'!$M$4:$M$61,MATCH(G421,'IR data'!$M$4:$M$61,1))))/((INDEX('IR data'!$M$4:$M$61,MATCH(G421,'IR data'!$M$4:$M$61,1)+1)-INDEX('IR data'!$M$4:$M$61,MATCH(G421,'IR data'!$M$4:$M$61,1))))) * (INDEX('IR data'!$N$4:$N$61,MATCH(G421,'IR data'!$M$4:$M$61,1))-(INDEX('IR data'!$N$4:$N$61,MATCH(G421,'IR data'!$M$4:$M$61,1)+1)))))</f>
        <v>0.94244925838461535</v>
      </c>
      <c r="I421" s="44">
        <f t="shared" si="41"/>
        <v>2.2478082263316091E-2</v>
      </c>
    </row>
    <row r="422" spans="1:9" x14ac:dyDescent="0.25">
      <c r="A422" s="45">
        <f t="shared" si="37"/>
        <v>45710</v>
      </c>
      <c r="B422" s="14" cm="1">
        <f t="array" ref="B422">_xlfn.IFNA(INDEX('IR data'!$D$4:$D$61,MATCH(A422,'IR data'!$C$4:$C$61,0)),((INDEX('IR data'!$D$4:$D$61,MATCH(A422,'IR data'!$C$4:$C$61,1)))-((A422-(INDEX('IR data'!$C$4:$C$61,MATCH(A422,'IR data'!$C$4:$C$61,1))))/((INDEX('IR data'!$C$4:$C$61,MATCH(A422,'IR data'!$C$4:$C$61,1)+1)-INDEX('IR data'!$C$4:$C$61,MATCH(A422,'IR data'!$C$4:$C$61,1))))) * (INDEX('IR data'!$D$4:$D$61,MATCH(A422,'IR data'!$C$4:$C$61,1))-(INDEX('IR data'!$D$4:$D$61,MATCH(A422,'IR data'!$C$4:$C$61,1)+1)))))</f>
        <v>0.94537771288888894</v>
      </c>
      <c r="C422" s="30">
        <f t="shared" si="38"/>
        <v>2.1250701001230686E-2</v>
      </c>
      <c r="D422" s="45">
        <f t="shared" si="39"/>
        <v>45770</v>
      </c>
      <c r="E422" s="14" cm="1">
        <f t="array" ref="E422">_xlfn.IFNA(INDEX('IR data'!$I$4:$I$61,MATCH(D422,'IR data'!$H$4:$H$61,0)),((INDEX('IR data'!$I$4:$I$61,MATCH(D422,'IR data'!$H$4:$H$61,1)))-((D422-(INDEX('IR data'!$H$4:$H$61,MATCH(D422,'IR data'!$H$4:$H$61,1))))/((INDEX('IR data'!$H$4:$H$61,MATCH(D422,'IR data'!$H$4:$H$61,1)+1)-INDEX('IR data'!$H$4:$H$61,MATCH(D422,'IR data'!$H$4:$H$61,1))))) * (INDEX('IR data'!$I$4:$I$61,MATCH(D422,'IR data'!$H$4:$H$61,1))-(INDEX('IR data'!$I$4:$I$61,MATCH(D422,'IR data'!$H$4:$H$61,1)+1)))))</f>
        <v>0.94241352971739134</v>
      </c>
      <c r="F422" s="30">
        <f t="shared" si="40"/>
        <v>2.2438777966140876E-2</v>
      </c>
      <c r="G422" s="45">
        <f t="shared" si="36"/>
        <v>45804</v>
      </c>
      <c r="H422" s="14" cm="1">
        <f t="array" ref="H422">_xlfn.IFNA(INDEX('IR data'!$N$4:$N$61,MATCH(G422,'IR data'!$M$4:$M$61,0)),((INDEX('IR data'!$N$4:$N$61,MATCH(G422,'IR data'!$M$4:$M$61,1)))-((G422-(INDEX('IR data'!$M$4:$M$61,MATCH(G422,'IR data'!$M$4:$M$61,1))))/((INDEX('IR data'!$M$4:$M$61,MATCH(G422,'IR data'!$M$4:$M$61,1)+1)-INDEX('IR data'!$M$4:$M$61,MATCH(G422,'IR data'!$M$4:$M$61,1))))) * (INDEX('IR data'!$N$4:$N$61,MATCH(G422,'IR data'!$M$4:$M$61,1))-(INDEX('IR data'!$N$4:$N$61,MATCH(G422,'IR data'!$M$4:$M$61,1)+1)))))</f>
        <v>0.94233014506593404</v>
      </c>
      <c r="I422" s="44">
        <f t="shared" si="41"/>
        <v>2.2472253458397221E-2</v>
      </c>
    </row>
    <row r="423" spans="1:9" x14ac:dyDescent="0.25">
      <c r="A423" s="45">
        <f t="shared" si="37"/>
        <v>45711</v>
      </c>
      <c r="B423" s="14" cm="1">
        <f t="array" ref="B423">_xlfn.IFNA(INDEX('IR data'!$D$4:$D$61,MATCH(A423,'IR data'!$C$4:$C$61,0)),((INDEX('IR data'!$D$4:$D$61,MATCH(A423,'IR data'!$C$4:$C$61,1)))-((A423-(INDEX('IR data'!$C$4:$C$61,MATCH(A423,'IR data'!$C$4:$C$61,1))))/((INDEX('IR data'!$C$4:$C$61,MATCH(A423,'IR data'!$C$4:$C$61,1)+1)-INDEX('IR data'!$C$4:$C$61,MATCH(A423,'IR data'!$C$4:$C$61,1))))) * (INDEX('IR data'!$D$4:$D$61,MATCH(A423,'IR data'!$C$4:$C$61,1))-(INDEX('IR data'!$D$4:$D$61,MATCH(A423,'IR data'!$C$4:$C$61,1)+1)))))</f>
        <v>0.94527446726666664</v>
      </c>
      <c r="C423" s="30">
        <f t="shared" si="38"/>
        <v>2.1241325033742309E-2</v>
      </c>
      <c r="D423" s="45">
        <f t="shared" si="39"/>
        <v>45771</v>
      </c>
      <c r="E423" s="14" cm="1">
        <f t="array" ref="E423">_xlfn.IFNA(INDEX('IR data'!$I$4:$I$61,MATCH(D423,'IR data'!$H$4:$H$61,0)),((INDEX('IR data'!$I$4:$I$61,MATCH(D423,'IR data'!$H$4:$H$61,1)))-((D423-(INDEX('IR data'!$H$4:$H$61,MATCH(D423,'IR data'!$H$4:$H$61,1))))/((INDEX('IR data'!$H$4:$H$61,MATCH(D423,'IR data'!$H$4:$H$61,1)+1)-INDEX('IR data'!$H$4:$H$61,MATCH(D423,'IR data'!$H$4:$H$61,1))))) * (INDEX('IR data'!$I$4:$I$61,MATCH(D423,'IR data'!$H$4:$H$61,1))-(INDEX('IR data'!$I$4:$I$61,MATCH(D423,'IR data'!$H$4:$H$61,1)+1)))))</f>
        <v>0.94229654027173915</v>
      </c>
      <c r="F423" s="30">
        <f t="shared" si="40"/>
        <v>2.2432207743580092E-2</v>
      </c>
      <c r="G423" s="45">
        <f t="shared" si="36"/>
        <v>45805</v>
      </c>
      <c r="H423" s="14" cm="1">
        <f t="array" ref="H423">_xlfn.IFNA(INDEX('IR data'!$N$4:$N$61,MATCH(G423,'IR data'!$M$4:$M$61,0)),((INDEX('IR data'!$N$4:$N$61,MATCH(G423,'IR data'!$M$4:$M$61,1)))-((G423-(INDEX('IR data'!$M$4:$M$61,MATCH(G423,'IR data'!$M$4:$M$61,1))))/((INDEX('IR data'!$M$4:$M$61,MATCH(G423,'IR data'!$M$4:$M$61,1)+1)-INDEX('IR data'!$M$4:$M$61,MATCH(G423,'IR data'!$M$4:$M$61,1))))) * (INDEX('IR data'!$N$4:$N$61,MATCH(G423,'IR data'!$M$4:$M$61,1))-(INDEX('IR data'!$N$4:$N$61,MATCH(G423,'IR data'!$M$4:$M$61,1)+1)))))</f>
        <v>0.94221103174725274</v>
      </c>
      <c r="I423" s="44">
        <f t="shared" si="41"/>
        <v>2.246645844004018E-2</v>
      </c>
    </row>
    <row r="424" spans="1:9" x14ac:dyDescent="0.25">
      <c r="A424" s="45">
        <f t="shared" si="37"/>
        <v>45712</v>
      </c>
      <c r="B424" s="14" cm="1">
        <f t="array" ref="B424">_xlfn.IFNA(INDEX('IR data'!$D$4:$D$61,MATCH(A424,'IR data'!$C$4:$C$61,0)),((INDEX('IR data'!$D$4:$D$61,MATCH(A424,'IR data'!$C$4:$C$61,1)))-((A424-(INDEX('IR data'!$C$4:$C$61,MATCH(A424,'IR data'!$C$4:$C$61,1))))/((INDEX('IR data'!$C$4:$C$61,MATCH(A424,'IR data'!$C$4:$C$61,1)+1)-INDEX('IR data'!$C$4:$C$61,MATCH(A424,'IR data'!$C$4:$C$61,1))))) * (INDEX('IR data'!$D$4:$D$61,MATCH(A424,'IR data'!$C$4:$C$61,1))-(INDEX('IR data'!$D$4:$D$61,MATCH(A424,'IR data'!$C$4:$C$61,1)+1)))))</f>
        <v>0.94517122164444445</v>
      </c>
      <c r="C424" s="30">
        <f t="shared" si="38"/>
        <v>2.123199809948894E-2</v>
      </c>
      <c r="D424" s="45">
        <f t="shared" si="39"/>
        <v>45772</v>
      </c>
      <c r="E424" s="14" cm="1">
        <f t="array" ref="E424">_xlfn.IFNA(INDEX('IR data'!$I$4:$I$61,MATCH(D424,'IR data'!$H$4:$H$61,0)),((INDEX('IR data'!$I$4:$I$61,MATCH(D424,'IR data'!$H$4:$H$61,1)))-((D424-(INDEX('IR data'!$H$4:$H$61,MATCH(D424,'IR data'!$H$4:$H$61,1))))/((INDEX('IR data'!$H$4:$H$61,MATCH(D424,'IR data'!$H$4:$H$61,1)+1)-INDEX('IR data'!$H$4:$H$61,MATCH(D424,'IR data'!$H$4:$H$61,1))))) * (INDEX('IR data'!$I$4:$I$61,MATCH(D424,'IR data'!$H$4:$H$61,1))-(INDEX('IR data'!$I$4:$I$61,MATCH(D424,'IR data'!$H$4:$H$61,1)+1)))))</f>
        <v>0.94217955082608695</v>
      </c>
      <c r="F424" s="30">
        <f t="shared" si="40"/>
        <v>2.2425674537288956E-2</v>
      </c>
      <c r="G424" s="45">
        <f t="shared" si="36"/>
        <v>45806</v>
      </c>
      <c r="H424" s="14" cm="1">
        <f t="array" ref="H424">_xlfn.IFNA(INDEX('IR data'!$N$4:$N$61,MATCH(G424,'IR data'!$M$4:$M$61,0)),((INDEX('IR data'!$N$4:$N$61,MATCH(G424,'IR data'!$M$4:$M$61,1)))-((G424-(INDEX('IR data'!$M$4:$M$61,MATCH(G424,'IR data'!$M$4:$M$61,1))))/((INDEX('IR data'!$M$4:$M$61,MATCH(G424,'IR data'!$M$4:$M$61,1)+1)-INDEX('IR data'!$M$4:$M$61,MATCH(G424,'IR data'!$M$4:$M$61,1))))) * (INDEX('IR data'!$N$4:$N$61,MATCH(G424,'IR data'!$M$4:$M$61,1))-(INDEX('IR data'!$N$4:$N$61,MATCH(G424,'IR data'!$M$4:$M$61,1)+1)))))</f>
        <v>0.94209191842857143</v>
      </c>
      <c r="I424" s="44">
        <f t="shared" si="41"/>
        <v>2.2460696969006794E-2</v>
      </c>
    </row>
    <row r="425" spans="1:9" x14ac:dyDescent="0.25">
      <c r="A425" s="45">
        <f t="shared" si="37"/>
        <v>45713</v>
      </c>
      <c r="B425" s="14" cm="1">
        <f t="array" ref="B425">_xlfn.IFNA(INDEX('IR data'!$D$4:$D$61,MATCH(A425,'IR data'!$C$4:$C$61,0)),((INDEX('IR data'!$D$4:$D$61,MATCH(A425,'IR data'!$C$4:$C$61,1)))-((A425-(INDEX('IR data'!$C$4:$C$61,MATCH(A425,'IR data'!$C$4:$C$61,1))))/((INDEX('IR data'!$C$4:$C$61,MATCH(A425,'IR data'!$C$4:$C$61,1)+1)-INDEX('IR data'!$C$4:$C$61,MATCH(A425,'IR data'!$C$4:$C$61,1))))) * (INDEX('IR data'!$D$4:$D$61,MATCH(A425,'IR data'!$C$4:$C$61,1))-(INDEX('IR data'!$D$4:$D$61,MATCH(A425,'IR data'!$C$4:$C$61,1)+1)))))</f>
        <v>0.94506797602222226</v>
      </c>
      <c r="C425" s="30">
        <f t="shared" si="38"/>
        <v>2.122271985087219E-2</v>
      </c>
      <c r="D425" s="45">
        <f t="shared" si="39"/>
        <v>45773</v>
      </c>
      <c r="E425" s="14" cm="1">
        <f t="array" ref="E425">_xlfn.IFNA(INDEX('IR data'!$I$4:$I$61,MATCH(D425,'IR data'!$H$4:$H$61,0)),((INDEX('IR data'!$I$4:$I$61,MATCH(D425,'IR data'!$H$4:$H$61,1)))-((D425-(INDEX('IR data'!$H$4:$H$61,MATCH(D425,'IR data'!$H$4:$H$61,1))))/((INDEX('IR data'!$H$4:$H$61,MATCH(D425,'IR data'!$H$4:$H$61,1)+1)-INDEX('IR data'!$H$4:$H$61,MATCH(D425,'IR data'!$H$4:$H$61,1))))) * (INDEX('IR data'!$I$4:$I$61,MATCH(D425,'IR data'!$H$4:$H$61,1))-(INDEX('IR data'!$I$4:$I$61,MATCH(D425,'IR data'!$H$4:$H$61,1)+1)))))</f>
        <v>0.94206256138043476</v>
      </c>
      <c r="F425" s="30">
        <f t="shared" si="40"/>
        <v>2.2419178085556626E-2</v>
      </c>
      <c r="G425" s="45">
        <f t="shared" si="36"/>
        <v>45807</v>
      </c>
      <c r="H425" s="14" cm="1">
        <f t="array" ref="H425">_xlfn.IFNA(INDEX('IR data'!$N$4:$N$61,MATCH(G425,'IR data'!$M$4:$M$61,0)),((INDEX('IR data'!$N$4:$N$61,MATCH(G425,'IR data'!$M$4:$M$61,1)))-((G425-(INDEX('IR data'!$M$4:$M$61,MATCH(G425,'IR data'!$M$4:$M$61,1))))/((INDEX('IR data'!$M$4:$M$61,MATCH(G425,'IR data'!$M$4:$M$61,1)+1)-INDEX('IR data'!$M$4:$M$61,MATCH(G425,'IR data'!$M$4:$M$61,1))))) * (INDEX('IR data'!$N$4:$N$61,MATCH(G425,'IR data'!$M$4:$M$61,1))-(INDEX('IR data'!$N$4:$N$61,MATCH(G425,'IR data'!$M$4:$M$61,1)+1)))))</f>
        <v>0.94197280510989012</v>
      </c>
      <c r="I425" s="44">
        <f t="shared" si="41"/>
        <v>2.2454968808327123E-2</v>
      </c>
    </row>
    <row r="426" spans="1:9" x14ac:dyDescent="0.25">
      <c r="A426" s="45">
        <f t="shared" si="37"/>
        <v>45714</v>
      </c>
      <c r="B426" s="14" cm="1">
        <f t="array" ref="B426">_xlfn.IFNA(INDEX('IR data'!$D$4:$D$61,MATCH(A426,'IR data'!$C$4:$C$61,0)),((INDEX('IR data'!$D$4:$D$61,MATCH(A426,'IR data'!$C$4:$C$61,1)))-((A426-(INDEX('IR data'!$C$4:$C$61,MATCH(A426,'IR data'!$C$4:$C$61,1))))/((INDEX('IR data'!$C$4:$C$61,MATCH(A426,'IR data'!$C$4:$C$61,1)+1)-INDEX('IR data'!$C$4:$C$61,MATCH(A426,'IR data'!$C$4:$C$61,1))))) * (INDEX('IR data'!$D$4:$D$61,MATCH(A426,'IR data'!$C$4:$C$61,1))-(INDEX('IR data'!$D$4:$D$61,MATCH(A426,'IR data'!$C$4:$C$61,1)+1)))))</f>
        <v>0.94496473040000006</v>
      </c>
      <c r="C426" s="30">
        <f t="shared" si="38"/>
        <v>2.1213489943580903E-2</v>
      </c>
      <c r="D426" s="45">
        <f t="shared" si="39"/>
        <v>45774</v>
      </c>
      <c r="E426" s="14" cm="1">
        <f t="array" ref="E426">_xlfn.IFNA(INDEX('IR data'!$I$4:$I$61,MATCH(D426,'IR data'!$H$4:$H$61,0)),((INDEX('IR data'!$I$4:$I$61,MATCH(D426,'IR data'!$H$4:$H$61,1)))-((D426-(INDEX('IR data'!$H$4:$H$61,MATCH(D426,'IR data'!$H$4:$H$61,1))))/((INDEX('IR data'!$H$4:$H$61,MATCH(D426,'IR data'!$H$4:$H$61,1)+1)-INDEX('IR data'!$H$4:$H$61,MATCH(D426,'IR data'!$H$4:$H$61,1))))) * (INDEX('IR data'!$I$4:$I$61,MATCH(D426,'IR data'!$H$4:$H$61,1))-(INDEX('IR data'!$I$4:$I$61,MATCH(D426,'IR data'!$H$4:$H$61,1)+1)))))</f>
        <v>0.94194557193478257</v>
      </c>
      <c r="F426" s="30">
        <f t="shared" si="40"/>
        <v>2.2412718129147573E-2</v>
      </c>
      <c r="G426" s="45">
        <f t="shared" si="36"/>
        <v>45808</v>
      </c>
      <c r="H426" s="14" cm="1">
        <f t="array" ref="H426">_xlfn.IFNA(INDEX('IR data'!$N$4:$N$61,MATCH(G426,'IR data'!$M$4:$M$61,0)),((INDEX('IR data'!$N$4:$N$61,MATCH(G426,'IR data'!$M$4:$M$61,1)))-((G426-(INDEX('IR data'!$M$4:$M$61,MATCH(G426,'IR data'!$M$4:$M$61,1))))/((INDEX('IR data'!$M$4:$M$61,MATCH(G426,'IR data'!$M$4:$M$61,1)+1)-INDEX('IR data'!$M$4:$M$61,MATCH(G426,'IR data'!$M$4:$M$61,1))))) * (INDEX('IR data'!$N$4:$N$61,MATCH(G426,'IR data'!$M$4:$M$61,1))-(INDEX('IR data'!$N$4:$N$61,MATCH(G426,'IR data'!$M$4:$M$61,1)+1)))))</f>
        <v>0.94185369179120881</v>
      </c>
      <c r="I426" s="44">
        <f t="shared" si="41"/>
        <v>2.2449273723272652E-2</v>
      </c>
    </row>
    <row r="427" spans="1:9" x14ac:dyDescent="0.25">
      <c r="A427" s="45">
        <f t="shared" si="37"/>
        <v>45715</v>
      </c>
      <c r="B427" s="14" cm="1">
        <f t="array" ref="B427">_xlfn.IFNA(INDEX('IR data'!$D$4:$D$61,MATCH(A427,'IR data'!$C$4:$C$61,0)),((INDEX('IR data'!$D$4:$D$61,MATCH(A427,'IR data'!$C$4:$C$61,1)))-((A427-(INDEX('IR data'!$C$4:$C$61,MATCH(A427,'IR data'!$C$4:$C$61,1))))/((INDEX('IR data'!$C$4:$C$61,MATCH(A427,'IR data'!$C$4:$C$61,1)+1)-INDEX('IR data'!$C$4:$C$61,MATCH(A427,'IR data'!$C$4:$C$61,1))))) * (INDEX('IR data'!$D$4:$D$61,MATCH(A427,'IR data'!$C$4:$C$61,1))-(INDEX('IR data'!$D$4:$D$61,MATCH(A427,'IR data'!$C$4:$C$61,1)+1)))))</f>
        <v>0.94486148477777776</v>
      </c>
      <c r="C427" s="30">
        <f t="shared" si="38"/>
        <v>2.120430803655253E-2</v>
      </c>
      <c r="D427" s="45">
        <f t="shared" si="39"/>
        <v>45775</v>
      </c>
      <c r="E427" s="14" cm="1">
        <f t="array" ref="E427">_xlfn.IFNA(INDEX('IR data'!$I$4:$I$61,MATCH(D427,'IR data'!$H$4:$H$61,0)),((INDEX('IR data'!$I$4:$I$61,MATCH(D427,'IR data'!$H$4:$H$61,1)))-((D427-(INDEX('IR data'!$H$4:$H$61,MATCH(D427,'IR data'!$H$4:$H$61,1))))/((INDEX('IR data'!$H$4:$H$61,MATCH(D427,'IR data'!$H$4:$H$61,1)+1)-INDEX('IR data'!$H$4:$H$61,MATCH(D427,'IR data'!$H$4:$H$61,1))))) * (INDEX('IR data'!$I$4:$I$61,MATCH(D427,'IR data'!$H$4:$H$61,1))-(INDEX('IR data'!$I$4:$I$61,MATCH(D427,'IR data'!$H$4:$H$61,1)+1)))))</f>
        <v>0.94182858248913048</v>
      </c>
      <c r="F427" s="30">
        <f t="shared" si="40"/>
        <v>2.2406294411272405E-2</v>
      </c>
      <c r="G427" s="45">
        <f t="shared" si="36"/>
        <v>45809</v>
      </c>
      <c r="H427" s="14" cm="1">
        <f t="array" ref="H427">_xlfn.IFNA(INDEX('IR data'!$N$4:$N$61,MATCH(G427,'IR data'!$M$4:$M$61,0)),((INDEX('IR data'!$N$4:$N$61,MATCH(G427,'IR data'!$M$4:$M$61,1)))-((G427-(INDEX('IR data'!$M$4:$M$61,MATCH(G427,'IR data'!$M$4:$M$61,1))))/((INDEX('IR data'!$M$4:$M$61,MATCH(G427,'IR data'!$M$4:$M$61,1)+1)-INDEX('IR data'!$M$4:$M$61,MATCH(G427,'IR data'!$M$4:$M$61,1))))) * (INDEX('IR data'!$N$4:$N$61,MATCH(G427,'IR data'!$M$4:$M$61,1))-(INDEX('IR data'!$N$4:$N$61,MATCH(G427,'IR data'!$M$4:$M$61,1)+1)))))</f>
        <v>0.94173457847252751</v>
      </c>
      <c r="I427" s="44">
        <f t="shared" si="41"/>
        <v>2.2443611481329874E-2</v>
      </c>
    </row>
    <row r="428" spans="1:9" x14ac:dyDescent="0.25">
      <c r="A428" s="45">
        <f t="shared" si="37"/>
        <v>45716</v>
      </c>
      <c r="B428" s="14" cm="1">
        <f t="array" ref="B428">_xlfn.IFNA(INDEX('IR data'!$D$4:$D$61,MATCH(A428,'IR data'!$C$4:$C$61,0)),((INDEX('IR data'!$D$4:$D$61,MATCH(A428,'IR data'!$C$4:$C$61,1)))-((A428-(INDEX('IR data'!$C$4:$C$61,MATCH(A428,'IR data'!$C$4:$C$61,1))))/((INDEX('IR data'!$C$4:$C$61,MATCH(A428,'IR data'!$C$4:$C$61,1)+1)-INDEX('IR data'!$C$4:$C$61,MATCH(A428,'IR data'!$C$4:$C$61,1))))) * (INDEX('IR data'!$D$4:$D$61,MATCH(A428,'IR data'!$C$4:$C$61,1))-(INDEX('IR data'!$D$4:$D$61,MATCH(A428,'IR data'!$C$4:$C$61,1)+1)))))</f>
        <v>0.94475823915555557</v>
      </c>
      <c r="C428" s="30">
        <f t="shared" si="38"/>
        <v>2.1195173791934693E-2</v>
      </c>
      <c r="D428" s="45">
        <f t="shared" si="39"/>
        <v>45776</v>
      </c>
      <c r="E428" s="14" cm="1">
        <f t="array" ref="E428">_xlfn.IFNA(INDEX('IR data'!$I$4:$I$61,MATCH(D428,'IR data'!$H$4:$H$61,0)),((INDEX('IR data'!$I$4:$I$61,MATCH(D428,'IR data'!$H$4:$H$61,1)))-((D428-(INDEX('IR data'!$H$4:$H$61,MATCH(D428,'IR data'!$H$4:$H$61,1))))/((INDEX('IR data'!$H$4:$H$61,MATCH(D428,'IR data'!$H$4:$H$61,1)+1)-INDEX('IR data'!$H$4:$H$61,MATCH(D428,'IR data'!$H$4:$H$61,1))))) * (INDEX('IR data'!$I$4:$I$61,MATCH(D428,'IR data'!$H$4:$H$61,1))-(INDEX('IR data'!$I$4:$I$61,MATCH(D428,'IR data'!$H$4:$H$61,1)+1)))))</f>
        <v>0.94171159304347829</v>
      </c>
      <c r="F428" s="30">
        <f t="shared" si="40"/>
        <v>2.2399906677559204E-2</v>
      </c>
      <c r="G428" s="45">
        <f t="shared" si="36"/>
        <v>45810</v>
      </c>
      <c r="H428" s="14" cm="1">
        <f t="array" ref="H428">_xlfn.IFNA(INDEX('IR data'!$N$4:$N$61,MATCH(G428,'IR data'!$M$4:$M$61,0)),((INDEX('IR data'!$N$4:$N$61,MATCH(G428,'IR data'!$M$4:$M$61,1)))-((G428-(INDEX('IR data'!$M$4:$M$61,MATCH(G428,'IR data'!$M$4:$M$61,1))))/((INDEX('IR data'!$M$4:$M$61,MATCH(G428,'IR data'!$M$4:$M$61,1)+1)-INDEX('IR data'!$M$4:$M$61,MATCH(G428,'IR data'!$M$4:$M$61,1))))) * (INDEX('IR data'!$N$4:$N$61,MATCH(G428,'IR data'!$M$4:$M$61,1))-(INDEX('IR data'!$N$4:$N$61,MATCH(G428,'IR data'!$M$4:$M$61,1)+1)))))</f>
        <v>0.94161546515384609</v>
      </c>
      <c r="I428" s="44">
        <f t="shared" si="41"/>
        <v>2.2437981852174233E-2</v>
      </c>
    </row>
    <row r="429" spans="1:9" x14ac:dyDescent="0.25">
      <c r="A429" s="45">
        <f t="shared" si="37"/>
        <v>45717</v>
      </c>
      <c r="B429" s="14" cm="1">
        <f t="array" ref="B429">_xlfn.IFNA(INDEX('IR data'!$D$4:$D$61,MATCH(A429,'IR data'!$C$4:$C$61,0)),((INDEX('IR data'!$D$4:$D$61,MATCH(A429,'IR data'!$C$4:$C$61,1)))-((A429-(INDEX('IR data'!$C$4:$C$61,MATCH(A429,'IR data'!$C$4:$C$61,1))))/((INDEX('IR data'!$C$4:$C$61,MATCH(A429,'IR data'!$C$4:$C$61,1)+1)-INDEX('IR data'!$C$4:$C$61,MATCH(A429,'IR data'!$C$4:$C$61,1))))) * (INDEX('IR data'!$D$4:$D$61,MATCH(A429,'IR data'!$C$4:$C$61,1))-(INDEX('IR data'!$D$4:$D$61,MATCH(A429,'IR data'!$C$4:$C$61,1)+1)))))</f>
        <v>0.94465499353333338</v>
      </c>
      <c r="C429" s="30">
        <f t="shared" si="38"/>
        <v>2.1186086875047791E-2</v>
      </c>
      <c r="D429" s="45">
        <f t="shared" si="39"/>
        <v>45777</v>
      </c>
      <c r="E429" s="14" cm="1">
        <f t="array" ref="E429">_xlfn.IFNA(INDEX('IR data'!$I$4:$I$61,MATCH(D429,'IR data'!$H$4:$H$61,0)),((INDEX('IR data'!$I$4:$I$61,MATCH(D429,'IR data'!$H$4:$H$61,1)))-((D429-(INDEX('IR data'!$H$4:$H$61,MATCH(D429,'IR data'!$H$4:$H$61,1))))/((INDEX('IR data'!$H$4:$H$61,MATCH(D429,'IR data'!$H$4:$H$61,1)+1)-INDEX('IR data'!$H$4:$H$61,MATCH(D429,'IR data'!$H$4:$H$61,1))))) * (INDEX('IR data'!$I$4:$I$61,MATCH(D429,'IR data'!$H$4:$H$61,1))-(INDEX('IR data'!$I$4:$I$61,MATCH(D429,'IR data'!$H$4:$H$61,1)+1)))))</f>
        <v>0.9415946035978261</v>
      </c>
      <c r="F429" s="30">
        <f t="shared" si="40"/>
        <v>2.2393554676024944E-2</v>
      </c>
      <c r="G429" s="45">
        <f t="shared" si="36"/>
        <v>45811</v>
      </c>
      <c r="H429" s="14" cm="1">
        <f t="array" ref="H429">_xlfn.IFNA(INDEX('IR data'!$N$4:$N$61,MATCH(G429,'IR data'!$M$4:$M$61,0)),((INDEX('IR data'!$N$4:$N$61,MATCH(G429,'IR data'!$M$4:$M$61,1)))-((G429-(INDEX('IR data'!$M$4:$M$61,MATCH(G429,'IR data'!$M$4:$M$61,1))))/((INDEX('IR data'!$M$4:$M$61,MATCH(G429,'IR data'!$M$4:$M$61,1)+1)-INDEX('IR data'!$M$4:$M$61,MATCH(G429,'IR data'!$M$4:$M$61,1))))) * (INDEX('IR data'!$N$4:$N$61,MATCH(G429,'IR data'!$M$4:$M$61,1))-(INDEX('IR data'!$N$4:$N$61,MATCH(G429,'IR data'!$M$4:$M$61,1)+1)))))</f>
        <v>0.94149635183516478</v>
      </c>
      <c r="I429" s="44">
        <f t="shared" si="41"/>
        <v>2.2432384607644316E-2</v>
      </c>
    </row>
    <row r="430" spans="1:9" x14ac:dyDescent="0.25">
      <c r="A430" s="45">
        <f t="shared" si="37"/>
        <v>45718</v>
      </c>
      <c r="B430" s="14" cm="1">
        <f t="array" ref="B430">_xlfn.IFNA(INDEX('IR data'!$D$4:$D$61,MATCH(A430,'IR data'!$C$4:$C$61,0)),((INDEX('IR data'!$D$4:$D$61,MATCH(A430,'IR data'!$C$4:$C$61,1)))-((A430-(INDEX('IR data'!$C$4:$C$61,MATCH(A430,'IR data'!$C$4:$C$61,1))))/((INDEX('IR data'!$C$4:$C$61,MATCH(A430,'IR data'!$C$4:$C$61,1)+1)-INDEX('IR data'!$C$4:$C$61,MATCH(A430,'IR data'!$C$4:$C$61,1))))) * (INDEX('IR data'!$D$4:$D$61,MATCH(A430,'IR data'!$C$4:$C$61,1))-(INDEX('IR data'!$D$4:$D$61,MATCH(A430,'IR data'!$C$4:$C$61,1)+1)))))</f>
        <v>0.94455174791111118</v>
      </c>
      <c r="C430" s="30">
        <f t="shared" si="38"/>
        <v>2.1177046954347675E-2</v>
      </c>
      <c r="D430" s="45">
        <f t="shared" si="39"/>
        <v>45778</v>
      </c>
      <c r="E430" s="14" cm="1">
        <f t="array" ref="E430">_xlfn.IFNA(INDEX('IR data'!$I$4:$I$61,MATCH(D430,'IR data'!$H$4:$H$61,0)),((INDEX('IR data'!$I$4:$I$61,MATCH(D430,'IR data'!$H$4:$H$61,1)))-((D430-(INDEX('IR data'!$H$4:$H$61,MATCH(D430,'IR data'!$H$4:$H$61,1))))/((INDEX('IR data'!$H$4:$H$61,MATCH(D430,'IR data'!$H$4:$H$61,1)+1)-INDEX('IR data'!$H$4:$H$61,MATCH(D430,'IR data'!$H$4:$H$61,1))))) * (INDEX('IR data'!$I$4:$I$61,MATCH(D430,'IR data'!$H$4:$H$61,1))-(INDEX('IR data'!$I$4:$I$61,MATCH(D430,'IR data'!$H$4:$H$61,1)+1)))))</f>
        <v>0.9414776141521739</v>
      </c>
      <c r="F430" s="30">
        <f t="shared" si="40"/>
        <v>2.2387238157047674E-2</v>
      </c>
      <c r="G430" s="45">
        <f t="shared" si="36"/>
        <v>45812</v>
      </c>
      <c r="H430" s="14" cm="1">
        <f t="array" ref="H430">_xlfn.IFNA(INDEX('IR data'!$N$4:$N$61,MATCH(G430,'IR data'!$M$4:$M$61,0)),((INDEX('IR data'!$N$4:$N$61,MATCH(G430,'IR data'!$M$4:$M$61,1)))-((G430-(INDEX('IR data'!$M$4:$M$61,MATCH(G430,'IR data'!$M$4:$M$61,1))))/((INDEX('IR data'!$M$4:$M$61,MATCH(G430,'IR data'!$M$4:$M$61,1)+1)-INDEX('IR data'!$M$4:$M$61,MATCH(G430,'IR data'!$M$4:$M$61,1))))) * (INDEX('IR data'!$N$4:$N$61,MATCH(G430,'IR data'!$M$4:$M$61,1))-(INDEX('IR data'!$N$4:$N$61,MATCH(G430,'IR data'!$M$4:$M$61,1)+1)))))</f>
        <v>0.94137723851648347</v>
      </c>
      <c r="I430" s="44">
        <f t="shared" si="41"/>
        <v>2.242681952171674E-2</v>
      </c>
    </row>
    <row r="431" spans="1:9" x14ac:dyDescent="0.25">
      <c r="A431" s="45">
        <f t="shared" si="37"/>
        <v>45719</v>
      </c>
      <c r="B431" s="14" cm="1">
        <f t="array" ref="B431">_xlfn.IFNA(INDEX('IR data'!$D$4:$D$61,MATCH(A431,'IR data'!$C$4:$C$61,0)),((INDEX('IR data'!$D$4:$D$61,MATCH(A431,'IR data'!$C$4:$C$61,1)))-((A431-(INDEX('IR data'!$C$4:$C$61,MATCH(A431,'IR data'!$C$4:$C$61,1))))/((INDEX('IR data'!$C$4:$C$61,MATCH(A431,'IR data'!$C$4:$C$61,1)+1)-INDEX('IR data'!$C$4:$C$61,MATCH(A431,'IR data'!$C$4:$C$61,1))))) * (INDEX('IR data'!$D$4:$D$61,MATCH(A431,'IR data'!$C$4:$C$61,1))-(INDEX('IR data'!$D$4:$D$61,MATCH(A431,'IR data'!$C$4:$C$61,1)+1)))))</f>
        <v>0.94444850228888888</v>
      </c>
      <c r="C431" s="30">
        <f t="shared" si="38"/>
        <v>2.1168053701389085E-2</v>
      </c>
      <c r="D431" s="45">
        <f t="shared" si="39"/>
        <v>45779</v>
      </c>
      <c r="E431" s="14" cm="1">
        <f t="array" ref="E431">_xlfn.IFNA(INDEX('IR data'!$I$4:$I$61,MATCH(D431,'IR data'!$H$4:$H$61,0)),((INDEX('IR data'!$I$4:$I$61,MATCH(D431,'IR data'!$H$4:$H$61,1)))-((D431-(INDEX('IR data'!$H$4:$H$61,MATCH(D431,'IR data'!$H$4:$H$61,1))))/((INDEX('IR data'!$H$4:$H$61,MATCH(D431,'IR data'!$H$4:$H$61,1)+1)-INDEX('IR data'!$H$4:$H$61,MATCH(D431,'IR data'!$H$4:$H$61,1))))) * (INDEX('IR data'!$I$4:$I$61,MATCH(D431,'IR data'!$H$4:$H$61,1))-(INDEX('IR data'!$I$4:$I$61,MATCH(D431,'IR data'!$H$4:$H$61,1)+1)))))</f>
        <v>0.94136062470652171</v>
      </c>
      <c r="F431" s="30">
        <f t="shared" si="40"/>
        <v>2.238095687333886E-2</v>
      </c>
      <c r="G431" s="45">
        <f t="shared" si="36"/>
        <v>45813</v>
      </c>
      <c r="H431" s="14" cm="1">
        <f t="array" ref="H431">_xlfn.IFNA(INDEX('IR data'!$N$4:$N$61,MATCH(G431,'IR data'!$M$4:$M$61,0)),((INDEX('IR data'!$N$4:$N$61,MATCH(G431,'IR data'!$M$4:$M$61,1)))-((G431-(INDEX('IR data'!$M$4:$M$61,MATCH(G431,'IR data'!$M$4:$M$61,1))))/((INDEX('IR data'!$M$4:$M$61,MATCH(G431,'IR data'!$M$4:$M$61,1)+1)-INDEX('IR data'!$M$4:$M$61,MATCH(G431,'IR data'!$M$4:$M$61,1))))) * (INDEX('IR data'!$N$4:$N$61,MATCH(G431,'IR data'!$M$4:$M$61,1))-(INDEX('IR data'!$N$4:$N$61,MATCH(G431,'IR data'!$M$4:$M$61,1)+1)))))</f>
        <v>0.94125812519780216</v>
      </c>
      <c r="I431" s="44">
        <f t="shared" si="41"/>
        <v>2.2421286370481002E-2</v>
      </c>
    </row>
    <row r="432" spans="1:9" x14ac:dyDescent="0.25">
      <c r="A432" s="45">
        <f t="shared" si="37"/>
        <v>45720</v>
      </c>
      <c r="B432" s="14" cm="1">
        <f t="array" ref="B432">_xlfn.IFNA(INDEX('IR data'!$D$4:$D$61,MATCH(A432,'IR data'!$C$4:$C$61,0)),((INDEX('IR data'!$D$4:$D$61,MATCH(A432,'IR data'!$C$4:$C$61,1)))-((A432-(INDEX('IR data'!$C$4:$C$61,MATCH(A432,'IR data'!$C$4:$C$61,1))))/((INDEX('IR data'!$C$4:$C$61,MATCH(A432,'IR data'!$C$4:$C$61,1)+1)-INDEX('IR data'!$C$4:$C$61,MATCH(A432,'IR data'!$C$4:$C$61,1))))) * (INDEX('IR data'!$D$4:$D$61,MATCH(A432,'IR data'!$C$4:$C$61,1))-(INDEX('IR data'!$D$4:$D$61,MATCH(A432,'IR data'!$C$4:$C$61,1)+1)))))</f>
        <v>0.94434525666666669</v>
      </c>
      <c r="C432" s="30">
        <f t="shared" si="38"/>
        <v>2.1159106790789396E-2</v>
      </c>
      <c r="D432" s="45">
        <f t="shared" si="39"/>
        <v>45780</v>
      </c>
      <c r="E432" s="14" cm="1">
        <f t="array" ref="E432">_xlfn.IFNA(INDEX('IR data'!$I$4:$I$61,MATCH(D432,'IR data'!$H$4:$H$61,0)),((INDEX('IR data'!$I$4:$I$61,MATCH(D432,'IR data'!$H$4:$H$61,1)))-((D432-(INDEX('IR data'!$H$4:$H$61,MATCH(D432,'IR data'!$H$4:$H$61,1))))/((INDEX('IR data'!$H$4:$H$61,MATCH(D432,'IR data'!$H$4:$H$61,1)+1)-INDEX('IR data'!$H$4:$H$61,MATCH(D432,'IR data'!$H$4:$H$61,1))))) * (INDEX('IR data'!$I$4:$I$61,MATCH(D432,'IR data'!$H$4:$H$61,1))-(INDEX('IR data'!$I$4:$I$61,MATCH(D432,'IR data'!$H$4:$H$61,1)+1)))))</f>
        <v>0.94124363526086952</v>
      </c>
      <c r="F432" s="30">
        <f t="shared" si="40"/>
        <v>2.2374710579916253E-2</v>
      </c>
      <c r="G432" s="45">
        <f t="shared" si="36"/>
        <v>45814</v>
      </c>
      <c r="H432" s="14" cm="1">
        <f t="array" ref="H432">_xlfn.IFNA(INDEX('IR data'!$N$4:$N$61,MATCH(G432,'IR data'!$M$4:$M$61,0)),((INDEX('IR data'!$N$4:$N$61,MATCH(G432,'IR data'!$M$4:$M$61,1)))-((G432-(INDEX('IR data'!$M$4:$M$61,MATCH(G432,'IR data'!$M$4:$M$61,1))))/((INDEX('IR data'!$M$4:$M$61,MATCH(G432,'IR data'!$M$4:$M$61,1)+1)-INDEX('IR data'!$M$4:$M$61,MATCH(G432,'IR data'!$M$4:$M$61,1))))) * (INDEX('IR data'!$N$4:$N$61,MATCH(G432,'IR data'!$M$4:$M$61,1))-(INDEX('IR data'!$N$4:$N$61,MATCH(G432,'IR data'!$M$4:$M$61,1)+1)))))</f>
        <v>0.94113901187912086</v>
      </c>
      <c r="I432" s="44">
        <f t="shared" si="41"/>
        <v>2.2415784932114938E-2</v>
      </c>
    </row>
    <row r="433" spans="1:9" x14ac:dyDescent="0.25">
      <c r="A433" s="45">
        <f t="shared" si="37"/>
        <v>45721</v>
      </c>
      <c r="B433" s="14" cm="1">
        <f t="array" ref="B433">_xlfn.IFNA(INDEX('IR data'!$D$4:$D$61,MATCH(A433,'IR data'!$C$4:$C$61,0)),((INDEX('IR data'!$D$4:$D$61,MATCH(A433,'IR data'!$C$4:$C$61,1)))-((A433-(INDEX('IR data'!$C$4:$C$61,MATCH(A433,'IR data'!$C$4:$C$61,1))))/((INDEX('IR data'!$C$4:$C$61,MATCH(A433,'IR data'!$C$4:$C$61,1)+1)-INDEX('IR data'!$C$4:$C$61,MATCH(A433,'IR data'!$C$4:$C$61,1))))) * (INDEX('IR data'!$D$4:$D$61,MATCH(A433,'IR data'!$C$4:$C$61,1))-(INDEX('IR data'!$D$4:$D$61,MATCH(A433,'IR data'!$C$4:$C$61,1)+1)))))</f>
        <v>0.9442420110444445</v>
      </c>
      <c r="C433" s="30">
        <f t="shared" si="38"/>
        <v>2.1150205900193217E-2</v>
      </c>
      <c r="D433" s="45">
        <f t="shared" si="39"/>
        <v>45781</v>
      </c>
      <c r="E433" s="14" cm="1">
        <f t="array" ref="E433">_xlfn.IFNA(INDEX('IR data'!$I$4:$I$61,MATCH(D433,'IR data'!$H$4:$H$61,0)),((INDEX('IR data'!$I$4:$I$61,MATCH(D433,'IR data'!$H$4:$H$61,1)))-((D433-(INDEX('IR data'!$H$4:$H$61,MATCH(D433,'IR data'!$H$4:$H$61,1))))/((INDEX('IR data'!$H$4:$H$61,MATCH(D433,'IR data'!$H$4:$H$61,1)+1)-INDEX('IR data'!$H$4:$H$61,MATCH(D433,'IR data'!$H$4:$H$61,1))))) * (INDEX('IR data'!$I$4:$I$61,MATCH(D433,'IR data'!$H$4:$H$61,1))-(INDEX('IR data'!$I$4:$I$61,MATCH(D433,'IR data'!$H$4:$H$61,1)+1)))))</f>
        <v>0.94112664581521743</v>
      </c>
      <c r="F433" s="30">
        <f t="shared" si="40"/>
        <v>2.2368499034076953E-2</v>
      </c>
      <c r="G433" s="45">
        <f t="shared" si="36"/>
        <v>45815</v>
      </c>
      <c r="H433" s="14" cm="1">
        <f t="array" ref="H433">_xlfn.IFNA(INDEX('IR data'!$N$4:$N$61,MATCH(G433,'IR data'!$M$4:$M$61,0)),((INDEX('IR data'!$N$4:$N$61,MATCH(G433,'IR data'!$M$4:$M$61,1)))-((G433-(INDEX('IR data'!$M$4:$M$61,MATCH(G433,'IR data'!$M$4:$M$61,1))))/((INDEX('IR data'!$M$4:$M$61,MATCH(G433,'IR data'!$M$4:$M$61,1)+1)-INDEX('IR data'!$M$4:$M$61,MATCH(G433,'IR data'!$M$4:$M$61,1))))) * (INDEX('IR data'!$N$4:$N$61,MATCH(G433,'IR data'!$M$4:$M$61,1))-(INDEX('IR data'!$N$4:$N$61,MATCH(G433,'IR data'!$M$4:$M$61,1)+1)))))</f>
        <v>0.94101989856043955</v>
      </c>
      <c r="I433" s="44">
        <f t="shared" si="41"/>
        <v>2.2410314986860393E-2</v>
      </c>
    </row>
    <row r="434" spans="1:9" x14ac:dyDescent="0.25">
      <c r="A434" s="45">
        <f t="shared" si="37"/>
        <v>45722</v>
      </c>
      <c r="B434" s="14" cm="1">
        <f t="array" ref="B434">_xlfn.IFNA(INDEX('IR data'!$D$4:$D$61,MATCH(A434,'IR data'!$C$4:$C$61,0)),((INDEX('IR data'!$D$4:$D$61,MATCH(A434,'IR data'!$C$4:$C$61,1)))-((A434-(INDEX('IR data'!$C$4:$C$61,MATCH(A434,'IR data'!$C$4:$C$61,1))))/((INDEX('IR data'!$C$4:$C$61,MATCH(A434,'IR data'!$C$4:$C$61,1)+1)-INDEX('IR data'!$C$4:$C$61,MATCH(A434,'IR data'!$C$4:$C$61,1))))) * (INDEX('IR data'!$D$4:$D$61,MATCH(A434,'IR data'!$C$4:$C$61,1))-(INDEX('IR data'!$D$4:$D$61,MATCH(A434,'IR data'!$C$4:$C$61,1)+1)))))</f>
        <v>0.94413876542222219</v>
      </c>
      <c r="C434" s="30">
        <f t="shared" si="38"/>
        <v>2.1141350710237199E-2</v>
      </c>
      <c r="D434" s="45">
        <f t="shared" si="39"/>
        <v>45782</v>
      </c>
      <c r="E434" s="14" cm="1">
        <f t="array" ref="E434">_xlfn.IFNA(INDEX('IR data'!$I$4:$I$61,MATCH(D434,'IR data'!$H$4:$H$61,0)),((INDEX('IR data'!$I$4:$I$61,MATCH(D434,'IR data'!$H$4:$H$61,1)))-((D434-(INDEX('IR data'!$H$4:$H$61,MATCH(D434,'IR data'!$H$4:$H$61,1))))/((INDEX('IR data'!$H$4:$H$61,MATCH(D434,'IR data'!$H$4:$H$61,1)+1)-INDEX('IR data'!$H$4:$H$61,MATCH(D434,'IR data'!$H$4:$H$61,1))))) * (INDEX('IR data'!$I$4:$I$61,MATCH(D434,'IR data'!$H$4:$H$61,1))-(INDEX('IR data'!$I$4:$I$61,MATCH(D434,'IR data'!$H$4:$H$61,1)+1)))))</f>
        <v>0.94100965636956524</v>
      </c>
      <c r="F434" s="30">
        <f t="shared" si="40"/>
        <v>2.2362321995371217E-2</v>
      </c>
      <c r="G434" s="45">
        <f t="shared" si="36"/>
        <v>45816</v>
      </c>
      <c r="H434" s="14" cm="1">
        <f t="array" ref="H434">_xlfn.IFNA(INDEX('IR data'!$N$4:$N$61,MATCH(G434,'IR data'!$M$4:$M$61,0)),((INDEX('IR data'!$N$4:$N$61,MATCH(G434,'IR data'!$M$4:$M$61,1)))-((G434-(INDEX('IR data'!$M$4:$M$61,MATCH(G434,'IR data'!$M$4:$M$61,1))))/((INDEX('IR data'!$M$4:$M$61,MATCH(G434,'IR data'!$M$4:$M$61,1)+1)-INDEX('IR data'!$M$4:$M$61,MATCH(G434,'IR data'!$M$4:$M$61,1))))) * (INDEX('IR data'!$N$4:$N$61,MATCH(G434,'IR data'!$M$4:$M$61,1))-(INDEX('IR data'!$N$4:$N$61,MATCH(G434,'IR data'!$M$4:$M$61,1)+1)))))</f>
        <v>0.94090078524175824</v>
      </c>
      <c r="I434" s="44">
        <f t="shared" si="41"/>
        <v>2.2404876316999313E-2</v>
      </c>
    </row>
    <row r="435" spans="1:9" x14ac:dyDescent="0.25">
      <c r="A435" s="45">
        <f t="shared" si="37"/>
        <v>45723</v>
      </c>
      <c r="B435" s="14" cm="1">
        <f t="array" ref="B435">_xlfn.IFNA(INDEX('IR data'!$D$4:$D$61,MATCH(A435,'IR data'!$C$4:$C$61,0)),((INDEX('IR data'!$D$4:$D$61,MATCH(A435,'IR data'!$C$4:$C$61,1)))-((A435-(INDEX('IR data'!$C$4:$C$61,MATCH(A435,'IR data'!$C$4:$C$61,1))))/((INDEX('IR data'!$C$4:$C$61,MATCH(A435,'IR data'!$C$4:$C$61,1)+1)-INDEX('IR data'!$C$4:$C$61,MATCH(A435,'IR data'!$C$4:$C$61,1))))) * (INDEX('IR data'!$D$4:$D$61,MATCH(A435,'IR data'!$C$4:$C$61,1))-(INDEX('IR data'!$D$4:$D$61,MATCH(A435,'IR data'!$C$4:$C$61,1)+1)))))</f>
        <v>0.9440355198</v>
      </c>
      <c r="C435" s="30">
        <f t="shared" si="38"/>
        <v>2.1132540904515218E-2</v>
      </c>
      <c r="D435" s="45">
        <f t="shared" si="39"/>
        <v>45783</v>
      </c>
      <c r="E435" s="14" cm="1">
        <f t="array" ref="E435">_xlfn.IFNA(INDEX('IR data'!$I$4:$I$61,MATCH(D435,'IR data'!$H$4:$H$61,0)),((INDEX('IR data'!$I$4:$I$61,MATCH(D435,'IR data'!$H$4:$H$61,1)))-((D435-(INDEX('IR data'!$H$4:$H$61,MATCH(D435,'IR data'!$H$4:$H$61,1))))/((INDEX('IR data'!$H$4:$H$61,MATCH(D435,'IR data'!$H$4:$H$61,1)+1)-INDEX('IR data'!$H$4:$H$61,MATCH(D435,'IR data'!$H$4:$H$61,1))))) * (INDEX('IR data'!$I$4:$I$61,MATCH(D435,'IR data'!$H$4:$H$61,1))-(INDEX('IR data'!$I$4:$I$61,MATCH(D435,'IR data'!$H$4:$H$61,1)+1)))))</f>
        <v>0.94089266692391305</v>
      </c>
      <c r="F435" s="30">
        <f t="shared" si="40"/>
        <v>2.2356179225576062E-2</v>
      </c>
      <c r="G435" s="45">
        <f t="shared" si="36"/>
        <v>45817</v>
      </c>
      <c r="H435" s="14" cm="1">
        <f t="array" ref="H435">_xlfn.IFNA(INDEX('IR data'!$N$4:$N$61,MATCH(G435,'IR data'!$M$4:$M$61,0)),((INDEX('IR data'!$N$4:$N$61,MATCH(G435,'IR data'!$M$4:$M$61,1)))-((G435-(INDEX('IR data'!$M$4:$M$61,MATCH(G435,'IR data'!$M$4:$M$61,1))))/((INDEX('IR data'!$M$4:$M$61,MATCH(G435,'IR data'!$M$4:$M$61,1)+1)-INDEX('IR data'!$M$4:$M$61,MATCH(G435,'IR data'!$M$4:$M$61,1))))) * (INDEX('IR data'!$N$4:$N$61,MATCH(G435,'IR data'!$M$4:$M$61,1))-(INDEX('IR data'!$N$4:$N$61,MATCH(G435,'IR data'!$M$4:$M$61,1)+1)))))</f>
        <v>0.94078167192307693</v>
      </c>
      <c r="I435" s="44">
        <f t="shared" si="41"/>
        <v>2.2399468706830093E-2</v>
      </c>
    </row>
    <row r="436" spans="1:9" x14ac:dyDescent="0.25">
      <c r="A436" s="45">
        <f t="shared" si="37"/>
        <v>45724</v>
      </c>
      <c r="B436" s="14" cm="1">
        <f t="array" ref="B436">_xlfn.IFNA(INDEX('IR data'!$D$4:$D$61,MATCH(A436,'IR data'!$C$4:$C$61,0)),((INDEX('IR data'!$D$4:$D$61,MATCH(A436,'IR data'!$C$4:$C$61,1)))-((A436-(INDEX('IR data'!$C$4:$C$61,MATCH(A436,'IR data'!$C$4:$C$61,1))))/((INDEX('IR data'!$C$4:$C$61,MATCH(A436,'IR data'!$C$4:$C$61,1)+1)-INDEX('IR data'!$C$4:$C$61,MATCH(A436,'IR data'!$C$4:$C$61,1))))) * (INDEX('IR data'!$D$4:$D$61,MATCH(A436,'IR data'!$C$4:$C$61,1))-(INDEX('IR data'!$D$4:$D$61,MATCH(A436,'IR data'!$C$4:$C$61,1)+1)))))</f>
        <v>0.94393227417777781</v>
      </c>
      <c r="C436" s="30">
        <f t="shared" si="38"/>
        <v>2.1123776169544538E-2</v>
      </c>
      <c r="D436" s="45">
        <f t="shared" si="39"/>
        <v>45784</v>
      </c>
      <c r="E436" s="14" cm="1">
        <f t="array" ref="E436">_xlfn.IFNA(INDEX('IR data'!$I$4:$I$61,MATCH(D436,'IR data'!$H$4:$H$61,0)),((INDEX('IR data'!$I$4:$I$61,MATCH(D436,'IR data'!$H$4:$H$61,1)))-((D436-(INDEX('IR data'!$H$4:$H$61,MATCH(D436,'IR data'!$H$4:$H$61,1))))/((INDEX('IR data'!$H$4:$H$61,MATCH(D436,'IR data'!$H$4:$H$61,1)+1)-INDEX('IR data'!$H$4:$H$61,MATCH(D436,'IR data'!$H$4:$H$61,1))))) * (INDEX('IR data'!$I$4:$I$61,MATCH(D436,'IR data'!$H$4:$H$61,1))-(INDEX('IR data'!$I$4:$I$61,MATCH(D436,'IR data'!$H$4:$H$61,1)+1)))))</f>
        <v>0.94077567747826085</v>
      </c>
      <c r="F436" s="30">
        <f t="shared" si="40"/>
        <v>2.2350070488669757E-2</v>
      </c>
      <c r="G436" s="45">
        <f t="shared" si="36"/>
        <v>45818</v>
      </c>
      <c r="H436" s="14" cm="1">
        <f t="array" ref="H436">_xlfn.IFNA(INDEX('IR data'!$N$4:$N$61,MATCH(G436,'IR data'!$M$4:$M$61,0)),((INDEX('IR data'!$N$4:$N$61,MATCH(G436,'IR data'!$M$4:$M$61,1)))-((G436-(INDEX('IR data'!$M$4:$M$61,MATCH(G436,'IR data'!$M$4:$M$61,1))))/((INDEX('IR data'!$M$4:$M$61,MATCH(G436,'IR data'!$M$4:$M$61,1)+1)-INDEX('IR data'!$M$4:$M$61,MATCH(G436,'IR data'!$M$4:$M$61,1))))) * (INDEX('IR data'!$N$4:$N$61,MATCH(G436,'IR data'!$M$4:$M$61,1))-(INDEX('IR data'!$N$4:$N$61,MATCH(G436,'IR data'!$M$4:$M$61,1)+1)))))</f>
        <v>0.94066255860439563</v>
      </c>
      <c r="I436" s="44">
        <f t="shared" si="41"/>
        <v>2.2394091942644349E-2</v>
      </c>
    </row>
    <row r="437" spans="1:9" x14ac:dyDescent="0.25">
      <c r="A437" s="45">
        <f t="shared" si="37"/>
        <v>45725</v>
      </c>
      <c r="B437" s="14" cm="1">
        <f t="array" ref="B437">_xlfn.IFNA(INDEX('IR data'!$D$4:$D$61,MATCH(A437,'IR data'!$C$4:$C$61,0)),((INDEX('IR data'!$D$4:$D$61,MATCH(A437,'IR data'!$C$4:$C$61,1)))-((A437-(INDEX('IR data'!$C$4:$C$61,MATCH(A437,'IR data'!$C$4:$C$61,1))))/((INDEX('IR data'!$C$4:$C$61,MATCH(A437,'IR data'!$C$4:$C$61,1)+1)-INDEX('IR data'!$C$4:$C$61,MATCH(A437,'IR data'!$C$4:$C$61,1))))) * (INDEX('IR data'!$D$4:$D$61,MATCH(A437,'IR data'!$C$4:$C$61,1))-(INDEX('IR data'!$D$4:$D$61,MATCH(A437,'IR data'!$C$4:$C$61,1)+1)))))</f>
        <v>0.94382902855555562</v>
      </c>
      <c r="C437" s="30">
        <f t="shared" si="38"/>
        <v>2.1115056194731915E-2</v>
      </c>
      <c r="D437" s="45">
        <f t="shared" si="39"/>
        <v>45785</v>
      </c>
      <c r="E437" s="14" cm="1">
        <f t="array" ref="E437">_xlfn.IFNA(INDEX('IR data'!$I$4:$I$61,MATCH(D437,'IR data'!$H$4:$H$61,0)),((INDEX('IR data'!$I$4:$I$61,MATCH(D437,'IR data'!$H$4:$H$61,1)))-((D437-(INDEX('IR data'!$H$4:$H$61,MATCH(D437,'IR data'!$H$4:$H$61,1))))/((INDEX('IR data'!$H$4:$H$61,MATCH(D437,'IR data'!$H$4:$H$61,1)+1)-INDEX('IR data'!$H$4:$H$61,MATCH(D437,'IR data'!$H$4:$H$61,1))))) * (INDEX('IR data'!$I$4:$I$61,MATCH(D437,'IR data'!$H$4:$H$61,1))-(INDEX('IR data'!$I$4:$I$61,MATCH(D437,'IR data'!$H$4:$H$61,1)+1)))))</f>
        <v>0.94065868803260866</v>
      </c>
      <c r="F437" s="30">
        <f t="shared" si="40"/>
        <v>2.2343995550806402E-2</v>
      </c>
      <c r="G437" s="45">
        <f t="shared" si="36"/>
        <v>45819</v>
      </c>
      <c r="H437" s="14" cm="1">
        <f t="array" ref="H437">_xlfn.IFNA(INDEX('IR data'!$N$4:$N$61,MATCH(G437,'IR data'!$M$4:$M$61,0)),((INDEX('IR data'!$N$4:$N$61,MATCH(G437,'IR data'!$M$4:$M$61,1)))-((G437-(INDEX('IR data'!$M$4:$M$61,MATCH(G437,'IR data'!$M$4:$M$61,1))))/((INDEX('IR data'!$M$4:$M$61,MATCH(G437,'IR data'!$M$4:$M$61,1)+1)-INDEX('IR data'!$M$4:$M$61,MATCH(G437,'IR data'!$M$4:$M$61,1))))) * (INDEX('IR data'!$N$4:$N$61,MATCH(G437,'IR data'!$M$4:$M$61,1))-(INDEX('IR data'!$N$4:$N$61,MATCH(G437,'IR data'!$M$4:$M$61,1)+1)))))</f>
        <v>0.94054344528571432</v>
      </c>
      <c r="I437" s="44">
        <f t="shared" si="41"/>
        <v>2.2388745812703895E-2</v>
      </c>
    </row>
    <row r="438" spans="1:9" x14ac:dyDescent="0.25">
      <c r="A438" s="45">
        <f t="shared" si="37"/>
        <v>45726</v>
      </c>
      <c r="B438" s="14" cm="1">
        <f t="array" ref="B438">_xlfn.IFNA(INDEX('IR data'!$D$4:$D$61,MATCH(A438,'IR data'!$C$4:$C$61,0)),((INDEX('IR data'!$D$4:$D$61,MATCH(A438,'IR data'!$C$4:$C$61,1)))-((A438-(INDEX('IR data'!$C$4:$C$61,MATCH(A438,'IR data'!$C$4:$C$61,1))))/((INDEX('IR data'!$C$4:$C$61,MATCH(A438,'IR data'!$C$4:$C$61,1)+1)-INDEX('IR data'!$C$4:$C$61,MATCH(A438,'IR data'!$C$4:$C$61,1))))) * (INDEX('IR data'!$D$4:$D$61,MATCH(A438,'IR data'!$C$4:$C$61,1))-(INDEX('IR data'!$D$4:$D$61,MATCH(A438,'IR data'!$C$4:$C$61,1)+1)))))</f>
        <v>0.94372578293333331</v>
      </c>
      <c r="C438" s="30">
        <f t="shared" si="38"/>
        <v>2.1106380672340504E-2</v>
      </c>
      <c r="D438" s="45">
        <f t="shared" si="39"/>
        <v>45786</v>
      </c>
      <c r="E438" s="14" cm="1">
        <f t="array" ref="E438">_xlfn.IFNA(INDEX('IR data'!$I$4:$I$61,MATCH(D438,'IR data'!$H$4:$H$61,0)),((INDEX('IR data'!$I$4:$I$61,MATCH(D438,'IR data'!$H$4:$H$61,1)))-((D438-(INDEX('IR data'!$H$4:$H$61,MATCH(D438,'IR data'!$H$4:$H$61,1))))/((INDEX('IR data'!$H$4:$H$61,MATCH(D438,'IR data'!$H$4:$H$61,1)+1)-INDEX('IR data'!$H$4:$H$61,MATCH(D438,'IR data'!$H$4:$H$61,1))))) * (INDEX('IR data'!$I$4:$I$61,MATCH(D438,'IR data'!$H$4:$H$61,1))-(INDEX('IR data'!$I$4:$I$61,MATCH(D438,'IR data'!$H$4:$H$61,1)+1)))))</f>
        <v>0.94054169858695647</v>
      </c>
      <c r="F438" s="30">
        <f t="shared" si="40"/>
        <v>2.2337954180290935E-2</v>
      </c>
      <c r="G438" s="45">
        <f t="shared" si="36"/>
        <v>45820</v>
      </c>
      <c r="H438" s="14" cm="1">
        <f t="array" ref="H438">_xlfn.IFNA(INDEX('IR data'!$N$4:$N$61,MATCH(G438,'IR data'!$M$4:$M$61,0)),((INDEX('IR data'!$N$4:$N$61,MATCH(G438,'IR data'!$M$4:$M$61,1)))-((G438-(INDEX('IR data'!$M$4:$M$61,MATCH(G438,'IR data'!$M$4:$M$61,1))))/((INDEX('IR data'!$M$4:$M$61,MATCH(G438,'IR data'!$M$4:$M$61,1)+1)-INDEX('IR data'!$M$4:$M$61,MATCH(G438,'IR data'!$M$4:$M$61,1))))) * (INDEX('IR data'!$N$4:$N$61,MATCH(G438,'IR data'!$M$4:$M$61,1))-(INDEX('IR data'!$N$4:$N$61,MATCH(G438,'IR data'!$M$4:$M$61,1)+1)))))</f>
        <v>0.9404243319670329</v>
      </c>
      <c r="I438" s="44">
        <f t="shared" si="41"/>
        <v>2.2383430107218175E-2</v>
      </c>
    </row>
    <row r="439" spans="1:9" x14ac:dyDescent="0.25">
      <c r="A439" s="45">
        <f t="shared" si="37"/>
        <v>45727</v>
      </c>
      <c r="B439" s="14" cm="1">
        <f t="array" ref="B439">_xlfn.IFNA(INDEX('IR data'!$D$4:$D$61,MATCH(A439,'IR data'!$C$4:$C$61,0)),((INDEX('IR data'!$D$4:$D$61,MATCH(A439,'IR data'!$C$4:$C$61,1)))-((A439-(INDEX('IR data'!$C$4:$C$61,MATCH(A439,'IR data'!$C$4:$C$61,1))))/((INDEX('IR data'!$C$4:$C$61,MATCH(A439,'IR data'!$C$4:$C$61,1)+1)-INDEX('IR data'!$C$4:$C$61,MATCH(A439,'IR data'!$C$4:$C$61,1))))) * (INDEX('IR data'!$D$4:$D$61,MATCH(A439,'IR data'!$C$4:$C$61,1))-(INDEX('IR data'!$D$4:$D$61,MATCH(A439,'IR data'!$C$4:$C$61,1)+1)))))</f>
        <v>0.94362253731111112</v>
      </c>
      <c r="C439" s="30">
        <f t="shared" si="38"/>
        <v>2.1097749297456919E-2</v>
      </c>
      <c r="D439" s="45">
        <f t="shared" si="39"/>
        <v>45787</v>
      </c>
      <c r="E439" s="14" cm="1">
        <f t="array" ref="E439">_xlfn.IFNA(INDEX('IR data'!$I$4:$I$61,MATCH(D439,'IR data'!$H$4:$H$61,0)),((INDEX('IR data'!$I$4:$I$61,MATCH(D439,'IR data'!$H$4:$H$61,1)))-((D439-(INDEX('IR data'!$H$4:$H$61,MATCH(D439,'IR data'!$H$4:$H$61,1))))/((INDEX('IR data'!$H$4:$H$61,MATCH(D439,'IR data'!$H$4:$H$61,1)+1)-INDEX('IR data'!$H$4:$H$61,MATCH(D439,'IR data'!$H$4:$H$61,1))))) * (INDEX('IR data'!$I$4:$I$61,MATCH(D439,'IR data'!$H$4:$H$61,1))-(INDEX('IR data'!$I$4:$I$61,MATCH(D439,'IR data'!$H$4:$H$61,1)+1)))))</f>
        <v>0.94042470914130438</v>
      </c>
      <c r="F439" s="30">
        <f t="shared" si="40"/>
        <v>2.2331946147554415E-2</v>
      </c>
      <c r="G439" s="45">
        <f t="shared" si="36"/>
        <v>45821</v>
      </c>
      <c r="H439" s="14" cm="1">
        <f t="array" ref="H439">_xlfn.IFNA(INDEX('IR data'!$N$4:$N$61,MATCH(G439,'IR data'!$M$4:$M$61,0)),((INDEX('IR data'!$N$4:$N$61,MATCH(G439,'IR data'!$M$4:$M$61,1)))-((G439-(INDEX('IR data'!$M$4:$M$61,MATCH(G439,'IR data'!$M$4:$M$61,1))))/((INDEX('IR data'!$M$4:$M$61,MATCH(G439,'IR data'!$M$4:$M$61,1)+1)-INDEX('IR data'!$M$4:$M$61,MATCH(G439,'IR data'!$M$4:$M$61,1))))) * (INDEX('IR data'!$N$4:$N$61,MATCH(G439,'IR data'!$M$4:$M$61,1))-(INDEX('IR data'!$N$4:$N$61,MATCH(G439,'IR data'!$M$4:$M$61,1)+1)))))</f>
        <v>0.94030521864835159</v>
      </c>
      <c r="I439" s="44">
        <f t="shared" si="41"/>
        <v>2.2378144618321768E-2</v>
      </c>
    </row>
    <row r="440" spans="1:9" x14ac:dyDescent="0.25">
      <c r="A440" s="45">
        <f t="shared" si="37"/>
        <v>45728</v>
      </c>
      <c r="B440" s="14" cm="1">
        <f t="array" ref="B440">_xlfn.IFNA(INDEX('IR data'!$D$4:$D$61,MATCH(A440,'IR data'!$C$4:$C$61,0)),((INDEX('IR data'!$D$4:$D$61,MATCH(A440,'IR data'!$C$4:$C$61,1)))-((A440-(INDEX('IR data'!$C$4:$C$61,MATCH(A440,'IR data'!$C$4:$C$61,1))))/((INDEX('IR data'!$C$4:$C$61,MATCH(A440,'IR data'!$C$4:$C$61,1)+1)-INDEX('IR data'!$C$4:$C$61,MATCH(A440,'IR data'!$C$4:$C$61,1))))) * (INDEX('IR data'!$D$4:$D$61,MATCH(A440,'IR data'!$C$4:$C$61,1))-(INDEX('IR data'!$D$4:$D$61,MATCH(A440,'IR data'!$C$4:$C$61,1)+1)))))</f>
        <v>0.94351929168888893</v>
      </c>
      <c r="C440" s="30">
        <f t="shared" si="38"/>
        <v>2.1089161767959167E-2</v>
      </c>
      <c r="D440" s="45">
        <f t="shared" si="39"/>
        <v>45788</v>
      </c>
      <c r="E440" s="14" cm="1">
        <f t="array" ref="E440">_xlfn.IFNA(INDEX('IR data'!$I$4:$I$61,MATCH(D440,'IR data'!$H$4:$H$61,0)),((INDEX('IR data'!$I$4:$I$61,MATCH(D440,'IR data'!$H$4:$H$61,1)))-((D440-(INDEX('IR data'!$H$4:$H$61,MATCH(D440,'IR data'!$H$4:$H$61,1))))/((INDEX('IR data'!$H$4:$H$61,MATCH(D440,'IR data'!$H$4:$H$61,1)+1)-INDEX('IR data'!$H$4:$H$61,MATCH(D440,'IR data'!$H$4:$H$61,1))))) * (INDEX('IR data'!$I$4:$I$61,MATCH(D440,'IR data'!$H$4:$H$61,1))-(INDEX('IR data'!$I$4:$I$61,MATCH(D440,'IR data'!$H$4:$H$61,1)+1)))))</f>
        <v>0.94030771969565219</v>
      </c>
      <c r="F440" s="30">
        <f t="shared" si="40"/>
        <v>2.2325971225129866E-2</v>
      </c>
      <c r="G440" s="45">
        <f t="shared" si="36"/>
        <v>45822</v>
      </c>
      <c r="H440" s="14" cm="1">
        <f t="array" ref="H440">_xlfn.IFNA(INDEX('IR data'!$N$4:$N$61,MATCH(G440,'IR data'!$M$4:$M$61,0)),((INDEX('IR data'!$N$4:$N$61,MATCH(G440,'IR data'!$M$4:$M$61,1)))-((G440-(INDEX('IR data'!$M$4:$M$61,MATCH(G440,'IR data'!$M$4:$M$61,1))))/((INDEX('IR data'!$M$4:$M$61,MATCH(G440,'IR data'!$M$4:$M$61,1)+1)-INDEX('IR data'!$M$4:$M$61,MATCH(G440,'IR data'!$M$4:$M$61,1))))) * (INDEX('IR data'!$N$4:$N$61,MATCH(G440,'IR data'!$M$4:$M$61,1))-(INDEX('IR data'!$N$4:$N$61,MATCH(G440,'IR data'!$M$4:$M$61,1)+1)))))</f>
        <v>0.94018610532967029</v>
      </c>
      <c r="I440" s="44">
        <f t="shared" si="41"/>
        <v>2.237288914005257E-2</v>
      </c>
    </row>
    <row r="441" spans="1:9" x14ac:dyDescent="0.25">
      <c r="A441" s="45">
        <f t="shared" si="37"/>
        <v>45729</v>
      </c>
      <c r="B441" s="14" cm="1">
        <f t="array" ref="B441">_xlfn.IFNA(INDEX('IR data'!$D$4:$D$61,MATCH(A441,'IR data'!$C$4:$C$61,0)),((INDEX('IR data'!$D$4:$D$61,MATCH(A441,'IR data'!$C$4:$C$61,1)))-((A441-(INDEX('IR data'!$C$4:$C$61,MATCH(A441,'IR data'!$C$4:$C$61,1))))/((INDEX('IR data'!$C$4:$C$61,MATCH(A441,'IR data'!$C$4:$C$61,1)+1)-INDEX('IR data'!$C$4:$C$61,MATCH(A441,'IR data'!$C$4:$C$61,1))))) * (INDEX('IR data'!$D$4:$D$61,MATCH(A441,'IR data'!$C$4:$C$61,1))-(INDEX('IR data'!$D$4:$D$61,MATCH(A441,'IR data'!$C$4:$C$61,1)+1)))))</f>
        <v>0.94341604606666674</v>
      </c>
      <c r="C441" s="30">
        <f t="shared" si="38"/>
        <v>2.108061778448465E-2</v>
      </c>
      <c r="D441" s="45">
        <f t="shared" si="39"/>
        <v>45789</v>
      </c>
      <c r="E441" s="14" cm="1">
        <f t="array" ref="E441">_xlfn.IFNA(INDEX('IR data'!$I$4:$I$61,MATCH(D441,'IR data'!$H$4:$H$61,0)),((INDEX('IR data'!$I$4:$I$61,MATCH(D441,'IR data'!$H$4:$H$61,1)))-((D441-(INDEX('IR data'!$H$4:$H$61,MATCH(D441,'IR data'!$H$4:$H$61,1))))/((INDEX('IR data'!$H$4:$H$61,MATCH(D441,'IR data'!$H$4:$H$61,1)+1)-INDEX('IR data'!$H$4:$H$61,MATCH(D441,'IR data'!$H$4:$H$61,1))))) * (INDEX('IR data'!$I$4:$I$61,MATCH(D441,'IR data'!$H$4:$H$61,1))-(INDEX('IR data'!$I$4:$I$61,MATCH(D441,'IR data'!$H$4:$H$61,1)+1)))))</f>
        <v>0.94019073025</v>
      </c>
      <c r="F441" s="30">
        <f t="shared" si="40"/>
        <v>2.2320029187628022E-2</v>
      </c>
      <c r="G441" s="45">
        <f t="shared" si="36"/>
        <v>45823</v>
      </c>
      <c r="H441" s="14" cm="1">
        <f t="array" ref="H441">_xlfn.IFNA(INDEX('IR data'!$N$4:$N$61,MATCH(G441,'IR data'!$M$4:$M$61,0)),((INDEX('IR data'!$N$4:$N$61,MATCH(G441,'IR data'!$M$4:$M$61,1)))-((G441-(INDEX('IR data'!$M$4:$M$61,MATCH(G441,'IR data'!$M$4:$M$61,1))))/((INDEX('IR data'!$M$4:$M$61,MATCH(G441,'IR data'!$M$4:$M$61,1)+1)-INDEX('IR data'!$M$4:$M$61,MATCH(G441,'IR data'!$M$4:$M$61,1))))) * (INDEX('IR data'!$N$4:$N$61,MATCH(G441,'IR data'!$M$4:$M$61,1))-(INDEX('IR data'!$N$4:$N$61,MATCH(G441,'IR data'!$M$4:$M$61,1)+1)))))</f>
        <v>0.94006699201098898</v>
      </c>
      <c r="I441" s="44">
        <f t="shared" si="41"/>
        <v>2.2367663468329951E-2</v>
      </c>
    </row>
    <row r="442" spans="1:9" x14ac:dyDescent="0.25">
      <c r="A442" s="45">
        <f t="shared" si="37"/>
        <v>45730</v>
      </c>
      <c r="B442" s="14" cm="1">
        <f t="array" ref="B442">_xlfn.IFNA(INDEX('IR data'!$D$4:$D$61,MATCH(A442,'IR data'!$C$4:$C$61,0)),((INDEX('IR data'!$D$4:$D$61,MATCH(A442,'IR data'!$C$4:$C$61,1)))-((A442-(INDEX('IR data'!$C$4:$C$61,MATCH(A442,'IR data'!$C$4:$C$61,1))))/((INDEX('IR data'!$C$4:$C$61,MATCH(A442,'IR data'!$C$4:$C$61,1)+1)-INDEX('IR data'!$C$4:$C$61,MATCH(A442,'IR data'!$C$4:$C$61,1))))) * (INDEX('IR data'!$D$4:$D$61,MATCH(A442,'IR data'!$C$4:$C$61,1))-(INDEX('IR data'!$D$4:$D$61,MATCH(A442,'IR data'!$C$4:$C$61,1)+1)))))</f>
        <v>0.94331280044444443</v>
      </c>
      <c r="C442" s="30">
        <f t="shared" si="38"/>
        <v>2.1072117050398784E-2</v>
      </c>
      <c r="D442" s="45">
        <f t="shared" si="39"/>
        <v>45790</v>
      </c>
      <c r="E442" s="14" cm="1">
        <f t="array" ref="E442">_xlfn.IFNA(INDEX('IR data'!$I$4:$I$61,MATCH(D442,'IR data'!$H$4:$H$61,0)),((INDEX('IR data'!$I$4:$I$61,MATCH(D442,'IR data'!$H$4:$H$61,1)))-((D442-(INDEX('IR data'!$H$4:$H$61,MATCH(D442,'IR data'!$H$4:$H$61,1))))/((INDEX('IR data'!$H$4:$H$61,MATCH(D442,'IR data'!$H$4:$H$61,1)+1)-INDEX('IR data'!$H$4:$H$61,MATCH(D442,'IR data'!$H$4:$H$61,1))))) * (INDEX('IR data'!$I$4:$I$61,MATCH(D442,'IR data'!$H$4:$H$61,1))-(INDEX('IR data'!$I$4:$I$61,MATCH(D442,'IR data'!$H$4:$H$61,1)+1)))))</f>
        <v>0.9400737408043478</v>
      </c>
      <c r="F442" s="30">
        <f t="shared" si="40"/>
        <v>2.2314119811713846E-2</v>
      </c>
      <c r="G442" s="45">
        <f t="shared" si="36"/>
        <v>45824</v>
      </c>
      <c r="H442" s="14" cm="1">
        <f t="array" ref="H442">_xlfn.IFNA(INDEX('IR data'!$N$4:$N$61,MATCH(G442,'IR data'!$M$4:$M$61,0)),((INDEX('IR data'!$N$4:$N$61,MATCH(G442,'IR data'!$M$4:$M$61,1)))-((G442-(INDEX('IR data'!$M$4:$M$61,MATCH(G442,'IR data'!$M$4:$M$61,1))))/((INDEX('IR data'!$M$4:$M$61,MATCH(G442,'IR data'!$M$4:$M$61,1)+1)-INDEX('IR data'!$M$4:$M$61,MATCH(G442,'IR data'!$M$4:$M$61,1))))) * (INDEX('IR data'!$N$4:$N$61,MATCH(G442,'IR data'!$M$4:$M$61,1))-(INDEX('IR data'!$N$4:$N$61,MATCH(G442,'IR data'!$M$4:$M$61,1)+1)))))</f>
        <v>0.93994787869230767</v>
      </c>
      <c r="I442" s="44">
        <f t="shared" si="41"/>
        <v>2.2362467400933325E-2</v>
      </c>
    </row>
    <row r="443" spans="1:9" x14ac:dyDescent="0.25">
      <c r="A443" s="45">
        <f t="shared" si="37"/>
        <v>45731</v>
      </c>
      <c r="B443" s="14" cm="1">
        <f t="array" ref="B443">_xlfn.IFNA(INDEX('IR data'!$D$4:$D$61,MATCH(A443,'IR data'!$C$4:$C$61,0)),((INDEX('IR data'!$D$4:$D$61,MATCH(A443,'IR data'!$C$4:$C$61,1)))-((A443-(INDEX('IR data'!$C$4:$C$61,MATCH(A443,'IR data'!$C$4:$C$61,1))))/((INDEX('IR data'!$C$4:$C$61,MATCH(A443,'IR data'!$C$4:$C$61,1)+1)-INDEX('IR data'!$C$4:$C$61,MATCH(A443,'IR data'!$C$4:$C$61,1))))) * (INDEX('IR data'!$D$4:$D$61,MATCH(A443,'IR data'!$C$4:$C$61,1))-(INDEX('IR data'!$D$4:$D$61,MATCH(A443,'IR data'!$C$4:$C$61,1)+1)))))</f>
        <v>0.94320955482222224</v>
      </c>
      <c r="C443" s="30">
        <f t="shared" si="38"/>
        <v>2.1063659271763856E-2</v>
      </c>
      <c r="D443" s="45">
        <f t="shared" si="39"/>
        <v>45791</v>
      </c>
      <c r="E443" s="14" cm="1">
        <f t="array" ref="E443">_xlfn.IFNA(INDEX('IR data'!$I$4:$I$61,MATCH(D443,'IR data'!$H$4:$H$61,0)),((INDEX('IR data'!$I$4:$I$61,MATCH(D443,'IR data'!$H$4:$H$61,1)))-((D443-(INDEX('IR data'!$H$4:$H$61,MATCH(D443,'IR data'!$H$4:$H$61,1))))/((INDEX('IR data'!$H$4:$H$61,MATCH(D443,'IR data'!$H$4:$H$61,1)+1)-INDEX('IR data'!$H$4:$H$61,MATCH(D443,'IR data'!$H$4:$H$61,1))))) * (INDEX('IR data'!$I$4:$I$61,MATCH(D443,'IR data'!$H$4:$H$61,1))-(INDEX('IR data'!$I$4:$I$61,MATCH(D443,'IR data'!$H$4:$H$61,1)+1)))))</f>
        <v>0.93995675135869561</v>
      </c>
      <c r="F443" s="30">
        <f t="shared" si="40"/>
        <v>2.2308242876083142E-2</v>
      </c>
      <c r="G443" s="45">
        <f t="shared" si="36"/>
        <v>45825</v>
      </c>
      <c r="H443" s="14" cm="1">
        <f t="array" ref="H443">_xlfn.IFNA(INDEX('IR data'!$N$4:$N$61,MATCH(G443,'IR data'!$M$4:$M$61,0)),((INDEX('IR data'!$N$4:$N$61,MATCH(G443,'IR data'!$M$4:$M$61,1)))-((G443-(INDEX('IR data'!$M$4:$M$61,MATCH(G443,'IR data'!$M$4:$M$61,1))))/((INDEX('IR data'!$M$4:$M$61,MATCH(G443,'IR data'!$M$4:$M$61,1)+1)-INDEX('IR data'!$M$4:$M$61,MATCH(G443,'IR data'!$M$4:$M$61,1))))) * (INDEX('IR data'!$N$4:$N$61,MATCH(G443,'IR data'!$M$4:$M$61,1))-(INDEX('IR data'!$N$4:$N$61,MATCH(G443,'IR data'!$M$4:$M$61,1)+1)))))</f>
        <v>0.93982876537362636</v>
      </c>
      <c r="I443" s="44">
        <f t="shared" si="41"/>
        <v>2.2357300737481049E-2</v>
      </c>
    </row>
    <row r="444" spans="1:9" x14ac:dyDescent="0.25">
      <c r="A444" s="45">
        <f t="shared" si="37"/>
        <v>45732</v>
      </c>
      <c r="B444" s="14" cm="1">
        <f t="array" ref="B444">_xlfn.IFNA(INDEX('IR data'!$D$4:$D$61,MATCH(A444,'IR data'!$C$4:$C$61,0)),((INDEX('IR data'!$D$4:$D$61,MATCH(A444,'IR data'!$C$4:$C$61,1)))-((A444-(INDEX('IR data'!$C$4:$C$61,MATCH(A444,'IR data'!$C$4:$C$61,1))))/((INDEX('IR data'!$C$4:$C$61,MATCH(A444,'IR data'!$C$4:$C$61,1)+1)-INDEX('IR data'!$C$4:$C$61,MATCH(A444,'IR data'!$C$4:$C$61,1))))) * (INDEX('IR data'!$D$4:$D$61,MATCH(A444,'IR data'!$C$4:$C$61,1))-(INDEX('IR data'!$D$4:$D$61,MATCH(A444,'IR data'!$C$4:$C$61,1)+1)))))</f>
        <v>0.94310630920000005</v>
      </c>
      <c r="C444" s="30">
        <f t="shared" si="38"/>
        <v>2.1055244157308681E-2</v>
      </c>
      <c r="D444" s="45">
        <f t="shared" si="39"/>
        <v>45792</v>
      </c>
      <c r="E444" s="14" cm="1">
        <f t="array" ref="E444">_xlfn.IFNA(INDEX('IR data'!$I$4:$I$61,MATCH(D444,'IR data'!$H$4:$H$61,0)),((INDEX('IR data'!$I$4:$I$61,MATCH(D444,'IR data'!$H$4:$H$61,1)))-((D444-(INDEX('IR data'!$H$4:$H$61,MATCH(D444,'IR data'!$H$4:$H$61,1))))/((INDEX('IR data'!$H$4:$H$61,MATCH(D444,'IR data'!$H$4:$H$61,1)+1)-INDEX('IR data'!$H$4:$H$61,MATCH(D444,'IR data'!$H$4:$H$61,1))))) * (INDEX('IR data'!$I$4:$I$61,MATCH(D444,'IR data'!$H$4:$H$61,1))-(INDEX('IR data'!$I$4:$I$61,MATCH(D444,'IR data'!$H$4:$H$61,1)+1)))))</f>
        <v>0.93983976191304353</v>
      </c>
      <c r="F444" s="30">
        <f t="shared" si="40"/>
        <v>2.2302398161439474E-2</v>
      </c>
      <c r="G444" s="45">
        <f t="shared" si="36"/>
        <v>45826</v>
      </c>
      <c r="H444" s="14" cm="1">
        <f t="array" ref="H444">_xlfn.IFNA(INDEX('IR data'!$N$4:$N$61,MATCH(G444,'IR data'!$M$4:$M$61,0)),((INDEX('IR data'!$N$4:$N$61,MATCH(G444,'IR data'!$M$4:$M$61,1)))-((G444-(INDEX('IR data'!$M$4:$M$61,MATCH(G444,'IR data'!$M$4:$M$61,1))))/((INDEX('IR data'!$M$4:$M$61,MATCH(G444,'IR data'!$M$4:$M$61,1)+1)-INDEX('IR data'!$M$4:$M$61,MATCH(G444,'IR data'!$M$4:$M$61,1))))) * (INDEX('IR data'!$N$4:$N$61,MATCH(G444,'IR data'!$M$4:$M$61,1))-(INDEX('IR data'!$N$4:$N$61,MATCH(G444,'IR data'!$M$4:$M$61,1)+1)))))</f>
        <v>0.93970965205494505</v>
      </c>
      <c r="I444" s="44">
        <f t="shared" si="41"/>
        <v>2.2352163279409538E-2</v>
      </c>
    </row>
    <row r="445" spans="1:9" x14ac:dyDescent="0.25">
      <c r="A445" s="45">
        <f t="shared" si="37"/>
        <v>45733</v>
      </c>
      <c r="B445" s="14" cm="1">
        <f t="array" ref="B445">_xlfn.IFNA(INDEX('IR data'!$D$4:$D$61,MATCH(A445,'IR data'!$C$4:$C$61,0)),((INDEX('IR data'!$D$4:$D$61,MATCH(A445,'IR data'!$C$4:$C$61,1)))-((A445-(INDEX('IR data'!$C$4:$C$61,MATCH(A445,'IR data'!$C$4:$C$61,1))))/((INDEX('IR data'!$C$4:$C$61,MATCH(A445,'IR data'!$C$4:$C$61,1)+1)-INDEX('IR data'!$C$4:$C$61,MATCH(A445,'IR data'!$C$4:$C$61,1))))) * (INDEX('IR data'!$D$4:$D$61,MATCH(A445,'IR data'!$C$4:$C$61,1))-(INDEX('IR data'!$D$4:$D$61,MATCH(A445,'IR data'!$C$4:$C$61,1)+1)))))</f>
        <v>0.94300306357777786</v>
      </c>
      <c r="C445" s="30">
        <f t="shared" si="38"/>
        <v>2.1046871418398293E-2</v>
      </c>
      <c r="D445" s="45">
        <f t="shared" si="39"/>
        <v>45793</v>
      </c>
      <c r="E445" s="14" cm="1">
        <f t="array" ref="E445">_xlfn.IFNA(INDEX('IR data'!$I$4:$I$61,MATCH(D445,'IR data'!$H$4:$H$61,0)),((INDEX('IR data'!$I$4:$I$61,MATCH(D445,'IR data'!$H$4:$H$61,1)))-((D445-(INDEX('IR data'!$H$4:$H$61,MATCH(D445,'IR data'!$H$4:$H$61,1))))/((INDEX('IR data'!$H$4:$H$61,MATCH(D445,'IR data'!$H$4:$H$61,1)+1)-INDEX('IR data'!$H$4:$H$61,MATCH(D445,'IR data'!$H$4:$H$61,1))))) * (INDEX('IR data'!$I$4:$I$61,MATCH(D445,'IR data'!$H$4:$H$61,1))-(INDEX('IR data'!$I$4:$I$61,MATCH(D445,'IR data'!$H$4:$H$61,1)+1)))))</f>
        <v>0.93972277246739133</v>
      </c>
      <c r="F445" s="30">
        <f t="shared" si="40"/>
        <v>2.229658545047164E-2</v>
      </c>
      <c r="G445" s="45">
        <f t="shared" si="36"/>
        <v>45827</v>
      </c>
      <c r="H445" s="14" cm="1">
        <f t="array" ref="H445">_xlfn.IFNA(INDEX('IR data'!$N$4:$N$61,MATCH(G445,'IR data'!$M$4:$M$61,0)),((INDEX('IR data'!$N$4:$N$61,MATCH(G445,'IR data'!$M$4:$M$61,1)))-((G445-(INDEX('IR data'!$M$4:$M$61,MATCH(G445,'IR data'!$M$4:$M$61,1))))/((INDEX('IR data'!$M$4:$M$61,MATCH(G445,'IR data'!$M$4:$M$61,1)+1)-INDEX('IR data'!$M$4:$M$61,MATCH(G445,'IR data'!$M$4:$M$61,1))))) * (INDEX('IR data'!$N$4:$N$61,MATCH(G445,'IR data'!$M$4:$M$61,1))-(INDEX('IR data'!$N$4:$N$61,MATCH(G445,'IR data'!$M$4:$M$61,1)+1)))))</f>
        <v>0.93959053873626375</v>
      </c>
      <c r="I445" s="44">
        <f t="shared" si="41"/>
        <v>2.234705482995274E-2</v>
      </c>
    </row>
    <row r="446" spans="1:9" x14ac:dyDescent="0.25">
      <c r="A446" s="45">
        <f t="shared" si="37"/>
        <v>45734</v>
      </c>
      <c r="B446" s="14" cm="1">
        <f t="array" ref="B446">_xlfn.IFNA(INDEX('IR data'!$D$4:$D$61,MATCH(A446,'IR data'!$C$4:$C$61,0)),((INDEX('IR data'!$D$4:$D$61,MATCH(A446,'IR data'!$C$4:$C$61,1)))-((A446-(INDEX('IR data'!$C$4:$C$61,MATCH(A446,'IR data'!$C$4:$C$61,1))))/((INDEX('IR data'!$C$4:$C$61,MATCH(A446,'IR data'!$C$4:$C$61,1)+1)-INDEX('IR data'!$C$4:$C$61,MATCH(A446,'IR data'!$C$4:$C$61,1))))) * (INDEX('IR data'!$D$4:$D$61,MATCH(A446,'IR data'!$C$4:$C$61,1))-(INDEX('IR data'!$D$4:$D$61,MATCH(A446,'IR data'!$C$4:$C$61,1)+1)))))</f>
        <v>0.94289981795555555</v>
      </c>
      <c r="C446" s="30">
        <f t="shared" si="38"/>
        <v>2.1038540769004244E-2</v>
      </c>
      <c r="D446" s="45">
        <f t="shared" si="39"/>
        <v>45794</v>
      </c>
      <c r="E446" s="14" cm="1">
        <f t="array" ref="E446">_xlfn.IFNA(INDEX('IR data'!$I$4:$I$61,MATCH(D446,'IR data'!$H$4:$H$61,0)),((INDEX('IR data'!$I$4:$I$61,MATCH(D446,'IR data'!$H$4:$H$61,1)))-((D446-(INDEX('IR data'!$H$4:$H$61,MATCH(D446,'IR data'!$H$4:$H$61,1))))/((INDEX('IR data'!$H$4:$H$61,MATCH(D446,'IR data'!$H$4:$H$61,1)+1)-INDEX('IR data'!$H$4:$H$61,MATCH(D446,'IR data'!$H$4:$H$61,1))))) * (INDEX('IR data'!$I$4:$I$61,MATCH(D446,'IR data'!$H$4:$H$61,1))-(INDEX('IR data'!$I$4:$I$61,MATCH(D446,'IR data'!$H$4:$H$61,1)+1)))))</f>
        <v>0.93960578302173914</v>
      </c>
      <c r="F446" s="30">
        <f t="shared" si="40"/>
        <v>2.2290804527830992E-2</v>
      </c>
      <c r="G446" s="45">
        <f t="shared" si="36"/>
        <v>45828</v>
      </c>
      <c r="H446" s="14" cm="1">
        <f t="array" ref="H446">_xlfn.IFNA(INDEX('IR data'!$N$4:$N$61,MATCH(G446,'IR data'!$M$4:$M$61,0)),((INDEX('IR data'!$N$4:$N$61,MATCH(G446,'IR data'!$M$4:$M$61,1)))-((G446-(INDEX('IR data'!$M$4:$M$61,MATCH(G446,'IR data'!$M$4:$M$61,1))))/((INDEX('IR data'!$M$4:$M$61,MATCH(G446,'IR data'!$M$4:$M$61,1)+1)-INDEX('IR data'!$M$4:$M$61,MATCH(G446,'IR data'!$M$4:$M$61,1))))) * (INDEX('IR data'!$N$4:$N$61,MATCH(G446,'IR data'!$M$4:$M$61,1))-(INDEX('IR data'!$N$4:$N$61,MATCH(G446,'IR data'!$M$4:$M$61,1)+1)))))</f>
        <v>0.93947142541758244</v>
      </c>
      <c r="I446" s="44">
        <f t="shared" si="41"/>
        <v>2.2341975194121802E-2</v>
      </c>
    </row>
    <row r="447" spans="1:9" x14ac:dyDescent="0.25">
      <c r="A447" s="45">
        <f t="shared" si="37"/>
        <v>45735</v>
      </c>
      <c r="B447" s="14" cm="1">
        <f t="array" ref="B447">_xlfn.IFNA(INDEX('IR data'!$D$4:$D$61,MATCH(A447,'IR data'!$C$4:$C$61,0)),((INDEX('IR data'!$D$4:$D$61,MATCH(A447,'IR data'!$C$4:$C$61,1)))-((A447-(INDEX('IR data'!$C$4:$C$61,MATCH(A447,'IR data'!$C$4:$C$61,1))))/((INDEX('IR data'!$C$4:$C$61,MATCH(A447,'IR data'!$C$4:$C$61,1)+1)-INDEX('IR data'!$C$4:$C$61,MATCH(A447,'IR data'!$C$4:$C$61,1))))) * (INDEX('IR data'!$D$4:$D$61,MATCH(A447,'IR data'!$C$4:$C$61,1))-(INDEX('IR data'!$D$4:$D$61,MATCH(A447,'IR data'!$C$4:$C$61,1)+1)))))</f>
        <v>0.94279657233333336</v>
      </c>
      <c r="C447" s="30">
        <f t="shared" si="38"/>
        <v>2.1030251925675116E-2</v>
      </c>
      <c r="D447" s="45">
        <f t="shared" si="39"/>
        <v>45795</v>
      </c>
      <c r="E447" s="14" cm="1">
        <f t="array" ref="E447">_xlfn.IFNA(INDEX('IR data'!$I$4:$I$61,MATCH(D447,'IR data'!$H$4:$H$61,0)),((INDEX('IR data'!$I$4:$I$61,MATCH(D447,'IR data'!$H$4:$H$61,1)))-((D447-(INDEX('IR data'!$H$4:$H$61,MATCH(D447,'IR data'!$H$4:$H$61,1))))/((INDEX('IR data'!$H$4:$H$61,MATCH(D447,'IR data'!$H$4:$H$61,1)+1)-INDEX('IR data'!$H$4:$H$61,MATCH(D447,'IR data'!$H$4:$H$61,1))))) * (INDEX('IR data'!$I$4:$I$61,MATCH(D447,'IR data'!$H$4:$H$61,1))-(INDEX('IR data'!$I$4:$I$61,MATCH(D447,'IR data'!$H$4:$H$61,1)+1)))))</f>
        <v>0.93948879357608694</v>
      </c>
      <c r="F447" s="30">
        <f t="shared" si="40"/>
        <v>2.2285055180109533E-2</v>
      </c>
      <c r="G447" s="45">
        <f t="shared" si="36"/>
        <v>45829</v>
      </c>
      <c r="H447" s="14" cm="1">
        <f t="array" ref="H447">_xlfn.IFNA(INDEX('IR data'!$N$4:$N$61,MATCH(G447,'IR data'!$M$4:$M$61,0)),((INDEX('IR data'!$N$4:$N$61,MATCH(G447,'IR data'!$M$4:$M$61,1)))-((G447-(INDEX('IR data'!$M$4:$M$61,MATCH(G447,'IR data'!$M$4:$M$61,1))))/((INDEX('IR data'!$M$4:$M$61,MATCH(G447,'IR data'!$M$4:$M$61,1)+1)-INDEX('IR data'!$M$4:$M$61,MATCH(G447,'IR data'!$M$4:$M$61,1))))) * (INDEX('IR data'!$N$4:$N$61,MATCH(G447,'IR data'!$M$4:$M$61,1))-(INDEX('IR data'!$N$4:$N$61,MATCH(G447,'IR data'!$M$4:$M$61,1)+1)))))</f>
        <v>0.93935231209890113</v>
      </c>
      <c r="I447" s="44">
        <f t="shared" si="41"/>
        <v>2.2336924178685099E-2</v>
      </c>
    </row>
    <row r="448" spans="1:9" x14ac:dyDescent="0.25">
      <c r="A448" s="45">
        <f t="shared" si="37"/>
        <v>45736</v>
      </c>
      <c r="B448" s="14" cm="1">
        <f t="array" ref="B448">_xlfn.IFNA(INDEX('IR data'!$D$4:$D$61,MATCH(A448,'IR data'!$C$4:$C$61,0)),((INDEX('IR data'!$D$4:$D$61,MATCH(A448,'IR data'!$C$4:$C$61,1)))-((A448-(INDEX('IR data'!$C$4:$C$61,MATCH(A448,'IR data'!$C$4:$C$61,1))))/((INDEX('IR data'!$C$4:$C$61,MATCH(A448,'IR data'!$C$4:$C$61,1)+1)-INDEX('IR data'!$C$4:$C$61,MATCH(A448,'IR data'!$C$4:$C$61,1))))) * (INDEX('IR data'!$D$4:$D$61,MATCH(A448,'IR data'!$C$4:$C$61,1))-(INDEX('IR data'!$D$4:$D$61,MATCH(A448,'IR data'!$C$4:$C$61,1)+1)))))</f>
        <v>0.94269332671111117</v>
      </c>
      <c r="C448" s="30">
        <f t="shared" si="38"/>
        <v>2.1022004607507798E-2</v>
      </c>
      <c r="D448" s="45">
        <f t="shared" si="39"/>
        <v>45796</v>
      </c>
      <c r="E448" s="14" cm="1">
        <f t="array" ref="E448">_xlfn.IFNA(INDEX('IR data'!$I$4:$I$61,MATCH(D448,'IR data'!$H$4:$H$61,0)),((INDEX('IR data'!$I$4:$I$61,MATCH(D448,'IR data'!$H$4:$H$61,1)))-((D448-(INDEX('IR data'!$H$4:$H$61,MATCH(D448,'IR data'!$H$4:$H$61,1))))/((INDEX('IR data'!$H$4:$H$61,MATCH(D448,'IR data'!$H$4:$H$61,1)+1)-INDEX('IR data'!$H$4:$H$61,MATCH(D448,'IR data'!$H$4:$H$61,1))))) * (INDEX('IR data'!$I$4:$I$61,MATCH(D448,'IR data'!$H$4:$H$61,1))-(INDEX('IR data'!$I$4:$I$61,MATCH(D448,'IR data'!$H$4:$H$61,1)+1)))))</f>
        <v>0.93937180413043475</v>
      </c>
      <c r="F448" s="30">
        <f t="shared" si="40"/>
        <v>2.2279337195818046E-2</v>
      </c>
      <c r="G448" s="45">
        <f t="shared" si="36"/>
        <v>45830</v>
      </c>
      <c r="H448" s="14" cm="1">
        <f t="array" ref="H448">_xlfn.IFNA(INDEX('IR data'!$N$4:$N$61,MATCH(G448,'IR data'!$M$4:$M$61,0)),((INDEX('IR data'!$N$4:$N$61,MATCH(G448,'IR data'!$M$4:$M$61,1)))-((G448-(INDEX('IR data'!$M$4:$M$61,MATCH(G448,'IR data'!$M$4:$M$61,1))))/((INDEX('IR data'!$M$4:$M$61,MATCH(G448,'IR data'!$M$4:$M$61,1)+1)-INDEX('IR data'!$M$4:$M$61,MATCH(G448,'IR data'!$M$4:$M$61,1))))) * (INDEX('IR data'!$N$4:$N$61,MATCH(G448,'IR data'!$M$4:$M$61,1))-(INDEX('IR data'!$N$4:$N$61,MATCH(G448,'IR data'!$M$4:$M$61,1)+1)))))</f>
        <v>0.93923319878021971</v>
      </c>
      <c r="I448" s="44">
        <f t="shared" si="41"/>
        <v>2.2331901592148509E-2</v>
      </c>
    </row>
    <row r="449" spans="1:9" x14ac:dyDescent="0.25">
      <c r="A449" s="45">
        <f t="shared" si="37"/>
        <v>45737</v>
      </c>
      <c r="B449" s="14" cm="1">
        <f t="array" ref="B449">_xlfn.IFNA(INDEX('IR data'!$D$4:$D$61,MATCH(A449,'IR data'!$C$4:$C$61,0)),((INDEX('IR data'!$D$4:$D$61,MATCH(A449,'IR data'!$C$4:$C$61,1)))-((A449-(INDEX('IR data'!$C$4:$C$61,MATCH(A449,'IR data'!$C$4:$C$61,1))))/((INDEX('IR data'!$C$4:$C$61,MATCH(A449,'IR data'!$C$4:$C$61,1)+1)-INDEX('IR data'!$C$4:$C$61,MATCH(A449,'IR data'!$C$4:$C$61,1))))) * (INDEX('IR data'!$D$4:$D$61,MATCH(A449,'IR data'!$C$4:$C$61,1))-(INDEX('IR data'!$D$4:$D$61,MATCH(A449,'IR data'!$C$4:$C$61,1)+1)))))</f>
        <v>0.94259008108888886</v>
      </c>
      <c r="C449" s="30">
        <f t="shared" si="38"/>
        <v>2.1013798536118788E-2</v>
      </c>
      <c r="D449" s="45">
        <f t="shared" si="39"/>
        <v>45797</v>
      </c>
      <c r="E449" s="14" cm="1">
        <f t="array" ref="E449">_xlfn.IFNA(INDEX('IR data'!$I$4:$I$61,MATCH(D449,'IR data'!$H$4:$H$61,0)),((INDEX('IR data'!$I$4:$I$61,MATCH(D449,'IR data'!$H$4:$H$61,1)))-((D449-(INDEX('IR data'!$H$4:$H$61,MATCH(D449,'IR data'!$H$4:$H$61,1))))/((INDEX('IR data'!$H$4:$H$61,MATCH(D449,'IR data'!$H$4:$H$61,1)+1)-INDEX('IR data'!$H$4:$H$61,MATCH(D449,'IR data'!$H$4:$H$61,1))))) * (INDEX('IR data'!$I$4:$I$61,MATCH(D449,'IR data'!$H$4:$H$61,1))-(INDEX('IR data'!$I$4:$I$61,MATCH(D449,'IR data'!$H$4:$H$61,1)+1)))))</f>
        <v>0.93925481468478256</v>
      </c>
      <c r="F449" s="30">
        <f t="shared" si="40"/>
        <v>2.2273650365364592E-2</v>
      </c>
      <c r="G449" s="45">
        <f t="shared" si="36"/>
        <v>45831</v>
      </c>
      <c r="H449" s="14" cm="1">
        <f t="array" ref="H449">_xlfn.IFNA(INDEX('IR data'!$N$4:$N$61,MATCH(G449,'IR data'!$M$4:$M$61,0)),((INDEX('IR data'!$N$4:$N$61,MATCH(G449,'IR data'!$M$4:$M$61,1)))-((G449-(INDEX('IR data'!$M$4:$M$61,MATCH(G449,'IR data'!$M$4:$M$61,1))))/((INDEX('IR data'!$M$4:$M$61,MATCH(G449,'IR data'!$M$4:$M$61,1)+1)-INDEX('IR data'!$M$4:$M$61,MATCH(G449,'IR data'!$M$4:$M$61,1))))) * (INDEX('IR data'!$N$4:$N$61,MATCH(G449,'IR data'!$M$4:$M$61,1))-(INDEX('IR data'!$N$4:$N$61,MATCH(G449,'IR data'!$M$4:$M$61,1)+1)))))</f>
        <v>0.93911408546153841</v>
      </c>
      <c r="I449" s="44">
        <f t="shared" si="41"/>
        <v>2.2326907244735766E-2</v>
      </c>
    </row>
    <row r="450" spans="1:9" x14ac:dyDescent="0.25">
      <c r="A450" s="45">
        <f t="shared" si="37"/>
        <v>45738</v>
      </c>
      <c r="B450" s="14" cm="1">
        <f t="array" ref="B450">_xlfn.IFNA(INDEX('IR data'!$D$4:$D$61,MATCH(A450,'IR data'!$C$4:$C$61,0)),((INDEX('IR data'!$D$4:$D$61,MATCH(A450,'IR data'!$C$4:$C$61,1)))-((A450-(INDEX('IR data'!$C$4:$C$61,MATCH(A450,'IR data'!$C$4:$C$61,1))))/((INDEX('IR data'!$C$4:$C$61,MATCH(A450,'IR data'!$C$4:$C$61,1)+1)-INDEX('IR data'!$C$4:$C$61,MATCH(A450,'IR data'!$C$4:$C$61,1))))) * (INDEX('IR data'!$D$4:$D$61,MATCH(A450,'IR data'!$C$4:$C$61,1))-(INDEX('IR data'!$D$4:$D$61,MATCH(A450,'IR data'!$C$4:$C$61,1)+1)))))</f>
        <v>0.94248683546666667</v>
      </c>
      <c r="C450" s="30">
        <f t="shared" si="38"/>
        <v>2.1005633435615904E-2</v>
      </c>
      <c r="D450" s="45">
        <f t="shared" si="39"/>
        <v>45798</v>
      </c>
      <c r="E450" s="14" cm="1">
        <f t="array" ref="E450">_xlfn.IFNA(INDEX('IR data'!$I$4:$I$61,MATCH(D450,'IR data'!$H$4:$H$61,0)),((INDEX('IR data'!$I$4:$I$61,MATCH(D450,'IR data'!$H$4:$H$61,1)))-((D450-(INDEX('IR data'!$H$4:$H$61,MATCH(D450,'IR data'!$H$4:$H$61,1))))/((INDEX('IR data'!$H$4:$H$61,MATCH(D450,'IR data'!$H$4:$H$61,1)+1)-INDEX('IR data'!$H$4:$H$61,MATCH(D450,'IR data'!$H$4:$H$61,1))))) * (INDEX('IR data'!$I$4:$I$61,MATCH(D450,'IR data'!$H$4:$H$61,1))-(INDEX('IR data'!$I$4:$I$61,MATCH(D450,'IR data'!$H$4:$H$61,1)+1)))))</f>
        <v>0.93913782523913047</v>
      </c>
      <c r="F450" s="30">
        <f t="shared" si="40"/>
        <v>2.2267994481033244E-2</v>
      </c>
      <c r="G450" s="45">
        <f t="shared" si="36"/>
        <v>45832</v>
      </c>
      <c r="H450" s="14" cm="1">
        <f t="array" ref="H450">_xlfn.IFNA(INDEX('IR data'!$N$4:$N$61,MATCH(G450,'IR data'!$M$4:$M$61,0)),((INDEX('IR data'!$N$4:$N$61,MATCH(G450,'IR data'!$M$4:$M$61,1)))-((G450-(INDEX('IR data'!$M$4:$M$61,MATCH(G450,'IR data'!$M$4:$M$61,1))))/((INDEX('IR data'!$M$4:$M$61,MATCH(G450,'IR data'!$M$4:$M$61,1)+1)-INDEX('IR data'!$M$4:$M$61,MATCH(G450,'IR data'!$M$4:$M$61,1))))) * (INDEX('IR data'!$N$4:$N$61,MATCH(G450,'IR data'!$M$4:$M$61,1))-(INDEX('IR data'!$N$4:$N$61,MATCH(G450,'IR data'!$M$4:$M$61,1)+1)))))</f>
        <v>0.9389949721428571</v>
      </c>
      <c r="I450" s="44">
        <f t="shared" si="41"/>
        <v>2.2321940948369513E-2</v>
      </c>
    </row>
    <row r="451" spans="1:9" x14ac:dyDescent="0.25">
      <c r="A451" s="45">
        <f t="shared" si="37"/>
        <v>45739</v>
      </c>
      <c r="B451" s="14" cm="1">
        <f t="array" ref="B451">_xlfn.IFNA(INDEX('IR data'!$D$4:$D$61,MATCH(A451,'IR data'!$C$4:$C$61,0)),((INDEX('IR data'!$D$4:$D$61,MATCH(A451,'IR data'!$C$4:$C$61,1)))-((A451-(INDEX('IR data'!$C$4:$C$61,MATCH(A451,'IR data'!$C$4:$C$61,1))))/((INDEX('IR data'!$C$4:$C$61,MATCH(A451,'IR data'!$C$4:$C$61,1)+1)-INDEX('IR data'!$C$4:$C$61,MATCH(A451,'IR data'!$C$4:$C$61,1))))) * (INDEX('IR data'!$D$4:$D$61,MATCH(A451,'IR data'!$C$4:$C$61,1))-(INDEX('IR data'!$D$4:$D$61,MATCH(A451,'IR data'!$C$4:$C$61,1)+1)))))</f>
        <v>0.94238358984444448</v>
      </c>
      <c r="C451" s="30">
        <f t="shared" si="38"/>
        <v>2.0997509032570708E-2</v>
      </c>
      <c r="D451" s="45">
        <f t="shared" si="39"/>
        <v>45799</v>
      </c>
      <c r="E451" s="14" cm="1">
        <f t="array" ref="E451">_xlfn.IFNA(INDEX('IR data'!$I$4:$I$61,MATCH(D451,'IR data'!$H$4:$H$61,0)),((INDEX('IR data'!$I$4:$I$61,MATCH(D451,'IR data'!$H$4:$H$61,1)))-((D451-(INDEX('IR data'!$H$4:$H$61,MATCH(D451,'IR data'!$H$4:$H$61,1))))/((INDEX('IR data'!$H$4:$H$61,MATCH(D451,'IR data'!$H$4:$H$61,1)+1)-INDEX('IR data'!$H$4:$H$61,MATCH(D451,'IR data'!$H$4:$H$61,1))))) * (INDEX('IR data'!$I$4:$I$61,MATCH(D451,'IR data'!$H$4:$H$61,1))-(INDEX('IR data'!$I$4:$I$61,MATCH(D451,'IR data'!$H$4:$H$61,1)+1)))))</f>
        <v>0.93902083579347828</v>
      </c>
      <c r="F451" s="30">
        <f t="shared" si="40"/>
        <v>2.2262369336963315E-2</v>
      </c>
      <c r="G451" s="45">
        <f t="shared" ref="G451:G514" si="42">G450+1</f>
        <v>45833</v>
      </c>
      <c r="H451" s="14" cm="1">
        <f t="array" ref="H451">_xlfn.IFNA(INDEX('IR data'!$N$4:$N$61,MATCH(G451,'IR data'!$M$4:$M$61,0)),((INDEX('IR data'!$N$4:$N$61,MATCH(G451,'IR data'!$M$4:$M$61,1)))-((G451-(INDEX('IR data'!$M$4:$M$61,MATCH(G451,'IR data'!$M$4:$M$61,1))))/((INDEX('IR data'!$M$4:$M$61,MATCH(G451,'IR data'!$M$4:$M$61,1)+1)-INDEX('IR data'!$M$4:$M$61,MATCH(G451,'IR data'!$M$4:$M$61,1))))) * (INDEX('IR data'!$N$4:$N$61,MATCH(G451,'IR data'!$M$4:$M$61,1))-(INDEX('IR data'!$N$4:$N$61,MATCH(G451,'IR data'!$M$4:$M$61,1)+1)))))</f>
        <v>0.93887585882417579</v>
      </c>
      <c r="I451" s="44">
        <f t="shared" si="41"/>
        <v>2.2317002516652144E-2</v>
      </c>
    </row>
    <row r="452" spans="1:9" x14ac:dyDescent="0.25">
      <c r="A452" s="45">
        <f t="shared" si="37"/>
        <v>45740</v>
      </c>
      <c r="B452" s="14" cm="1">
        <f t="array" ref="B452">_xlfn.IFNA(INDEX('IR data'!$D$4:$D$61,MATCH(A452,'IR data'!$C$4:$C$61,0)),((INDEX('IR data'!$D$4:$D$61,MATCH(A452,'IR data'!$C$4:$C$61,1)))-((A452-(INDEX('IR data'!$C$4:$C$61,MATCH(A452,'IR data'!$C$4:$C$61,1))))/((INDEX('IR data'!$C$4:$C$61,MATCH(A452,'IR data'!$C$4:$C$61,1)+1)-INDEX('IR data'!$C$4:$C$61,MATCH(A452,'IR data'!$C$4:$C$61,1))))) * (INDEX('IR data'!$D$4:$D$61,MATCH(A452,'IR data'!$C$4:$C$61,1))-(INDEX('IR data'!$D$4:$D$61,MATCH(A452,'IR data'!$C$4:$C$61,1)+1)))))</f>
        <v>0.94228034422222229</v>
      </c>
      <c r="C452" s="30">
        <f t="shared" si="38"/>
        <v>2.0989425055990919E-2</v>
      </c>
      <c r="D452" s="45">
        <f t="shared" si="39"/>
        <v>45800</v>
      </c>
      <c r="E452" s="14" cm="1">
        <f t="array" ref="E452">_xlfn.IFNA(INDEX('IR data'!$I$4:$I$61,MATCH(D452,'IR data'!$H$4:$H$61,0)),((INDEX('IR data'!$I$4:$I$61,MATCH(D452,'IR data'!$H$4:$H$61,1)))-((D452-(INDEX('IR data'!$H$4:$H$61,MATCH(D452,'IR data'!$H$4:$H$61,1))))/((INDEX('IR data'!$H$4:$H$61,MATCH(D452,'IR data'!$H$4:$H$61,1)+1)-INDEX('IR data'!$H$4:$H$61,MATCH(D452,'IR data'!$H$4:$H$61,1))))) * (INDEX('IR data'!$I$4:$I$61,MATCH(D452,'IR data'!$H$4:$H$61,1))-(INDEX('IR data'!$I$4:$I$61,MATCH(D452,'IR data'!$H$4:$H$61,1)+1)))))</f>
        <v>0.93890384634782609</v>
      </c>
      <c r="F452" s="30">
        <f t="shared" si="40"/>
        <v>2.2256774729128459E-2</v>
      </c>
      <c r="G452" s="45">
        <f t="shared" si="42"/>
        <v>45834</v>
      </c>
      <c r="H452" s="14" cm="1">
        <f t="array" ref="H452">_xlfn.IFNA(INDEX('IR data'!$N$4:$N$61,MATCH(G452,'IR data'!$M$4:$M$61,0)),((INDEX('IR data'!$N$4:$N$61,MATCH(G452,'IR data'!$M$4:$M$61,1)))-((G452-(INDEX('IR data'!$M$4:$M$61,MATCH(G452,'IR data'!$M$4:$M$61,1))))/((INDEX('IR data'!$M$4:$M$61,MATCH(G452,'IR data'!$M$4:$M$61,1)+1)-INDEX('IR data'!$M$4:$M$61,MATCH(G452,'IR data'!$M$4:$M$61,1))))) * (INDEX('IR data'!$N$4:$N$61,MATCH(G452,'IR data'!$M$4:$M$61,1))-(INDEX('IR data'!$N$4:$N$61,MATCH(G452,'IR data'!$M$4:$M$61,1)+1)))))</f>
        <v>0.93875674550549448</v>
      </c>
      <c r="I452" s="44">
        <f t="shared" si="41"/>
        <v>2.2312091764847178E-2</v>
      </c>
    </row>
    <row r="453" spans="1:9" x14ac:dyDescent="0.25">
      <c r="A453" s="45">
        <f t="shared" ref="A453:A516" si="43">A452+1</f>
        <v>45741</v>
      </c>
      <c r="B453" s="14" cm="1">
        <f t="array" ref="B453">_xlfn.IFNA(INDEX('IR data'!$D$4:$D$61,MATCH(A453,'IR data'!$C$4:$C$61,0)),((INDEX('IR data'!$D$4:$D$61,MATCH(A453,'IR data'!$C$4:$C$61,1)))-((A453-(INDEX('IR data'!$C$4:$C$61,MATCH(A453,'IR data'!$C$4:$C$61,1))))/((INDEX('IR data'!$C$4:$C$61,MATCH(A453,'IR data'!$C$4:$C$61,1)+1)-INDEX('IR data'!$C$4:$C$61,MATCH(A453,'IR data'!$C$4:$C$61,1))))) * (INDEX('IR data'!$D$4:$D$61,MATCH(A453,'IR data'!$C$4:$C$61,1))-(INDEX('IR data'!$D$4:$D$61,MATCH(A453,'IR data'!$C$4:$C$61,1)+1)))))</f>
        <v>0.94217709859999998</v>
      </c>
      <c r="C453" s="30">
        <f t="shared" ref="C453:C516" si="44">-LOG(B453)/YEARFRAC($B$1, A453, 3)</f>
        <v>2.0981381237293418E-2</v>
      </c>
      <c r="D453" s="45">
        <f t="shared" ref="D453:D516" si="45">D452+1</f>
        <v>45801</v>
      </c>
      <c r="E453" s="14" cm="1">
        <f t="array" ref="E453">_xlfn.IFNA(INDEX('IR data'!$I$4:$I$61,MATCH(D453,'IR data'!$H$4:$H$61,0)),((INDEX('IR data'!$I$4:$I$61,MATCH(D453,'IR data'!$H$4:$H$61,1)))-((D453-(INDEX('IR data'!$H$4:$H$61,MATCH(D453,'IR data'!$H$4:$H$61,1))))/((INDEX('IR data'!$H$4:$H$61,MATCH(D453,'IR data'!$H$4:$H$61,1)+1)-INDEX('IR data'!$H$4:$H$61,MATCH(D453,'IR data'!$H$4:$H$61,1))))) * (INDEX('IR data'!$I$4:$I$61,MATCH(D453,'IR data'!$H$4:$H$61,1))-(INDEX('IR data'!$I$4:$I$61,MATCH(D453,'IR data'!$H$4:$H$61,1)+1)))))</f>
        <v>0.93878685690217389</v>
      </c>
      <c r="F453" s="30">
        <f t="shared" ref="F453:F516" si="46">-LOG(E453)/YEARFRAC($E$1, D453, 3)</f>
        <v>2.2251210455316441E-2</v>
      </c>
      <c r="G453" s="45">
        <f t="shared" si="42"/>
        <v>45835</v>
      </c>
      <c r="H453" s="14" cm="1">
        <f t="array" ref="H453">_xlfn.IFNA(INDEX('IR data'!$N$4:$N$61,MATCH(G453,'IR data'!$M$4:$M$61,0)),((INDEX('IR data'!$N$4:$N$61,MATCH(G453,'IR data'!$M$4:$M$61,1)))-((G453-(INDEX('IR data'!$M$4:$M$61,MATCH(G453,'IR data'!$M$4:$M$61,1))))/((INDEX('IR data'!$M$4:$M$61,MATCH(G453,'IR data'!$M$4:$M$61,1)+1)-INDEX('IR data'!$M$4:$M$61,MATCH(G453,'IR data'!$M$4:$M$61,1))))) * (INDEX('IR data'!$N$4:$N$61,MATCH(G453,'IR data'!$M$4:$M$61,1))-(INDEX('IR data'!$N$4:$N$61,MATCH(G453,'IR data'!$M$4:$M$61,1)+1)))))</f>
        <v>0.93863763218681318</v>
      </c>
      <c r="I453" s="44">
        <f t="shared" ref="I453:I516" si="47">-LOG(H453)/YEARFRAC($H$1, G453, 3)</f>
        <v>2.2307208509860774E-2</v>
      </c>
    </row>
    <row r="454" spans="1:9" x14ac:dyDescent="0.25">
      <c r="A454" s="45">
        <f t="shared" si="43"/>
        <v>45742</v>
      </c>
      <c r="B454" s="14" cm="1">
        <f t="array" ref="B454">_xlfn.IFNA(INDEX('IR data'!$D$4:$D$61,MATCH(A454,'IR data'!$C$4:$C$61,0)),((INDEX('IR data'!$D$4:$D$61,MATCH(A454,'IR data'!$C$4:$C$61,1)))-((A454-(INDEX('IR data'!$C$4:$C$61,MATCH(A454,'IR data'!$C$4:$C$61,1))))/((INDEX('IR data'!$C$4:$C$61,MATCH(A454,'IR data'!$C$4:$C$61,1)+1)-INDEX('IR data'!$C$4:$C$61,MATCH(A454,'IR data'!$C$4:$C$61,1))))) * (INDEX('IR data'!$D$4:$D$61,MATCH(A454,'IR data'!$C$4:$C$61,1))-(INDEX('IR data'!$D$4:$D$61,MATCH(A454,'IR data'!$C$4:$C$61,1)+1)))))</f>
        <v>0.94207385297777779</v>
      </c>
      <c r="C454" s="30">
        <f t="shared" si="44"/>
        <v>2.0973377310277392E-2</v>
      </c>
      <c r="D454" s="45">
        <f t="shared" si="45"/>
        <v>45802</v>
      </c>
      <c r="E454" s="14" cm="1">
        <f t="array" ref="E454">_xlfn.IFNA(INDEX('IR data'!$I$4:$I$61,MATCH(D454,'IR data'!$H$4:$H$61,0)),((INDEX('IR data'!$I$4:$I$61,MATCH(D454,'IR data'!$H$4:$H$61,1)))-((D454-(INDEX('IR data'!$H$4:$H$61,MATCH(D454,'IR data'!$H$4:$H$61,1))))/((INDEX('IR data'!$H$4:$H$61,MATCH(D454,'IR data'!$H$4:$H$61,1)+1)-INDEX('IR data'!$H$4:$H$61,MATCH(D454,'IR data'!$H$4:$H$61,1))))) * (INDEX('IR data'!$I$4:$I$61,MATCH(D454,'IR data'!$H$4:$H$61,1))-(INDEX('IR data'!$I$4:$I$61,MATCH(D454,'IR data'!$H$4:$H$61,1)+1)))))</f>
        <v>0.9386698674565217</v>
      </c>
      <c r="F454" s="30">
        <f t="shared" si="46"/>
        <v>2.2245676315108997E-2</v>
      </c>
      <c r="G454" s="45">
        <f t="shared" si="42"/>
        <v>45836</v>
      </c>
      <c r="H454" s="14" cm="1">
        <f t="array" ref="H454">_xlfn.IFNA(INDEX('IR data'!$N$4:$N$61,MATCH(G454,'IR data'!$M$4:$M$61,0)),((INDEX('IR data'!$N$4:$N$61,MATCH(G454,'IR data'!$M$4:$M$61,1)))-((G454-(INDEX('IR data'!$M$4:$M$61,MATCH(G454,'IR data'!$M$4:$M$61,1))))/((INDEX('IR data'!$M$4:$M$61,MATCH(G454,'IR data'!$M$4:$M$61,1)+1)-INDEX('IR data'!$M$4:$M$61,MATCH(G454,'IR data'!$M$4:$M$61,1))))) * (INDEX('IR data'!$N$4:$N$61,MATCH(G454,'IR data'!$M$4:$M$61,1))-(INDEX('IR data'!$N$4:$N$61,MATCH(G454,'IR data'!$M$4:$M$61,1)+1)))))</f>
        <v>0.93851851886813187</v>
      </c>
      <c r="I454" s="44">
        <f t="shared" si="47"/>
        <v>2.2302352570223533E-2</v>
      </c>
    </row>
    <row r="455" spans="1:9" x14ac:dyDescent="0.25">
      <c r="A455" s="45">
        <f t="shared" si="43"/>
        <v>45743</v>
      </c>
      <c r="B455" s="14" cm="1">
        <f t="array" ref="B455">_xlfn.IFNA(INDEX('IR data'!$D$4:$D$61,MATCH(A455,'IR data'!$C$4:$C$61,0)),((INDEX('IR data'!$D$4:$D$61,MATCH(A455,'IR data'!$C$4:$C$61,1)))-((A455-(INDEX('IR data'!$C$4:$C$61,MATCH(A455,'IR data'!$C$4:$C$61,1))))/((INDEX('IR data'!$C$4:$C$61,MATCH(A455,'IR data'!$C$4:$C$61,1)+1)-INDEX('IR data'!$C$4:$C$61,MATCH(A455,'IR data'!$C$4:$C$61,1))))) * (INDEX('IR data'!$D$4:$D$61,MATCH(A455,'IR data'!$C$4:$C$61,1))-(INDEX('IR data'!$D$4:$D$61,MATCH(A455,'IR data'!$C$4:$C$61,1)+1)))))</f>
        <v>0.9419706073555556</v>
      </c>
      <c r="C455" s="30">
        <f t="shared" si="44"/>
        <v>2.0965413011098187E-2</v>
      </c>
      <c r="D455" s="45">
        <f t="shared" si="45"/>
        <v>45803</v>
      </c>
      <c r="E455" s="14" cm="1">
        <f t="array" ref="E455">_xlfn.IFNA(INDEX('IR data'!$I$4:$I$61,MATCH(D455,'IR data'!$H$4:$H$61,0)),((INDEX('IR data'!$I$4:$I$61,MATCH(D455,'IR data'!$H$4:$H$61,1)))-((D455-(INDEX('IR data'!$H$4:$H$61,MATCH(D455,'IR data'!$H$4:$H$61,1))))/((INDEX('IR data'!$H$4:$H$61,MATCH(D455,'IR data'!$H$4:$H$61,1)+1)-INDEX('IR data'!$H$4:$H$61,MATCH(D455,'IR data'!$H$4:$H$61,1))))) * (INDEX('IR data'!$I$4:$I$61,MATCH(D455,'IR data'!$H$4:$H$61,1))-(INDEX('IR data'!$I$4:$I$61,MATCH(D455,'IR data'!$H$4:$H$61,1)+1)))))</f>
        <v>0.93855287801086951</v>
      </c>
      <c r="F455" s="30">
        <f t="shared" si="46"/>
        <v>2.2240172109861976E-2</v>
      </c>
      <c r="G455" s="45">
        <f t="shared" si="42"/>
        <v>45837</v>
      </c>
      <c r="H455" s="14" cm="1">
        <f t="array" ref="H455">_xlfn.IFNA(INDEX('IR data'!$N$4:$N$61,MATCH(G455,'IR data'!$M$4:$M$61,0)),((INDEX('IR data'!$N$4:$N$61,MATCH(G455,'IR data'!$M$4:$M$61,1)))-((G455-(INDEX('IR data'!$M$4:$M$61,MATCH(G455,'IR data'!$M$4:$M$61,1))))/((INDEX('IR data'!$M$4:$M$61,MATCH(G455,'IR data'!$M$4:$M$61,1)+1)-INDEX('IR data'!$M$4:$M$61,MATCH(G455,'IR data'!$M$4:$M$61,1))))) * (INDEX('IR data'!$N$4:$N$61,MATCH(G455,'IR data'!$M$4:$M$61,1))-(INDEX('IR data'!$N$4:$N$61,MATCH(G455,'IR data'!$M$4:$M$61,1)+1)))))</f>
        <v>0.93839940554945056</v>
      </c>
      <c r="I455" s="44">
        <f t="shared" si="47"/>
        <v>2.2297523766072518E-2</v>
      </c>
    </row>
    <row r="456" spans="1:9" x14ac:dyDescent="0.25">
      <c r="A456" s="45">
        <f t="shared" si="43"/>
        <v>45744</v>
      </c>
      <c r="B456" s="14" cm="1">
        <f t="array" ref="B456">_xlfn.IFNA(INDEX('IR data'!$D$4:$D$61,MATCH(A456,'IR data'!$C$4:$C$61,0)),((INDEX('IR data'!$D$4:$D$61,MATCH(A456,'IR data'!$C$4:$C$61,1)))-((A456-(INDEX('IR data'!$C$4:$C$61,MATCH(A456,'IR data'!$C$4:$C$61,1))))/((INDEX('IR data'!$C$4:$C$61,MATCH(A456,'IR data'!$C$4:$C$61,1)+1)-INDEX('IR data'!$C$4:$C$61,MATCH(A456,'IR data'!$C$4:$C$61,1))))) * (INDEX('IR data'!$D$4:$D$61,MATCH(A456,'IR data'!$C$4:$C$61,1))-(INDEX('IR data'!$D$4:$D$61,MATCH(A456,'IR data'!$C$4:$C$61,1)+1)))))</f>
        <v>0.94186736173333341</v>
      </c>
      <c r="C456" s="30">
        <f t="shared" si="44"/>
        <v>2.0957488078241195E-2</v>
      </c>
      <c r="D456" s="45">
        <f t="shared" si="45"/>
        <v>45804</v>
      </c>
      <c r="E456" s="14" cm="1">
        <f t="array" ref="E456">_xlfn.IFNA(INDEX('IR data'!$I$4:$I$61,MATCH(D456,'IR data'!$H$4:$H$61,0)),((INDEX('IR data'!$I$4:$I$61,MATCH(D456,'IR data'!$H$4:$H$61,1)))-((D456-(INDEX('IR data'!$H$4:$H$61,MATCH(D456,'IR data'!$H$4:$H$61,1))))/((INDEX('IR data'!$H$4:$H$61,MATCH(D456,'IR data'!$H$4:$H$61,1)+1)-INDEX('IR data'!$H$4:$H$61,MATCH(D456,'IR data'!$H$4:$H$61,1))))) * (INDEX('IR data'!$I$4:$I$61,MATCH(D456,'IR data'!$H$4:$H$61,1))-(INDEX('IR data'!$I$4:$I$61,MATCH(D456,'IR data'!$H$4:$H$61,1)+1)))))</f>
        <v>0.93843588856521742</v>
      </c>
      <c r="F456" s="30">
        <f t="shared" si="46"/>
        <v>2.2234697642685732E-2</v>
      </c>
      <c r="G456" s="45">
        <f t="shared" si="42"/>
        <v>45838</v>
      </c>
      <c r="H456" s="14" cm="1">
        <f t="array" ref="H456">_xlfn.IFNA(INDEX('IR data'!$N$4:$N$61,MATCH(G456,'IR data'!$M$4:$M$61,0)),((INDEX('IR data'!$N$4:$N$61,MATCH(G456,'IR data'!$M$4:$M$61,1)))-((G456-(INDEX('IR data'!$M$4:$M$61,MATCH(G456,'IR data'!$M$4:$M$61,1))))/((INDEX('IR data'!$M$4:$M$61,MATCH(G456,'IR data'!$M$4:$M$61,1)+1)-INDEX('IR data'!$M$4:$M$61,MATCH(G456,'IR data'!$M$4:$M$61,1))))) * (INDEX('IR data'!$N$4:$N$61,MATCH(G456,'IR data'!$M$4:$M$61,1))-(INDEX('IR data'!$N$4:$N$61,MATCH(G456,'IR data'!$M$4:$M$61,1)+1)))))</f>
        <v>0.93828029223076925</v>
      </c>
      <c r="I456" s="44">
        <f t="shared" si="47"/>
        <v>2.2292721919133549E-2</v>
      </c>
    </row>
    <row r="457" spans="1:9" x14ac:dyDescent="0.25">
      <c r="A457" s="45">
        <f t="shared" si="43"/>
        <v>45745</v>
      </c>
      <c r="B457" s="14" cm="1">
        <f t="array" ref="B457">_xlfn.IFNA(INDEX('IR data'!$D$4:$D$61,MATCH(A457,'IR data'!$C$4:$C$61,0)),((INDEX('IR data'!$D$4:$D$61,MATCH(A457,'IR data'!$C$4:$C$61,1)))-((A457-(INDEX('IR data'!$C$4:$C$61,MATCH(A457,'IR data'!$C$4:$C$61,1))))/((INDEX('IR data'!$C$4:$C$61,MATCH(A457,'IR data'!$C$4:$C$61,1)+1)-INDEX('IR data'!$C$4:$C$61,MATCH(A457,'IR data'!$C$4:$C$61,1))))) * (INDEX('IR data'!$D$4:$D$61,MATCH(A457,'IR data'!$C$4:$C$61,1))-(INDEX('IR data'!$D$4:$D$61,MATCH(A457,'IR data'!$C$4:$C$61,1)+1)))))</f>
        <v>0.9417641161111111</v>
      </c>
      <c r="C457" s="30">
        <f t="shared" si="44"/>
        <v>2.094960225249622E-2</v>
      </c>
      <c r="D457" s="45">
        <f t="shared" si="45"/>
        <v>45805</v>
      </c>
      <c r="E457" s="14" cm="1">
        <f t="array" ref="E457">_xlfn.IFNA(INDEX('IR data'!$I$4:$I$61,MATCH(D457,'IR data'!$H$4:$H$61,0)),((INDEX('IR data'!$I$4:$I$61,MATCH(D457,'IR data'!$H$4:$H$61,1)))-((D457-(INDEX('IR data'!$H$4:$H$61,MATCH(D457,'IR data'!$H$4:$H$61,1))))/((INDEX('IR data'!$H$4:$H$61,MATCH(D457,'IR data'!$H$4:$H$61,1)+1)-INDEX('IR data'!$H$4:$H$61,MATCH(D457,'IR data'!$H$4:$H$61,1))))) * (INDEX('IR data'!$I$4:$I$61,MATCH(D457,'IR data'!$H$4:$H$61,1))-(INDEX('IR data'!$I$4:$I$61,MATCH(D457,'IR data'!$H$4:$H$61,1)+1)))))</f>
        <v>0.93831889911956523</v>
      </c>
      <c r="F457" s="30">
        <f t="shared" si="46"/>
        <v>2.2229252718425952E-2</v>
      </c>
      <c r="G457" s="45">
        <f t="shared" si="42"/>
        <v>45839</v>
      </c>
      <c r="H457" s="14" cm="1">
        <f t="array" ref="H457">_xlfn.IFNA(INDEX('IR data'!$N$4:$N$61,MATCH(G457,'IR data'!$M$4:$M$61,0)),((INDEX('IR data'!$N$4:$N$61,MATCH(G457,'IR data'!$M$4:$M$61,1)))-((G457-(INDEX('IR data'!$M$4:$M$61,MATCH(G457,'IR data'!$M$4:$M$61,1))))/((INDEX('IR data'!$M$4:$M$61,MATCH(G457,'IR data'!$M$4:$M$61,1)+1)-INDEX('IR data'!$M$4:$M$61,MATCH(G457,'IR data'!$M$4:$M$61,1))))) * (INDEX('IR data'!$N$4:$N$61,MATCH(G457,'IR data'!$M$4:$M$61,1))-(INDEX('IR data'!$N$4:$N$61,MATCH(G457,'IR data'!$M$4:$M$61,1)+1)))))</f>
        <v>0.93816117891208795</v>
      </c>
      <c r="I457" s="44">
        <f t="shared" si="47"/>
        <v>2.2287946852703664E-2</v>
      </c>
    </row>
    <row r="458" spans="1:9" x14ac:dyDescent="0.25">
      <c r="A458" s="45">
        <f t="shared" si="43"/>
        <v>45746</v>
      </c>
      <c r="B458" s="14" cm="1">
        <f t="array" ref="B458">_xlfn.IFNA(INDEX('IR data'!$D$4:$D$61,MATCH(A458,'IR data'!$C$4:$C$61,0)),((INDEX('IR data'!$D$4:$D$61,MATCH(A458,'IR data'!$C$4:$C$61,1)))-((A458-(INDEX('IR data'!$C$4:$C$61,MATCH(A458,'IR data'!$C$4:$C$61,1))))/((INDEX('IR data'!$C$4:$C$61,MATCH(A458,'IR data'!$C$4:$C$61,1)+1)-INDEX('IR data'!$C$4:$C$61,MATCH(A458,'IR data'!$C$4:$C$61,1))))) * (INDEX('IR data'!$D$4:$D$61,MATCH(A458,'IR data'!$C$4:$C$61,1))-(INDEX('IR data'!$D$4:$D$61,MATCH(A458,'IR data'!$C$4:$C$61,1)+1)))))</f>
        <v>0.94166087048888891</v>
      </c>
      <c r="C458" s="30">
        <f t="shared" si="44"/>
        <v>2.0941755276932029E-2</v>
      </c>
      <c r="D458" s="45">
        <f t="shared" si="45"/>
        <v>45806</v>
      </c>
      <c r="E458" s="14" cm="1">
        <f t="array" ref="E458">_xlfn.IFNA(INDEX('IR data'!$I$4:$I$61,MATCH(D458,'IR data'!$H$4:$H$61,0)),((INDEX('IR data'!$I$4:$I$61,MATCH(D458,'IR data'!$H$4:$H$61,1)))-((D458-(INDEX('IR data'!$H$4:$H$61,MATCH(D458,'IR data'!$H$4:$H$61,1))))/((INDEX('IR data'!$H$4:$H$61,MATCH(D458,'IR data'!$H$4:$H$61,1)+1)-INDEX('IR data'!$H$4:$H$61,MATCH(D458,'IR data'!$H$4:$H$61,1))))) * (INDEX('IR data'!$I$4:$I$61,MATCH(D458,'IR data'!$H$4:$H$61,1))-(INDEX('IR data'!$I$4:$I$61,MATCH(D458,'IR data'!$H$4:$H$61,1)+1)))))</f>
        <v>0.93820190967391304</v>
      </c>
      <c r="F458" s="30">
        <f t="shared" si="46"/>
        <v>2.2223837143644357E-2</v>
      </c>
      <c r="G458" s="45">
        <f t="shared" si="42"/>
        <v>45840</v>
      </c>
      <c r="H458" s="14" cm="1">
        <f t="array" ref="H458">_xlfn.IFNA(INDEX('IR data'!$N$4:$N$61,MATCH(G458,'IR data'!$M$4:$M$61,0)),((INDEX('IR data'!$N$4:$N$61,MATCH(G458,'IR data'!$M$4:$M$61,1)))-((G458-(INDEX('IR data'!$M$4:$M$61,MATCH(G458,'IR data'!$M$4:$M$61,1))))/((INDEX('IR data'!$M$4:$M$61,MATCH(G458,'IR data'!$M$4:$M$61,1)+1)-INDEX('IR data'!$M$4:$M$61,MATCH(G458,'IR data'!$M$4:$M$61,1))))) * (INDEX('IR data'!$N$4:$N$61,MATCH(G458,'IR data'!$M$4:$M$61,1))-(INDEX('IR data'!$N$4:$N$61,MATCH(G458,'IR data'!$M$4:$M$61,1)+1)))))</f>
        <v>0.93804206559340653</v>
      </c>
      <c r="I458" s="44">
        <f t="shared" si="47"/>
        <v>2.2283198391633934E-2</v>
      </c>
    </row>
    <row r="459" spans="1:9" x14ac:dyDescent="0.25">
      <c r="A459" s="45">
        <f t="shared" si="43"/>
        <v>45747</v>
      </c>
      <c r="B459" s="14" cm="1">
        <f t="array" ref="B459">_xlfn.IFNA(INDEX('IR data'!$D$4:$D$61,MATCH(A459,'IR data'!$C$4:$C$61,0)),((INDEX('IR data'!$D$4:$D$61,MATCH(A459,'IR data'!$C$4:$C$61,1)))-((A459-(INDEX('IR data'!$C$4:$C$61,MATCH(A459,'IR data'!$C$4:$C$61,1))))/((INDEX('IR data'!$C$4:$C$61,MATCH(A459,'IR data'!$C$4:$C$61,1)+1)-INDEX('IR data'!$C$4:$C$61,MATCH(A459,'IR data'!$C$4:$C$61,1))))) * (INDEX('IR data'!$D$4:$D$61,MATCH(A459,'IR data'!$C$4:$C$61,1))-(INDEX('IR data'!$D$4:$D$61,MATCH(A459,'IR data'!$C$4:$C$61,1)+1)))))</f>
        <v>0.94155762486666672</v>
      </c>
      <c r="C459" s="30">
        <f t="shared" si="44"/>
        <v>2.0933946896871603E-2</v>
      </c>
      <c r="D459" s="45">
        <f t="shared" si="45"/>
        <v>45807</v>
      </c>
      <c r="E459" s="14" cm="1">
        <f t="array" ref="E459">_xlfn.IFNA(INDEX('IR data'!$I$4:$I$61,MATCH(D459,'IR data'!$H$4:$H$61,0)),((INDEX('IR data'!$I$4:$I$61,MATCH(D459,'IR data'!$H$4:$H$61,1)))-((D459-(INDEX('IR data'!$H$4:$H$61,MATCH(D459,'IR data'!$H$4:$H$61,1))))/((INDEX('IR data'!$H$4:$H$61,MATCH(D459,'IR data'!$H$4:$H$61,1)+1)-INDEX('IR data'!$H$4:$H$61,MATCH(D459,'IR data'!$H$4:$H$61,1))))) * (INDEX('IR data'!$I$4:$I$61,MATCH(D459,'IR data'!$H$4:$H$61,1))-(INDEX('IR data'!$I$4:$I$61,MATCH(D459,'IR data'!$H$4:$H$61,1)+1)))))</f>
        <v>0.93808492022826084</v>
      </c>
      <c r="F459" s="30">
        <f t="shared" si="46"/>
        <v>2.2218450726600031E-2</v>
      </c>
      <c r="G459" s="45">
        <f t="shared" si="42"/>
        <v>45841</v>
      </c>
      <c r="H459" s="14" cm="1">
        <f t="array" ref="H459">_xlfn.IFNA(INDEX('IR data'!$N$4:$N$61,MATCH(G459,'IR data'!$M$4:$M$61,0)),((INDEX('IR data'!$N$4:$N$61,MATCH(G459,'IR data'!$M$4:$M$61,1)))-((G459-(INDEX('IR data'!$M$4:$M$61,MATCH(G459,'IR data'!$M$4:$M$61,1))))/((INDEX('IR data'!$M$4:$M$61,MATCH(G459,'IR data'!$M$4:$M$61,1)+1)-INDEX('IR data'!$M$4:$M$61,MATCH(G459,'IR data'!$M$4:$M$61,1))))) * (INDEX('IR data'!$N$4:$N$61,MATCH(G459,'IR data'!$M$4:$M$61,1))-(INDEX('IR data'!$N$4:$N$61,MATCH(G459,'IR data'!$M$4:$M$61,1)+1)))))</f>
        <v>0.93792295227472522</v>
      </c>
      <c r="I459" s="44">
        <f t="shared" si="47"/>
        <v>2.2278476362312241E-2</v>
      </c>
    </row>
    <row r="460" spans="1:9" x14ac:dyDescent="0.25">
      <c r="A460" s="45">
        <f t="shared" si="43"/>
        <v>45748</v>
      </c>
      <c r="B460" s="14" cm="1">
        <f t="array" ref="B460">_xlfn.IFNA(INDEX('IR data'!$D$4:$D$61,MATCH(A460,'IR data'!$C$4:$C$61,0)),((INDEX('IR data'!$D$4:$D$61,MATCH(A460,'IR data'!$C$4:$C$61,1)))-((A460-(INDEX('IR data'!$C$4:$C$61,MATCH(A460,'IR data'!$C$4:$C$61,1))))/((INDEX('IR data'!$C$4:$C$61,MATCH(A460,'IR data'!$C$4:$C$61,1)+1)-INDEX('IR data'!$C$4:$C$61,MATCH(A460,'IR data'!$C$4:$C$61,1))))) * (INDEX('IR data'!$D$4:$D$61,MATCH(A460,'IR data'!$C$4:$C$61,1))-(INDEX('IR data'!$D$4:$D$61,MATCH(A460,'IR data'!$C$4:$C$61,1)+1)))))</f>
        <v>0.94145437924444453</v>
      </c>
      <c r="C460" s="30">
        <f t="shared" si="44"/>
        <v>2.0926176859867286E-2</v>
      </c>
      <c r="D460" s="45">
        <f t="shared" si="45"/>
        <v>45808</v>
      </c>
      <c r="E460" s="14" cm="1">
        <f t="array" ref="E460">_xlfn.IFNA(INDEX('IR data'!$I$4:$I$61,MATCH(D460,'IR data'!$H$4:$H$61,0)),((INDEX('IR data'!$I$4:$I$61,MATCH(D460,'IR data'!$H$4:$H$61,1)))-((D460-(INDEX('IR data'!$H$4:$H$61,MATCH(D460,'IR data'!$H$4:$H$61,1))))/((INDEX('IR data'!$H$4:$H$61,MATCH(D460,'IR data'!$H$4:$H$61,1)+1)-INDEX('IR data'!$H$4:$H$61,MATCH(D460,'IR data'!$H$4:$H$61,1))))) * (INDEX('IR data'!$I$4:$I$61,MATCH(D460,'IR data'!$H$4:$H$61,1))-(INDEX('IR data'!$I$4:$I$61,MATCH(D460,'IR data'!$H$4:$H$61,1)+1)))))</f>
        <v>0.93796793078260865</v>
      </c>
      <c r="F460" s="30">
        <f t="shared" si="46"/>
        <v>2.2213093277230818E-2</v>
      </c>
      <c r="G460" s="45">
        <f t="shared" si="42"/>
        <v>45842</v>
      </c>
      <c r="H460" s="14" cm="1">
        <f t="array" ref="H460">_xlfn.IFNA(INDEX('IR data'!$N$4:$N$61,MATCH(G460,'IR data'!$M$4:$M$61,0)),((INDEX('IR data'!$N$4:$N$61,MATCH(G460,'IR data'!$M$4:$M$61,1)))-((G460-(INDEX('IR data'!$M$4:$M$61,MATCH(G460,'IR data'!$M$4:$M$61,1))))/((INDEX('IR data'!$M$4:$M$61,MATCH(G460,'IR data'!$M$4:$M$61,1)+1)-INDEX('IR data'!$M$4:$M$61,MATCH(G460,'IR data'!$M$4:$M$61,1))))) * (INDEX('IR data'!$N$4:$N$61,MATCH(G460,'IR data'!$M$4:$M$61,1))-(INDEX('IR data'!$N$4:$N$61,MATCH(G460,'IR data'!$M$4:$M$61,1)+1)))))</f>
        <v>0.93780383895604391</v>
      </c>
      <c r="I460" s="44">
        <f t="shared" si="47"/>
        <v>2.2273780592646703E-2</v>
      </c>
    </row>
    <row r="461" spans="1:9" x14ac:dyDescent="0.25">
      <c r="A461" s="45">
        <f t="shared" si="43"/>
        <v>45749</v>
      </c>
      <c r="B461" s="14" cm="1">
        <f t="array" ref="B461">_xlfn.IFNA(INDEX('IR data'!$D$4:$D$61,MATCH(A461,'IR data'!$C$4:$C$61,0)),((INDEX('IR data'!$D$4:$D$61,MATCH(A461,'IR data'!$C$4:$C$61,1)))-((A461-(INDEX('IR data'!$C$4:$C$61,MATCH(A461,'IR data'!$C$4:$C$61,1))))/((INDEX('IR data'!$C$4:$C$61,MATCH(A461,'IR data'!$C$4:$C$61,1)+1)-INDEX('IR data'!$C$4:$C$61,MATCH(A461,'IR data'!$C$4:$C$61,1))))) * (INDEX('IR data'!$D$4:$D$61,MATCH(A461,'IR data'!$C$4:$C$61,1))-(INDEX('IR data'!$D$4:$D$61,MATCH(A461,'IR data'!$C$4:$C$61,1)+1)))))</f>
        <v>0.94135113362222222</v>
      </c>
      <c r="C461" s="30">
        <f t="shared" si="44"/>
        <v>2.0918444915676557E-2</v>
      </c>
      <c r="D461" s="45">
        <f t="shared" si="45"/>
        <v>45809</v>
      </c>
      <c r="E461" s="14" cm="1">
        <f t="array" ref="E461">_xlfn.IFNA(INDEX('IR data'!$I$4:$I$61,MATCH(D461,'IR data'!$H$4:$H$61,0)),((INDEX('IR data'!$I$4:$I$61,MATCH(D461,'IR data'!$H$4:$H$61,1)))-((D461-(INDEX('IR data'!$H$4:$H$61,MATCH(D461,'IR data'!$H$4:$H$61,1))))/((INDEX('IR data'!$H$4:$H$61,MATCH(D461,'IR data'!$H$4:$H$61,1)+1)-INDEX('IR data'!$H$4:$H$61,MATCH(D461,'IR data'!$H$4:$H$61,1))))) * (INDEX('IR data'!$I$4:$I$61,MATCH(D461,'IR data'!$H$4:$H$61,1))-(INDEX('IR data'!$I$4:$I$61,MATCH(D461,'IR data'!$H$4:$H$61,1)+1)))))</f>
        <v>0.93785094133695646</v>
      </c>
      <c r="F461" s="30">
        <f t="shared" si="46"/>
        <v>2.2207764607135007E-2</v>
      </c>
      <c r="G461" s="45">
        <f t="shared" si="42"/>
        <v>45843</v>
      </c>
      <c r="H461" s="14" cm="1">
        <f t="array" ref="H461">_xlfn.IFNA(INDEX('IR data'!$N$4:$N$61,MATCH(G461,'IR data'!$M$4:$M$61,0)),((INDEX('IR data'!$N$4:$N$61,MATCH(G461,'IR data'!$M$4:$M$61,1)))-((G461-(INDEX('IR data'!$M$4:$M$61,MATCH(G461,'IR data'!$M$4:$M$61,1))))/((INDEX('IR data'!$M$4:$M$61,MATCH(G461,'IR data'!$M$4:$M$61,1)+1)-INDEX('IR data'!$M$4:$M$61,MATCH(G461,'IR data'!$M$4:$M$61,1))))) * (INDEX('IR data'!$N$4:$N$61,MATCH(G461,'IR data'!$M$4:$M$61,1))-(INDEX('IR data'!$N$4:$N$61,MATCH(G461,'IR data'!$M$4:$M$61,1)+1)))))</f>
        <v>0.9376847256373626</v>
      </c>
      <c r="I461" s="44">
        <f t="shared" si="47"/>
        <v>2.2269110912048935E-2</v>
      </c>
    </row>
    <row r="462" spans="1:9" x14ac:dyDescent="0.25">
      <c r="A462" s="45">
        <f t="shared" si="43"/>
        <v>45750</v>
      </c>
      <c r="B462" s="14" cm="1">
        <f t="array" ref="B462">_xlfn.IFNA(INDEX('IR data'!$D$4:$D$61,MATCH(A462,'IR data'!$C$4:$C$61,0)),((INDEX('IR data'!$D$4:$D$61,MATCH(A462,'IR data'!$C$4:$C$61,1)))-((A462-(INDEX('IR data'!$C$4:$C$61,MATCH(A462,'IR data'!$C$4:$C$61,1))))/((INDEX('IR data'!$C$4:$C$61,MATCH(A462,'IR data'!$C$4:$C$61,1)+1)-INDEX('IR data'!$C$4:$C$61,MATCH(A462,'IR data'!$C$4:$C$61,1))))) * (INDEX('IR data'!$D$4:$D$61,MATCH(A462,'IR data'!$C$4:$C$61,1))-(INDEX('IR data'!$D$4:$D$61,MATCH(A462,'IR data'!$C$4:$C$61,1)+1)))))</f>
        <v>0.94124788800000003</v>
      </c>
      <c r="C462" s="30">
        <f t="shared" si="44"/>
        <v>2.091075081623783E-2</v>
      </c>
      <c r="D462" s="45">
        <f t="shared" si="45"/>
        <v>45810</v>
      </c>
      <c r="E462" s="14" cm="1">
        <f t="array" ref="E462">_xlfn.IFNA(INDEX('IR data'!$I$4:$I$61,MATCH(D462,'IR data'!$H$4:$H$61,0)),((INDEX('IR data'!$I$4:$I$61,MATCH(D462,'IR data'!$H$4:$H$61,1)))-((D462-(INDEX('IR data'!$H$4:$H$61,MATCH(D462,'IR data'!$H$4:$H$61,1))))/((INDEX('IR data'!$H$4:$H$61,MATCH(D462,'IR data'!$H$4:$H$61,1)+1)-INDEX('IR data'!$H$4:$H$61,MATCH(D462,'IR data'!$H$4:$H$61,1))))) * (INDEX('IR data'!$I$4:$I$61,MATCH(D462,'IR data'!$H$4:$H$61,1))-(INDEX('IR data'!$I$4:$I$61,MATCH(D462,'IR data'!$H$4:$H$61,1)+1)))))</f>
        <v>0.93773395189130437</v>
      </c>
      <c r="F462" s="30">
        <f t="shared" si="46"/>
        <v>2.220246452955317E-2</v>
      </c>
      <c r="G462" s="45">
        <f t="shared" si="42"/>
        <v>45844</v>
      </c>
      <c r="H462" s="14" cm="1">
        <f t="array" ref="H462">_xlfn.IFNA(INDEX('IR data'!$N$4:$N$61,MATCH(G462,'IR data'!$M$4:$M$61,0)),((INDEX('IR data'!$N$4:$N$61,MATCH(G462,'IR data'!$M$4:$M$61,1)))-((G462-(INDEX('IR data'!$M$4:$M$61,MATCH(G462,'IR data'!$M$4:$M$61,1))))/((INDEX('IR data'!$M$4:$M$61,MATCH(G462,'IR data'!$M$4:$M$61,1)+1)-INDEX('IR data'!$M$4:$M$61,MATCH(G462,'IR data'!$M$4:$M$61,1))))) * (INDEX('IR data'!$N$4:$N$61,MATCH(G462,'IR data'!$M$4:$M$61,1))-(INDEX('IR data'!$N$4:$N$61,MATCH(G462,'IR data'!$M$4:$M$61,1)+1)))))</f>
        <v>0.9375656123186813</v>
      </c>
      <c r="I462" s="44">
        <f t="shared" si="47"/>
        <v>2.226446715141769E-2</v>
      </c>
    </row>
    <row r="463" spans="1:9" x14ac:dyDescent="0.25">
      <c r="A463" s="45">
        <f t="shared" si="43"/>
        <v>45751</v>
      </c>
      <c r="B463" s="14" cm="1">
        <f t="array" ref="B463">_xlfn.IFNA(INDEX('IR data'!$D$4:$D$61,MATCH(A463,'IR data'!$C$4:$C$61,0)),((INDEX('IR data'!$D$4:$D$61,MATCH(A463,'IR data'!$C$4:$C$61,1)))-((A463-(INDEX('IR data'!$C$4:$C$61,MATCH(A463,'IR data'!$C$4:$C$61,1))))/((INDEX('IR data'!$C$4:$C$61,MATCH(A463,'IR data'!$C$4:$C$61,1)+1)-INDEX('IR data'!$C$4:$C$61,MATCH(A463,'IR data'!$C$4:$C$61,1))))) * (INDEX('IR data'!$D$4:$D$61,MATCH(A463,'IR data'!$C$4:$C$61,1))-(INDEX('IR data'!$D$4:$D$61,MATCH(A463,'IR data'!$C$4:$C$61,1)+1)))))</f>
        <v>0.94115372826373633</v>
      </c>
      <c r="C463" s="30">
        <f t="shared" si="44"/>
        <v>2.0899767504446994E-2</v>
      </c>
      <c r="D463" s="45">
        <f t="shared" si="45"/>
        <v>45811</v>
      </c>
      <c r="E463" s="14" cm="1">
        <f t="array" ref="E463">_xlfn.IFNA(INDEX('IR data'!$I$4:$I$61,MATCH(D463,'IR data'!$H$4:$H$61,0)),((INDEX('IR data'!$I$4:$I$61,MATCH(D463,'IR data'!$H$4:$H$61,1)))-((D463-(INDEX('IR data'!$H$4:$H$61,MATCH(D463,'IR data'!$H$4:$H$61,1))))/((INDEX('IR data'!$H$4:$H$61,MATCH(D463,'IR data'!$H$4:$H$61,1)+1)-INDEX('IR data'!$H$4:$H$61,MATCH(D463,'IR data'!$H$4:$H$61,1))))) * (INDEX('IR data'!$I$4:$I$61,MATCH(D463,'IR data'!$H$4:$H$61,1))-(INDEX('IR data'!$I$4:$I$61,MATCH(D463,'IR data'!$H$4:$H$61,1)+1)))))</f>
        <v>0.93761696244565218</v>
      </c>
      <c r="F463" s="30">
        <f t="shared" si="46"/>
        <v>2.2197192859350529E-2</v>
      </c>
      <c r="G463" s="45">
        <f t="shared" si="42"/>
        <v>45845</v>
      </c>
      <c r="H463" s="14" cm="1">
        <f t="array" ref="H463">_xlfn.IFNA(INDEX('IR data'!$N$4:$N$61,MATCH(G463,'IR data'!$M$4:$M$61,0)),((INDEX('IR data'!$N$4:$N$61,MATCH(G463,'IR data'!$M$4:$M$61,1)))-((G463-(INDEX('IR data'!$M$4:$M$61,MATCH(G463,'IR data'!$M$4:$M$61,1))))/((INDEX('IR data'!$M$4:$M$61,MATCH(G463,'IR data'!$M$4:$M$61,1)+1)-INDEX('IR data'!$M$4:$M$61,MATCH(G463,'IR data'!$M$4:$M$61,1))))) * (INDEX('IR data'!$N$4:$N$61,MATCH(G463,'IR data'!$M$4:$M$61,1))-(INDEX('IR data'!$N$4:$N$61,MATCH(G463,'IR data'!$M$4:$M$61,1)+1)))))</f>
        <v>0.93744649899999999</v>
      </c>
      <c r="I463" s="44">
        <f t="shared" si="47"/>
        <v>2.225984914312271E-2</v>
      </c>
    </row>
    <row r="464" spans="1:9" x14ac:dyDescent="0.25">
      <c r="A464" s="45">
        <f t="shared" si="43"/>
        <v>45752</v>
      </c>
      <c r="B464" s="14" cm="1">
        <f t="array" ref="B464">_xlfn.IFNA(INDEX('IR data'!$D$4:$D$61,MATCH(A464,'IR data'!$C$4:$C$61,0)),((INDEX('IR data'!$D$4:$D$61,MATCH(A464,'IR data'!$C$4:$C$61,1)))-((A464-(INDEX('IR data'!$C$4:$C$61,MATCH(A464,'IR data'!$C$4:$C$61,1))))/((INDEX('IR data'!$C$4:$C$61,MATCH(A464,'IR data'!$C$4:$C$61,1)+1)-INDEX('IR data'!$C$4:$C$61,MATCH(A464,'IR data'!$C$4:$C$61,1))))) * (INDEX('IR data'!$D$4:$D$61,MATCH(A464,'IR data'!$C$4:$C$61,1))-(INDEX('IR data'!$D$4:$D$61,MATCH(A464,'IR data'!$C$4:$C$61,1)+1)))))</f>
        <v>0.94105956852747252</v>
      </c>
      <c r="C464" s="30">
        <f t="shared" si="44"/>
        <v>2.0888835284398534E-2</v>
      </c>
      <c r="D464" s="45">
        <f t="shared" si="45"/>
        <v>45812</v>
      </c>
      <c r="E464" s="14" cm="1">
        <f t="array" ref="E464">_xlfn.IFNA(INDEX('IR data'!$I$4:$I$61,MATCH(D464,'IR data'!$H$4:$H$61,0)),((INDEX('IR data'!$I$4:$I$61,MATCH(D464,'IR data'!$H$4:$H$61,1)))-((D464-(INDEX('IR data'!$H$4:$H$61,MATCH(D464,'IR data'!$H$4:$H$61,1))))/((INDEX('IR data'!$H$4:$H$61,MATCH(D464,'IR data'!$H$4:$H$61,1)+1)-INDEX('IR data'!$H$4:$H$61,MATCH(D464,'IR data'!$H$4:$H$61,1))))) * (INDEX('IR data'!$I$4:$I$61,MATCH(D464,'IR data'!$H$4:$H$61,1))-(INDEX('IR data'!$I$4:$I$61,MATCH(D464,'IR data'!$H$4:$H$61,1)+1)))))</f>
        <v>0.93749997299999999</v>
      </c>
      <c r="F464" s="30">
        <f t="shared" si="46"/>
        <v>2.219194941299903E-2</v>
      </c>
      <c r="G464" s="45">
        <f t="shared" si="42"/>
        <v>45846</v>
      </c>
      <c r="H464" s="14" cm="1">
        <f t="array" ref="H464">_xlfn.IFNA(INDEX('IR data'!$N$4:$N$61,MATCH(G464,'IR data'!$M$4:$M$61,0)),((INDEX('IR data'!$N$4:$N$61,MATCH(G464,'IR data'!$M$4:$M$61,1)))-((G464-(INDEX('IR data'!$M$4:$M$61,MATCH(G464,'IR data'!$M$4:$M$61,1))))/((INDEX('IR data'!$M$4:$M$61,MATCH(G464,'IR data'!$M$4:$M$61,1)+1)-INDEX('IR data'!$M$4:$M$61,MATCH(G464,'IR data'!$M$4:$M$61,1))))) * (INDEX('IR data'!$N$4:$N$61,MATCH(G464,'IR data'!$M$4:$M$61,1))-(INDEX('IR data'!$N$4:$N$61,MATCH(G464,'IR data'!$M$4:$M$61,1)+1)))))</f>
        <v>0.93733424384615383</v>
      </c>
      <c r="I464" s="44">
        <f t="shared" si="47"/>
        <v>2.2252740833156124E-2</v>
      </c>
    </row>
    <row r="465" spans="1:9" x14ac:dyDescent="0.25">
      <c r="A465" s="45">
        <f t="shared" si="43"/>
        <v>45753</v>
      </c>
      <c r="B465" s="14" cm="1">
        <f t="array" ref="B465">_xlfn.IFNA(INDEX('IR data'!$D$4:$D$61,MATCH(A465,'IR data'!$C$4:$C$61,0)),((INDEX('IR data'!$D$4:$D$61,MATCH(A465,'IR data'!$C$4:$C$61,1)))-((A465-(INDEX('IR data'!$C$4:$C$61,MATCH(A465,'IR data'!$C$4:$C$61,1))))/((INDEX('IR data'!$C$4:$C$61,MATCH(A465,'IR data'!$C$4:$C$61,1)+1)-INDEX('IR data'!$C$4:$C$61,MATCH(A465,'IR data'!$C$4:$C$61,1))))) * (INDEX('IR data'!$D$4:$D$61,MATCH(A465,'IR data'!$C$4:$C$61,1))-(INDEX('IR data'!$D$4:$D$61,MATCH(A465,'IR data'!$C$4:$C$61,1)+1)))))</f>
        <v>0.94096540879120882</v>
      </c>
      <c r="C465" s="30">
        <f t="shared" si="44"/>
        <v>2.0877953825015109E-2</v>
      </c>
      <c r="D465" s="45">
        <f t="shared" si="45"/>
        <v>45813</v>
      </c>
      <c r="E465" s="14" cm="1">
        <f t="array" ref="E465">_xlfn.IFNA(INDEX('IR data'!$I$4:$I$61,MATCH(D465,'IR data'!$H$4:$H$61,0)),((INDEX('IR data'!$I$4:$I$61,MATCH(D465,'IR data'!$H$4:$H$61,1)))-((D465-(INDEX('IR data'!$H$4:$H$61,MATCH(D465,'IR data'!$H$4:$H$61,1))))/((INDEX('IR data'!$H$4:$H$61,MATCH(D465,'IR data'!$H$4:$H$61,1)+1)-INDEX('IR data'!$H$4:$H$61,MATCH(D465,'IR data'!$H$4:$H$61,1))))) * (INDEX('IR data'!$I$4:$I$61,MATCH(D465,'IR data'!$H$4:$H$61,1))-(INDEX('IR data'!$I$4:$I$61,MATCH(D465,'IR data'!$H$4:$H$61,1)+1)))))</f>
        <v>0.93739094618478258</v>
      </c>
      <c r="F465" s="30">
        <f t="shared" si="46"/>
        <v>2.2183819449570475E-2</v>
      </c>
      <c r="G465" s="45">
        <f t="shared" si="42"/>
        <v>45847</v>
      </c>
      <c r="H465" s="14" cm="1">
        <f t="array" ref="H465">_xlfn.IFNA(INDEX('IR data'!$N$4:$N$61,MATCH(G465,'IR data'!$M$4:$M$61,0)),((INDEX('IR data'!$N$4:$N$61,MATCH(G465,'IR data'!$M$4:$M$61,1)))-((G465-(INDEX('IR data'!$M$4:$M$61,MATCH(G465,'IR data'!$M$4:$M$61,1))))/((INDEX('IR data'!$M$4:$M$61,MATCH(G465,'IR data'!$M$4:$M$61,1)+1)-INDEX('IR data'!$M$4:$M$61,MATCH(G465,'IR data'!$M$4:$M$61,1))))) * (INDEX('IR data'!$N$4:$N$61,MATCH(G465,'IR data'!$M$4:$M$61,1))-(INDEX('IR data'!$N$4:$N$61,MATCH(G465,'IR data'!$M$4:$M$61,1)+1)))))</f>
        <v>0.93722198869230766</v>
      </c>
      <c r="I465" s="44">
        <f t="shared" si="47"/>
        <v>2.2245668216155916E-2</v>
      </c>
    </row>
    <row r="466" spans="1:9" x14ac:dyDescent="0.25">
      <c r="A466" s="45">
        <f t="shared" si="43"/>
        <v>45754</v>
      </c>
      <c r="B466" s="14" cm="1">
        <f t="array" ref="B466">_xlfn.IFNA(INDEX('IR data'!$D$4:$D$61,MATCH(A466,'IR data'!$C$4:$C$61,0)),((INDEX('IR data'!$D$4:$D$61,MATCH(A466,'IR data'!$C$4:$C$61,1)))-((A466-(INDEX('IR data'!$C$4:$C$61,MATCH(A466,'IR data'!$C$4:$C$61,1))))/((INDEX('IR data'!$C$4:$C$61,MATCH(A466,'IR data'!$C$4:$C$61,1)+1)-INDEX('IR data'!$C$4:$C$61,MATCH(A466,'IR data'!$C$4:$C$61,1))))) * (INDEX('IR data'!$D$4:$D$61,MATCH(A466,'IR data'!$C$4:$C$61,1))-(INDEX('IR data'!$D$4:$D$61,MATCH(A466,'IR data'!$C$4:$C$61,1)+1)))))</f>
        <v>0.94087124905494512</v>
      </c>
      <c r="C466" s="30">
        <f t="shared" si="44"/>
        <v>2.0867122798079979E-2</v>
      </c>
      <c r="D466" s="45">
        <f t="shared" si="45"/>
        <v>45814</v>
      </c>
      <c r="E466" s="14" cm="1">
        <f t="array" ref="E466">_xlfn.IFNA(INDEX('IR data'!$I$4:$I$61,MATCH(D466,'IR data'!$H$4:$H$61,0)),((INDEX('IR data'!$I$4:$I$61,MATCH(D466,'IR data'!$H$4:$H$61,1)))-((D466-(INDEX('IR data'!$H$4:$H$61,MATCH(D466,'IR data'!$H$4:$H$61,1))))/((INDEX('IR data'!$H$4:$H$61,MATCH(D466,'IR data'!$H$4:$H$61,1)+1)-INDEX('IR data'!$H$4:$H$61,MATCH(D466,'IR data'!$H$4:$H$61,1))))) * (INDEX('IR data'!$I$4:$I$61,MATCH(D466,'IR data'!$H$4:$H$61,1))-(INDEX('IR data'!$I$4:$I$61,MATCH(D466,'IR data'!$H$4:$H$61,1)+1)))))</f>
        <v>0.93728191936956518</v>
      </c>
      <c r="F466" s="30">
        <f t="shared" si="46"/>
        <v>2.2175729236270838E-2</v>
      </c>
      <c r="G466" s="45">
        <f t="shared" si="42"/>
        <v>45848</v>
      </c>
      <c r="H466" s="14" cm="1">
        <f t="array" ref="H466">_xlfn.IFNA(INDEX('IR data'!$N$4:$N$61,MATCH(G466,'IR data'!$M$4:$M$61,0)),((INDEX('IR data'!$N$4:$N$61,MATCH(G466,'IR data'!$M$4:$M$61,1)))-((G466-(INDEX('IR data'!$M$4:$M$61,MATCH(G466,'IR data'!$M$4:$M$61,1))))/((INDEX('IR data'!$M$4:$M$61,MATCH(G466,'IR data'!$M$4:$M$61,1)+1)-INDEX('IR data'!$M$4:$M$61,MATCH(G466,'IR data'!$M$4:$M$61,1))))) * (INDEX('IR data'!$N$4:$N$61,MATCH(G466,'IR data'!$M$4:$M$61,1))-(INDEX('IR data'!$N$4:$N$61,MATCH(G466,'IR data'!$M$4:$M$61,1)+1)))))</f>
        <v>0.9371097335384615</v>
      </c>
      <c r="I466" s="44">
        <f t="shared" si="47"/>
        <v>2.2238631062026511E-2</v>
      </c>
    </row>
    <row r="467" spans="1:9" x14ac:dyDescent="0.25">
      <c r="A467" s="45">
        <f t="shared" si="43"/>
        <v>45755</v>
      </c>
      <c r="B467" s="14" cm="1">
        <f t="array" ref="B467">_xlfn.IFNA(INDEX('IR data'!$D$4:$D$61,MATCH(A467,'IR data'!$C$4:$C$61,0)),((INDEX('IR data'!$D$4:$D$61,MATCH(A467,'IR data'!$C$4:$C$61,1)))-((A467-(INDEX('IR data'!$C$4:$C$61,MATCH(A467,'IR data'!$C$4:$C$61,1))))/((INDEX('IR data'!$C$4:$C$61,MATCH(A467,'IR data'!$C$4:$C$61,1)+1)-INDEX('IR data'!$C$4:$C$61,MATCH(A467,'IR data'!$C$4:$C$61,1))))) * (INDEX('IR data'!$D$4:$D$61,MATCH(A467,'IR data'!$C$4:$C$61,1))-(INDEX('IR data'!$D$4:$D$61,MATCH(A467,'IR data'!$C$4:$C$61,1)+1)))))</f>
        <v>0.94077708931868131</v>
      </c>
      <c r="C467" s="30">
        <f t="shared" si="44"/>
        <v>2.0856341878206064E-2</v>
      </c>
      <c r="D467" s="45">
        <f t="shared" si="45"/>
        <v>45815</v>
      </c>
      <c r="E467" s="14" cm="1">
        <f t="array" ref="E467">_xlfn.IFNA(INDEX('IR data'!$I$4:$I$61,MATCH(D467,'IR data'!$H$4:$H$61,0)),((INDEX('IR data'!$I$4:$I$61,MATCH(D467,'IR data'!$H$4:$H$61,1)))-((D467-(INDEX('IR data'!$H$4:$H$61,MATCH(D467,'IR data'!$H$4:$H$61,1))))/((INDEX('IR data'!$H$4:$H$61,MATCH(D467,'IR data'!$H$4:$H$61,1)+1)-INDEX('IR data'!$H$4:$H$61,MATCH(D467,'IR data'!$H$4:$H$61,1))))) * (INDEX('IR data'!$I$4:$I$61,MATCH(D467,'IR data'!$H$4:$H$61,1))-(INDEX('IR data'!$I$4:$I$61,MATCH(D467,'IR data'!$H$4:$H$61,1)+1)))))</f>
        <v>0.93717289255434777</v>
      </c>
      <c r="F467" s="30">
        <f t="shared" si="46"/>
        <v>2.2167678517170213E-2</v>
      </c>
      <c r="G467" s="45">
        <f t="shared" si="42"/>
        <v>45849</v>
      </c>
      <c r="H467" s="14" cm="1">
        <f t="array" ref="H467">_xlfn.IFNA(INDEX('IR data'!$N$4:$N$61,MATCH(G467,'IR data'!$M$4:$M$61,0)),((INDEX('IR data'!$N$4:$N$61,MATCH(G467,'IR data'!$M$4:$M$61,1)))-((G467-(INDEX('IR data'!$M$4:$M$61,MATCH(G467,'IR data'!$M$4:$M$61,1))))/((INDEX('IR data'!$M$4:$M$61,MATCH(G467,'IR data'!$M$4:$M$61,1)+1)-INDEX('IR data'!$M$4:$M$61,MATCH(G467,'IR data'!$M$4:$M$61,1))))) * (INDEX('IR data'!$N$4:$N$61,MATCH(G467,'IR data'!$M$4:$M$61,1))-(INDEX('IR data'!$N$4:$N$61,MATCH(G467,'IR data'!$M$4:$M$61,1)+1)))))</f>
        <v>0.93699747838461533</v>
      </c>
      <c r="I467" s="44">
        <f t="shared" si="47"/>
        <v>2.2231629142656362E-2</v>
      </c>
    </row>
    <row r="468" spans="1:9" x14ac:dyDescent="0.25">
      <c r="A468" s="45">
        <f t="shared" si="43"/>
        <v>45756</v>
      </c>
      <c r="B468" s="14" cm="1">
        <f t="array" ref="B468">_xlfn.IFNA(INDEX('IR data'!$D$4:$D$61,MATCH(A468,'IR data'!$C$4:$C$61,0)),((INDEX('IR data'!$D$4:$D$61,MATCH(A468,'IR data'!$C$4:$C$61,1)))-((A468-(INDEX('IR data'!$C$4:$C$61,MATCH(A468,'IR data'!$C$4:$C$61,1))))/((INDEX('IR data'!$C$4:$C$61,MATCH(A468,'IR data'!$C$4:$C$61,1)+1)-INDEX('IR data'!$C$4:$C$61,MATCH(A468,'IR data'!$C$4:$C$61,1))))) * (INDEX('IR data'!$D$4:$D$61,MATCH(A468,'IR data'!$C$4:$C$61,1))-(INDEX('IR data'!$D$4:$D$61,MATCH(A468,'IR data'!$C$4:$C$61,1)+1)))))</f>
        <v>0.94068292958241762</v>
      </c>
      <c r="C468" s="30">
        <f t="shared" si="44"/>
        <v>2.0845610742805401E-2</v>
      </c>
      <c r="D468" s="45">
        <f t="shared" si="45"/>
        <v>45816</v>
      </c>
      <c r="E468" s="14" cm="1">
        <f t="array" ref="E468">_xlfn.IFNA(INDEX('IR data'!$I$4:$I$61,MATCH(D468,'IR data'!$H$4:$H$61,0)),((INDEX('IR data'!$I$4:$I$61,MATCH(D468,'IR data'!$H$4:$H$61,1)))-((D468-(INDEX('IR data'!$H$4:$H$61,MATCH(D468,'IR data'!$H$4:$H$61,1))))/((INDEX('IR data'!$H$4:$H$61,MATCH(D468,'IR data'!$H$4:$H$61,1)+1)-INDEX('IR data'!$H$4:$H$61,MATCH(D468,'IR data'!$H$4:$H$61,1))))) * (INDEX('IR data'!$I$4:$I$61,MATCH(D468,'IR data'!$H$4:$H$61,1))-(INDEX('IR data'!$I$4:$I$61,MATCH(D468,'IR data'!$H$4:$H$61,1)+1)))))</f>
        <v>0.93706386573913047</v>
      </c>
      <c r="F468" s="30">
        <f t="shared" si="46"/>
        <v>2.2159667038540564E-2</v>
      </c>
      <c r="G468" s="45">
        <f t="shared" si="42"/>
        <v>45850</v>
      </c>
      <c r="H468" s="14" cm="1">
        <f t="array" ref="H468">_xlfn.IFNA(INDEX('IR data'!$N$4:$N$61,MATCH(G468,'IR data'!$M$4:$M$61,0)),((INDEX('IR data'!$N$4:$N$61,MATCH(G468,'IR data'!$M$4:$M$61,1)))-((G468-(INDEX('IR data'!$M$4:$M$61,MATCH(G468,'IR data'!$M$4:$M$61,1))))/((INDEX('IR data'!$M$4:$M$61,MATCH(G468,'IR data'!$M$4:$M$61,1)+1)-INDEX('IR data'!$M$4:$M$61,MATCH(G468,'IR data'!$M$4:$M$61,1))))) * (INDEX('IR data'!$N$4:$N$61,MATCH(G468,'IR data'!$M$4:$M$61,1))-(INDEX('IR data'!$N$4:$N$61,MATCH(G468,'IR data'!$M$4:$M$61,1)+1)))))</f>
        <v>0.93688522323076917</v>
      </c>
      <c r="I468" s="44">
        <f t="shared" si="47"/>
        <v>2.2224662231896584E-2</v>
      </c>
    </row>
    <row r="469" spans="1:9" x14ac:dyDescent="0.25">
      <c r="A469" s="45">
        <f t="shared" si="43"/>
        <v>45757</v>
      </c>
      <c r="B469" s="14" cm="1">
        <f t="array" ref="B469">_xlfn.IFNA(INDEX('IR data'!$D$4:$D$61,MATCH(A469,'IR data'!$C$4:$C$61,0)),((INDEX('IR data'!$D$4:$D$61,MATCH(A469,'IR data'!$C$4:$C$61,1)))-((A469-(INDEX('IR data'!$C$4:$C$61,MATCH(A469,'IR data'!$C$4:$C$61,1))))/((INDEX('IR data'!$C$4:$C$61,MATCH(A469,'IR data'!$C$4:$C$61,1)+1)-INDEX('IR data'!$C$4:$C$61,MATCH(A469,'IR data'!$C$4:$C$61,1))))) * (INDEX('IR data'!$D$4:$D$61,MATCH(A469,'IR data'!$C$4:$C$61,1))-(INDEX('IR data'!$D$4:$D$61,MATCH(A469,'IR data'!$C$4:$C$61,1)+1)))))</f>
        <v>0.94058876984615392</v>
      </c>
      <c r="C469" s="30">
        <f t="shared" si="44"/>
        <v>2.0834929072059347E-2</v>
      </c>
      <c r="D469" s="45">
        <f t="shared" si="45"/>
        <v>45817</v>
      </c>
      <c r="E469" s="14" cm="1">
        <f t="array" ref="E469">_xlfn.IFNA(INDEX('IR data'!$I$4:$I$61,MATCH(D469,'IR data'!$H$4:$H$61,0)),((INDEX('IR data'!$I$4:$I$61,MATCH(D469,'IR data'!$H$4:$H$61,1)))-((D469-(INDEX('IR data'!$H$4:$H$61,MATCH(D469,'IR data'!$H$4:$H$61,1))))/((INDEX('IR data'!$H$4:$H$61,MATCH(D469,'IR data'!$H$4:$H$61,1)+1)-INDEX('IR data'!$H$4:$H$61,MATCH(D469,'IR data'!$H$4:$H$61,1))))) * (INDEX('IR data'!$I$4:$I$61,MATCH(D469,'IR data'!$H$4:$H$61,1))-(INDEX('IR data'!$I$4:$I$61,MATCH(D469,'IR data'!$H$4:$H$61,1)+1)))))</f>
        <v>0.93695483892391307</v>
      </c>
      <c r="F469" s="30">
        <f t="shared" si="46"/>
        <v>2.2151694548832285E-2</v>
      </c>
      <c r="G469" s="45">
        <f t="shared" si="42"/>
        <v>45851</v>
      </c>
      <c r="H469" s="14" cm="1">
        <f t="array" ref="H469">_xlfn.IFNA(INDEX('IR data'!$N$4:$N$61,MATCH(G469,'IR data'!$M$4:$M$61,0)),((INDEX('IR data'!$N$4:$N$61,MATCH(G469,'IR data'!$M$4:$M$61,1)))-((G469-(INDEX('IR data'!$M$4:$M$61,MATCH(G469,'IR data'!$M$4:$M$61,1))))/((INDEX('IR data'!$M$4:$M$61,MATCH(G469,'IR data'!$M$4:$M$61,1)+1)-INDEX('IR data'!$M$4:$M$61,MATCH(G469,'IR data'!$M$4:$M$61,1))))) * (INDEX('IR data'!$N$4:$N$61,MATCH(G469,'IR data'!$M$4:$M$61,1))-(INDEX('IR data'!$N$4:$N$61,MATCH(G469,'IR data'!$M$4:$M$61,1)+1)))))</f>
        <v>0.93677296807692312</v>
      </c>
      <c r="I469" s="44">
        <f t="shared" si="47"/>
        <v>2.2217730105539853E-2</v>
      </c>
    </row>
    <row r="470" spans="1:9" x14ac:dyDescent="0.25">
      <c r="A470" s="45">
        <f t="shared" si="43"/>
        <v>45758</v>
      </c>
      <c r="B470" s="14" cm="1">
        <f t="array" ref="B470">_xlfn.IFNA(INDEX('IR data'!$D$4:$D$61,MATCH(A470,'IR data'!$C$4:$C$61,0)),((INDEX('IR data'!$D$4:$D$61,MATCH(A470,'IR data'!$C$4:$C$61,1)))-((A470-(INDEX('IR data'!$C$4:$C$61,MATCH(A470,'IR data'!$C$4:$C$61,1))))/((INDEX('IR data'!$C$4:$C$61,MATCH(A470,'IR data'!$C$4:$C$61,1)+1)-INDEX('IR data'!$C$4:$C$61,MATCH(A470,'IR data'!$C$4:$C$61,1))))) * (INDEX('IR data'!$D$4:$D$61,MATCH(A470,'IR data'!$C$4:$C$61,1))-(INDEX('IR data'!$D$4:$D$61,MATCH(A470,'IR data'!$C$4:$C$61,1)+1)))))</f>
        <v>0.94049461010989011</v>
      </c>
      <c r="C470" s="30">
        <f t="shared" si="44"/>
        <v>2.0824296548888805E-2</v>
      </c>
      <c r="D470" s="45">
        <f t="shared" si="45"/>
        <v>45818</v>
      </c>
      <c r="E470" s="14" cm="1">
        <f t="array" ref="E470">_xlfn.IFNA(INDEX('IR data'!$I$4:$I$61,MATCH(D470,'IR data'!$H$4:$H$61,0)),((INDEX('IR data'!$I$4:$I$61,MATCH(D470,'IR data'!$H$4:$H$61,1)))-((D470-(INDEX('IR data'!$H$4:$H$61,MATCH(D470,'IR data'!$H$4:$H$61,1))))/((INDEX('IR data'!$H$4:$H$61,MATCH(D470,'IR data'!$H$4:$H$61,1)+1)-INDEX('IR data'!$H$4:$H$61,MATCH(D470,'IR data'!$H$4:$H$61,1))))) * (INDEX('IR data'!$I$4:$I$61,MATCH(D470,'IR data'!$H$4:$H$61,1))-(INDEX('IR data'!$I$4:$I$61,MATCH(D470,'IR data'!$H$4:$H$61,1)+1)))))</f>
        <v>0.93684581210869566</v>
      </c>
      <c r="F470" s="30">
        <f t="shared" si="46"/>
        <v>2.2143760798650623E-2</v>
      </c>
      <c r="G470" s="45">
        <f t="shared" si="42"/>
        <v>45852</v>
      </c>
      <c r="H470" s="14" cm="1">
        <f t="array" ref="H470">_xlfn.IFNA(INDEX('IR data'!$N$4:$N$61,MATCH(G470,'IR data'!$M$4:$M$61,0)),((INDEX('IR data'!$N$4:$N$61,MATCH(G470,'IR data'!$M$4:$M$61,1)))-((G470-(INDEX('IR data'!$M$4:$M$61,MATCH(G470,'IR data'!$M$4:$M$61,1))))/((INDEX('IR data'!$M$4:$M$61,MATCH(G470,'IR data'!$M$4:$M$61,1)+1)-INDEX('IR data'!$M$4:$M$61,MATCH(G470,'IR data'!$M$4:$M$61,1))))) * (INDEX('IR data'!$N$4:$N$61,MATCH(G470,'IR data'!$M$4:$M$61,1))-(INDEX('IR data'!$N$4:$N$61,MATCH(G470,'IR data'!$M$4:$M$61,1)+1)))))</f>
        <v>0.93666071292307695</v>
      </c>
      <c r="I470" s="44">
        <f t="shared" si="47"/>
        <v>2.2210832541299807E-2</v>
      </c>
    </row>
    <row r="471" spans="1:9" x14ac:dyDescent="0.25">
      <c r="A471" s="45">
        <f t="shared" si="43"/>
        <v>45759</v>
      </c>
      <c r="B471" s="14" cm="1">
        <f t="array" ref="B471">_xlfn.IFNA(INDEX('IR data'!$D$4:$D$61,MATCH(A471,'IR data'!$C$4:$C$61,0)),((INDEX('IR data'!$D$4:$D$61,MATCH(A471,'IR data'!$C$4:$C$61,1)))-((A471-(INDEX('IR data'!$C$4:$C$61,MATCH(A471,'IR data'!$C$4:$C$61,1))))/((INDEX('IR data'!$C$4:$C$61,MATCH(A471,'IR data'!$C$4:$C$61,1)+1)-INDEX('IR data'!$C$4:$C$61,MATCH(A471,'IR data'!$C$4:$C$61,1))))) * (INDEX('IR data'!$D$4:$D$61,MATCH(A471,'IR data'!$C$4:$C$61,1))-(INDEX('IR data'!$D$4:$D$61,MATCH(A471,'IR data'!$C$4:$C$61,1)+1)))))</f>
        <v>0.94040045037362641</v>
      </c>
      <c r="C471" s="30">
        <f t="shared" si="44"/>
        <v>2.0813712858924843E-2</v>
      </c>
      <c r="D471" s="45">
        <f t="shared" si="45"/>
        <v>45819</v>
      </c>
      <c r="E471" s="14" cm="1">
        <f t="array" ref="E471">_xlfn.IFNA(INDEX('IR data'!$I$4:$I$61,MATCH(D471,'IR data'!$H$4:$H$61,0)),((INDEX('IR data'!$I$4:$I$61,MATCH(D471,'IR data'!$H$4:$H$61,1)))-((D471-(INDEX('IR data'!$H$4:$H$61,MATCH(D471,'IR data'!$H$4:$H$61,1))))/((INDEX('IR data'!$H$4:$H$61,MATCH(D471,'IR data'!$H$4:$H$61,1)+1)-INDEX('IR data'!$H$4:$H$61,MATCH(D471,'IR data'!$H$4:$H$61,1))))) * (INDEX('IR data'!$I$4:$I$61,MATCH(D471,'IR data'!$H$4:$H$61,1))-(INDEX('IR data'!$I$4:$I$61,MATCH(D471,'IR data'!$H$4:$H$61,1)+1)))))</f>
        <v>0.93673678529347826</v>
      </c>
      <c r="F471" s="30">
        <f t="shared" si="46"/>
        <v>2.21358655407328E-2</v>
      </c>
      <c r="G471" s="45">
        <f t="shared" si="42"/>
        <v>45853</v>
      </c>
      <c r="H471" s="14" cm="1">
        <f t="array" ref="H471">_xlfn.IFNA(INDEX('IR data'!$N$4:$N$61,MATCH(G471,'IR data'!$M$4:$M$61,0)),((INDEX('IR data'!$N$4:$N$61,MATCH(G471,'IR data'!$M$4:$M$61,1)))-((G471-(INDEX('IR data'!$M$4:$M$61,MATCH(G471,'IR data'!$M$4:$M$61,1))))/((INDEX('IR data'!$M$4:$M$61,MATCH(G471,'IR data'!$M$4:$M$61,1)+1)-INDEX('IR data'!$M$4:$M$61,MATCH(G471,'IR data'!$M$4:$M$61,1))))) * (INDEX('IR data'!$N$4:$N$61,MATCH(G471,'IR data'!$M$4:$M$61,1))-(INDEX('IR data'!$N$4:$N$61,MATCH(G471,'IR data'!$M$4:$M$61,1)+1)))))</f>
        <v>0.93654845776923079</v>
      </c>
      <c r="I471" s="44">
        <f t="shared" si="47"/>
        <v>2.2203969318790259E-2</v>
      </c>
    </row>
    <row r="472" spans="1:9" x14ac:dyDescent="0.25">
      <c r="A472" s="45">
        <f t="shared" si="43"/>
        <v>45760</v>
      </c>
      <c r="B472" s="14" cm="1">
        <f t="array" ref="B472">_xlfn.IFNA(INDEX('IR data'!$D$4:$D$61,MATCH(A472,'IR data'!$C$4:$C$61,0)),((INDEX('IR data'!$D$4:$D$61,MATCH(A472,'IR data'!$C$4:$C$61,1)))-((A472-(INDEX('IR data'!$C$4:$C$61,MATCH(A472,'IR data'!$C$4:$C$61,1))))/((INDEX('IR data'!$C$4:$C$61,MATCH(A472,'IR data'!$C$4:$C$61,1)+1)-INDEX('IR data'!$C$4:$C$61,MATCH(A472,'IR data'!$C$4:$C$61,1))))) * (INDEX('IR data'!$D$4:$D$61,MATCH(A472,'IR data'!$C$4:$C$61,1))-(INDEX('IR data'!$D$4:$D$61,MATCH(A472,'IR data'!$C$4:$C$61,1)+1)))))</f>
        <v>0.94030629063736271</v>
      </c>
      <c r="C472" s="30">
        <f t="shared" si="44"/>
        <v>2.0803177690480044E-2</v>
      </c>
      <c r="D472" s="45">
        <f t="shared" si="45"/>
        <v>45820</v>
      </c>
      <c r="E472" s="14" cm="1">
        <f t="array" ref="E472">_xlfn.IFNA(INDEX('IR data'!$I$4:$I$61,MATCH(D472,'IR data'!$H$4:$H$61,0)),((INDEX('IR data'!$I$4:$I$61,MATCH(D472,'IR data'!$H$4:$H$61,1)))-((D472-(INDEX('IR data'!$H$4:$H$61,MATCH(D472,'IR data'!$H$4:$H$61,1))))/((INDEX('IR data'!$H$4:$H$61,MATCH(D472,'IR data'!$H$4:$H$61,1)+1)-INDEX('IR data'!$H$4:$H$61,MATCH(D472,'IR data'!$H$4:$H$61,1))))) * (INDEX('IR data'!$I$4:$I$61,MATCH(D472,'IR data'!$H$4:$H$61,1))-(INDEX('IR data'!$I$4:$I$61,MATCH(D472,'IR data'!$H$4:$H$61,1)+1)))))</f>
        <v>0.93662775847826085</v>
      </c>
      <c r="F472" s="30">
        <f t="shared" si="46"/>
        <v>2.2128008529925282E-2</v>
      </c>
      <c r="G472" s="45">
        <f t="shared" si="42"/>
        <v>45854</v>
      </c>
      <c r="H472" s="14" cm="1">
        <f t="array" ref="H472">_xlfn.IFNA(INDEX('IR data'!$N$4:$N$61,MATCH(G472,'IR data'!$M$4:$M$61,0)),((INDEX('IR data'!$N$4:$N$61,MATCH(G472,'IR data'!$M$4:$M$61,1)))-((G472-(INDEX('IR data'!$M$4:$M$61,MATCH(G472,'IR data'!$M$4:$M$61,1))))/((INDEX('IR data'!$M$4:$M$61,MATCH(G472,'IR data'!$M$4:$M$61,1)+1)-INDEX('IR data'!$M$4:$M$61,MATCH(G472,'IR data'!$M$4:$M$61,1))))) * (INDEX('IR data'!$N$4:$N$61,MATCH(G472,'IR data'!$M$4:$M$61,1))-(INDEX('IR data'!$N$4:$N$61,MATCH(G472,'IR data'!$M$4:$M$61,1)+1)))))</f>
        <v>0.93643620261538463</v>
      </c>
      <c r="I472" s="44">
        <f t="shared" si="47"/>
        <v>2.2197140219505109E-2</v>
      </c>
    </row>
    <row r="473" spans="1:9" x14ac:dyDescent="0.25">
      <c r="A473" s="45">
        <f t="shared" si="43"/>
        <v>45761</v>
      </c>
      <c r="B473" s="14" cm="1">
        <f t="array" ref="B473">_xlfn.IFNA(INDEX('IR data'!$D$4:$D$61,MATCH(A473,'IR data'!$C$4:$C$61,0)),((INDEX('IR data'!$D$4:$D$61,MATCH(A473,'IR data'!$C$4:$C$61,1)))-((A473-(INDEX('IR data'!$C$4:$C$61,MATCH(A473,'IR data'!$C$4:$C$61,1))))/((INDEX('IR data'!$C$4:$C$61,MATCH(A473,'IR data'!$C$4:$C$61,1)+1)-INDEX('IR data'!$C$4:$C$61,MATCH(A473,'IR data'!$C$4:$C$61,1))))) * (INDEX('IR data'!$D$4:$D$61,MATCH(A473,'IR data'!$C$4:$C$61,1))-(INDEX('IR data'!$D$4:$D$61,MATCH(A473,'IR data'!$C$4:$C$61,1)+1)))))</f>
        <v>0.9402121309010989</v>
      </c>
      <c r="C473" s="30">
        <f t="shared" si="44"/>
        <v>2.0792690734519833E-2</v>
      </c>
      <c r="D473" s="45">
        <f t="shared" si="45"/>
        <v>45821</v>
      </c>
      <c r="E473" s="14" cm="1">
        <f t="array" ref="E473">_xlfn.IFNA(INDEX('IR data'!$I$4:$I$61,MATCH(D473,'IR data'!$H$4:$H$61,0)),((INDEX('IR data'!$I$4:$I$61,MATCH(D473,'IR data'!$H$4:$H$61,1)))-((D473-(INDEX('IR data'!$H$4:$H$61,MATCH(D473,'IR data'!$H$4:$H$61,1))))/((INDEX('IR data'!$H$4:$H$61,MATCH(D473,'IR data'!$H$4:$H$61,1)+1)-INDEX('IR data'!$H$4:$H$61,MATCH(D473,'IR data'!$H$4:$H$61,1))))) * (INDEX('IR data'!$I$4:$I$61,MATCH(D473,'IR data'!$H$4:$H$61,1))-(INDEX('IR data'!$I$4:$I$61,MATCH(D473,'IR data'!$H$4:$H$61,1)+1)))))</f>
        <v>0.93651873166304345</v>
      </c>
      <c r="F473" s="30">
        <f t="shared" si="46"/>
        <v>2.2120189523161304E-2</v>
      </c>
      <c r="G473" s="45">
        <f t="shared" si="42"/>
        <v>45855</v>
      </c>
      <c r="H473" s="14" cm="1">
        <f t="array" ref="H473">_xlfn.IFNA(INDEX('IR data'!$N$4:$N$61,MATCH(G473,'IR data'!$M$4:$M$61,0)),((INDEX('IR data'!$N$4:$N$61,MATCH(G473,'IR data'!$M$4:$M$61,1)))-((G473-(INDEX('IR data'!$M$4:$M$61,MATCH(G473,'IR data'!$M$4:$M$61,1))))/((INDEX('IR data'!$M$4:$M$61,MATCH(G473,'IR data'!$M$4:$M$61,1)+1)-INDEX('IR data'!$M$4:$M$61,MATCH(G473,'IR data'!$M$4:$M$61,1))))) * (INDEX('IR data'!$N$4:$N$61,MATCH(G473,'IR data'!$M$4:$M$61,1))-(INDEX('IR data'!$N$4:$N$61,MATCH(G473,'IR data'!$M$4:$M$61,1)+1)))))</f>
        <v>0.93632394746153846</v>
      </c>
      <c r="I473" s="44">
        <f t="shared" si="47"/>
        <v>2.2190345026798289E-2</v>
      </c>
    </row>
    <row r="474" spans="1:9" x14ac:dyDescent="0.25">
      <c r="A474" s="45">
        <f t="shared" si="43"/>
        <v>45762</v>
      </c>
      <c r="B474" s="14" cm="1">
        <f t="array" ref="B474">_xlfn.IFNA(INDEX('IR data'!$D$4:$D$61,MATCH(A474,'IR data'!$C$4:$C$61,0)),((INDEX('IR data'!$D$4:$D$61,MATCH(A474,'IR data'!$C$4:$C$61,1)))-((A474-(INDEX('IR data'!$C$4:$C$61,MATCH(A474,'IR data'!$C$4:$C$61,1))))/((INDEX('IR data'!$C$4:$C$61,MATCH(A474,'IR data'!$C$4:$C$61,1)+1)-INDEX('IR data'!$C$4:$C$61,MATCH(A474,'IR data'!$C$4:$C$61,1))))) * (INDEX('IR data'!$D$4:$D$61,MATCH(A474,'IR data'!$C$4:$C$61,1))-(INDEX('IR data'!$D$4:$D$61,MATCH(A474,'IR data'!$C$4:$C$61,1)+1)))))</f>
        <v>0.9401179711648352</v>
      </c>
      <c r="C474" s="30">
        <f t="shared" si="44"/>
        <v>2.078225168463424E-2</v>
      </c>
      <c r="D474" s="45">
        <f t="shared" si="45"/>
        <v>45822</v>
      </c>
      <c r="E474" s="14" cm="1">
        <f t="array" ref="E474">_xlfn.IFNA(INDEX('IR data'!$I$4:$I$61,MATCH(D474,'IR data'!$H$4:$H$61,0)),((INDEX('IR data'!$I$4:$I$61,MATCH(D474,'IR data'!$H$4:$H$61,1)))-((D474-(INDEX('IR data'!$H$4:$H$61,MATCH(D474,'IR data'!$H$4:$H$61,1))))/((INDEX('IR data'!$H$4:$H$61,MATCH(D474,'IR data'!$H$4:$H$61,1)+1)-INDEX('IR data'!$H$4:$H$61,MATCH(D474,'IR data'!$H$4:$H$61,1))))) * (INDEX('IR data'!$I$4:$I$61,MATCH(D474,'IR data'!$H$4:$H$61,1))-(INDEX('IR data'!$I$4:$I$61,MATCH(D474,'IR data'!$H$4:$H$61,1)+1)))))</f>
        <v>0.93640970484782604</v>
      </c>
      <c r="F474" s="30">
        <f t="shared" si="46"/>
        <v>2.2112408279438747E-2</v>
      </c>
      <c r="G474" s="45">
        <f t="shared" si="42"/>
        <v>45856</v>
      </c>
      <c r="H474" s="14" cm="1">
        <f t="array" ref="H474">_xlfn.IFNA(INDEX('IR data'!$N$4:$N$61,MATCH(G474,'IR data'!$M$4:$M$61,0)),((INDEX('IR data'!$N$4:$N$61,MATCH(G474,'IR data'!$M$4:$M$61,1)))-((G474-(INDEX('IR data'!$M$4:$M$61,MATCH(G474,'IR data'!$M$4:$M$61,1))))/((INDEX('IR data'!$M$4:$M$61,MATCH(G474,'IR data'!$M$4:$M$61,1)+1)-INDEX('IR data'!$M$4:$M$61,MATCH(G474,'IR data'!$M$4:$M$61,1))))) * (INDEX('IR data'!$N$4:$N$61,MATCH(G474,'IR data'!$M$4:$M$61,1))-(INDEX('IR data'!$N$4:$N$61,MATCH(G474,'IR data'!$M$4:$M$61,1)+1)))))</f>
        <v>0.9362116923076923</v>
      </c>
      <c r="I474" s="44">
        <f t="shared" si="47"/>
        <v>2.2183583525864053E-2</v>
      </c>
    </row>
    <row r="475" spans="1:9" x14ac:dyDescent="0.25">
      <c r="A475" s="45">
        <f t="shared" si="43"/>
        <v>45763</v>
      </c>
      <c r="B475" s="14" cm="1">
        <f t="array" ref="B475">_xlfn.IFNA(INDEX('IR data'!$D$4:$D$61,MATCH(A475,'IR data'!$C$4:$C$61,0)),((INDEX('IR data'!$D$4:$D$61,MATCH(A475,'IR data'!$C$4:$C$61,1)))-((A475-(INDEX('IR data'!$C$4:$C$61,MATCH(A475,'IR data'!$C$4:$C$61,1))))/((INDEX('IR data'!$C$4:$C$61,MATCH(A475,'IR data'!$C$4:$C$61,1)+1)-INDEX('IR data'!$C$4:$C$61,MATCH(A475,'IR data'!$C$4:$C$61,1))))) * (INDEX('IR data'!$D$4:$D$61,MATCH(A475,'IR data'!$C$4:$C$61,1))-(INDEX('IR data'!$D$4:$D$61,MATCH(A475,'IR data'!$C$4:$C$61,1)+1)))))</f>
        <v>0.9400238114285715</v>
      </c>
      <c r="C475" s="30">
        <f t="shared" si="44"/>
        <v>2.0771860237010296E-2</v>
      </c>
      <c r="D475" s="45">
        <f t="shared" si="45"/>
        <v>45823</v>
      </c>
      <c r="E475" s="14" cm="1">
        <f t="array" ref="E475">_xlfn.IFNA(INDEX('IR data'!$I$4:$I$61,MATCH(D475,'IR data'!$H$4:$H$61,0)),((INDEX('IR data'!$I$4:$I$61,MATCH(D475,'IR data'!$H$4:$H$61,1)))-((D475-(INDEX('IR data'!$H$4:$H$61,MATCH(D475,'IR data'!$H$4:$H$61,1))))/((INDEX('IR data'!$H$4:$H$61,MATCH(D475,'IR data'!$H$4:$H$61,1)+1)-INDEX('IR data'!$H$4:$H$61,MATCH(D475,'IR data'!$H$4:$H$61,1))))) * (INDEX('IR data'!$I$4:$I$61,MATCH(D475,'IR data'!$H$4:$H$61,1))-(INDEX('IR data'!$I$4:$I$61,MATCH(D475,'IR data'!$H$4:$H$61,1)+1)))))</f>
        <v>0.93630067803260864</v>
      </c>
      <c r="F475" s="30">
        <f t="shared" si="46"/>
        <v>2.2104664559798235E-2</v>
      </c>
      <c r="G475" s="45">
        <f t="shared" si="42"/>
        <v>45857</v>
      </c>
      <c r="H475" s="14" cm="1">
        <f t="array" ref="H475">_xlfn.IFNA(INDEX('IR data'!$N$4:$N$61,MATCH(G475,'IR data'!$M$4:$M$61,0)),((INDEX('IR data'!$N$4:$N$61,MATCH(G475,'IR data'!$M$4:$M$61,1)))-((G475-(INDEX('IR data'!$M$4:$M$61,MATCH(G475,'IR data'!$M$4:$M$61,1))))/((INDEX('IR data'!$M$4:$M$61,MATCH(G475,'IR data'!$M$4:$M$61,1)+1)-INDEX('IR data'!$M$4:$M$61,MATCH(G475,'IR data'!$M$4:$M$61,1))))) * (INDEX('IR data'!$N$4:$N$61,MATCH(G475,'IR data'!$M$4:$M$61,1))-(INDEX('IR data'!$N$4:$N$61,MATCH(G475,'IR data'!$M$4:$M$61,1)+1)))))</f>
        <v>0.93609943715384614</v>
      </c>
      <c r="I475" s="44">
        <f t="shared" si="47"/>
        <v>2.2176855503717442E-2</v>
      </c>
    </row>
    <row r="476" spans="1:9" x14ac:dyDescent="0.25">
      <c r="A476" s="45">
        <f t="shared" si="43"/>
        <v>45764</v>
      </c>
      <c r="B476" s="14" cm="1">
        <f t="array" ref="B476">_xlfn.IFNA(INDEX('IR data'!$D$4:$D$61,MATCH(A476,'IR data'!$C$4:$C$61,0)),((INDEX('IR data'!$D$4:$D$61,MATCH(A476,'IR data'!$C$4:$C$61,1)))-((A476-(INDEX('IR data'!$C$4:$C$61,MATCH(A476,'IR data'!$C$4:$C$61,1))))/((INDEX('IR data'!$C$4:$C$61,MATCH(A476,'IR data'!$C$4:$C$61,1)+1)-INDEX('IR data'!$C$4:$C$61,MATCH(A476,'IR data'!$C$4:$C$61,1))))) * (INDEX('IR data'!$D$4:$D$61,MATCH(A476,'IR data'!$C$4:$C$61,1))-(INDEX('IR data'!$D$4:$D$61,MATCH(A476,'IR data'!$C$4:$C$61,1)+1)))))</f>
        <v>0.93992965169230769</v>
      </c>
      <c r="C476" s="30">
        <f t="shared" si="44"/>
        <v>2.076151609040449E-2</v>
      </c>
      <c r="D476" s="45">
        <f t="shared" si="45"/>
        <v>45824</v>
      </c>
      <c r="E476" s="14" cm="1">
        <f t="array" ref="E476">_xlfn.IFNA(INDEX('IR data'!$I$4:$I$61,MATCH(D476,'IR data'!$H$4:$H$61,0)),((INDEX('IR data'!$I$4:$I$61,MATCH(D476,'IR data'!$H$4:$H$61,1)))-((D476-(INDEX('IR data'!$H$4:$H$61,MATCH(D476,'IR data'!$H$4:$H$61,1))))/((INDEX('IR data'!$H$4:$H$61,MATCH(D476,'IR data'!$H$4:$H$61,1)+1)-INDEX('IR data'!$H$4:$H$61,MATCH(D476,'IR data'!$H$4:$H$61,1))))) * (INDEX('IR data'!$I$4:$I$61,MATCH(D476,'IR data'!$H$4:$H$61,1))-(INDEX('IR data'!$I$4:$I$61,MATCH(D476,'IR data'!$H$4:$H$61,1)+1)))))</f>
        <v>0.93619165121739134</v>
      </c>
      <c r="F476" s="30">
        <f t="shared" si="46"/>
        <v>2.2096958127301537E-2</v>
      </c>
      <c r="G476" s="45">
        <f t="shared" si="42"/>
        <v>45858</v>
      </c>
      <c r="H476" s="14" cm="1">
        <f t="array" ref="H476">_xlfn.IFNA(INDEX('IR data'!$N$4:$N$61,MATCH(G476,'IR data'!$M$4:$M$61,0)),((INDEX('IR data'!$N$4:$N$61,MATCH(G476,'IR data'!$M$4:$M$61,1)))-((G476-(INDEX('IR data'!$M$4:$M$61,MATCH(G476,'IR data'!$M$4:$M$61,1))))/((INDEX('IR data'!$M$4:$M$61,MATCH(G476,'IR data'!$M$4:$M$61,1)+1)-INDEX('IR data'!$M$4:$M$61,MATCH(G476,'IR data'!$M$4:$M$61,1))))) * (INDEX('IR data'!$N$4:$N$61,MATCH(G476,'IR data'!$M$4:$M$61,1))-(INDEX('IR data'!$N$4:$N$61,MATCH(G476,'IR data'!$M$4:$M$61,1)+1)))))</f>
        <v>0.93598718199999997</v>
      </c>
      <c r="I476" s="44">
        <f t="shared" si="47"/>
        <v>2.2170160749175057E-2</v>
      </c>
    </row>
    <row r="477" spans="1:9" x14ac:dyDescent="0.25">
      <c r="A477" s="45">
        <f t="shared" si="43"/>
        <v>45765</v>
      </c>
      <c r="B477" s="14" cm="1">
        <f t="array" ref="B477">_xlfn.IFNA(INDEX('IR data'!$D$4:$D$61,MATCH(A477,'IR data'!$C$4:$C$61,0)),((INDEX('IR data'!$D$4:$D$61,MATCH(A477,'IR data'!$C$4:$C$61,1)))-((A477-(INDEX('IR data'!$C$4:$C$61,MATCH(A477,'IR data'!$C$4:$C$61,1))))/((INDEX('IR data'!$C$4:$C$61,MATCH(A477,'IR data'!$C$4:$C$61,1)+1)-INDEX('IR data'!$C$4:$C$61,MATCH(A477,'IR data'!$C$4:$C$61,1))))) * (INDEX('IR data'!$D$4:$D$61,MATCH(A477,'IR data'!$C$4:$C$61,1))-(INDEX('IR data'!$D$4:$D$61,MATCH(A477,'IR data'!$C$4:$C$61,1)+1)))))</f>
        <v>0.93983549195604399</v>
      </c>
      <c r="C477" s="30">
        <f t="shared" si="44"/>
        <v>2.0751218946115518E-2</v>
      </c>
      <c r="D477" s="45">
        <f t="shared" si="45"/>
        <v>45825</v>
      </c>
      <c r="E477" s="14" cm="1">
        <f t="array" ref="E477">_xlfn.IFNA(INDEX('IR data'!$I$4:$I$61,MATCH(D477,'IR data'!$H$4:$H$61,0)),((INDEX('IR data'!$I$4:$I$61,MATCH(D477,'IR data'!$H$4:$H$61,1)))-((D477-(INDEX('IR data'!$H$4:$H$61,MATCH(D477,'IR data'!$H$4:$H$61,1))))/((INDEX('IR data'!$H$4:$H$61,MATCH(D477,'IR data'!$H$4:$H$61,1)+1)-INDEX('IR data'!$H$4:$H$61,MATCH(D477,'IR data'!$H$4:$H$61,1))))) * (INDEX('IR data'!$I$4:$I$61,MATCH(D477,'IR data'!$H$4:$H$61,1))-(INDEX('IR data'!$I$4:$I$61,MATCH(D477,'IR data'!$H$4:$H$61,1)+1)))))</f>
        <v>0.93608262440217394</v>
      </c>
      <c r="F477" s="30">
        <f t="shared" si="46"/>
        <v>2.2089288747010376E-2</v>
      </c>
      <c r="G477" s="45">
        <f t="shared" si="42"/>
        <v>45859</v>
      </c>
      <c r="H477" s="14" cm="1">
        <f t="array" ref="H477">_xlfn.IFNA(INDEX('IR data'!$N$4:$N$61,MATCH(G477,'IR data'!$M$4:$M$61,0)),((INDEX('IR data'!$N$4:$N$61,MATCH(G477,'IR data'!$M$4:$M$61,1)))-((G477-(INDEX('IR data'!$M$4:$M$61,MATCH(G477,'IR data'!$M$4:$M$61,1))))/((INDEX('IR data'!$M$4:$M$61,MATCH(G477,'IR data'!$M$4:$M$61,1)+1)-INDEX('IR data'!$M$4:$M$61,MATCH(G477,'IR data'!$M$4:$M$61,1))))) * (INDEX('IR data'!$N$4:$N$61,MATCH(G477,'IR data'!$M$4:$M$61,1))-(INDEX('IR data'!$N$4:$N$61,MATCH(G477,'IR data'!$M$4:$M$61,1)+1)))))</f>
        <v>0.93587492684615381</v>
      </c>
      <c r="I477" s="44">
        <f t="shared" si="47"/>
        <v>2.2163499052836048E-2</v>
      </c>
    </row>
    <row r="478" spans="1:9" x14ac:dyDescent="0.25">
      <c r="A478" s="45">
        <f t="shared" si="43"/>
        <v>45766</v>
      </c>
      <c r="B478" s="14" cm="1">
        <f t="array" ref="B478">_xlfn.IFNA(INDEX('IR data'!$D$4:$D$61,MATCH(A478,'IR data'!$C$4:$C$61,0)),((INDEX('IR data'!$D$4:$D$61,MATCH(A478,'IR data'!$C$4:$C$61,1)))-((A478-(INDEX('IR data'!$C$4:$C$61,MATCH(A478,'IR data'!$C$4:$C$61,1))))/((INDEX('IR data'!$C$4:$C$61,MATCH(A478,'IR data'!$C$4:$C$61,1)+1)-INDEX('IR data'!$C$4:$C$61,MATCH(A478,'IR data'!$C$4:$C$61,1))))) * (INDEX('IR data'!$D$4:$D$61,MATCH(A478,'IR data'!$C$4:$C$61,1))-(INDEX('IR data'!$D$4:$D$61,MATCH(A478,'IR data'!$C$4:$C$61,1)+1)))))</f>
        <v>0.93974133221978029</v>
      </c>
      <c r="C478" s="30">
        <f t="shared" si="44"/>
        <v>2.0740968507957782E-2</v>
      </c>
      <c r="D478" s="45">
        <f t="shared" si="45"/>
        <v>45826</v>
      </c>
      <c r="E478" s="14" cm="1">
        <f t="array" ref="E478">_xlfn.IFNA(INDEX('IR data'!$I$4:$I$61,MATCH(D478,'IR data'!$H$4:$H$61,0)),((INDEX('IR data'!$I$4:$I$61,MATCH(D478,'IR data'!$H$4:$H$61,1)))-((D478-(INDEX('IR data'!$H$4:$H$61,MATCH(D478,'IR data'!$H$4:$H$61,1))))/((INDEX('IR data'!$H$4:$H$61,MATCH(D478,'IR data'!$H$4:$H$61,1)+1)-INDEX('IR data'!$H$4:$H$61,MATCH(D478,'IR data'!$H$4:$H$61,1))))) * (INDEX('IR data'!$I$4:$I$61,MATCH(D478,'IR data'!$H$4:$H$61,1))-(INDEX('IR data'!$I$4:$I$61,MATCH(D478,'IR data'!$H$4:$H$61,1)+1)))))</f>
        <v>0.93597359758695653</v>
      </c>
      <c r="F478" s="30">
        <f t="shared" si="46"/>
        <v>2.2081656185965162E-2</v>
      </c>
      <c r="G478" s="45">
        <f t="shared" si="42"/>
        <v>45860</v>
      </c>
      <c r="H478" s="14" cm="1">
        <f t="array" ref="H478">_xlfn.IFNA(INDEX('IR data'!$N$4:$N$61,MATCH(G478,'IR data'!$M$4:$M$61,0)),((INDEX('IR data'!$N$4:$N$61,MATCH(G478,'IR data'!$M$4:$M$61,1)))-((G478-(INDEX('IR data'!$M$4:$M$61,MATCH(G478,'IR data'!$M$4:$M$61,1))))/((INDEX('IR data'!$M$4:$M$61,MATCH(G478,'IR data'!$M$4:$M$61,1)+1)-INDEX('IR data'!$M$4:$M$61,MATCH(G478,'IR data'!$M$4:$M$61,1))))) * (INDEX('IR data'!$N$4:$N$61,MATCH(G478,'IR data'!$M$4:$M$61,1))-(INDEX('IR data'!$N$4:$N$61,MATCH(G478,'IR data'!$M$4:$M$61,1)+1)))))</f>
        <v>0.93576267169230765</v>
      </c>
      <c r="I478" s="44">
        <f t="shared" si="47"/>
        <v>2.2156870207063362E-2</v>
      </c>
    </row>
    <row r="479" spans="1:9" x14ac:dyDescent="0.25">
      <c r="A479" s="45">
        <f t="shared" si="43"/>
        <v>45767</v>
      </c>
      <c r="B479" s="14" cm="1">
        <f t="array" ref="B479">_xlfn.IFNA(INDEX('IR data'!$D$4:$D$61,MATCH(A479,'IR data'!$C$4:$C$61,0)),((INDEX('IR data'!$D$4:$D$61,MATCH(A479,'IR data'!$C$4:$C$61,1)))-((A479-(INDEX('IR data'!$C$4:$C$61,MATCH(A479,'IR data'!$C$4:$C$61,1))))/((INDEX('IR data'!$C$4:$C$61,MATCH(A479,'IR data'!$C$4:$C$61,1)+1)-INDEX('IR data'!$C$4:$C$61,MATCH(A479,'IR data'!$C$4:$C$61,1))))) * (INDEX('IR data'!$D$4:$D$61,MATCH(A479,'IR data'!$C$4:$C$61,1))-(INDEX('IR data'!$D$4:$D$61,MATCH(A479,'IR data'!$C$4:$C$61,1)+1)))))</f>
        <v>0.93964717248351648</v>
      </c>
      <c r="C479" s="30">
        <f t="shared" si="44"/>
        <v>2.0730764482234851E-2</v>
      </c>
      <c r="D479" s="45">
        <f t="shared" si="45"/>
        <v>45827</v>
      </c>
      <c r="E479" s="14" cm="1">
        <f t="array" ref="E479">_xlfn.IFNA(INDEX('IR data'!$I$4:$I$61,MATCH(D479,'IR data'!$H$4:$H$61,0)),((INDEX('IR data'!$I$4:$I$61,MATCH(D479,'IR data'!$H$4:$H$61,1)))-((D479-(INDEX('IR data'!$H$4:$H$61,MATCH(D479,'IR data'!$H$4:$H$61,1))))/((INDEX('IR data'!$H$4:$H$61,MATCH(D479,'IR data'!$H$4:$H$61,1)+1)-INDEX('IR data'!$H$4:$H$61,MATCH(D479,'IR data'!$H$4:$H$61,1))))) * (INDEX('IR data'!$I$4:$I$61,MATCH(D479,'IR data'!$H$4:$H$61,1))-(INDEX('IR data'!$I$4:$I$61,MATCH(D479,'IR data'!$H$4:$H$61,1)+1)))))</f>
        <v>0.93586457077173912</v>
      </c>
      <c r="F479" s="30">
        <f t="shared" si="46"/>
        <v>2.2074060213164354E-2</v>
      </c>
      <c r="G479" s="45">
        <f t="shared" si="42"/>
        <v>45861</v>
      </c>
      <c r="H479" s="14" cm="1">
        <f t="array" ref="H479">_xlfn.IFNA(INDEX('IR data'!$N$4:$N$61,MATCH(G479,'IR data'!$M$4:$M$61,0)),((INDEX('IR data'!$N$4:$N$61,MATCH(G479,'IR data'!$M$4:$M$61,1)))-((G479-(INDEX('IR data'!$M$4:$M$61,MATCH(G479,'IR data'!$M$4:$M$61,1))))/((INDEX('IR data'!$M$4:$M$61,MATCH(G479,'IR data'!$M$4:$M$61,1)+1)-INDEX('IR data'!$M$4:$M$61,MATCH(G479,'IR data'!$M$4:$M$61,1))))) * (INDEX('IR data'!$N$4:$N$61,MATCH(G479,'IR data'!$M$4:$M$61,1))-(INDEX('IR data'!$N$4:$N$61,MATCH(G479,'IR data'!$M$4:$M$61,1)+1)))))</f>
        <v>0.93565041653846148</v>
      </c>
      <c r="I479" s="44">
        <f t="shared" si="47"/>
        <v>2.2150274005965215E-2</v>
      </c>
    </row>
    <row r="480" spans="1:9" x14ac:dyDescent="0.25">
      <c r="A480" s="45">
        <f t="shared" si="43"/>
        <v>45768</v>
      </c>
      <c r="B480" s="14" cm="1">
        <f t="array" ref="B480">_xlfn.IFNA(INDEX('IR data'!$D$4:$D$61,MATCH(A480,'IR data'!$C$4:$C$61,0)),((INDEX('IR data'!$D$4:$D$61,MATCH(A480,'IR data'!$C$4:$C$61,1)))-((A480-(INDEX('IR data'!$C$4:$C$61,MATCH(A480,'IR data'!$C$4:$C$61,1))))/((INDEX('IR data'!$C$4:$C$61,MATCH(A480,'IR data'!$C$4:$C$61,1)+1)-INDEX('IR data'!$C$4:$C$61,MATCH(A480,'IR data'!$C$4:$C$61,1))))) * (INDEX('IR data'!$D$4:$D$61,MATCH(A480,'IR data'!$C$4:$C$61,1))-(INDEX('IR data'!$D$4:$D$61,MATCH(A480,'IR data'!$C$4:$C$61,1)+1)))))</f>
        <v>0.93955301274725278</v>
      </c>
      <c r="C480" s="30">
        <f t="shared" si="44"/>
        <v>2.072060657771322E-2</v>
      </c>
      <c r="D480" s="45">
        <f t="shared" si="45"/>
        <v>45828</v>
      </c>
      <c r="E480" s="14" cm="1">
        <f t="array" ref="E480">_xlfn.IFNA(INDEX('IR data'!$I$4:$I$61,MATCH(D480,'IR data'!$H$4:$H$61,0)),((INDEX('IR data'!$I$4:$I$61,MATCH(D480,'IR data'!$H$4:$H$61,1)))-((D480-(INDEX('IR data'!$H$4:$H$61,MATCH(D480,'IR data'!$H$4:$H$61,1))))/((INDEX('IR data'!$H$4:$H$61,MATCH(D480,'IR data'!$H$4:$H$61,1)+1)-INDEX('IR data'!$H$4:$H$61,MATCH(D480,'IR data'!$H$4:$H$61,1))))) * (INDEX('IR data'!$I$4:$I$61,MATCH(D480,'IR data'!$H$4:$H$61,1))-(INDEX('IR data'!$I$4:$I$61,MATCH(D480,'IR data'!$H$4:$H$61,1)+1)))))</f>
        <v>0.93575554395652172</v>
      </c>
      <c r="F480" s="30">
        <f t="shared" si="46"/>
        <v>2.2066500599543893E-2</v>
      </c>
      <c r="G480" s="45">
        <f t="shared" si="42"/>
        <v>45862</v>
      </c>
      <c r="H480" s="14" cm="1">
        <f t="array" ref="H480">_xlfn.IFNA(INDEX('IR data'!$N$4:$N$61,MATCH(G480,'IR data'!$M$4:$M$61,0)),((INDEX('IR data'!$N$4:$N$61,MATCH(G480,'IR data'!$M$4:$M$61,1)))-((G480-(INDEX('IR data'!$M$4:$M$61,MATCH(G480,'IR data'!$M$4:$M$61,1))))/((INDEX('IR data'!$M$4:$M$61,MATCH(G480,'IR data'!$M$4:$M$61,1)+1)-INDEX('IR data'!$M$4:$M$61,MATCH(G480,'IR data'!$M$4:$M$61,1))))) * (INDEX('IR data'!$N$4:$N$61,MATCH(G480,'IR data'!$M$4:$M$61,1))-(INDEX('IR data'!$N$4:$N$61,MATCH(G480,'IR data'!$M$4:$M$61,1)+1)))))</f>
        <v>0.93553816138461532</v>
      </c>
      <c r="I480" s="44">
        <f t="shared" si="47"/>
        <v>2.2143710245376775E-2</v>
      </c>
    </row>
    <row r="481" spans="1:9" x14ac:dyDescent="0.25">
      <c r="A481" s="45">
        <f t="shared" si="43"/>
        <v>45769</v>
      </c>
      <c r="B481" s="14" cm="1">
        <f t="array" ref="B481">_xlfn.IFNA(INDEX('IR data'!$D$4:$D$61,MATCH(A481,'IR data'!$C$4:$C$61,0)),((INDEX('IR data'!$D$4:$D$61,MATCH(A481,'IR data'!$C$4:$C$61,1)))-((A481-(INDEX('IR data'!$C$4:$C$61,MATCH(A481,'IR data'!$C$4:$C$61,1))))/((INDEX('IR data'!$C$4:$C$61,MATCH(A481,'IR data'!$C$4:$C$61,1)+1)-INDEX('IR data'!$C$4:$C$61,MATCH(A481,'IR data'!$C$4:$C$61,1))))) * (INDEX('IR data'!$D$4:$D$61,MATCH(A481,'IR data'!$C$4:$C$61,1))-(INDEX('IR data'!$D$4:$D$61,MATCH(A481,'IR data'!$C$4:$C$61,1)+1)))))</f>
        <v>0.93945885301098908</v>
      </c>
      <c r="C481" s="30">
        <f t="shared" si="44"/>
        <v>2.0710494505596824E-2</v>
      </c>
      <c r="D481" s="45">
        <f t="shared" si="45"/>
        <v>45829</v>
      </c>
      <c r="E481" s="14" cm="1">
        <f t="array" ref="E481">_xlfn.IFNA(INDEX('IR data'!$I$4:$I$61,MATCH(D481,'IR data'!$H$4:$H$61,0)),((INDEX('IR data'!$I$4:$I$61,MATCH(D481,'IR data'!$H$4:$H$61,1)))-((D481-(INDEX('IR data'!$H$4:$H$61,MATCH(D481,'IR data'!$H$4:$H$61,1))))/((INDEX('IR data'!$H$4:$H$61,MATCH(D481,'IR data'!$H$4:$H$61,1)+1)-INDEX('IR data'!$H$4:$H$61,MATCH(D481,'IR data'!$H$4:$H$61,1))))) * (INDEX('IR data'!$I$4:$I$61,MATCH(D481,'IR data'!$H$4:$H$61,1))-(INDEX('IR data'!$I$4:$I$61,MATCH(D481,'IR data'!$H$4:$H$61,1)+1)))))</f>
        <v>0.93564651714130431</v>
      </c>
      <c r="F481" s="30">
        <f t="shared" si="46"/>
        <v>2.2058977117956943E-2</v>
      </c>
      <c r="G481" s="45">
        <f t="shared" si="42"/>
        <v>45863</v>
      </c>
      <c r="H481" s="14" cm="1">
        <f t="array" ref="H481">_xlfn.IFNA(INDEX('IR data'!$N$4:$N$61,MATCH(G481,'IR data'!$M$4:$M$61,0)),((INDEX('IR data'!$N$4:$N$61,MATCH(G481,'IR data'!$M$4:$M$61,1)))-((G481-(INDEX('IR data'!$M$4:$M$61,MATCH(G481,'IR data'!$M$4:$M$61,1))))/((INDEX('IR data'!$M$4:$M$61,MATCH(G481,'IR data'!$M$4:$M$61,1)+1)-INDEX('IR data'!$M$4:$M$61,MATCH(G481,'IR data'!$M$4:$M$61,1))))) * (INDEX('IR data'!$N$4:$N$61,MATCH(G481,'IR data'!$M$4:$M$61,1))-(INDEX('IR data'!$N$4:$N$61,MATCH(G481,'IR data'!$M$4:$M$61,1)+1)))))</f>
        <v>0.93542590623076927</v>
      </c>
      <c r="I481" s="44">
        <f t="shared" si="47"/>
        <v>2.2137178722842089E-2</v>
      </c>
    </row>
    <row r="482" spans="1:9" x14ac:dyDescent="0.25">
      <c r="A482" s="45">
        <f t="shared" si="43"/>
        <v>45770</v>
      </c>
      <c r="B482" s="14" cm="1">
        <f t="array" ref="B482">_xlfn.IFNA(INDEX('IR data'!$D$4:$D$61,MATCH(A482,'IR data'!$C$4:$C$61,0)),((INDEX('IR data'!$D$4:$D$61,MATCH(A482,'IR data'!$C$4:$C$61,1)))-((A482-(INDEX('IR data'!$C$4:$C$61,MATCH(A482,'IR data'!$C$4:$C$61,1))))/((INDEX('IR data'!$C$4:$C$61,MATCH(A482,'IR data'!$C$4:$C$61,1)+1)-INDEX('IR data'!$C$4:$C$61,MATCH(A482,'IR data'!$C$4:$C$61,1))))) * (INDEX('IR data'!$D$4:$D$61,MATCH(A482,'IR data'!$C$4:$C$61,1))-(INDEX('IR data'!$D$4:$D$61,MATCH(A482,'IR data'!$C$4:$C$61,1)+1)))))</f>
        <v>0.93936469327472527</v>
      </c>
      <c r="C482" s="30">
        <f t="shared" si="44"/>
        <v>2.0700427979501439E-2</v>
      </c>
      <c r="D482" s="45">
        <f t="shared" si="45"/>
        <v>45830</v>
      </c>
      <c r="E482" s="14" cm="1">
        <f t="array" ref="E482">_xlfn.IFNA(INDEX('IR data'!$I$4:$I$61,MATCH(D482,'IR data'!$H$4:$H$61,0)),((INDEX('IR data'!$I$4:$I$61,MATCH(D482,'IR data'!$H$4:$H$61,1)))-((D482-(INDEX('IR data'!$H$4:$H$61,MATCH(D482,'IR data'!$H$4:$H$61,1))))/((INDEX('IR data'!$H$4:$H$61,MATCH(D482,'IR data'!$H$4:$H$61,1)+1)-INDEX('IR data'!$H$4:$H$61,MATCH(D482,'IR data'!$H$4:$H$61,1))))) * (INDEX('IR data'!$I$4:$I$61,MATCH(D482,'IR data'!$H$4:$H$61,1))-(INDEX('IR data'!$I$4:$I$61,MATCH(D482,'IR data'!$H$4:$H$61,1)+1)))))</f>
        <v>0.93553749032608691</v>
      </c>
      <c r="F482" s="30">
        <f t="shared" si="46"/>
        <v>2.205148954315387E-2</v>
      </c>
      <c r="G482" s="45">
        <f t="shared" si="42"/>
        <v>45864</v>
      </c>
      <c r="H482" s="14" cm="1">
        <f t="array" ref="H482">_xlfn.IFNA(INDEX('IR data'!$N$4:$N$61,MATCH(G482,'IR data'!$M$4:$M$61,0)),((INDEX('IR data'!$N$4:$N$61,MATCH(G482,'IR data'!$M$4:$M$61,1)))-((G482-(INDEX('IR data'!$M$4:$M$61,MATCH(G482,'IR data'!$M$4:$M$61,1))))/((INDEX('IR data'!$M$4:$M$61,MATCH(G482,'IR data'!$M$4:$M$61,1)+1)-INDEX('IR data'!$M$4:$M$61,MATCH(G482,'IR data'!$M$4:$M$61,1))))) * (INDEX('IR data'!$N$4:$N$61,MATCH(G482,'IR data'!$M$4:$M$61,1))-(INDEX('IR data'!$N$4:$N$61,MATCH(G482,'IR data'!$M$4:$M$61,1)+1)))))</f>
        <v>0.9353136510769231</v>
      </c>
      <c r="I482" s="44">
        <f t="shared" si="47"/>
        <v>2.213067923759638E-2</v>
      </c>
    </row>
    <row r="483" spans="1:9" x14ac:dyDescent="0.25">
      <c r="A483" s="45">
        <f t="shared" si="43"/>
        <v>45771</v>
      </c>
      <c r="B483" s="14" cm="1">
        <f t="array" ref="B483">_xlfn.IFNA(INDEX('IR data'!$D$4:$D$61,MATCH(A483,'IR data'!$C$4:$C$61,0)),((INDEX('IR data'!$D$4:$D$61,MATCH(A483,'IR data'!$C$4:$C$61,1)))-((A483-(INDEX('IR data'!$C$4:$C$61,MATCH(A483,'IR data'!$C$4:$C$61,1))))/((INDEX('IR data'!$C$4:$C$61,MATCH(A483,'IR data'!$C$4:$C$61,1)+1)-INDEX('IR data'!$C$4:$C$61,MATCH(A483,'IR data'!$C$4:$C$61,1))))) * (INDEX('IR data'!$D$4:$D$61,MATCH(A483,'IR data'!$C$4:$C$61,1))-(INDEX('IR data'!$D$4:$D$61,MATCH(A483,'IR data'!$C$4:$C$61,1)+1)))))</f>
        <v>0.93927053353846157</v>
      </c>
      <c r="C483" s="30">
        <f t="shared" si="44"/>
        <v>2.0690406715429467E-2</v>
      </c>
      <c r="D483" s="45">
        <f t="shared" si="45"/>
        <v>45831</v>
      </c>
      <c r="E483" s="14" cm="1">
        <f t="array" ref="E483">_xlfn.IFNA(INDEX('IR data'!$I$4:$I$61,MATCH(D483,'IR data'!$H$4:$H$61,0)),((INDEX('IR data'!$I$4:$I$61,MATCH(D483,'IR data'!$H$4:$H$61,1)))-((D483-(INDEX('IR data'!$H$4:$H$61,MATCH(D483,'IR data'!$H$4:$H$61,1))))/((INDEX('IR data'!$H$4:$H$61,MATCH(D483,'IR data'!$H$4:$H$61,1)+1)-INDEX('IR data'!$H$4:$H$61,MATCH(D483,'IR data'!$H$4:$H$61,1))))) * (INDEX('IR data'!$I$4:$I$61,MATCH(D483,'IR data'!$H$4:$H$61,1))-(INDEX('IR data'!$I$4:$I$61,MATCH(D483,'IR data'!$H$4:$H$61,1)+1)))))</f>
        <v>0.9354284635108695</v>
      </c>
      <c r="F483" s="30">
        <f t="shared" si="46"/>
        <v>2.2044037651762504E-2</v>
      </c>
      <c r="G483" s="45">
        <f t="shared" si="42"/>
        <v>45865</v>
      </c>
      <c r="H483" s="14" cm="1">
        <f t="array" ref="H483">_xlfn.IFNA(INDEX('IR data'!$N$4:$N$61,MATCH(G483,'IR data'!$M$4:$M$61,0)),((INDEX('IR data'!$N$4:$N$61,MATCH(G483,'IR data'!$M$4:$M$61,1)))-((G483-(INDEX('IR data'!$M$4:$M$61,MATCH(G483,'IR data'!$M$4:$M$61,1))))/((INDEX('IR data'!$M$4:$M$61,MATCH(G483,'IR data'!$M$4:$M$61,1)+1)-INDEX('IR data'!$M$4:$M$61,MATCH(G483,'IR data'!$M$4:$M$61,1))))) * (INDEX('IR data'!$N$4:$N$61,MATCH(G483,'IR data'!$M$4:$M$61,1))-(INDEX('IR data'!$N$4:$N$61,MATCH(G483,'IR data'!$M$4:$M$61,1)+1)))))</f>
        <v>0.93520139592307694</v>
      </c>
      <c r="I483" s="44">
        <f t="shared" si="47"/>
        <v>2.2124211590548212E-2</v>
      </c>
    </row>
    <row r="484" spans="1:9" x14ac:dyDescent="0.25">
      <c r="A484" s="45">
        <f t="shared" si="43"/>
        <v>45772</v>
      </c>
      <c r="B484" s="14" cm="1">
        <f t="array" ref="B484">_xlfn.IFNA(INDEX('IR data'!$D$4:$D$61,MATCH(A484,'IR data'!$C$4:$C$61,0)),((INDEX('IR data'!$D$4:$D$61,MATCH(A484,'IR data'!$C$4:$C$61,1)))-((A484-(INDEX('IR data'!$C$4:$C$61,MATCH(A484,'IR data'!$C$4:$C$61,1))))/((INDEX('IR data'!$C$4:$C$61,MATCH(A484,'IR data'!$C$4:$C$61,1)+1)-INDEX('IR data'!$C$4:$C$61,MATCH(A484,'IR data'!$C$4:$C$61,1))))) * (INDEX('IR data'!$D$4:$D$61,MATCH(A484,'IR data'!$C$4:$C$61,1))-(INDEX('IR data'!$D$4:$D$61,MATCH(A484,'IR data'!$C$4:$C$61,1)+1)))))</f>
        <v>0.93917637380219787</v>
      </c>
      <c r="C484" s="30">
        <f t="shared" si="44"/>
        <v>2.0680430431745351E-2</v>
      </c>
      <c r="D484" s="45">
        <f t="shared" si="45"/>
        <v>45832</v>
      </c>
      <c r="E484" s="14" cm="1">
        <f t="array" ref="E484">_xlfn.IFNA(INDEX('IR data'!$I$4:$I$61,MATCH(D484,'IR data'!$H$4:$H$61,0)),((INDEX('IR data'!$I$4:$I$61,MATCH(D484,'IR data'!$H$4:$H$61,1)))-((D484-(INDEX('IR data'!$H$4:$H$61,MATCH(D484,'IR data'!$H$4:$H$61,1))))/((INDEX('IR data'!$H$4:$H$61,MATCH(D484,'IR data'!$H$4:$H$61,1)+1)-INDEX('IR data'!$H$4:$H$61,MATCH(D484,'IR data'!$H$4:$H$61,1))))) * (INDEX('IR data'!$I$4:$I$61,MATCH(D484,'IR data'!$H$4:$H$61,1))-(INDEX('IR data'!$I$4:$I$61,MATCH(D484,'IR data'!$H$4:$H$61,1)+1)))))</f>
        <v>0.93531943669565221</v>
      </c>
      <c r="F484" s="30">
        <f t="shared" si="46"/>
        <v>2.2036621222268543E-2</v>
      </c>
      <c r="G484" s="45">
        <f t="shared" si="42"/>
        <v>45866</v>
      </c>
      <c r="H484" s="14" cm="1">
        <f t="array" ref="H484">_xlfn.IFNA(INDEX('IR data'!$N$4:$N$61,MATCH(G484,'IR data'!$M$4:$M$61,0)),((INDEX('IR data'!$N$4:$N$61,MATCH(G484,'IR data'!$M$4:$M$61,1)))-((G484-(INDEX('IR data'!$M$4:$M$61,MATCH(G484,'IR data'!$M$4:$M$61,1))))/((INDEX('IR data'!$M$4:$M$61,MATCH(G484,'IR data'!$M$4:$M$61,1)+1)-INDEX('IR data'!$M$4:$M$61,MATCH(G484,'IR data'!$M$4:$M$61,1))))) * (INDEX('IR data'!$N$4:$N$61,MATCH(G484,'IR data'!$M$4:$M$61,1))-(INDEX('IR data'!$N$4:$N$61,MATCH(G484,'IR data'!$M$4:$M$61,1)+1)))))</f>
        <v>0.93508914076923078</v>
      </c>
      <c r="I484" s="44">
        <f t="shared" si="47"/>
        <v>2.2117775584262232E-2</v>
      </c>
    </row>
    <row r="485" spans="1:9" x14ac:dyDescent="0.25">
      <c r="A485" s="45">
        <f t="shared" si="43"/>
        <v>45773</v>
      </c>
      <c r="B485" s="14" cm="1">
        <f t="array" ref="B485">_xlfn.IFNA(INDEX('IR data'!$D$4:$D$61,MATCH(A485,'IR data'!$C$4:$C$61,0)),((INDEX('IR data'!$D$4:$D$61,MATCH(A485,'IR data'!$C$4:$C$61,1)))-((A485-(INDEX('IR data'!$C$4:$C$61,MATCH(A485,'IR data'!$C$4:$C$61,1))))/((INDEX('IR data'!$C$4:$C$61,MATCH(A485,'IR data'!$C$4:$C$61,1)+1)-INDEX('IR data'!$C$4:$C$61,MATCH(A485,'IR data'!$C$4:$C$61,1))))) * (INDEX('IR data'!$D$4:$D$61,MATCH(A485,'IR data'!$C$4:$C$61,1))-(INDEX('IR data'!$D$4:$D$61,MATCH(A485,'IR data'!$C$4:$C$61,1)+1)))))</f>
        <v>0.93908221406593406</v>
      </c>
      <c r="C485" s="30">
        <f t="shared" si="44"/>
        <v>2.067049884915096E-2</v>
      </c>
      <c r="D485" s="45">
        <f t="shared" si="45"/>
        <v>45833</v>
      </c>
      <c r="E485" s="14" cm="1">
        <f t="array" ref="E485">_xlfn.IFNA(INDEX('IR data'!$I$4:$I$61,MATCH(D485,'IR data'!$H$4:$H$61,0)),((INDEX('IR data'!$I$4:$I$61,MATCH(D485,'IR data'!$H$4:$H$61,1)))-((D485-(INDEX('IR data'!$H$4:$H$61,MATCH(D485,'IR data'!$H$4:$H$61,1))))/((INDEX('IR data'!$H$4:$H$61,MATCH(D485,'IR data'!$H$4:$H$61,1)+1)-INDEX('IR data'!$H$4:$H$61,MATCH(D485,'IR data'!$H$4:$H$61,1))))) * (INDEX('IR data'!$I$4:$I$61,MATCH(D485,'IR data'!$H$4:$H$61,1))-(INDEX('IR data'!$I$4:$I$61,MATCH(D485,'IR data'!$H$4:$H$61,1)+1)))))</f>
        <v>0.9352104098804348</v>
      </c>
      <c r="F485" s="30">
        <f t="shared" si="46"/>
        <v>2.2029240034996476E-2</v>
      </c>
      <c r="G485" s="45">
        <f t="shared" si="42"/>
        <v>45867</v>
      </c>
      <c r="H485" s="14" cm="1">
        <f t="array" ref="H485">_xlfn.IFNA(INDEX('IR data'!$N$4:$N$61,MATCH(G485,'IR data'!$M$4:$M$61,0)),((INDEX('IR data'!$N$4:$N$61,MATCH(G485,'IR data'!$M$4:$M$61,1)))-((G485-(INDEX('IR data'!$M$4:$M$61,MATCH(G485,'IR data'!$M$4:$M$61,1))))/((INDEX('IR data'!$M$4:$M$61,MATCH(G485,'IR data'!$M$4:$M$61,1)+1)-INDEX('IR data'!$M$4:$M$61,MATCH(G485,'IR data'!$M$4:$M$61,1))))) * (INDEX('IR data'!$N$4:$N$61,MATCH(G485,'IR data'!$M$4:$M$61,1))-(INDEX('IR data'!$N$4:$N$61,MATCH(G485,'IR data'!$M$4:$M$61,1)+1)))))</f>
        <v>0.93497688561538461</v>
      </c>
      <c r="I485" s="44">
        <f t="shared" si="47"/>
        <v>2.2111371022941979E-2</v>
      </c>
    </row>
    <row r="486" spans="1:9" x14ac:dyDescent="0.25">
      <c r="A486" s="45">
        <f t="shared" si="43"/>
        <v>45774</v>
      </c>
      <c r="B486" s="14" cm="1">
        <f t="array" ref="B486">_xlfn.IFNA(INDEX('IR data'!$D$4:$D$61,MATCH(A486,'IR data'!$C$4:$C$61,0)),((INDEX('IR data'!$D$4:$D$61,MATCH(A486,'IR data'!$C$4:$C$61,1)))-((A486-(INDEX('IR data'!$C$4:$C$61,MATCH(A486,'IR data'!$C$4:$C$61,1))))/((INDEX('IR data'!$C$4:$C$61,MATCH(A486,'IR data'!$C$4:$C$61,1)+1)-INDEX('IR data'!$C$4:$C$61,MATCH(A486,'IR data'!$C$4:$C$61,1))))) * (INDEX('IR data'!$D$4:$D$61,MATCH(A486,'IR data'!$C$4:$C$61,1))-(INDEX('IR data'!$D$4:$D$61,MATCH(A486,'IR data'!$C$4:$C$61,1)+1)))))</f>
        <v>0.93898805432967036</v>
      </c>
      <c r="C486" s="30">
        <f t="shared" si="44"/>
        <v>2.066061169066127E-2</v>
      </c>
      <c r="D486" s="45">
        <f t="shared" si="45"/>
        <v>45834</v>
      </c>
      <c r="E486" s="14" cm="1">
        <f t="array" ref="E486">_xlfn.IFNA(INDEX('IR data'!$I$4:$I$61,MATCH(D486,'IR data'!$H$4:$H$61,0)),((INDEX('IR data'!$I$4:$I$61,MATCH(D486,'IR data'!$H$4:$H$61,1)))-((D486-(INDEX('IR data'!$H$4:$H$61,MATCH(D486,'IR data'!$H$4:$H$61,1))))/((INDEX('IR data'!$H$4:$H$61,MATCH(D486,'IR data'!$H$4:$H$61,1)+1)-INDEX('IR data'!$H$4:$H$61,MATCH(D486,'IR data'!$H$4:$H$61,1))))) * (INDEX('IR data'!$I$4:$I$61,MATCH(D486,'IR data'!$H$4:$H$61,1))-(INDEX('IR data'!$I$4:$I$61,MATCH(D486,'IR data'!$H$4:$H$61,1)+1)))))</f>
        <v>0.9351013830652174</v>
      </c>
      <c r="F486" s="30">
        <f t="shared" si="46"/>
        <v>2.2021893872090283E-2</v>
      </c>
      <c r="G486" s="45">
        <f t="shared" si="42"/>
        <v>45868</v>
      </c>
      <c r="H486" s="14" cm="1">
        <f t="array" ref="H486">_xlfn.IFNA(INDEX('IR data'!$N$4:$N$61,MATCH(G486,'IR data'!$M$4:$M$61,0)),((INDEX('IR data'!$N$4:$N$61,MATCH(G486,'IR data'!$M$4:$M$61,1)))-((G486-(INDEX('IR data'!$M$4:$M$61,MATCH(G486,'IR data'!$M$4:$M$61,1))))/((INDEX('IR data'!$M$4:$M$61,MATCH(G486,'IR data'!$M$4:$M$61,1)+1)-INDEX('IR data'!$M$4:$M$61,MATCH(G486,'IR data'!$M$4:$M$61,1))))) * (INDEX('IR data'!$N$4:$N$61,MATCH(G486,'IR data'!$M$4:$M$61,1))-(INDEX('IR data'!$N$4:$N$61,MATCH(G486,'IR data'!$M$4:$M$61,1)+1)))))</f>
        <v>0.93486463046153845</v>
      </c>
      <c r="I486" s="44">
        <f t="shared" si="47"/>
        <v>2.210499771241289E-2</v>
      </c>
    </row>
    <row r="487" spans="1:9" x14ac:dyDescent="0.25">
      <c r="A487" s="45">
        <f t="shared" si="43"/>
        <v>45775</v>
      </c>
      <c r="B487" s="14" cm="1">
        <f t="array" ref="B487">_xlfn.IFNA(INDEX('IR data'!$D$4:$D$61,MATCH(A487,'IR data'!$C$4:$C$61,0)),((INDEX('IR data'!$D$4:$D$61,MATCH(A487,'IR data'!$C$4:$C$61,1)))-((A487-(INDEX('IR data'!$C$4:$C$61,MATCH(A487,'IR data'!$C$4:$C$61,1))))/((INDEX('IR data'!$C$4:$C$61,MATCH(A487,'IR data'!$C$4:$C$61,1)+1)-INDEX('IR data'!$C$4:$C$61,MATCH(A487,'IR data'!$C$4:$C$61,1))))) * (INDEX('IR data'!$D$4:$D$61,MATCH(A487,'IR data'!$C$4:$C$61,1))-(INDEX('IR data'!$D$4:$D$61,MATCH(A487,'IR data'!$C$4:$C$61,1)+1)))))</f>
        <v>0.93889389459340655</v>
      </c>
      <c r="C487" s="30">
        <f t="shared" si="44"/>
        <v>2.0650768681580747E-2</v>
      </c>
      <c r="D487" s="45">
        <f t="shared" si="45"/>
        <v>45835</v>
      </c>
      <c r="E487" s="14" cm="1">
        <f t="array" ref="E487">_xlfn.IFNA(INDEX('IR data'!$I$4:$I$61,MATCH(D487,'IR data'!$H$4:$H$61,0)),((INDEX('IR data'!$I$4:$I$61,MATCH(D487,'IR data'!$H$4:$H$61,1)))-((D487-(INDEX('IR data'!$H$4:$H$61,MATCH(D487,'IR data'!$H$4:$H$61,1))))/((INDEX('IR data'!$H$4:$H$61,MATCH(D487,'IR data'!$H$4:$H$61,1)+1)-INDEX('IR data'!$H$4:$H$61,MATCH(D487,'IR data'!$H$4:$H$61,1))))) * (INDEX('IR data'!$I$4:$I$61,MATCH(D487,'IR data'!$H$4:$H$61,1))-(INDEX('IR data'!$I$4:$I$61,MATCH(D487,'IR data'!$H$4:$H$61,1)+1)))))</f>
        <v>0.93499235624999999</v>
      </c>
      <c r="F487" s="30">
        <f t="shared" si="46"/>
        <v>2.2014582517494819E-2</v>
      </c>
      <c r="G487" s="45">
        <f t="shared" si="42"/>
        <v>45869</v>
      </c>
      <c r="H487" s="14" cm="1">
        <f t="array" ref="H487">_xlfn.IFNA(INDEX('IR data'!$N$4:$N$61,MATCH(G487,'IR data'!$M$4:$M$61,0)),((INDEX('IR data'!$N$4:$N$61,MATCH(G487,'IR data'!$M$4:$M$61,1)))-((G487-(INDEX('IR data'!$M$4:$M$61,MATCH(G487,'IR data'!$M$4:$M$61,1))))/((INDEX('IR data'!$M$4:$M$61,MATCH(G487,'IR data'!$M$4:$M$61,1)+1)-INDEX('IR data'!$M$4:$M$61,MATCH(G487,'IR data'!$M$4:$M$61,1))))) * (INDEX('IR data'!$N$4:$N$61,MATCH(G487,'IR data'!$M$4:$M$61,1))-(INDEX('IR data'!$N$4:$N$61,MATCH(G487,'IR data'!$M$4:$M$61,1)+1)))))</f>
        <v>0.93475237530769228</v>
      </c>
      <c r="I487" s="44">
        <f t="shared" si="47"/>
        <v>2.2098655460105573E-2</v>
      </c>
    </row>
    <row r="488" spans="1:9" x14ac:dyDescent="0.25">
      <c r="A488" s="45">
        <f t="shared" si="43"/>
        <v>45776</v>
      </c>
      <c r="B488" s="14" cm="1">
        <f t="array" ref="B488">_xlfn.IFNA(INDEX('IR data'!$D$4:$D$61,MATCH(A488,'IR data'!$C$4:$C$61,0)),((INDEX('IR data'!$D$4:$D$61,MATCH(A488,'IR data'!$C$4:$C$61,1)))-((A488-(INDEX('IR data'!$C$4:$C$61,MATCH(A488,'IR data'!$C$4:$C$61,1))))/((INDEX('IR data'!$C$4:$C$61,MATCH(A488,'IR data'!$C$4:$C$61,1)+1)-INDEX('IR data'!$C$4:$C$61,MATCH(A488,'IR data'!$C$4:$C$61,1))))) * (INDEX('IR data'!$D$4:$D$61,MATCH(A488,'IR data'!$C$4:$C$61,1))-(INDEX('IR data'!$D$4:$D$61,MATCH(A488,'IR data'!$C$4:$C$61,1)+1)))))</f>
        <v>0.93879973485714285</v>
      </c>
      <c r="C488" s="30">
        <f t="shared" si="44"/>
        <v>2.0640969549479433E-2</v>
      </c>
      <c r="D488" s="45">
        <f t="shared" si="45"/>
        <v>45836</v>
      </c>
      <c r="E488" s="14" cm="1">
        <f t="array" ref="E488">_xlfn.IFNA(INDEX('IR data'!$I$4:$I$61,MATCH(D488,'IR data'!$H$4:$H$61,0)),((INDEX('IR data'!$I$4:$I$61,MATCH(D488,'IR data'!$H$4:$H$61,1)))-((D488-(INDEX('IR data'!$H$4:$H$61,MATCH(D488,'IR data'!$H$4:$H$61,1))))/((INDEX('IR data'!$H$4:$H$61,MATCH(D488,'IR data'!$H$4:$H$61,1)+1)-INDEX('IR data'!$H$4:$H$61,MATCH(D488,'IR data'!$H$4:$H$61,1))))) * (INDEX('IR data'!$I$4:$I$61,MATCH(D488,'IR data'!$H$4:$H$61,1))-(INDEX('IR data'!$I$4:$I$61,MATCH(D488,'IR data'!$H$4:$H$61,1)+1)))))</f>
        <v>0.93488332943478258</v>
      </c>
      <c r="F488" s="30">
        <f t="shared" si="46"/>
        <v>2.2007305756937209E-2</v>
      </c>
      <c r="G488" s="45">
        <f t="shared" si="42"/>
        <v>45870</v>
      </c>
      <c r="H488" s="14" cm="1">
        <f t="array" ref="H488">_xlfn.IFNA(INDEX('IR data'!$N$4:$N$61,MATCH(G488,'IR data'!$M$4:$M$61,0)),((INDEX('IR data'!$N$4:$N$61,MATCH(G488,'IR data'!$M$4:$M$61,1)))-((G488-(INDEX('IR data'!$M$4:$M$61,MATCH(G488,'IR data'!$M$4:$M$61,1))))/((INDEX('IR data'!$M$4:$M$61,MATCH(G488,'IR data'!$M$4:$M$61,1)+1)-INDEX('IR data'!$M$4:$M$61,MATCH(G488,'IR data'!$M$4:$M$61,1))))) * (INDEX('IR data'!$N$4:$N$61,MATCH(G488,'IR data'!$M$4:$M$61,1))-(INDEX('IR data'!$N$4:$N$61,MATCH(G488,'IR data'!$M$4:$M$61,1)+1)))))</f>
        <v>0.93464012015384612</v>
      </c>
      <c r="I488" s="44">
        <f t="shared" si="47"/>
        <v>2.2092344075039239E-2</v>
      </c>
    </row>
    <row r="489" spans="1:9" x14ac:dyDescent="0.25">
      <c r="A489" s="45">
        <f t="shared" si="43"/>
        <v>45777</v>
      </c>
      <c r="B489" s="14" cm="1">
        <f t="array" ref="B489">_xlfn.IFNA(INDEX('IR data'!$D$4:$D$61,MATCH(A489,'IR data'!$C$4:$C$61,0)),((INDEX('IR data'!$D$4:$D$61,MATCH(A489,'IR data'!$C$4:$C$61,1)))-((A489-(INDEX('IR data'!$C$4:$C$61,MATCH(A489,'IR data'!$C$4:$C$61,1))))/((INDEX('IR data'!$C$4:$C$61,MATCH(A489,'IR data'!$C$4:$C$61,1)+1)-INDEX('IR data'!$C$4:$C$61,MATCH(A489,'IR data'!$C$4:$C$61,1))))) * (INDEX('IR data'!$D$4:$D$61,MATCH(A489,'IR data'!$C$4:$C$61,1))-(INDEX('IR data'!$D$4:$D$61,MATCH(A489,'IR data'!$C$4:$C$61,1)+1)))))</f>
        <v>0.93870557512087915</v>
      </c>
      <c r="C489" s="30">
        <f t="shared" si="44"/>
        <v>2.063121402416989E-2</v>
      </c>
      <c r="D489" s="45">
        <f t="shared" si="45"/>
        <v>45837</v>
      </c>
      <c r="E489" s="14" cm="1">
        <f t="array" ref="E489">_xlfn.IFNA(INDEX('IR data'!$I$4:$I$61,MATCH(D489,'IR data'!$H$4:$H$61,0)),((INDEX('IR data'!$I$4:$I$61,MATCH(D489,'IR data'!$H$4:$H$61,1)))-((D489-(INDEX('IR data'!$H$4:$H$61,MATCH(D489,'IR data'!$H$4:$H$61,1))))/((INDEX('IR data'!$H$4:$H$61,MATCH(D489,'IR data'!$H$4:$H$61,1)+1)-INDEX('IR data'!$H$4:$H$61,MATCH(D489,'IR data'!$H$4:$H$61,1))))) * (INDEX('IR data'!$I$4:$I$61,MATCH(D489,'IR data'!$H$4:$H$61,1))-(INDEX('IR data'!$I$4:$I$61,MATCH(D489,'IR data'!$H$4:$H$61,1)+1)))))</f>
        <v>0.93477430261956518</v>
      </c>
      <c r="F489" s="30">
        <f t="shared" si="46"/>
        <v>2.2000063377908472E-2</v>
      </c>
      <c r="G489" s="45">
        <f t="shared" si="42"/>
        <v>45871</v>
      </c>
      <c r="H489" s="14" cm="1">
        <f t="array" ref="H489">_xlfn.IFNA(INDEX('IR data'!$N$4:$N$61,MATCH(G489,'IR data'!$M$4:$M$61,0)),((INDEX('IR data'!$N$4:$N$61,MATCH(G489,'IR data'!$M$4:$M$61,1)))-((G489-(INDEX('IR data'!$M$4:$M$61,MATCH(G489,'IR data'!$M$4:$M$61,1))))/((INDEX('IR data'!$M$4:$M$61,MATCH(G489,'IR data'!$M$4:$M$61,1)+1)-INDEX('IR data'!$M$4:$M$61,MATCH(G489,'IR data'!$M$4:$M$61,1))))) * (INDEX('IR data'!$N$4:$N$61,MATCH(G489,'IR data'!$M$4:$M$61,1))-(INDEX('IR data'!$N$4:$N$61,MATCH(G489,'IR data'!$M$4:$M$61,1)+1)))))</f>
        <v>0.93452786499999996</v>
      </c>
      <c r="I489" s="44">
        <f t="shared" si="47"/>
        <v>2.2086063367805352E-2</v>
      </c>
    </row>
    <row r="490" spans="1:9" x14ac:dyDescent="0.25">
      <c r="A490" s="45">
        <f t="shared" si="43"/>
        <v>45778</v>
      </c>
      <c r="B490" s="14" cm="1">
        <f t="array" ref="B490">_xlfn.IFNA(INDEX('IR data'!$D$4:$D$61,MATCH(A490,'IR data'!$C$4:$C$61,0)),((INDEX('IR data'!$D$4:$D$61,MATCH(A490,'IR data'!$C$4:$C$61,1)))-((A490-(INDEX('IR data'!$C$4:$C$61,MATCH(A490,'IR data'!$C$4:$C$61,1))))/((INDEX('IR data'!$C$4:$C$61,MATCH(A490,'IR data'!$C$4:$C$61,1)+1)-INDEX('IR data'!$C$4:$C$61,MATCH(A490,'IR data'!$C$4:$C$61,1))))) * (INDEX('IR data'!$D$4:$D$61,MATCH(A490,'IR data'!$C$4:$C$61,1))-(INDEX('IR data'!$D$4:$D$61,MATCH(A490,'IR data'!$C$4:$C$61,1)+1)))))</f>
        <v>0.93861141538461534</v>
      </c>
      <c r="C490" s="30">
        <f t="shared" si="44"/>
        <v>2.0621501837684103E-2</v>
      </c>
      <c r="D490" s="45">
        <f t="shared" si="45"/>
        <v>45838</v>
      </c>
      <c r="E490" s="14" cm="1">
        <f t="array" ref="E490">_xlfn.IFNA(INDEX('IR data'!$I$4:$I$61,MATCH(D490,'IR data'!$H$4:$H$61,0)),((INDEX('IR data'!$I$4:$I$61,MATCH(D490,'IR data'!$H$4:$H$61,1)))-((D490-(INDEX('IR data'!$H$4:$H$61,MATCH(D490,'IR data'!$H$4:$H$61,1))))/((INDEX('IR data'!$H$4:$H$61,MATCH(D490,'IR data'!$H$4:$H$61,1)+1)-INDEX('IR data'!$H$4:$H$61,MATCH(D490,'IR data'!$H$4:$H$61,1))))) * (INDEX('IR data'!$I$4:$I$61,MATCH(D490,'IR data'!$H$4:$H$61,1))-(INDEX('IR data'!$I$4:$I$61,MATCH(D490,'IR data'!$H$4:$H$61,1)+1)))))</f>
        <v>0.93466527580434777</v>
      </c>
      <c r="F490" s="30">
        <f t="shared" si="46"/>
        <v>2.1992855169645477E-2</v>
      </c>
      <c r="G490" s="45">
        <f t="shared" si="42"/>
        <v>45872</v>
      </c>
      <c r="H490" s="14" cm="1">
        <f t="array" ref="H490">_xlfn.IFNA(INDEX('IR data'!$N$4:$N$61,MATCH(G490,'IR data'!$M$4:$M$61,0)),((INDEX('IR data'!$N$4:$N$61,MATCH(G490,'IR data'!$M$4:$M$61,1)))-((G490-(INDEX('IR data'!$M$4:$M$61,MATCH(G490,'IR data'!$M$4:$M$61,1))))/((INDEX('IR data'!$M$4:$M$61,MATCH(G490,'IR data'!$M$4:$M$61,1)+1)-INDEX('IR data'!$M$4:$M$61,MATCH(G490,'IR data'!$M$4:$M$61,1))))) * (INDEX('IR data'!$N$4:$N$61,MATCH(G490,'IR data'!$M$4:$M$61,1))-(INDEX('IR data'!$N$4:$N$61,MATCH(G490,'IR data'!$M$4:$M$61,1)+1)))))</f>
        <v>0.93441560984615379</v>
      </c>
      <c r="I490" s="44">
        <f t="shared" si="47"/>
        <v>2.2079813150551523E-2</v>
      </c>
    </row>
    <row r="491" spans="1:9" x14ac:dyDescent="0.25">
      <c r="A491" s="45">
        <f t="shared" si="43"/>
        <v>45779</v>
      </c>
      <c r="B491" s="14" cm="1">
        <f t="array" ref="B491">_xlfn.IFNA(INDEX('IR data'!$D$4:$D$61,MATCH(A491,'IR data'!$C$4:$C$61,0)),((INDEX('IR data'!$D$4:$D$61,MATCH(A491,'IR data'!$C$4:$C$61,1)))-((A491-(INDEX('IR data'!$C$4:$C$61,MATCH(A491,'IR data'!$C$4:$C$61,1))))/((INDEX('IR data'!$C$4:$C$61,MATCH(A491,'IR data'!$C$4:$C$61,1)+1)-INDEX('IR data'!$C$4:$C$61,MATCH(A491,'IR data'!$C$4:$C$61,1))))) * (INDEX('IR data'!$D$4:$D$61,MATCH(A491,'IR data'!$C$4:$C$61,1))-(INDEX('IR data'!$D$4:$D$61,MATCH(A491,'IR data'!$C$4:$C$61,1)+1)))))</f>
        <v>0.93851725564835164</v>
      </c>
      <c r="C491" s="30">
        <f t="shared" si="44"/>
        <v>2.0611832724250569E-2</v>
      </c>
      <c r="D491" s="45">
        <f t="shared" si="45"/>
        <v>45839</v>
      </c>
      <c r="E491" s="14" cm="1">
        <f t="array" ref="E491">_xlfn.IFNA(INDEX('IR data'!$I$4:$I$61,MATCH(D491,'IR data'!$H$4:$H$61,0)),((INDEX('IR data'!$I$4:$I$61,MATCH(D491,'IR data'!$H$4:$H$61,1)))-((D491-(INDEX('IR data'!$H$4:$H$61,MATCH(D491,'IR data'!$H$4:$H$61,1))))/((INDEX('IR data'!$H$4:$H$61,MATCH(D491,'IR data'!$H$4:$H$61,1)+1)-INDEX('IR data'!$H$4:$H$61,MATCH(D491,'IR data'!$H$4:$H$61,1))))) * (INDEX('IR data'!$I$4:$I$61,MATCH(D491,'IR data'!$H$4:$H$61,1))-(INDEX('IR data'!$I$4:$I$61,MATCH(D491,'IR data'!$H$4:$H$61,1)+1)))))</f>
        <v>0.93455624898913048</v>
      </c>
      <c r="F491" s="30">
        <f t="shared" si="46"/>
        <v>2.1985680923112955E-2</v>
      </c>
      <c r="G491" s="45">
        <f t="shared" si="42"/>
        <v>45873</v>
      </c>
      <c r="H491" s="14" cm="1">
        <f t="array" ref="H491">_xlfn.IFNA(INDEX('IR data'!$N$4:$N$61,MATCH(G491,'IR data'!$M$4:$M$61,0)),((INDEX('IR data'!$N$4:$N$61,MATCH(G491,'IR data'!$M$4:$M$61,1)))-((G491-(INDEX('IR data'!$M$4:$M$61,MATCH(G491,'IR data'!$M$4:$M$61,1))))/((INDEX('IR data'!$M$4:$M$61,MATCH(G491,'IR data'!$M$4:$M$61,1)+1)-INDEX('IR data'!$M$4:$M$61,MATCH(G491,'IR data'!$M$4:$M$61,1))))) * (INDEX('IR data'!$N$4:$N$61,MATCH(G491,'IR data'!$M$4:$M$61,1))-(INDEX('IR data'!$N$4:$N$61,MATCH(G491,'IR data'!$M$4:$M$61,1)+1)))))</f>
        <v>0.93430335469230763</v>
      </c>
      <c r="I491" s="44">
        <f t="shared" si="47"/>
        <v>2.2073593236965519E-2</v>
      </c>
    </row>
    <row r="492" spans="1:9" x14ac:dyDescent="0.25">
      <c r="A492" s="45">
        <f t="shared" si="43"/>
        <v>45780</v>
      </c>
      <c r="B492" s="14" cm="1">
        <f t="array" ref="B492">_xlfn.IFNA(INDEX('IR data'!$D$4:$D$61,MATCH(A492,'IR data'!$C$4:$C$61,0)),((INDEX('IR data'!$D$4:$D$61,MATCH(A492,'IR data'!$C$4:$C$61,1)))-((A492-(INDEX('IR data'!$C$4:$C$61,MATCH(A492,'IR data'!$C$4:$C$61,1))))/((INDEX('IR data'!$C$4:$C$61,MATCH(A492,'IR data'!$C$4:$C$61,1)+1)-INDEX('IR data'!$C$4:$C$61,MATCH(A492,'IR data'!$C$4:$C$61,1))))) * (INDEX('IR data'!$D$4:$D$61,MATCH(A492,'IR data'!$C$4:$C$61,1))-(INDEX('IR data'!$D$4:$D$61,MATCH(A492,'IR data'!$C$4:$C$61,1)+1)))))</f>
        <v>0.93842309591208795</v>
      </c>
      <c r="C492" s="30">
        <f t="shared" si="44"/>
        <v>2.0602206420272124E-2</v>
      </c>
      <c r="D492" s="45">
        <f t="shared" si="45"/>
        <v>45840</v>
      </c>
      <c r="E492" s="14" cm="1">
        <f t="array" ref="E492">_xlfn.IFNA(INDEX('IR data'!$I$4:$I$61,MATCH(D492,'IR data'!$H$4:$H$61,0)),((INDEX('IR data'!$I$4:$I$61,MATCH(D492,'IR data'!$H$4:$H$61,1)))-((D492-(INDEX('IR data'!$H$4:$H$61,MATCH(D492,'IR data'!$H$4:$H$61,1))))/((INDEX('IR data'!$H$4:$H$61,MATCH(D492,'IR data'!$H$4:$H$61,1)+1)-INDEX('IR data'!$H$4:$H$61,MATCH(D492,'IR data'!$H$4:$H$61,1))))) * (INDEX('IR data'!$I$4:$I$61,MATCH(D492,'IR data'!$H$4:$H$61,1))-(INDEX('IR data'!$I$4:$I$61,MATCH(D492,'IR data'!$H$4:$H$61,1)+1)))))</f>
        <v>0.93444722217391307</v>
      </c>
      <c r="F492" s="30">
        <f t="shared" si="46"/>
        <v>2.1978540430986029E-2</v>
      </c>
      <c r="G492" s="45">
        <f t="shared" si="42"/>
        <v>45874</v>
      </c>
      <c r="H492" s="14" cm="1">
        <f t="array" ref="H492">_xlfn.IFNA(INDEX('IR data'!$N$4:$N$61,MATCH(G492,'IR data'!$M$4:$M$61,0)),((INDEX('IR data'!$N$4:$N$61,MATCH(G492,'IR data'!$M$4:$M$61,1)))-((G492-(INDEX('IR data'!$M$4:$M$61,MATCH(G492,'IR data'!$M$4:$M$61,1))))/((INDEX('IR data'!$M$4:$M$61,MATCH(G492,'IR data'!$M$4:$M$61,1)+1)-INDEX('IR data'!$M$4:$M$61,MATCH(G492,'IR data'!$M$4:$M$61,1))))) * (INDEX('IR data'!$N$4:$N$61,MATCH(G492,'IR data'!$M$4:$M$61,1))-(INDEX('IR data'!$N$4:$N$61,MATCH(G492,'IR data'!$M$4:$M$61,1)+1)))))</f>
        <v>0.93419109953846158</v>
      </c>
      <c r="I492" s="44">
        <f t="shared" si="47"/>
        <v>2.206740344225952E-2</v>
      </c>
    </row>
    <row r="493" spans="1:9" x14ac:dyDescent="0.25">
      <c r="A493" s="45">
        <f t="shared" si="43"/>
        <v>45781</v>
      </c>
      <c r="B493" s="14" cm="1">
        <f t="array" ref="B493">_xlfn.IFNA(INDEX('IR data'!$D$4:$D$61,MATCH(A493,'IR data'!$C$4:$C$61,0)),((INDEX('IR data'!$D$4:$D$61,MATCH(A493,'IR data'!$C$4:$C$61,1)))-((A493-(INDEX('IR data'!$C$4:$C$61,MATCH(A493,'IR data'!$C$4:$C$61,1))))/((INDEX('IR data'!$C$4:$C$61,MATCH(A493,'IR data'!$C$4:$C$61,1)+1)-INDEX('IR data'!$C$4:$C$61,MATCH(A493,'IR data'!$C$4:$C$61,1))))) * (INDEX('IR data'!$D$4:$D$61,MATCH(A493,'IR data'!$C$4:$C$61,1))-(INDEX('IR data'!$D$4:$D$61,MATCH(A493,'IR data'!$C$4:$C$61,1)+1)))))</f>
        <v>0.93832893617582414</v>
      </c>
      <c r="C493" s="30">
        <f t="shared" si="44"/>
        <v>2.0592622664303589E-2</v>
      </c>
      <c r="D493" s="45">
        <f t="shared" si="45"/>
        <v>45841</v>
      </c>
      <c r="E493" s="14" cm="1">
        <f t="array" ref="E493">_xlfn.IFNA(INDEX('IR data'!$I$4:$I$61,MATCH(D493,'IR data'!$H$4:$H$61,0)),((INDEX('IR data'!$I$4:$I$61,MATCH(D493,'IR data'!$H$4:$H$61,1)))-((D493-(INDEX('IR data'!$H$4:$H$61,MATCH(D493,'IR data'!$H$4:$H$61,1))))/((INDEX('IR data'!$H$4:$H$61,MATCH(D493,'IR data'!$H$4:$H$61,1)+1)-INDEX('IR data'!$H$4:$H$61,MATCH(D493,'IR data'!$H$4:$H$61,1))))) * (INDEX('IR data'!$I$4:$I$61,MATCH(D493,'IR data'!$H$4:$H$61,1))-(INDEX('IR data'!$I$4:$I$61,MATCH(D493,'IR data'!$H$4:$H$61,1)+1)))))</f>
        <v>0.93433819535869567</v>
      </c>
      <c r="F493" s="30">
        <f t="shared" si="46"/>
        <v>2.1971433487632502E-2</v>
      </c>
      <c r="G493" s="45">
        <f t="shared" si="42"/>
        <v>45875</v>
      </c>
      <c r="H493" s="14" cm="1">
        <f t="array" ref="H493">_xlfn.IFNA(INDEX('IR data'!$N$4:$N$61,MATCH(G493,'IR data'!$M$4:$M$61,0)),((INDEX('IR data'!$N$4:$N$61,MATCH(G493,'IR data'!$M$4:$M$61,1)))-((G493-(INDEX('IR data'!$M$4:$M$61,MATCH(G493,'IR data'!$M$4:$M$61,1))))/((INDEX('IR data'!$M$4:$M$61,MATCH(G493,'IR data'!$M$4:$M$61,1)+1)-INDEX('IR data'!$M$4:$M$61,MATCH(G493,'IR data'!$M$4:$M$61,1))))) * (INDEX('IR data'!$N$4:$N$61,MATCH(G493,'IR data'!$M$4:$M$61,1))-(INDEX('IR data'!$N$4:$N$61,MATCH(G493,'IR data'!$M$4:$M$61,1)+1)))))</f>
        <v>0.93407884438461541</v>
      </c>
      <c r="I493" s="44">
        <f t="shared" si="47"/>
        <v>2.2061243583154685E-2</v>
      </c>
    </row>
    <row r="494" spans="1:9" x14ac:dyDescent="0.25">
      <c r="A494" s="45">
        <f t="shared" si="43"/>
        <v>45782</v>
      </c>
      <c r="B494" s="14" cm="1">
        <f t="array" ref="B494">_xlfn.IFNA(INDEX('IR data'!$D$4:$D$61,MATCH(A494,'IR data'!$C$4:$C$61,0)),((INDEX('IR data'!$D$4:$D$61,MATCH(A494,'IR data'!$C$4:$C$61,1)))-((A494-(INDEX('IR data'!$C$4:$C$61,MATCH(A494,'IR data'!$C$4:$C$61,1))))/((INDEX('IR data'!$C$4:$C$61,MATCH(A494,'IR data'!$C$4:$C$61,1)+1)-INDEX('IR data'!$C$4:$C$61,MATCH(A494,'IR data'!$C$4:$C$61,1))))) * (INDEX('IR data'!$D$4:$D$61,MATCH(A494,'IR data'!$C$4:$C$61,1))-(INDEX('IR data'!$D$4:$D$61,MATCH(A494,'IR data'!$C$4:$C$61,1)+1)))))</f>
        <v>0.93823477643956044</v>
      </c>
      <c r="C494" s="30">
        <f t="shared" si="44"/>
        <v>2.0583081197029784E-2</v>
      </c>
      <c r="D494" s="45">
        <f t="shared" si="45"/>
        <v>45842</v>
      </c>
      <c r="E494" s="14" cm="1">
        <f t="array" ref="E494">_xlfn.IFNA(INDEX('IR data'!$I$4:$I$61,MATCH(D494,'IR data'!$H$4:$H$61,0)),((INDEX('IR data'!$I$4:$I$61,MATCH(D494,'IR data'!$H$4:$H$61,1)))-((D494-(INDEX('IR data'!$H$4:$H$61,MATCH(D494,'IR data'!$H$4:$H$61,1))))/((INDEX('IR data'!$H$4:$H$61,MATCH(D494,'IR data'!$H$4:$H$61,1)+1)-INDEX('IR data'!$H$4:$H$61,MATCH(D494,'IR data'!$H$4:$H$61,1))))) * (INDEX('IR data'!$I$4:$I$61,MATCH(D494,'IR data'!$H$4:$H$61,1))-(INDEX('IR data'!$I$4:$I$61,MATCH(D494,'IR data'!$H$4:$H$61,1)+1)))))</f>
        <v>0.93422916854347826</v>
      </c>
      <c r="F494" s="30">
        <f t="shared" si="46"/>
        <v>2.1964359889095803E-2</v>
      </c>
      <c r="G494" s="45">
        <f t="shared" si="42"/>
        <v>45876</v>
      </c>
      <c r="H494" s="14" cm="1">
        <f t="array" ref="H494">_xlfn.IFNA(INDEX('IR data'!$N$4:$N$61,MATCH(G494,'IR data'!$M$4:$M$61,0)),((INDEX('IR data'!$N$4:$N$61,MATCH(G494,'IR data'!$M$4:$M$61,1)))-((G494-(INDEX('IR data'!$M$4:$M$61,MATCH(G494,'IR data'!$M$4:$M$61,1))))/((INDEX('IR data'!$M$4:$M$61,MATCH(G494,'IR data'!$M$4:$M$61,1)+1)-INDEX('IR data'!$M$4:$M$61,MATCH(G494,'IR data'!$M$4:$M$61,1))))) * (INDEX('IR data'!$N$4:$N$61,MATCH(G494,'IR data'!$M$4:$M$61,1))-(INDEX('IR data'!$N$4:$N$61,MATCH(G494,'IR data'!$M$4:$M$61,1)+1)))))</f>
        <v>0.93396658923076925</v>
      </c>
      <c r="I494" s="44">
        <f t="shared" si="47"/>
        <v>2.2055113477865568E-2</v>
      </c>
    </row>
    <row r="495" spans="1:9" x14ac:dyDescent="0.25">
      <c r="A495" s="45">
        <f t="shared" si="43"/>
        <v>45783</v>
      </c>
      <c r="B495" s="14" cm="1">
        <f t="array" ref="B495">_xlfn.IFNA(INDEX('IR data'!$D$4:$D$61,MATCH(A495,'IR data'!$C$4:$C$61,0)),((INDEX('IR data'!$D$4:$D$61,MATCH(A495,'IR data'!$C$4:$C$61,1)))-((A495-(INDEX('IR data'!$C$4:$C$61,MATCH(A495,'IR data'!$C$4:$C$61,1))))/((INDEX('IR data'!$C$4:$C$61,MATCH(A495,'IR data'!$C$4:$C$61,1)+1)-INDEX('IR data'!$C$4:$C$61,MATCH(A495,'IR data'!$C$4:$C$61,1))))) * (INDEX('IR data'!$D$4:$D$61,MATCH(A495,'IR data'!$C$4:$C$61,1))-(INDEX('IR data'!$D$4:$D$61,MATCH(A495,'IR data'!$C$4:$C$61,1)+1)))))</f>
        <v>0.93814061670329674</v>
      </c>
      <c r="C495" s="30">
        <f t="shared" si="44"/>
        <v>2.0573581761244089E-2</v>
      </c>
      <c r="D495" s="45">
        <f t="shared" si="45"/>
        <v>45843</v>
      </c>
      <c r="E495" s="14" cm="1">
        <f t="array" ref="E495">_xlfn.IFNA(INDEX('IR data'!$I$4:$I$61,MATCH(D495,'IR data'!$H$4:$H$61,0)),((INDEX('IR data'!$I$4:$I$61,MATCH(D495,'IR data'!$H$4:$H$61,1)))-((D495-(INDEX('IR data'!$H$4:$H$61,MATCH(D495,'IR data'!$H$4:$H$61,1))))/((INDEX('IR data'!$H$4:$H$61,MATCH(D495,'IR data'!$H$4:$H$61,1)+1)-INDEX('IR data'!$H$4:$H$61,MATCH(D495,'IR data'!$H$4:$H$61,1))))) * (INDEX('IR data'!$I$4:$I$61,MATCH(D495,'IR data'!$H$4:$H$61,1))-(INDEX('IR data'!$I$4:$I$61,MATCH(D495,'IR data'!$H$4:$H$61,1)+1)))))</f>
        <v>0.93412014172826086</v>
      </c>
      <c r="F495" s="30">
        <f t="shared" si="46"/>
        <v>2.1957319433077875E-2</v>
      </c>
      <c r="G495" s="45">
        <f t="shared" si="42"/>
        <v>45877</v>
      </c>
      <c r="H495" s="14" cm="1">
        <f t="array" ref="H495">_xlfn.IFNA(INDEX('IR data'!$N$4:$N$61,MATCH(G495,'IR data'!$M$4:$M$61,0)),((INDEX('IR data'!$N$4:$N$61,MATCH(G495,'IR data'!$M$4:$M$61,1)))-((G495-(INDEX('IR data'!$M$4:$M$61,MATCH(G495,'IR data'!$M$4:$M$61,1))))/((INDEX('IR data'!$M$4:$M$61,MATCH(G495,'IR data'!$M$4:$M$61,1)+1)-INDEX('IR data'!$M$4:$M$61,MATCH(G495,'IR data'!$M$4:$M$61,1))))) * (INDEX('IR data'!$N$4:$N$61,MATCH(G495,'IR data'!$M$4:$M$61,1))-(INDEX('IR data'!$N$4:$N$61,MATCH(G495,'IR data'!$M$4:$M$61,1)+1)))))</f>
        <v>0.93385433407692309</v>
      </c>
      <c r="I495" s="44">
        <f t="shared" si="47"/>
        <v>2.2049012946085102E-2</v>
      </c>
    </row>
    <row r="496" spans="1:9" x14ac:dyDescent="0.25">
      <c r="A496" s="45">
        <f t="shared" si="43"/>
        <v>45784</v>
      </c>
      <c r="B496" s="14" cm="1">
        <f t="array" ref="B496">_xlfn.IFNA(INDEX('IR data'!$D$4:$D$61,MATCH(A496,'IR data'!$C$4:$C$61,0)),((INDEX('IR data'!$D$4:$D$61,MATCH(A496,'IR data'!$C$4:$C$61,1)))-((A496-(INDEX('IR data'!$C$4:$C$61,MATCH(A496,'IR data'!$C$4:$C$61,1))))/((INDEX('IR data'!$C$4:$C$61,MATCH(A496,'IR data'!$C$4:$C$61,1)+1)-INDEX('IR data'!$C$4:$C$61,MATCH(A496,'IR data'!$C$4:$C$61,1))))) * (INDEX('IR data'!$D$4:$D$61,MATCH(A496,'IR data'!$C$4:$C$61,1))-(INDEX('IR data'!$D$4:$D$61,MATCH(A496,'IR data'!$C$4:$C$61,1)+1)))))</f>
        <v>0.93804645696703293</v>
      </c>
      <c r="C496" s="30">
        <f t="shared" si="44"/>
        <v>2.0564124101826946E-2</v>
      </c>
      <c r="D496" s="45">
        <f t="shared" si="45"/>
        <v>45844</v>
      </c>
      <c r="E496" s="14" cm="1">
        <f t="array" ref="E496">_xlfn.IFNA(INDEX('IR data'!$I$4:$I$61,MATCH(D496,'IR data'!$H$4:$H$61,0)),((INDEX('IR data'!$I$4:$I$61,MATCH(D496,'IR data'!$H$4:$H$61,1)))-((D496-(INDEX('IR data'!$H$4:$H$61,MATCH(D496,'IR data'!$H$4:$H$61,1))))/((INDEX('IR data'!$H$4:$H$61,MATCH(D496,'IR data'!$H$4:$H$61,1)+1)-INDEX('IR data'!$H$4:$H$61,MATCH(D496,'IR data'!$H$4:$H$61,1))))) * (INDEX('IR data'!$I$4:$I$61,MATCH(D496,'IR data'!$H$4:$H$61,1))-(INDEX('IR data'!$I$4:$I$61,MATCH(D496,'IR data'!$H$4:$H$61,1)+1)))))</f>
        <v>0.93401111491304345</v>
      </c>
      <c r="F496" s="30">
        <f t="shared" si="46"/>
        <v>2.1950311918922414E-2</v>
      </c>
      <c r="G496" s="45">
        <f t="shared" si="42"/>
        <v>45878</v>
      </c>
      <c r="H496" s="14" cm="1">
        <f t="array" ref="H496">_xlfn.IFNA(INDEX('IR data'!$N$4:$N$61,MATCH(G496,'IR data'!$M$4:$M$61,0)),((INDEX('IR data'!$N$4:$N$61,MATCH(G496,'IR data'!$M$4:$M$61,1)))-((G496-(INDEX('IR data'!$M$4:$M$61,MATCH(G496,'IR data'!$M$4:$M$61,1))))/((INDEX('IR data'!$M$4:$M$61,MATCH(G496,'IR data'!$M$4:$M$61,1)+1)-INDEX('IR data'!$M$4:$M$61,MATCH(G496,'IR data'!$M$4:$M$61,1))))) * (INDEX('IR data'!$N$4:$N$61,MATCH(G496,'IR data'!$M$4:$M$61,1))-(INDEX('IR data'!$N$4:$N$61,MATCH(G496,'IR data'!$M$4:$M$61,1)+1)))))</f>
        <v>0.93374207892307692</v>
      </c>
      <c r="I496" s="44">
        <f t="shared" si="47"/>
        <v>2.2042941808969565E-2</v>
      </c>
    </row>
    <row r="497" spans="1:9" x14ac:dyDescent="0.25">
      <c r="A497" s="45">
        <f t="shared" si="43"/>
        <v>45785</v>
      </c>
      <c r="B497" s="14" cm="1">
        <f t="array" ref="B497">_xlfn.IFNA(INDEX('IR data'!$D$4:$D$61,MATCH(A497,'IR data'!$C$4:$C$61,0)),((INDEX('IR data'!$D$4:$D$61,MATCH(A497,'IR data'!$C$4:$C$61,1)))-((A497-(INDEX('IR data'!$C$4:$C$61,MATCH(A497,'IR data'!$C$4:$C$61,1))))/((INDEX('IR data'!$C$4:$C$61,MATCH(A497,'IR data'!$C$4:$C$61,1)+1)-INDEX('IR data'!$C$4:$C$61,MATCH(A497,'IR data'!$C$4:$C$61,1))))) * (INDEX('IR data'!$D$4:$D$61,MATCH(A497,'IR data'!$C$4:$C$61,1))-(INDEX('IR data'!$D$4:$D$61,MATCH(A497,'IR data'!$C$4:$C$61,1)+1)))))</f>
        <v>0.93795229723076923</v>
      </c>
      <c r="C497" s="30">
        <f t="shared" si="44"/>
        <v>2.0554707965724624E-2</v>
      </c>
      <c r="D497" s="45">
        <f t="shared" si="45"/>
        <v>45845</v>
      </c>
      <c r="E497" s="14" cm="1">
        <f t="array" ref="E497">_xlfn.IFNA(INDEX('IR data'!$I$4:$I$61,MATCH(D497,'IR data'!$H$4:$H$61,0)),((INDEX('IR data'!$I$4:$I$61,MATCH(D497,'IR data'!$H$4:$H$61,1)))-((D497-(INDEX('IR data'!$H$4:$H$61,MATCH(D497,'IR data'!$H$4:$H$61,1))))/((INDEX('IR data'!$H$4:$H$61,MATCH(D497,'IR data'!$H$4:$H$61,1)+1)-INDEX('IR data'!$H$4:$H$61,MATCH(D497,'IR data'!$H$4:$H$61,1))))) * (INDEX('IR data'!$I$4:$I$61,MATCH(D497,'IR data'!$H$4:$H$61,1))-(INDEX('IR data'!$I$4:$I$61,MATCH(D497,'IR data'!$H$4:$H$61,1)+1)))))</f>
        <v>0.93390208809782604</v>
      </c>
      <c r="F497" s="30">
        <f t="shared" si="46"/>
        <v>2.1943337147598201E-2</v>
      </c>
      <c r="G497" s="45">
        <f t="shared" si="42"/>
        <v>45879</v>
      </c>
      <c r="H497" s="14" cm="1">
        <f t="array" ref="H497">_xlfn.IFNA(INDEX('IR data'!$N$4:$N$61,MATCH(G497,'IR data'!$M$4:$M$61,0)),((INDEX('IR data'!$N$4:$N$61,MATCH(G497,'IR data'!$M$4:$M$61,1)))-((G497-(INDEX('IR data'!$M$4:$M$61,MATCH(G497,'IR data'!$M$4:$M$61,1))))/((INDEX('IR data'!$M$4:$M$61,MATCH(G497,'IR data'!$M$4:$M$61,1)+1)-INDEX('IR data'!$M$4:$M$61,MATCH(G497,'IR data'!$M$4:$M$61,1))))) * (INDEX('IR data'!$N$4:$N$61,MATCH(G497,'IR data'!$M$4:$M$61,1))-(INDEX('IR data'!$N$4:$N$61,MATCH(G497,'IR data'!$M$4:$M$61,1)+1)))))</f>
        <v>0.93362982376923076</v>
      </c>
      <c r="I497" s="44">
        <f t="shared" si="47"/>
        <v>2.2036899889123742E-2</v>
      </c>
    </row>
    <row r="498" spans="1:9" x14ac:dyDescent="0.25">
      <c r="A498" s="45">
        <f t="shared" si="43"/>
        <v>45786</v>
      </c>
      <c r="B498" s="14" cm="1">
        <f t="array" ref="B498">_xlfn.IFNA(INDEX('IR data'!$D$4:$D$61,MATCH(A498,'IR data'!$C$4:$C$61,0)),((INDEX('IR data'!$D$4:$D$61,MATCH(A498,'IR data'!$C$4:$C$61,1)))-((A498-(INDEX('IR data'!$C$4:$C$61,MATCH(A498,'IR data'!$C$4:$C$61,1))))/((INDEX('IR data'!$C$4:$C$61,MATCH(A498,'IR data'!$C$4:$C$61,1)+1)-INDEX('IR data'!$C$4:$C$61,MATCH(A498,'IR data'!$C$4:$C$61,1))))) * (INDEX('IR data'!$D$4:$D$61,MATCH(A498,'IR data'!$C$4:$C$61,1))-(INDEX('IR data'!$D$4:$D$61,MATCH(A498,'IR data'!$C$4:$C$61,1)+1)))))</f>
        <v>0.93785813749450553</v>
      </c>
      <c r="C498" s="30">
        <f t="shared" si="44"/>
        <v>2.0545333101928583E-2</v>
      </c>
      <c r="D498" s="45">
        <f t="shared" si="45"/>
        <v>45846</v>
      </c>
      <c r="E498" s="14" cm="1">
        <f t="array" ref="E498">_xlfn.IFNA(INDEX('IR data'!$I$4:$I$61,MATCH(D498,'IR data'!$H$4:$H$61,0)),((INDEX('IR data'!$I$4:$I$61,MATCH(D498,'IR data'!$H$4:$H$61,1)))-((D498-(INDEX('IR data'!$H$4:$H$61,MATCH(D498,'IR data'!$H$4:$H$61,1))))/((INDEX('IR data'!$H$4:$H$61,MATCH(D498,'IR data'!$H$4:$H$61,1)+1)-INDEX('IR data'!$H$4:$H$61,MATCH(D498,'IR data'!$H$4:$H$61,1))))) * (INDEX('IR data'!$I$4:$I$61,MATCH(D498,'IR data'!$H$4:$H$61,1))-(INDEX('IR data'!$I$4:$I$61,MATCH(D498,'IR data'!$H$4:$H$61,1)+1)))))</f>
        <v>0.93379306128260864</v>
      </c>
      <c r="F498" s="30">
        <f t="shared" si="46"/>
        <v>2.1936394921682707E-2</v>
      </c>
      <c r="G498" s="45">
        <f t="shared" si="42"/>
        <v>45880</v>
      </c>
      <c r="H498" s="14" cm="1">
        <f t="array" ref="H498">_xlfn.IFNA(INDEX('IR data'!$N$4:$N$61,MATCH(G498,'IR data'!$M$4:$M$61,0)),((INDEX('IR data'!$N$4:$N$61,MATCH(G498,'IR data'!$M$4:$M$61,1)))-((G498-(INDEX('IR data'!$M$4:$M$61,MATCH(G498,'IR data'!$M$4:$M$61,1))))/((INDEX('IR data'!$M$4:$M$61,MATCH(G498,'IR data'!$M$4:$M$61,1)+1)-INDEX('IR data'!$M$4:$M$61,MATCH(G498,'IR data'!$M$4:$M$61,1))))) * (INDEX('IR data'!$N$4:$N$61,MATCH(G498,'IR data'!$M$4:$M$61,1))-(INDEX('IR data'!$N$4:$N$61,MATCH(G498,'IR data'!$M$4:$M$61,1)+1)))))</f>
        <v>0.9335175686153846</v>
      </c>
      <c r="I498" s="44">
        <f t="shared" si="47"/>
        <v>2.203088701058634E-2</v>
      </c>
    </row>
    <row r="499" spans="1:9" x14ac:dyDescent="0.25">
      <c r="A499" s="45">
        <f t="shared" si="43"/>
        <v>45787</v>
      </c>
      <c r="B499" s="14" cm="1">
        <f t="array" ref="B499">_xlfn.IFNA(INDEX('IR data'!$D$4:$D$61,MATCH(A499,'IR data'!$C$4:$C$61,0)),((INDEX('IR data'!$D$4:$D$61,MATCH(A499,'IR data'!$C$4:$C$61,1)))-((A499-(INDEX('IR data'!$C$4:$C$61,MATCH(A499,'IR data'!$C$4:$C$61,1))))/((INDEX('IR data'!$C$4:$C$61,MATCH(A499,'IR data'!$C$4:$C$61,1)+1)-INDEX('IR data'!$C$4:$C$61,MATCH(A499,'IR data'!$C$4:$C$61,1))))) * (INDEX('IR data'!$D$4:$D$61,MATCH(A499,'IR data'!$C$4:$C$61,1))-(INDEX('IR data'!$D$4:$D$61,MATCH(A499,'IR data'!$C$4:$C$61,1)+1)))))</f>
        <v>0.93776397775824172</v>
      </c>
      <c r="C499" s="30">
        <f t="shared" si="44"/>
        <v>2.0535999261454736E-2</v>
      </c>
      <c r="D499" s="45">
        <f t="shared" si="45"/>
        <v>45847</v>
      </c>
      <c r="E499" s="14" cm="1">
        <f t="array" ref="E499">_xlfn.IFNA(INDEX('IR data'!$I$4:$I$61,MATCH(D499,'IR data'!$H$4:$H$61,0)),((INDEX('IR data'!$I$4:$I$61,MATCH(D499,'IR data'!$H$4:$H$61,1)))-((D499-(INDEX('IR data'!$H$4:$H$61,MATCH(D499,'IR data'!$H$4:$H$61,1))))/((INDEX('IR data'!$H$4:$H$61,MATCH(D499,'IR data'!$H$4:$H$61,1)+1)-INDEX('IR data'!$H$4:$H$61,MATCH(D499,'IR data'!$H$4:$H$61,1))))) * (INDEX('IR data'!$I$4:$I$61,MATCH(D499,'IR data'!$H$4:$H$61,1))-(INDEX('IR data'!$I$4:$I$61,MATCH(D499,'IR data'!$H$4:$H$61,1)+1)))))</f>
        <v>0.93368403446739134</v>
      </c>
      <c r="F499" s="30">
        <f t="shared" si="46"/>
        <v>2.1929485045345854E-2</v>
      </c>
      <c r="G499" s="45">
        <f t="shared" si="42"/>
        <v>45881</v>
      </c>
      <c r="H499" s="14" cm="1">
        <f t="array" ref="H499">_xlfn.IFNA(INDEX('IR data'!$N$4:$N$61,MATCH(G499,'IR data'!$M$4:$M$61,0)),((INDEX('IR data'!$N$4:$N$61,MATCH(G499,'IR data'!$M$4:$M$61,1)))-((G499-(INDEX('IR data'!$M$4:$M$61,MATCH(G499,'IR data'!$M$4:$M$61,1))))/((INDEX('IR data'!$M$4:$M$61,MATCH(G499,'IR data'!$M$4:$M$61,1)+1)-INDEX('IR data'!$M$4:$M$61,MATCH(G499,'IR data'!$M$4:$M$61,1))))) * (INDEX('IR data'!$N$4:$N$61,MATCH(G499,'IR data'!$M$4:$M$61,1))-(INDEX('IR data'!$N$4:$N$61,MATCH(G499,'IR data'!$M$4:$M$61,1)+1)))))</f>
        <v>0.93340531346153843</v>
      </c>
      <c r="I499" s="44">
        <f t="shared" si="47"/>
        <v>2.2024902998815498E-2</v>
      </c>
    </row>
    <row r="500" spans="1:9" x14ac:dyDescent="0.25">
      <c r="A500" s="45">
        <f t="shared" si="43"/>
        <v>45788</v>
      </c>
      <c r="B500" s="14" cm="1">
        <f t="array" ref="B500">_xlfn.IFNA(INDEX('IR data'!$D$4:$D$61,MATCH(A500,'IR data'!$C$4:$C$61,0)),((INDEX('IR data'!$D$4:$D$61,MATCH(A500,'IR data'!$C$4:$C$61,1)))-((A500-(INDEX('IR data'!$C$4:$C$61,MATCH(A500,'IR data'!$C$4:$C$61,1))))/((INDEX('IR data'!$C$4:$C$61,MATCH(A500,'IR data'!$C$4:$C$61,1)+1)-INDEX('IR data'!$C$4:$C$61,MATCH(A500,'IR data'!$C$4:$C$61,1))))) * (INDEX('IR data'!$D$4:$D$61,MATCH(A500,'IR data'!$C$4:$C$61,1))-(INDEX('IR data'!$D$4:$D$61,MATCH(A500,'IR data'!$C$4:$C$61,1)+1)))))</f>
        <v>0.93766981802197802</v>
      </c>
      <c r="C500" s="30">
        <f t="shared" si="44"/>
        <v>2.0526706197322976E-2</v>
      </c>
      <c r="D500" s="45">
        <f t="shared" si="45"/>
        <v>45848</v>
      </c>
      <c r="E500" s="14" cm="1">
        <f t="array" ref="E500">_xlfn.IFNA(INDEX('IR data'!$I$4:$I$61,MATCH(D500,'IR data'!$H$4:$H$61,0)),((INDEX('IR data'!$I$4:$I$61,MATCH(D500,'IR data'!$H$4:$H$61,1)))-((D500-(INDEX('IR data'!$H$4:$H$61,MATCH(D500,'IR data'!$H$4:$H$61,1))))/((INDEX('IR data'!$H$4:$H$61,MATCH(D500,'IR data'!$H$4:$H$61,1)+1)-INDEX('IR data'!$H$4:$H$61,MATCH(D500,'IR data'!$H$4:$H$61,1))))) * (INDEX('IR data'!$I$4:$I$61,MATCH(D500,'IR data'!$H$4:$H$61,1))-(INDEX('IR data'!$I$4:$I$61,MATCH(D500,'IR data'!$H$4:$H$61,1)+1)))))</f>
        <v>0.93357500765217394</v>
      </c>
      <c r="F500" s="30">
        <f t="shared" si="46"/>
        <v>2.1922607324334108E-2</v>
      </c>
      <c r="G500" s="45">
        <f t="shared" si="42"/>
        <v>45882</v>
      </c>
      <c r="H500" s="14" cm="1">
        <f t="array" ref="H500">_xlfn.IFNA(INDEX('IR data'!$N$4:$N$61,MATCH(G500,'IR data'!$M$4:$M$61,0)),((INDEX('IR data'!$N$4:$N$61,MATCH(G500,'IR data'!$M$4:$M$61,1)))-((G500-(INDEX('IR data'!$M$4:$M$61,MATCH(G500,'IR data'!$M$4:$M$61,1))))/((INDEX('IR data'!$M$4:$M$61,MATCH(G500,'IR data'!$M$4:$M$61,1)+1)-INDEX('IR data'!$M$4:$M$61,MATCH(G500,'IR data'!$M$4:$M$61,1))))) * (INDEX('IR data'!$N$4:$N$61,MATCH(G500,'IR data'!$M$4:$M$61,1))-(INDEX('IR data'!$N$4:$N$61,MATCH(G500,'IR data'!$M$4:$M$61,1)+1)))))</f>
        <v>0.93329305830769227</v>
      </c>
      <c r="I500" s="44">
        <f t="shared" si="47"/>
        <v>2.2018947680674517E-2</v>
      </c>
    </row>
    <row r="501" spans="1:9" x14ac:dyDescent="0.25">
      <c r="A501" s="45">
        <f t="shared" si="43"/>
        <v>45789</v>
      </c>
      <c r="B501" s="14" cm="1">
        <f t="array" ref="B501">_xlfn.IFNA(INDEX('IR data'!$D$4:$D$61,MATCH(A501,'IR data'!$C$4:$C$61,0)),((INDEX('IR data'!$D$4:$D$61,MATCH(A501,'IR data'!$C$4:$C$61,1)))-((A501-(INDEX('IR data'!$C$4:$C$61,MATCH(A501,'IR data'!$C$4:$C$61,1))))/((INDEX('IR data'!$C$4:$C$61,MATCH(A501,'IR data'!$C$4:$C$61,1)+1)-INDEX('IR data'!$C$4:$C$61,MATCH(A501,'IR data'!$C$4:$C$61,1))))) * (INDEX('IR data'!$D$4:$D$61,MATCH(A501,'IR data'!$C$4:$C$61,1))-(INDEX('IR data'!$D$4:$D$61,MATCH(A501,'IR data'!$C$4:$C$61,1)+1)))))</f>
        <v>0.93757565828571432</v>
      </c>
      <c r="C501" s="30">
        <f t="shared" si="44"/>
        <v>2.0517453664537281E-2</v>
      </c>
      <c r="D501" s="45">
        <f t="shared" si="45"/>
        <v>45849</v>
      </c>
      <c r="E501" s="14" cm="1">
        <f t="array" ref="E501">_xlfn.IFNA(INDEX('IR data'!$I$4:$I$61,MATCH(D501,'IR data'!$H$4:$H$61,0)),((INDEX('IR data'!$I$4:$I$61,MATCH(D501,'IR data'!$H$4:$H$61,1)))-((D501-(INDEX('IR data'!$H$4:$H$61,MATCH(D501,'IR data'!$H$4:$H$61,1))))/((INDEX('IR data'!$H$4:$H$61,MATCH(D501,'IR data'!$H$4:$H$61,1)+1)-INDEX('IR data'!$H$4:$H$61,MATCH(D501,'IR data'!$H$4:$H$61,1))))) * (INDEX('IR data'!$I$4:$I$61,MATCH(D501,'IR data'!$H$4:$H$61,1))-(INDEX('IR data'!$I$4:$I$61,MATCH(D501,'IR data'!$H$4:$H$61,1)+1)))))</f>
        <v>0.93346598083695653</v>
      </c>
      <c r="F501" s="30">
        <f t="shared" si="46"/>
        <v>2.191576156595447E-2</v>
      </c>
      <c r="G501" s="45">
        <f t="shared" si="42"/>
        <v>45883</v>
      </c>
      <c r="H501" s="14" cm="1">
        <f t="array" ref="H501">_xlfn.IFNA(INDEX('IR data'!$N$4:$N$61,MATCH(G501,'IR data'!$M$4:$M$61,0)),((INDEX('IR data'!$N$4:$N$61,MATCH(G501,'IR data'!$M$4:$M$61,1)))-((G501-(INDEX('IR data'!$M$4:$M$61,MATCH(G501,'IR data'!$M$4:$M$61,1))))/((INDEX('IR data'!$M$4:$M$61,MATCH(G501,'IR data'!$M$4:$M$61,1)+1)-INDEX('IR data'!$M$4:$M$61,MATCH(G501,'IR data'!$M$4:$M$61,1))))) * (INDEX('IR data'!$N$4:$N$61,MATCH(G501,'IR data'!$M$4:$M$61,1))-(INDEX('IR data'!$N$4:$N$61,MATCH(G501,'IR data'!$M$4:$M$61,1)+1)))))</f>
        <v>0.93318080315384611</v>
      </c>
      <c r="I501" s="44">
        <f t="shared" si="47"/>
        <v>2.2013020884417766E-2</v>
      </c>
    </row>
    <row r="502" spans="1:9" x14ac:dyDescent="0.25">
      <c r="A502" s="45">
        <f t="shared" si="43"/>
        <v>45790</v>
      </c>
      <c r="B502" s="14" cm="1">
        <f t="array" ref="B502">_xlfn.IFNA(INDEX('IR data'!$D$4:$D$61,MATCH(A502,'IR data'!$C$4:$C$61,0)),((INDEX('IR data'!$D$4:$D$61,MATCH(A502,'IR data'!$C$4:$C$61,1)))-((A502-(INDEX('IR data'!$C$4:$C$61,MATCH(A502,'IR data'!$C$4:$C$61,1))))/((INDEX('IR data'!$C$4:$C$61,MATCH(A502,'IR data'!$C$4:$C$61,1)+1)-INDEX('IR data'!$C$4:$C$61,MATCH(A502,'IR data'!$C$4:$C$61,1))))) * (INDEX('IR data'!$D$4:$D$61,MATCH(A502,'IR data'!$C$4:$C$61,1))-(INDEX('IR data'!$D$4:$D$61,MATCH(A502,'IR data'!$C$4:$C$61,1)+1)))))</f>
        <v>0.93748149854945051</v>
      </c>
      <c r="C502" s="30">
        <f t="shared" si="44"/>
        <v>2.0508241420065708E-2</v>
      </c>
      <c r="D502" s="45">
        <f t="shared" si="45"/>
        <v>45850</v>
      </c>
      <c r="E502" s="14" cm="1">
        <f t="array" ref="E502">_xlfn.IFNA(INDEX('IR data'!$I$4:$I$61,MATCH(D502,'IR data'!$H$4:$H$61,0)),((INDEX('IR data'!$I$4:$I$61,MATCH(D502,'IR data'!$H$4:$H$61,1)))-((D502-(INDEX('IR data'!$H$4:$H$61,MATCH(D502,'IR data'!$H$4:$H$61,1))))/((INDEX('IR data'!$H$4:$H$61,MATCH(D502,'IR data'!$H$4:$H$61,1)+1)-INDEX('IR data'!$H$4:$H$61,MATCH(D502,'IR data'!$H$4:$H$61,1))))) * (INDEX('IR data'!$I$4:$I$61,MATCH(D502,'IR data'!$H$4:$H$61,1))-(INDEX('IR data'!$I$4:$I$61,MATCH(D502,'IR data'!$H$4:$H$61,1)+1)))))</f>
        <v>0.93335695402173913</v>
      </c>
      <c r="F502" s="30">
        <f t="shared" si="46"/>
        <v>2.1908947579058938E-2</v>
      </c>
      <c r="G502" s="45">
        <f t="shared" si="42"/>
        <v>45884</v>
      </c>
      <c r="H502" s="14" cm="1">
        <f t="array" ref="H502">_xlfn.IFNA(INDEX('IR data'!$N$4:$N$61,MATCH(G502,'IR data'!$M$4:$M$61,0)),((INDEX('IR data'!$N$4:$N$61,MATCH(G502,'IR data'!$M$4:$M$61,1)))-((G502-(INDEX('IR data'!$M$4:$M$61,MATCH(G502,'IR data'!$M$4:$M$61,1))))/((INDEX('IR data'!$M$4:$M$61,MATCH(G502,'IR data'!$M$4:$M$61,1)+1)-INDEX('IR data'!$M$4:$M$61,MATCH(G502,'IR data'!$M$4:$M$61,1))))) * (INDEX('IR data'!$N$4:$N$61,MATCH(G502,'IR data'!$M$4:$M$61,1))-(INDEX('IR data'!$N$4:$N$61,MATCH(G502,'IR data'!$M$4:$M$61,1)+1)))))</f>
        <v>0.93306854799999994</v>
      </c>
      <c r="I502" s="44">
        <f t="shared" si="47"/>
        <v>2.2007122439676719E-2</v>
      </c>
    </row>
    <row r="503" spans="1:9" x14ac:dyDescent="0.25">
      <c r="A503" s="45">
        <f t="shared" si="43"/>
        <v>45791</v>
      </c>
      <c r="B503" s="14" cm="1">
        <f t="array" ref="B503">_xlfn.IFNA(INDEX('IR data'!$D$4:$D$61,MATCH(A503,'IR data'!$C$4:$C$61,0)),((INDEX('IR data'!$D$4:$D$61,MATCH(A503,'IR data'!$C$4:$C$61,1)))-((A503-(INDEX('IR data'!$C$4:$C$61,MATCH(A503,'IR data'!$C$4:$C$61,1))))/((INDEX('IR data'!$C$4:$C$61,MATCH(A503,'IR data'!$C$4:$C$61,1)+1)-INDEX('IR data'!$C$4:$C$61,MATCH(A503,'IR data'!$C$4:$C$61,1))))) * (INDEX('IR data'!$D$4:$D$61,MATCH(A503,'IR data'!$C$4:$C$61,1))-(INDEX('IR data'!$D$4:$D$61,MATCH(A503,'IR data'!$C$4:$C$61,1)+1)))))</f>
        <v>0.93738733881318681</v>
      </c>
      <c r="C503" s="30">
        <f t="shared" si="44"/>
        <v>2.0499069222820666E-2</v>
      </c>
      <c r="D503" s="45">
        <f t="shared" si="45"/>
        <v>45851</v>
      </c>
      <c r="E503" s="14" cm="1">
        <f t="array" ref="E503">_xlfn.IFNA(INDEX('IR data'!$I$4:$I$61,MATCH(D503,'IR data'!$H$4:$H$61,0)),((INDEX('IR data'!$I$4:$I$61,MATCH(D503,'IR data'!$H$4:$H$61,1)))-((D503-(INDEX('IR data'!$H$4:$H$61,MATCH(D503,'IR data'!$H$4:$H$61,1))))/((INDEX('IR data'!$H$4:$H$61,MATCH(D503,'IR data'!$H$4:$H$61,1)+1)-INDEX('IR data'!$H$4:$H$61,MATCH(D503,'IR data'!$H$4:$H$61,1))))) * (INDEX('IR data'!$I$4:$I$61,MATCH(D503,'IR data'!$H$4:$H$61,1))-(INDEX('IR data'!$I$4:$I$61,MATCH(D503,'IR data'!$H$4:$H$61,1)+1)))))</f>
        <v>0.93324792720652172</v>
      </c>
      <c r="F503" s="30">
        <f t="shared" si="46"/>
        <v>2.1902165174029081E-2</v>
      </c>
      <c r="G503" s="45">
        <f t="shared" si="42"/>
        <v>45885</v>
      </c>
      <c r="H503" s="14" cm="1">
        <f t="array" ref="H503">_xlfn.IFNA(INDEX('IR data'!$N$4:$N$61,MATCH(G503,'IR data'!$M$4:$M$61,0)),((INDEX('IR data'!$N$4:$N$61,MATCH(G503,'IR data'!$M$4:$M$61,1)))-((G503-(INDEX('IR data'!$M$4:$M$61,MATCH(G503,'IR data'!$M$4:$M$61,1))))/((INDEX('IR data'!$M$4:$M$61,MATCH(G503,'IR data'!$M$4:$M$61,1)+1)-INDEX('IR data'!$M$4:$M$61,MATCH(G503,'IR data'!$M$4:$M$61,1))))) * (INDEX('IR data'!$N$4:$N$61,MATCH(G503,'IR data'!$M$4:$M$61,1))-(INDEX('IR data'!$N$4:$N$61,MATCH(G503,'IR data'!$M$4:$M$61,1)+1)))))</f>
        <v>0.93295629284615389</v>
      </c>
      <c r="I503" s="44">
        <f t="shared" si="47"/>
        <v>2.2001252177446157E-2</v>
      </c>
    </row>
    <row r="504" spans="1:9" x14ac:dyDescent="0.25">
      <c r="A504" s="45">
        <f t="shared" si="43"/>
        <v>45792</v>
      </c>
      <c r="B504" s="14" cm="1">
        <f t="array" ref="B504">_xlfn.IFNA(INDEX('IR data'!$D$4:$D$61,MATCH(A504,'IR data'!$C$4:$C$61,0)),((INDEX('IR data'!$D$4:$D$61,MATCH(A504,'IR data'!$C$4:$C$61,1)))-((A504-(INDEX('IR data'!$C$4:$C$61,MATCH(A504,'IR data'!$C$4:$C$61,1))))/((INDEX('IR data'!$C$4:$C$61,MATCH(A504,'IR data'!$C$4:$C$61,1)+1)-INDEX('IR data'!$C$4:$C$61,MATCH(A504,'IR data'!$C$4:$C$61,1))))) * (INDEX('IR data'!$D$4:$D$61,MATCH(A504,'IR data'!$C$4:$C$61,1))-(INDEX('IR data'!$D$4:$D$61,MATCH(A504,'IR data'!$C$4:$C$61,1)+1)))))</f>
        <v>0.93729317907692311</v>
      </c>
      <c r="C504" s="30">
        <f t="shared" si="44"/>
        <v>2.0489936833639713E-2</v>
      </c>
      <c r="D504" s="45">
        <f t="shared" si="45"/>
        <v>45852</v>
      </c>
      <c r="E504" s="14" cm="1">
        <f t="array" ref="E504">_xlfn.IFNA(INDEX('IR data'!$I$4:$I$61,MATCH(D504,'IR data'!$H$4:$H$61,0)),((INDEX('IR data'!$I$4:$I$61,MATCH(D504,'IR data'!$H$4:$H$61,1)))-((D504-(INDEX('IR data'!$H$4:$H$61,MATCH(D504,'IR data'!$H$4:$H$61,1))))/((INDEX('IR data'!$H$4:$H$61,MATCH(D504,'IR data'!$H$4:$H$61,1)+1)-INDEX('IR data'!$H$4:$H$61,MATCH(D504,'IR data'!$H$4:$H$61,1))))) * (INDEX('IR data'!$I$4:$I$61,MATCH(D504,'IR data'!$H$4:$H$61,1))-(INDEX('IR data'!$I$4:$I$61,MATCH(D504,'IR data'!$H$4:$H$61,1)+1)))))</f>
        <v>0.93313890039130432</v>
      </c>
      <c r="F504" s="30">
        <f t="shared" si="46"/>
        <v>2.1895414162760713E-2</v>
      </c>
      <c r="G504" s="45">
        <f t="shared" si="42"/>
        <v>45886</v>
      </c>
      <c r="H504" s="14" cm="1">
        <f t="array" ref="H504">_xlfn.IFNA(INDEX('IR data'!$N$4:$N$61,MATCH(G504,'IR data'!$M$4:$M$61,0)),((INDEX('IR data'!$N$4:$N$61,MATCH(G504,'IR data'!$M$4:$M$61,1)))-((G504-(INDEX('IR data'!$M$4:$M$61,MATCH(G504,'IR data'!$M$4:$M$61,1))))/((INDEX('IR data'!$M$4:$M$61,MATCH(G504,'IR data'!$M$4:$M$61,1)+1)-INDEX('IR data'!$M$4:$M$61,MATCH(G504,'IR data'!$M$4:$M$61,1))))) * (INDEX('IR data'!$N$4:$N$61,MATCH(G504,'IR data'!$M$4:$M$61,1))-(INDEX('IR data'!$N$4:$N$61,MATCH(G504,'IR data'!$M$4:$M$61,1)+1)))))</f>
        <v>0.93284403769230773</v>
      </c>
      <c r="I504" s="44">
        <f t="shared" si="47"/>
        <v>2.1995409930070726E-2</v>
      </c>
    </row>
    <row r="505" spans="1:9" x14ac:dyDescent="0.25">
      <c r="A505" s="45">
        <f t="shared" si="43"/>
        <v>45793</v>
      </c>
      <c r="B505" s="14" cm="1">
        <f t="array" ref="B505">_xlfn.IFNA(INDEX('IR data'!$D$4:$D$61,MATCH(A505,'IR data'!$C$4:$C$61,0)),((INDEX('IR data'!$D$4:$D$61,MATCH(A505,'IR data'!$C$4:$C$61,1)))-((A505-(INDEX('IR data'!$C$4:$C$61,MATCH(A505,'IR data'!$C$4:$C$61,1))))/((INDEX('IR data'!$C$4:$C$61,MATCH(A505,'IR data'!$C$4:$C$61,1)+1)-INDEX('IR data'!$C$4:$C$61,MATCH(A505,'IR data'!$C$4:$C$61,1))))) * (INDEX('IR data'!$D$4:$D$61,MATCH(A505,'IR data'!$C$4:$C$61,1))-(INDEX('IR data'!$D$4:$D$61,MATCH(A505,'IR data'!$C$4:$C$61,1)+1)))))</f>
        <v>0.9371990193406593</v>
      </c>
      <c r="C505" s="30">
        <f t="shared" si="44"/>
        <v>2.0480844015266272E-2</v>
      </c>
      <c r="D505" s="45">
        <f t="shared" si="45"/>
        <v>45853</v>
      </c>
      <c r="E505" s="14" cm="1">
        <f t="array" ref="E505">_xlfn.IFNA(INDEX('IR data'!$I$4:$I$61,MATCH(D505,'IR data'!$H$4:$H$61,0)),((INDEX('IR data'!$I$4:$I$61,MATCH(D505,'IR data'!$H$4:$H$61,1)))-((D505-(INDEX('IR data'!$H$4:$H$61,MATCH(D505,'IR data'!$H$4:$H$61,1))))/((INDEX('IR data'!$H$4:$H$61,MATCH(D505,'IR data'!$H$4:$H$61,1)+1)-INDEX('IR data'!$H$4:$H$61,MATCH(D505,'IR data'!$H$4:$H$61,1))))) * (INDEX('IR data'!$I$4:$I$61,MATCH(D505,'IR data'!$H$4:$H$61,1))-(INDEX('IR data'!$I$4:$I$61,MATCH(D505,'IR data'!$H$4:$H$61,1)+1)))))</f>
        <v>0.93302987357608691</v>
      </c>
      <c r="F505" s="30">
        <f t="shared" si="46"/>
        <v>2.1888694358648854E-2</v>
      </c>
      <c r="G505" s="45">
        <f t="shared" si="42"/>
        <v>45887</v>
      </c>
      <c r="H505" s="14" cm="1">
        <f t="array" ref="H505">_xlfn.IFNA(INDEX('IR data'!$N$4:$N$61,MATCH(G505,'IR data'!$M$4:$M$61,0)),((INDEX('IR data'!$N$4:$N$61,MATCH(G505,'IR data'!$M$4:$M$61,1)))-((G505-(INDEX('IR data'!$M$4:$M$61,MATCH(G505,'IR data'!$M$4:$M$61,1))))/((INDEX('IR data'!$M$4:$M$61,MATCH(G505,'IR data'!$M$4:$M$61,1)+1)-INDEX('IR data'!$M$4:$M$61,MATCH(G505,'IR data'!$M$4:$M$61,1))))) * (INDEX('IR data'!$N$4:$N$61,MATCH(G505,'IR data'!$M$4:$M$61,1))-(INDEX('IR data'!$N$4:$N$61,MATCH(G505,'IR data'!$M$4:$M$61,1)+1)))))</f>
        <v>0.93273178253846156</v>
      </c>
      <c r="I505" s="44">
        <f t="shared" si="47"/>
        <v>2.1989595531231251E-2</v>
      </c>
    </row>
    <row r="506" spans="1:9" x14ac:dyDescent="0.25">
      <c r="A506" s="45">
        <f t="shared" si="43"/>
        <v>45794</v>
      </c>
      <c r="B506" s="14" cm="1">
        <f t="array" ref="B506">_xlfn.IFNA(INDEX('IR data'!$D$4:$D$61,MATCH(A506,'IR data'!$C$4:$C$61,0)),((INDEX('IR data'!$D$4:$D$61,MATCH(A506,'IR data'!$C$4:$C$61,1)))-((A506-(INDEX('IR data'!$C$4:$C$61,MATCH(A506,'IR data'!$C$4:$C$61,1))))/((INDEX('IR data'!$C$4:$C$61,MATCH(A506,'IR data'!$C$4:$C$61,1)+1)-INDEX('IR data'!$C$4:$C$61,MATCH(A506,'IR data'!$C$4:$C$61,1))))) * (INDEX('IR data'!$D$4:$D$61,MATCH(A506,'IR data'!$C$4:$C$61,1))-(INDEX('IR data'!$D$4:$D$61,MATCH(A506,'IR data'!$C$4:$C$61,1)+1)))))</f>
        <v>0.9371048596043956</v>
      </c>
      <c r="C506" s="30">
        <f t="shared" si="44"/>
        <v>2.0471790532330586E-2</v>
      </c>
      <c r="D506" s="45">
        <f t="shared" si="45"/>
        <v>45854</v>
      </c>
      <c r="E506" s="14" cm="1">
        <f t="array" ref="E506">_xlfn.IFNA(INDEX('IR data'!$I$4:$I$61,MATCH(D506,'IR data'!$H$4:$H$61,0)),((INDEX('IR data'!$I$4:$I$61,MATCH(D506,'IR data'!$H$4:$H$61,1)))-((D506-(INDEX('IR data'!$H$4:$H$61,MATCH(D506,'IR data'!$H$4:$H$61,1))))/((INDEX('IR data'!$H$4:$H$61,MATCH(D506,'IR data'!$H$4:$H$61,1)+1)-INDEX('IR data'!$H$4:$H$61,MATCH(D506,'IR data'!$H$4:$H$61,1))))) * (INDEX('IR data'!$I$4:$I$61,MATCH(D506,'IR data'!$H$4:$H$61,1))-(INDEX('IR data'!$I$4:$I$61,MATCH(D506,'IR data'!$H$4:$H$61,1)+1)))))</f>
        <v>0.9329208467608695</v>
      </c>
      <c r="F506" s="30">
        <f t="shared" si="46"/>
        <v>2.188200557657281E-2</v>
      </c>
      <c r="G506" s="45">
        <f t="shared" si="42"/>
        <v>45888</v>
      </c>
      <c r="H506" s="14" cm="1">
        <f t="array" ref="H506">_xlfn.IFNA(INDEX('IR data'!$N$4:$N$61,MATCH(G506,'IR data'!$M$4:$M$61,0)),((INDEX('IR data'!$N$4:$N$61,MATCH(G506,'IR data'!$M$4:$M$61,1)))-((G506-(INDEX('IR data'!$M$4:$M$61,MATCH(G506,'IR data'!$M$4:$M$61,1))))/((INDEX('IR data'!$M$4:$M$61,MATCH(G506,'IR data'!$M$4:$M$61,1)+1)-INDEX('IR data'!$M$4:$M$61,MATCH(G506,'IR data'!$M$4:$M$61,1))))) * (INDEX('IR data'!$N$4:$N$61,MATCH(G506,'IR data'!$M$4:$M$61,1))-(INDEX('IR data'!$N$4:$N$61,MATCH(G506,'IR data'!$M$4:$M$61,1)+1)))))</f>
        <v>0.9326195273846154</v>
      </c>
      <c r="I506" s="44">
        <f t="shared" si="47"/>
        <v>2.1983808815931597E-2</v>
      </c>
    </row>
    <row r="507" spans="1:9" x14ac:dyDescent="0.25">
      <c r="A507" s="45">
        <f t="shared" si="43"/>
        <v>45795</v>
      </c>
      <c r="B507" s="14" cm="1">
        <f t="array" ref="B507">_xlfn.IFNA(INDEX('IR data'!$D$4:$D$61,MATCH(A507,'IR data'!$C$4:$C$61,0)),((INDEX('IR data'!$D$4:$D$61,MATCH(A507,'IR data'!$C$4:$C$61,1)))-((A507-(INDEX('IR data'!$C$4:$C$61,MATCH(A507,'IR data'!$C$4:$C$61,1))))/((INDEX('IR data'!$C$4:$C$61,MATCH(A507,'IR data'!$C$4:$C$61,1)+1)-INDEX('IR data'!$C$4:$C$61,MATCH(A507,'IR data'!$C$4:$C$61,1))))) * (INDEX('IR data'!$D$4:$D$61,MATCH(A507,'IR data'!$C$4:$C$61,1))-(INDEX('IR data'!$D$4:$D$61,MATCH(A507,'IR data'!$C$4:$C$61,1)+1)))))</f>
        <v>0.9370106998681319</v>
      </c>
      <c r="C507" s="30">
        <f t="shared" si="44"/>
        <v>2.046277615133121E-2</v>
      </c>
      <c r="D507" s="45">
        <f t="shared" si="45"/>
        <v>45855</v>
      </c>
      <c r="E507" s="14" cm="1">
        <f t="array" ref="E507">_xlfn.IFNA(INDEX('IR data'!$I$4:$I$61,MATCH(D507,'IR data'!$H$4:$H$61,0)),((INDEX('IR data'!$I$4:$I$61,MATCH(D507,'IR data'!$H$4:$H$61,1)))-((D507-(INDEX('IR data'!$H$4:$H$61,MATCH(D507,'IR data'!$H$4:$H$61,1))))/((INDEX('IR data'!$H$4:$H$61,MATCH(D507,'IR data'!$H$4:$H$61,1)+1)-INDEX('IR data'!$H$4:$H$61,MATCH(D507,'IR data'!$H$4:$H$61,1))))) * (INDEX('IR data'!$I$4:$I$61,MATCH(D507,'IR data'!$H$4:$H$61,1))-(INDEX('IR data'!$I$4:$I$61,MATCH(D507,'IR data'!$H$4:$H$61,1)+1)))))</f>
        <v>0.93281181994565221</v>
      </c>
      <c r="F507" s="30">
        <f t="shared" si="46"/>
        <v>2.1875347632881407E-2</v>
      </c>
      <c r="G507" s="45">
        <f t="shared" si="42"/>
        <v>45889</v>
      </c>
      <c r="H507" s="14" cm="1">
        <f t="array" ref="H507">_xlfn.IFNA(INDEX('IR data'!$N$4:$N$61,MATCH(G507,'IR data'!$M$4:$M$61,0)),((INDEX('IR data'!$N$4:$N$61,MATCH(G507,'IR data'!$M$4:$M$61,1)))-((G507-(INDEX('IR data'!$M$4:$M$61,MATCH(G507,'IR data'!$M$4:$M$61,1))))/((INDEX('IR data'!$M$4:$M$61,MATCH(G507,'IR data'!$M$4:$M$61,1)+1)-INDEX('IR data'!$M$4:$M$61,MATCH(G507,'IR data'!$M$4:$M$61,1))))) * (INDEX('IR data'!$N$4:$N$61,MATCH(G507,'IR data'!$M$4:$M$61,1))-(INDEX('IR data'!$N$4:$N$61,MATCH(G507,'IR data'!$M$4:$M$61,1)+1)))))</f>
        <v>0.93250727223076924</v>
      </c>
      <c r="I507" s="44">
        <f t="shared" si="47"/>
        <v>2.1978049620485541E-2</v>
      </c>
    </row>
    <row r="508" spans="1:9" x14ac:dyDescent="0.25">
      <c r="A508" s="45">
        <f t="shared" si="43"/>
        <v>45796</v>
      </c>
      <c r="B508" s="14" cm="1">
        <f t="array" ref="B508">_xlfn.IFNA(INDEX('IR data'!$D$4:$D$61,MATCH(A508,'IR data'!$C$4:$C$61,0)),((INDEX('IR data'!$D$4:$D$61,MATCH(A508,'IR data'!$C$4:$C$61,1)))-((A508-(INDEX('IR data'!$C$4:$C$61,MATCH(A508,'IR data'!$C$4:$C$61,1))))/((INDEX('IR data'!$C$4:$C$61,MATCH(A508,'IR data'!$C$4:$C$61,1)+1)-INDEX('IR data'!$C$4:$C$61,MATCH(A508,'IR data'!$C$4:$C$61,1))))) * (INDEX('IR data'!$D$4:$D$61,MATCH(A508,'IR data'!$C$4:$C$61,1))-(INDEX('IR data'!$D$4:$D$61,MATCH(A508,'IR data'!$C$4:$C$61,1)+1)))))</f>
        <v>0.93691654013186809</v>
      </c>
      <c r="C508" s="30">
        <f t="shared" si="44"/>
        <v>2.0453800640616422E-2</v>
      </c>
      <c r="D508" s="45">
        <f t="shared" si="45"/>
        <v>45856</v>
      </c>
      <c r="E508" s="14" cm="1">
        <f t="array" ref="E508">_xlfn.IFNA(INDEX('IR data'!$I$4:$I$61,MATCH(D508,'IR data'!$H$4:$H$61,0)),((INDEX('IR data'!$I$4:$I$61,MATCH(D508,'IR data'!$H$4:$H$61,1)))-((D508-(INDEX('IR data'!$H$4:$H$61,MATCH(D508,'IR data'!$H$4:$H$61,1))))/((INDEX('IR data'!$H$4:$H$61,MATCH(D508,'IR data'!$H$4:$H$61,1)+1)-INDEX('IR data'!$H$4:$H$61,MATCH(D508,'IR data'!$H$4:$H$61,1))))) * (INDEX('IR data'!$I$4:$I$61,MATCH(D508,'IR data'!$H$4:$H$61,1))-(INDEX('IR data'!$I$4:$I$61,MATCH(D508,'IR data'!$H$4:$H$61,1)+1)))))</f>
        <v>0.9327027931304348</v>
      </c>
      <c r="F508" s="30">
        <f t="shared" si="46"/>
        <v>2.1868720345378612E-2</v>
      </c>
      <c r="G508" s="45">
        <f t="shared" si="42"/>
        <v>45890</v>
      </c>
      <c r="H508" s="14" cm="1">
        <f t="array" ref="H508">_xlfn.IFNA(INDEX('IR data'!$N$4:$N$61,MATCH(G508,'IR data'!$M$4:$M$61,0)),((INDEX('IR data'!$N$4:$N$61,MATCH(G508,'IR data'!$M$4:$M$61,1)))-((G508-(INDEX('IR data'!$M$4:$M$61,MATCH(G508,'IR data'!$M$4:$M$61,1))))/((INDEX('IR data'!$M$4:$M$61,MATCH(G508,'IR data'!$M$4:$M$61,1)+1)-INDEX('IR data'!$M$4:$M$61,MATCH(G508,'IR data'!$M$4:$M$61,1))))) * (INDEX('IR data'!$N$4:$N$61,MATCH(G508,'IR data'!$M$4:$M$61,1))-(INDEX('IR data'!$N$4:$N$61,MATCH(G508,'IR data'!$M$4:$M$61,1)+1)))))</f>
        <v>0.93239501707692307</v>
      </c>
      <c r="I508" s="44">
        <f t="shared" si="47"/>
        <v>2.1972317782503768E-2</v>
      </c>
    </row>
    <row r="509" spans="1:9" x14ac:dyDescent="0.25">
      <c r="A509" s="45">
        <f t="shared" si="43"/>
        <v>45797</v>
      </c>
      <c r="B509" s="14" cm="1">
        <f t="array" ref="B509">_xlfn.IFNA(INDEX('IR data'!$D$4:$D$61,MATCH(A509,'IR data'!$C$4:$C$61,0)),((INDEX('IR data'!$D$4:$D$61,MATCH(A509,'IR data'!$C$4:$C$61,1)))-((A509-(INDEX('IR data'!$C$4:$C$61,MATCH(A509,'IR data'!$C$4:$C$61,1))))/((INDEX('IR data'!$C$4:$C$61,MATCH(A509,'IR data'!$C$4:$C$61,1)+1)-INDEX('IR data'!$C$4:$C$61,MATCH(A509,'IR data'!$C$4:$C$61,1))))) * (INDEX('IR data'!$D$4:$D$61,MATCH(A509,'IR data'!$C$4:$C$61,1))-(INDEX('IR data'!$D$4:$D$61,MATCH(A509,'IR data'!$C$4:$C$61,1)+1)))))</f>
        <v>0.93682238039560439</v>
      </c>
      <c r="C509" s="30">
        <f t="shared" si="44"/>
        <v>2.0444863770365796E-2</v>
      </c>
      <c r="D509" s="45">
        <f t="shared" si="45"/>
        <v>45857</v>
      </c>
      <c r="E509" s="14" cm="1">
        <f t="array" ref="E509">_xlfn.IFNA(INDEX('IR data'!$I$4:$I$61,MATCH(D509,'IR data'!$H$4:$H$61,0)),((INDEX('IR data'!$I$4:$I$61,MATCH(D509,'IR data'!$H$4:$H$61,1)))-((D509-(INDEX('IR data'!$H$4:$H$61,MATCH(D509,'IR data'!$H$4:$H$61,1))))/((INDEX('IR data'!$H$4:$H$61,MATCH(D509,'IR data'!$H$4:$H$61,1)+1)-INDEX('IR data'!$H$4:$H$61,MATCH(D509,'IR data'!$H$4:$H$61,1))))) * (INDEX('IR data'!$I$4:$I$61,MATCH(D509,'IR data'!$H$4:$H$61,1))-(INDEX('IR data'!$I$4:$I$61,MATCH(D509,'IR data'!$H$4:$H$61,1)+1)))))</f>
        <v>0.9325937663152174</v>
      </c>
      <c r="F509" s="30">
        <f t="shared" si="46"/>
        <v>2.1862123533308898E-2</v>
      </c>
      <c r="G509" s="45">
        <f t="shared" si="42"/>
        <v>45891</v>
      </c>
      <c r="H509" s="14" cm="1">
        <f t="array" ref="H509">_xlfn.IFNA(INDEX('IR data'!$N$4:$N$61,MATCH(G509,'IR data'!$M$4:$M$61,0)),((INDEX('IR data'!$N$4:$N$61,MATCH(G509,'IR data'!$M$4:$M$61,1)))-((G509-(INDEX('IR data'!$M$4:$M$61,MATCH(G509,'IR data'!$M$4:$M$61,1))))/((INDEX('IR data'!$M$4:$M$61,MATCH(G509,'IR data'!$M$4:$M$61,1)+1)-INDEX('IR data'!$M$4:$M$61,MATCH(G509,'IR data'!$M$4:$M$61,1))))) * (INDEX('IR data'!$N$4:$N$61,MATCH(G509,'IR data'!$M$4:$M$61,1))-(INDEX('IR data'!$N$4:$N$61,MATCH(G509,'IR data'!$M$4:$M$61,1)+1)))))</f>
        <v>0.93228276192307691</v>
      </c>
      <c r="I509" s="44">
        <f t="shared" si="47"/>
        <v>2.196661314088106E-2</v>
      </c>
    </row>
    <row r="510" spans="1:9" x14ac:dyDescent="0.25">
      <c r="A510" s="45">
        <f t="shared" si="43"/>
        <v>45798</v>
      </c>
      <c r="B510" s="14" cm="1">
        <f t="array" ref="B510">_xlfn.IFNA(INDEX('IR data'!$D$4:$D$61,MATCH(A510,'IR data'!$C$4:$C$61,0)),((INDEX('IR data'!$D$4:$D$61,MATCH(A510,'IR data'!$C$4:$C$61,1)))-((A510-(INDEX('IR data'!$C$4:$C$61,MATCH(A510,'IR data'!$C$4:$C$61,1))))/((INDEX('IR data'!$C$4:$C$61,MATCH(A510,'IR data'!$C$4:$C$61,1)+1)-INDEX('IR data'!$C$4:$C$61,MATCH(A510,'IR data'!$C$4:$C$61,1))))) * (INDEX('IR data'!$D$4:$D$61,MATCH(A510,'IR data'!$C$4:$C$61,1))-(INDEX('IR data'!$D$4:$D$61,MATCH(A510,'IR data'!$C$4:$C$61,1)+1)))))</f>
        <v>0.93672822065934069</v>
      </c>
      <c r="C510" s="30">
        <f t="shared" si="44"/>
        <v>2.0435965312572409E-2</v>
      </c>
      <c r="D510" s="45">
        <f t="shared" si="45"/>
        <v>45858</v>
      </c>
      <c r="E510" s="14" cm="1">
        <f t="array" ref="E510">_xlfn.IFNA(INDEX('IR data'!$I$4:$I$61,MATCH(D510,'IR data'!$H$4:$H$61,0)),((INDEX('IR data'!$I$4:$I$61,MATCH(D510,'IR data'!$H$4:$H$61,1)))-((D510-(INDEX('IR data'!$H$4:$H$61,MATCH(D510,'IR data'!$H$4:$H$61,1))))/((INDEX('IR data'!$H$4:$H$61,MATCH(D510,'IR data'!$H$4:$H$61,1)+1)-INDEX('IR data'!$H$4:$H$61,MATCH(D510,'IR data'!$H$4:$H$61,1))))) * (INDEX('IR data'!$I$4:$I$61,MATCH(D510,'IR data'!$H$4:$H$61,1))-(INDEX('IR data'!$I$4:$I$61,MATCH(D510,'IR data'!$H$4:$H$61,1)+1)))))</f>
        <v>0.93248473949999999</v>
      </c>
      <c r="F510" s="30">
        <f t="shared" si="46"/>
        <v>2.1855557017343215E-2</v>
      </c>
      <c r="G510" s="45">
        <f t="shared" si="42"/>
        <v>45892</v>
      </c>
      <c r="H510" s="14" cm="1">
        <f t="array" ref="H510">_xlfn.IFNA(INDEX('IR data'!$N$4:$N$61,MATCH(G510,'IR data'!$M$4:$M$61,0)),((INDEX('IR data'!$N$4:$N$61,MATCH(G510,'IR data'!$M$4:$M$61,1)))-((G510-(INDEX('IR data'!$M$4:$M$61,MATCH(G510,'IR data'!$M$4:$M$61,1))))/((INDEX('IR data'!$M$4:$M$61,MATCH(G510,'IR data'!$M$4:$M$61,1)+1)-INDEX('IR data'!$M$4:$M$61,MATCH(G510,'IR data'!$M$4:$M$61,1))))) * (INDEX('IR data'!$N$4:$N$61,MATCH(G510,'IR data'!$M$4:$M$61,1))-(INDEX('IR data'!$N$4:$N$61,MATCH(G510,'IR data'!$M$4:$M$61,1)+1)))))</f>
        <v>0.93217050676923074</v>
      </c>
      <c r="I510" s="44">
        <f t="shared" si="47"/>
        <v>2.1960935535783651E-2</v>
      </c>
    </row>
    <row r="511" spans="1:9" x14ac:dyDescent="0.25">
      <c r="A511" s="45">
        <f t="shared" si="43"/>
        <v>45799</v>
      </c>
      <c r="B511" s="14" cm="1">
        <f t="array" ref="B511">_xlfn.IFNA(INDEX('IR data'!$D$4:$D$61,MATCH(A511,'IR data'!$C$4:$C$61,0)),((INDEX('IR data'!$D$4:$D$61,MATCH(A511,'IR data'!$C$4:$C$61,1)))-((A511-(INDEX('IR data'!$C$4:$C$61,MATCH(A511,'IR data'!$C$4:$C$61,1))))/((INDEX('IR data'!$C$4:$C$61,MATCH(A511,'IR data'!$C$4:$C$61,1)+1)-INDEX('IR data'!$C$4:$C$61,MATCH(A511,'IR data'!$C$4:$C$61,1))))) * (INDEX('IR data'!$D$4:$D$61,MATCH(A511,'IR data'!$C$4:$C$61,1))-(INDEX('IR data'!$D$4:$D$61,MATCH(A511,'IR data'!$C$4:$C$61,1)+1)))))</f>
        <v>0.93663406092307688</v>
      </c>
      <c r="C511" s="30">
        <f t="shared" si="44"/>
        <v>2.0427105041024837E-2</v>
      </c>
      <c r="D511" s="45">
        <f t="shared" si="45"/>
        <v>45859</v>
      </c>
      <c r="E511" s="14" cm="1">
        <f t="array" ref="E511">_xlfn.IFNA(INDEX('IR data'!$I$4:$I$61,MATCH(D511,'IR data'!$H$4:$H$61,0)),((INDEX('IR data'!$I$4:$I$61,MATCH(D511,'IR data'!$H$4:$H$61,1)))-((D511-(INDEX('IR data'!$H$4:$H$61,MATCH(D511,'IR data'!$H$4:$H$61,1))))/((INDEX('IR data'!$H$4:$H$61,MATCH(D511,'IR data'!$H$4:$H$61,1)+1)-INDEX('IR data'!$H$4:$H$61,MATCH(D511,'IR data'!$H$4:$H$61,1))))) * (INDEX('IR data'!$I$4:$I$61,MATCH(D511,'IR data'!$H$4:$H$61,1))-(INDEX('IR data'!$I$4:$I$61,MATCH(D511,'IR data'!$H$4:$H$61,1)+1)))))</f>
        <v>0.93237571268478259</v>
      </c>
      <c r="F511" s="30">
        <f t="shared" si="46"/>
        <v>2.18490206195649E-2</v>
      </c>
      <c r="G511" s="45">
        <f t="shared" si="42"/>
        <v>45893</v>
      </c>
      <c r="H511" s="14" cm="1">
        <f t="array" ref="H511">_xlfn.IFNA(INDEX('IR data'!$N$4:$N$61,MATCH(G511,'IR data'!$M$4:$M$61,0)),((INDEX('IR data'!$N$4:$N$61,MATCH(G511,'IR data'!$M$4:$M$61,1)))-((G511-(INDEX('IR data'!$M$4:$M$61,MATCH(G511,'IR data'!$M$4:$M$61,1))))/((INDEX('IR data'!$M$4:$M$61,MATCH(G511,'IR data'!$M$4:$M$61,1)+1)-INDEX('IR data'!$M$4:$M$61,MATCH(G511,'IR data'!$M$4:$M$61,1))))) * (INDEX('IR data'!$N$4:$N$61,MATCH(G511,'IR data'!$M$4:$M$61,1))-(INDEX('IR data'!$N$4:$N$61,MATCH(G511,'IR data'!$M$4:$M$61,1)+1)))))</f>
        <v>0.93205825161538458</v>
      </c>
      <c r="I511" s="44">
        <f t="shared" si="47"/>
        <v>2.1955284808636691E-2</v>
      </c>
    </row>
    <row r="512" spans="1:9" x14ac:dyDescent="0.25">
      <c r="A512" s="45">
        <f t="shared" si="43"/>
        <v>45800</v>
      </c>
      <c r="B512" s="14" cm="1">
        <f t="array" ref="B512">_xlfn.IFNA(INDEX('IR data'!$D$4:$D$61,MATCH(A512,'IR data'!$C$4:$C$61,0)),((INDEX('IR data'!$D$4:$D$61,MATCH(A512,'IR data'!$C$4:$C$61,1)))-((A512-(INDEX('IR data'!$C$4:$C$61,MATCH(A512,'IR data'!$C$4:$C$61,1))))/((INDEX('IR data'!$C$4:$C$61,MATCH(A512,'IR data'!$C$4:$C$61,1)+1)-INDEX('IR data'!$C$4:$C$61,MATCH(A512,'IR data'!$C$4:$C$61,1))))) * (INDEX('IR data'!$D$4:$D$61,MATCH(A512,'IR data'!$C$4:$C$61,1))-(INDEX('IR data'!$D$4:$D$61,MATCH(A512,'IR data'!$C$4:$C$61,1)+1)))))</f>
        <v>0.93653990118681318</v>
      </c>
      <c r="C512" s="30">
        <f t="shared" si="44"/>
        <v>2.0418282731289459E-2</v>
      </c>
      <c r="D512" s="45">
        <f t="shared" si="45"/>
        <v>45860</v>
      </c>
      <c r="E512" s="14" cm="1">
        <f t="array" ref="E512">_xlfn.IFNA(INDEX('IR data'!$I$4:$I$61,MATCH(D512,'IR data'!$H$4:$H$61,0)),((INDEX('IR data'!$I$4:$I$61,MATCH(D512,'IR data'!$H$4:$H$61,1)))-((D512-(INDEX('IR data'!$H$4:$H$61,MATCH(D512,'IR data'!$H$4:$H$61,1))))/((INDEX('IR data'!$H$4:$H$61,MATCH(D512,'IR data'!$H$4:$H$61,1)+1)-INDEX('IR data'!$H$4:$H$61,MATCH(D512,'IR data'!$H$4:$H$61,1))))) * (INDEX('IR data'!$I$4:$I$61,MATCH(D512,'IR data'!$H$4:$H$61,1))-(INDEX('IR data'!$I$4:$I$61,MATCH(D512,'IR data'!$H$4:$H$61,1)+1)))))</f>
        <v>0.93226668586956518</v>
      </c>
      <c r="F512" s="30">
        <f t="shared" si="46"/>
        <v>2.1842514163455808E-2</v>
      </c>
      <c r="G512" s="45">
        <f t="shared" si="42"/>
        <v>45894</v>
      </c>
      <c r="H512" s="14" cm="1">
        <f t="array" ref="H512">_xlfn.IFNA(INDEX('IR data'!$N$4:$N$61,MATCH(G512,'IR data'!$M$4:$M$61,0)),((INDEX('IR data'!$N$4:$N$61,MATCH(G512,'IR data'!$M$4:$M$61,1)))-((G512-(INDEX('IR data'!$M$4:$M$61,MATCH(G512,'IR data'!$M$4:$M$61,1))))/((INDEX('IR data'!$M$4:$M$61,MATCH(G512,'IR data'!$M$4:$M$61,1)+1)-INDEX('IR data'!$M$4:$M$61,MATCH(G512,'IR data'!$M$4:$M$61,1))))) * (INDEX('IR data'!$N$4:$N$61,MATCH(G512,'IR data'!$M$4:$M$61,1))-(INDEX('IR data'!$N$4:$N$61,MATCH(G512,'IR data'!$M$4:$M$61,1)+1)))))</f>
        <v>0.93194599646153842</v>
      </c>
      <c r="I512" s="44">
        <f t="shared" si="47"/>
        <v>2.1949660802111911E-2</v>
      </c>
    </row>
    <row r="513" spans="1:9" x14ac:dyDescent="0.25">
      <c r="A513" s="45">
        <f t="shared" si="43"/>
        <v>45801</v>
      </c>
      <c r="B513" s="14" cm="1">
        <f t="array" ref="B513">_xlfn.IFNA(INDEX('IR data'!$D$4:$D$61,MATCH(A513,'IR data'!$C$4:$C$61,0)),((INDEX('IR data'!$D$4:$D$61,MATCH(A513,'IR data'!$C$4:$C$61,1)))-((A513-(INDEX('IR data'!$C$4:$C$61,MATCH(A513,'IR data'!$C$4:$C$61,1))))/((INDEX('IR data'!$C$4:$C$61,MATCH(A513,'IR data'!$C$4:$C$61,1)+1)-INDEX('IR data'!$C$4:$C$61,MATCH(A513,'IR data'!$C$4:$C$61,1))))) * (INDEX('IR data'!$D$4:$D$61,MATCH(A513,'IR data'!$C$4:$C$61,1))-(INDEX('IR data'!$D$4:$D$61,MATCH(A513,'IR data'!$C$4:$C$61,1)+1)))))</f>
        <v>0.93644574145054948</v>
      </c>
      <c r="C513" s="30">
        <f t="shared" si="44"/>
        <v>2.0409498160693186E-2</v>
      </c>
      <c r="D513" s="45">
        <f t="shared" si="45"/>
        <v>45861</v>
      </c>
      <c r="E513" s="14" cm="1">
        <f t="array" ref="E513">_xlfn.IFNA(INDEX('IR data'!$I$4:$I$61,MATCH(D513,'IR data'!$H$4:$H$61,0)),((INDEX('IR data'!$I$4:$I$61,MATCH(D513,'IR data'!$H$4:$H$61,1)))-((D513-(INDEX('IR data'!$H$4:$H$61,MATCH(D513,'IR data'!$H$4:$H$61,1))))/((INDEX('IR data'!$H$4:$H$61,MATCH(D513,'IR data'!$H$4:$H$61,1)+1)-INDEX('IR data'!$H$4:$H$61,MATCH(D513,'IR data'!$H$4:$H$61,1))))) * (INDEX('IR data'!$I$4:$I$61,MATCH(D513,'IR data'!$H$4:$H$61,1))-(INDEX('IR data'!$I$4:$I$61,MATCH(D513,'IR data'!$H$4:$H$61,1)+1)))))</f>
        <v>0.93215765905434778</v>
      </c>
      <c r="F513" s="30">
        <f t="shared" si="46"/>
        <v>2.1836037473882592E-2</v>
      </c>
      <c r="G513" s="45">
        <f t="shared" si="42"/>
        <v>45895</v>
      </c>
      <c r="H513" s="14" cm="1">
        <f t="array" ref="H513">_xlfn.IFNA(INDEX('IR data'!$N$4:$N$61,MATCH(G513,'IR data'!$M$4:$M$61,0)),((INDEX('IR data'!$N$4:$N$61,MATCH(G513,'IR data'!$M$4:$M$61,1)))-((G513-(INDEX('IR data'!$M$4:$M$61,MATCH(G513,'IR data'!$M$4:$M$61,1))))/((INDEX('IR data'!$M$4:$M$61,MATCH(G513,'IR data'!$M$4:$M$61,1)+1)-INDEX('IR data'!$M$4:$M$61,MATCH(G513,'IR data'!$M$4:$M$61,1))))) * (INDEX('IR data'!$N$4:$N$61,MATCH(G513,'IR data'!$M$4:$M$61,1))-(INDEX('IR data'!$N$4:$N$61,MATCH(G513,'IR data'!$M$4:$M$61,1)+1)))))</f>
        <v>0.93183374130769225</v>
      </c>
      <c r="I513" s="44">
        <f t="shared" si="47"/>
        <v>2.1944063360115361E-2</v>
      </c>
    </row>
    <row r="514" spans="1:9" x14ac:dyDescent="0.25">
      <c r="A514" s="45">
        <f t="shared" si="43"/>
        <v>45802</v>
      </c>
      <c r="B514" s="14" cm="1">
        <f t="array" ref="B514">_xlfn.IFNA(INDEX('IR data'!$D$4:$D$61,MATCH(A514,'IR data'!$C$4:$C$61,0)),((INDEX('IR data'!$D$4:$D$61,MATCH(A514,'IR data'!$C$4:$C$61,1)))-((A514-(INDEX('IR data'!$C$4:$C$61,MATCH(A514,'IR data'!$C$4:$C$61,1))))/((INDEX('IR data'!$C$4:$C$61,MATCH(A514,'IR data'!$C$4:$C$61,1)+1)-INDEX('IR data'!$C$4:$C$61,MATCH(A514,'IR data'!$C$4:$C$61,1))))) * (INDEX('IR data'!$D$4:$D$61,MATCH(A514,'IR data'!$C$4:$C$61,1))-(INDEX('IR data'!$D$4:$D$61,MATCH(A514,'IR data'!$C$4:$C$61,1)+1)))))</f>
        <v>0.93635158171428567</v>
      </c>
      <c r="C514" s="30">
        <f t="shared" si="44"/>
        <v>2.0400751108306185E-2</v>
      </c>
      <c r="D514" s="45">
        <f t="shared" si="45"/>
        <v>45862</v>
      </c>
      <c r="E514" s="14" cm="1">
        <f t="array" ref="E514">_xlfn.IFNA(INDEX('IR data'!$I$4:$I$61,MATCH(D514,'IR data'!$H$4:$H$61,0)),((INDEX('IR data'!$I$4:$I$61,MATCH(D514,'IR data'!$H$4:$H$61,1)))-((D514-(INDEX('IR data'!$H$4:$H$61,MATCH(D514,'IR data'!$H$4:$H$61,1))))/((INDEX('IR data'!$H$4:$H$61,MATCH(D514,'IR data'!$H$4:$H$61,1)+1)-INDEX('IR data'!$H$4:$H$61,MATCH(D514,'IR data'!$H$4:$H$61,1))))) * (INDEX('IR data'!$I$4:$I$61,MATCH(D514,'IR data'!$H$4:$H$61,1))-(INDEX('IR data'!$I$4:$I$61,MATCH(D514,'IR data'!$H$4:$H$61,1)+1)))))</f>
        <v>0.93204863223913048</v>
      </c>
      <c r="F514" s="30">
        <f t="shared" si="46"/>
        <v>2.1829590377083131E-2</v>
      </c>
      <c r="G514" s="45">
        <f t="shared" si="42"/>
        <v>45896</v>
      </c>
      <c r="H514" s="14" cm="1">
        <f t="array" ref="H514">_xlfn.IFNA(INDEX('IR data'!$N$4:$N$61,MATCH(G514,'IR data'!$M$4:$M$61,0)),((INDEX('IR data'!$N$4:$N$61,MATCH(G514,'IR data'!$M$4:$M$61,1)))-((G514-(INDEX('IR data'!$M$4:$M$61,MATCH(G514,'IR data'!$M$4:$M$61,1))))/((INDEX('IR data'!$M$4:$M$61,MATCH(G514,'IR data'!$M$4:$M$61,1)+1)-INDEX('IR data'!$M$4:$M$61,MATCH(G514,'IR data'!$M$4:$M$61,1))))) * (INDEX('IR data'!$N$4:$N$61,MATCH(G514,'IR data'!$M$4:$M$61,1))-(INDEX('IR data'!$N$4:$N$61,MATCH(G514,'IR data'!$M$4:$M$61,1)+1)))))</f>
        <v>0.93172148615384609</v>
      </c>
      <c r="I514" s="44">
        <f t="shared" si="47"/>
        <v>2.1938492327775363E-2</v>
      </c>
    </row>
    <row r="515" spans="1:9" x14ac:dyDescent="0.25">
      <c r="A515" s="45">
        <f t="shared" si="43"/>
        <v>45803</v>
      </c>
      <c r="B515" s="14" cm="1">
        <f t="array" ref="B515">_xlfn.IFNA(INDEX('IR data'!$D$4:$D$61,MATCH(A515,'IR data'!$C$4:$C$61,0)),((INDEX('IR data'!$D$4:$D$61,MATCH(A515,'IR data'!$C$4:$C$61,1)))-((A515-(INDEX('IR data'!$C$4:$C$61,MATCH(A515,'IR data'!$C$4:$C$61,1))))/((INDEX('IR data'!$C$4:$C$61,MATCH(A515,'IR data'!$C$4:$C$61,1)+1)-INDEX('IR data'!$C$4:$C$61,MATCH(A515,'IR data'!$C$4:$C$61,1))))) * (INDEX('IR data'!$D$4:$D$61,MATCH(A515,'IR data'!$C$4:$C$61,1))-(INDEX('IR data'!$D$4:$D$61,MATCH(A515,'IR data'!$C$4:$C$61,1)+1)))))</f>
        <v>0.93625742197802198</v>
      </c>
      <c r="C515" s="30">
        <f t="shared" si="44"/>
        <v>2.0392041354924693E-2</v>
      </c>
      <c r="D515" s="45">
        <f t="shared" si="45"/>
        <v>45863</v>
      </c>
      <c r="E515" s="14" cm="1">
        <f t="array" ref="E515">_xlfn.IFNA(INDEX('IR data'!$I$4:$I$61,MATCH(D515,'IR data'!$H$4:$H$61,0)),((INDEX('IR data'!$I$4:$I$61,MATCH(D515,'IR data'!$H$4:$H$61,1)))-((D515-(INDEX('IR data'!$H$4:$H$61,MATCH(D515,'IR data'!$H$4:$H$61,1))))/((INDEX('IR data'!$H$4:$H$61,MATCH(D515,'IR data'!$H$4:$H$61,1)+1)-INDEX('IR data'!$H$4:$H$61,MATCH(D515,'IR data'!$H$4:$H$61,1))))) * (INDEX('IR data'!$I$4:$I$61,MATCH(D515,'IR data'!$H$4:$H$61,1))-(INDEX('IR data'!$I$4:$I$61,MATCH(D515,'IR data'!$H$4:$H$61,1)+1)))))</f>
        <v>0.93193960542391308</v>
      </c>
      <c r="F515" s="30">
        <f t="shared" si="46"/>
        <v>2.1823172700653273E-2</v>
      </c>
      <c r="G515" s="45">
        <f t="shared" ref="G515:G578" si="48">G514+1</f>
        <v>45897</v>
      </c>
      <c r="H515" s="14" cm="1">
        <f t="array" ref="H515">_xlfn.IFNA(INDEX('IR data'!$N$4:$N$61,MATCH(G515,'IR data'!$M$4:$M$61,0)),((INDEX('IR data'!$N$4:$N$61,MATCH(G515,'IR data'!$M$4:$M$61,1)))-((G515-(INDEX('IR data'!$M$4:$M$61,MATCH(G515,'IR data'!$M$4:$M$61,1))))/((INDEX('IR data'!$M$4:$M$61,MATCH(G515,'IR data'!$M$4:$M$61,1)+1)-INDEX('IR data'!$M$4:$M$61,MATCH(G515,'IR data'!$M$4:$M$61,1))))) * (INDEX('IR data'!$N$4:$N$61,MATCH(G515,'IR data'!$M$4:$M$61,1))-(INDEX('IR data'!$N$4:$N$61,MATCH(G515,'IR data'!$M$4:$M$61,1)+1)))))</f>
        <v>0.93160923100000004</v>
      </c>
      <c r="I515" s="44">
        <f t="shared" si="47"/>
        <v>2.1932947551430527E-2</v>
      </c>
    </row>
    <row r="516" spans="1:9" x14ac:dyDescent="0.25">
      <c r="A516" s="45">
        <f t="shared" si="43"/>
        <v>45804</v>
      </c>
      <c r="B516" s="14" cm="1">
        <f t="array" ref="B516">_xlfn.IFNA(INDEX('IR data'!$D$4:$D$61,MATCH(A516,'IR data'!$C$4:$C$61,0)),((INDEX('IR data'!$D$4:$D$61,MATCH(A516,'IR data'!$C$4:$C$61,1)))-((A516-(INDEX('IR data'!$C$4:$C$61,MATCH(A516,'IR data'!$C$4:$C$61,1))))/((INDEX('IR data'!$C$4:$C$61,MATCH(A516,'IR data'!$C$4:$C$61,1)+1)-INDEX('IR data'!$C$4:$C$61,MATCH(A516,'IR data'!$C$4:$C$61,1))))) * (INDEX('IR data'!$D$4:$D$61,MATCH(A516,'IR data'!$C$4:$C$61,1))-(INDEX('IR data'!$D$4:$D$61,MATCH(A516,'IR data'!$C$4:$C$61,1)+1)))))</f>
        <v>0.93616326224175828</v>
      </c>
      <c r="C516" s="30">
        <f t="shared" si="44"/>
        <v>2.0383368683054456E-2</v>
      </c>
      <c r="D516" s="45">
        <f t="shared" si="45"/>
        <v>45864</v>
      </c>
      <c r="E516" s="14" cm="1">
        <f t="array" ref="E516">_xlfn.IFNA(INDEX('IR data'!$I$4:$I$61,MATCH(D516,'IR data'!$H$4:$H$61,0)),((INDEX('IR data'!$I$4:$I$61,MATCH(D516,'IR data'!$H$4:$H$61,1)))-((D516-(INDEX('IR data'!$H$4:$H$61,MATCH(D516,'IR data'!$H$4:$H$61,1))))/((INDEX('IR data'!$H$4:$H$61,MATCH(D516,'IR data'!$H$4:$H$61,1)+1)-INDEX('IR data'!$H$4:$H$61,MATCH(D516,'IR data'!$H$4:$H$61,1))))) * (INDEX('IR data'!$I$4:$I$61,MATCH(D516,'IR data'!$H$4:$H$61,1))-(INDEX('IR data'!$I$4:$I$61,MATCH(D516,'IR data'!$H$4:$H$61,1)+1)))))</f>
        <v>0.93183057860869567</v>
      </c>
      <c r="F516" s="30">
        <f t="shared" si="46"/>
        <v>2.1816784273533386E-2</v>
      </c>
      <c r="G516" s="45">
        <f t="shared" si="48"/>
        <v>45898</v>
      </c>
      <c r="H516" s="14" cm="1">
        <f t="array" ref="H516">_xlfn.IFNA(INDEX('IR data'!$N$4:$N$61,MATCH(G516,'IR data'!$M$4:$M$61,0)),((INDEX('IR data'!$N$4:$N$61,MATCH(G516,'IR data'!$M$4:$M$61,1)))-((G516-(INDEX('IR data'!$M$4:$M$61,MATCH(G516,'IR data'!$M$4:$M$61,1))))/((INDEX('IR data'!$M$4:$M$61,MATCH(G516,'IR data'!$M$4:$M$61,1)+1)-INDEX('IR data'!$M$4:$M$61,MATCH(G516,'IR data'!$M$4:$M$61,1))))) * (INDEX('IR data'!$N$4:$N$61,MATCH(G516,'IR data'!$M$4:$M$61,1))-(INDEX('IR data'!$N$4:$N$61,MATCH(G516,'IR data'!$M$4:$M$61,1)+1)))))</f>
        <v>0.93149697584615387</v>
      </c>
      <c r="I516" s="44">
        <f t="shared" si="47"/>
        <v>2.1927428878618104E-2</v>
      </c>
    </row>
    <row r="517" spans="1:9" x14ac:dyDescent="0.25">
      <c r="A517" s="45">
        <f t="shared" ref="A517:A580" si="49">A516+1</f>
        <v>45805</v>
      </c>
      <c r="B517" s="14" cm="1">
        <f t="array" ref="B517">_xlfn.IFNA(INDEX('IR data'!$D$4:$D$61,MATCH(A517,'IR data'!$C$4:$C$61,0)),((INDEX('IR data'!$D$4:$D$61,MATCH(A517,'IR data'!$C$4:$C$61,1)))-((A517-(INDEX('IR data'!$C$4:$C$61,MATCH(A517,'IR data'!$C$4:$C$61,1))))/((INDEX('IR data'!$C$4:$C$61,MATCH(A517,'IR data'!$C$4:$C$61,1)+1)-INDEX('IR data'!$C$4:$C$61,MATCH(A517,'IR data'!$C$4:$C$61,1))))) * (INDEX('IR data'!$D$4:$D$61,MATCH(A517,'IR data'!$C$4:$C$61,1))-(INDEX('IR data'!$D$4:$D$61,MATCH(A517,'IR data'!$C$4:$C$61,1)+1)))))</f>
        <v>0.93606910250549447</v>
      </c>
      <c r="C517" s="30">
        <f t="shared" ref="C517:C580" si="50">-LOG(B517)/YEARFRAC($B$1, A517, 3)</f>
        <v>2.0374732876893963E-2</v>
      </c>
      <c r="D517" s="45">
        <f t="shared" ref="D517:D580" si="51">D516+1</f>
        <v>45865</v>
      </c>
      <c r="E517" s="14" cm="1">
        <f t="array" ref="E517">_xlfn.IFNA(INDEX('IR data'!$I$4:$I$61,MATCH(D517,'IR data'!$H$4:$H$61,0)),((INDEX('IR data'!$I$4:$I$61,MATCH(D517,'IR data'!$H$4:$H$61,1)))-((D517-(INDEX('IR data'!$H$4:$H$61,MATCH(D517,'IR data'!$H$4:$H$61,1))))/((INDEX('IR data'!$H$4:$H$61,MATCH(D517,'IR data'!$H$4:$H$61,1)+1)-INDEX('IR data'!$H$4:$H$61,MATCH(D517,'IR data'!$H$4:$H$61,1))))) * (INDEX('IR data'!$I$4:$I$61,MATCH(D517,'IR data'!$H$4:$H$61,1))-(INDEX('IR data'!$I$4:$I$61,MATCH(D517,'IR data'!$H$4:$H$61,1)+1)))))</f>
        <v>0.93172155179347826</v>
      </c>
      <c r="F517" s="30">
        <f t="shared" ref="F517:F580" si="52">-LOG(E517)/YEARFRAC($E$1, D517, 3)</f>
        <v>2.1810424925995432E-2</v>
      </c>
      <c r="G517" s="45">
        <f t="shared" si="48"/>
        <v>45899</v>
      </c>
      <c r="H517" s="14" cm="1">
        <f t="array" ref="H517">_xlfn.IFNA(INDEX('IR data'!$N$4:$N$61,MATCH(G517,'IR data'!$M$4:$M$61,0)),((INDEX('IR data'!$N$4:$N$61,MATCH(G517,'IR data'!$M$4:$M$61,1)))-((G517-(INDEX('IR data'!$M$4:$M$61,MATCH(G517,'IR data'!$M$4:$M$61,1))))/((INDEX('IR data'!$M$4:$M$61,MATCH(G517,'IR data'!$M$4:$M$61,1)+1)-INDEX('IR data'!$M$4:$M$61,MATCH(G517,'IR data'!$M$4:$M$61,1))))) * (INDEX('IR data'!$N$4:$N$61,MATCH(G517,'IR data'!$M$4:$M$61,1))-(INDEX('IR data'!$N$4:$N$61,MATCH(G517,'IR data'!$M$4:$M$61,1)+1)))))</f>
        <v>0.93138472069230771</v>
      </c>
      <c r="I517" s="44">
        <f t="shared" ref="I517:I580" si="53">-LOG(H517)/YEARFRAC($H$1, G517, 3)</f>
        <v>2.1921936158062101E-2</v>
      </c>
    </row>
    <row r="518" spans="1:9" x14ac:dyDescent="0.25">
      <c r="A518" s="45">
        <f t="shared" si="49"/>
        <v>45806</v>
      </c>
      <c r="B518" s="14" cm="1">
        <f t="array" ref="B518">_xlfn.IFNA(INDEX('IR data'!$D$4:$D$61,MATCH(A518,'IR data'!$C$4:$C$61,0)),((INDEX('IR data'!$D$4:$D$61,MATCH(A518,'IR data'!$C$4:$C$61,1)))-((A518-(INDEX('IR data'!$C$4:$C$61,MATCH(A518,'IR data'!$C$4:$C$61,1))))/((INDEX('IR data'!$C$4:$C$61,MATCH(A518,'IR data'!$C$4:$C$61,1)+1)-INDEX('IR data'!$C$4:$C$61,MATCH(A518,'IR data'!$C$4:$C$61,1))))) * (INDEX('IR data'!$D$4:$D$61,MATCH(A518,'IR data'!$C$4:$C$61,1))-(INDEX('IR data'!$D$4:$D$61,MATCH(A518,'IR data'!$C$4:$C$61,1)+1)))))</f>
        <v>0.93597494276923077</v>
      </c>
      <c r="C518" s="30">
        <f t="shared" si="50"/>
        <v>2.0366133722317912E-2</v>
      </c>
      <c r="D518" s="45">
        <f t="shared" si="51"/>
        <v>45866</v>
      </c>
      <c r="E518" s="14" cm="1">
        <f t="array" ref="E518">_xlfn.IFNA(INDEX('IR data'!$I$4:$I$61,MATCH(D518,'IR data'!$H$4:$H$61,0)),((INDEX('IR data'!$I$4:$I$61,MATCH(D518,'IR data'!$H$4:$H$61,1)))-((D518-(INDEX('IR data'!$H$4:$H$61,MATCH(D518,'IR data'!$H$4:$H$61,1))))/((INDEX('IR data'!$H$4:$H$61,MATCH(D518,'IR data'!$H$4:$H$61,1)+1)-INDEX('IR data'!$H$4:$H$61,MATCH(D518,'IR data'!$H$4:$H$61,1))))) * (INDEX('IR data'!$I$4:$I$61,MATCH(D518,'IR data'!$H$4:$H$61,1))-(INDEX('IR data'!$I$4:$I$61,MATCH(D518,'IR data'!$H$4:$H$61,1)+1)))))</f>
        <v>0.93161252497826086</v>
      </c>
      <c r="F518" s="30">
        <f t="shared" si="52"/>
        <v>2.1804094489629982E-2</v>
      </c>
      <c r="G518" s="45">
        <f t="shared" si="48"/>
        <v>45900</v>
      </c>
      <c r="H518" s="14" cm="1">
        <f t="array" ref="H518">_xlfn.IFNA(INDEX('IR data'!$N$4:$N$61,MATCH(G518,'IR data'!$M$4:$M$61,0)),((INDEX('IR data'!$N$4:$N$61,MATCH(G518,'IR data'!$M$4:$M$61,1)))-((G518-(INDEX('IR data'!$M$4:$M$61,MATCH(G518,'IR data'!$M$4:$M$61,1))))/((INDEX('IR data'!$M$4:$M$61,MATCH(G518,'IR data'!$M$4:$M$61,1)+1)-INDEX('IR data'!$M$4:$M$61,MATCH(G518,'IR data'!$M$4:$M$61,1))))) * (INDEX('IR data'!$N$4:$N$61,MATCH(G518,'IR data'!$M$4:$M$61,1))-(INDEX('IR data'!$N$4:$N$61,MATCH(G518,'IR data'!$M$4:$M$61,1)+1)))))</f>
        <v>0.93127246553846155</v>
      </c>
      <c r="I518" s="44">
        <f t="shared" si="53"/>
        <v>2.1916469239661916E-2</v>
      </c>
    </row>
    <row r="519" spans="1:9" x14ac:dyDescent="0.25">
      <c r="A519" s="45">
        <f t="shared" si="49"/>
        <v>45807</v>
      </c>
      <c r="B519" s="14" cm="1">
        <f t="array" ref="B519">_xlfn.IFNA(INDEX('IR data'!$D$4:$D$61,MATCH(A519,'IR data'!$C$4:$C$61,0)),((INDEX('IR data'!$D$4:$D$61,MATCH(A519,'IR data'!$C$4:$C$61,1)))-((A519-(INDEX('IR data'!$C$4:$C$61,MATCH(A519,'IR data'!$C$4:$C$61,1))))/((INDEX('IR data'!$C$4:$C$61,MATCH(A519,'IR data'!$C$4:$C$61,1)+1)-INDEX('IR data'!$C$4:$C$61,MATCH(A519,'IR data'!$C$4:$C$61,1))))) * (INDEX('IR data'!$D$4:$D$61,MATCH(A519,'IR data'!$C$4:$C$61,1))-(INDEX('IR data'!$D$4:$D$61,MATCH(A519,'IR data'!$C$4:$C$61,1)+1)))))</f>
        <v>0.93588078303296707</v>
      </c>
      <c r="C519" s="30">
        <f t="shared" si="50"/>
        <v>2.0357571006861194E-2</v>
      </c>
      <c r="D519" s="45">
        <f t="shared" si="51"/>
        <v>45867</v>
      </c>
      <c r="E519" s="14" cm="1">
        <f t="array" ref="E519">_xlfn.IFNA(INDEX('IR data'!$I$4:$I$61,MATCH(D519,'IR data'!$H$4:$H$61,0)),((INDEX('IR data'!$I$4:$I$61,MATCH(D519,'IR data'!$H$4:$H$61,1)))-((D519-(INDEX('IR data'!$H$4:$H$61,MATCH(D519,'IR data'!$H$4:$H$61,1))))/((INDEX('IR data'!$H$4:$H$61,MATCH(D519,'IR data'!$H$4:$H$61,1)+1)-INDEX('IR data'!$H$4:$H$61,MATCH(D519,'IR data'!$H$4:$H$61,1))))) * (INDEX('IR data'!$I$4:$I$61,MATCH(D519,'IR data'!$H$4:$H$61,1))-(INDEX('IR data'!$I$4:$I$61,MATCH(D519,'IR data'!$H$4:$H$61,1)+1)))))</f>
        <v>0.93150349816304345</v>
      </c>
      <c r="F519" s="30">
        <f t="shared" si="52"/>
        <v>2.179779279733346E-2</v>
      </c>
      <c r="G519" s="45">
        <f t="shared" si="48"/>
        <v>45901</v>
      </c>
      <c r="H519" s="14" cm="1">
        <f t="array" ref="H519">_xlfn.IFNA(INDEX('IR data'!$N$4:$N$61,MATCH(G519,'IR data'!$M$4:$M$61,0)),((INDEX('IR data'!$N$4:$N$61,MATCH(G519,'IR data'!$M$4:$M$61,1)))-((G519-(INDEX('IR data'!$M$4:$M$61,MATCH(G519,'IR data'!$M$4:$M$61,1))))/((INDEX('IR data'!$M$4:$M$61,MATCH(G519,'IR data'!$M$4:$M$61,1)+1)-INDEX('IR data'!$M$4:$M$61,MATCH(G519,'IR data'!$M$4:$M$61,1))))) * (INDEX('IR data'!$N$4:$N$61,MATCH(G519,'IR data'!$M$4:$M$61,1))-(INDEX('IR data'!$N$4:$N$61,MATCH(G519,'IR data'!$M$4:$M$61,1)+1)))))</f>
        <v>0.93116021038461538</v>
      </c>
      <c r="I519" s="44">
        <f t="shared" si="53"/>
        <v>2.1911027974480905E-2</v>
      </c>
    </row>
    <row r="520" spans="1:9" x14ac:dyDescent="0.25">
      <c r="A520" s="45">
        <f t="shared" si="49"/>
        <v>45808</v>
      </c>
      <c r="B520" s="14" cm="1">
        <f t="array" ref="B520">_xlfn.IFNA(INDEX('IR data'!$D$4:$D$61,MATCH(A520,'IR data'!$C$4:$C$61,0)),((INDEX('IR data'!$D$4:$D$61,MATCH(A520,'IR data'!$C$4:$C$61,1)))-((A520-(INDEX('IR data'!$C$4:$C$61,MATCH(A520,'IR data'!$C$4:$C$61,1))))/((INDEX('IR data'!$C$4:$C$61,MATCH(A520,'IR data'!$C$4:$C$61,1)+1)-INDEX('IR data'!$C$4:$C$61,MATCH(A520,'IR data'!$C$4:$C$61,1))))) * (INDEX('IR data'!$D$4:$D$61,MATCH(A520,'IR data'!$C$4:$C$61,1))-(INDEX('IR data'!$D$4:$D$61,MATCH(A520,'IR data'!$C$4:$C$61,1)+1)))))</f>
        <v>0.93578662329670326</v>
      </c>
      <c r="C520" s="30">
        <f t="shared" si="50"/>
        <v>2.0349044519702694E-2</v>
      </c>
      <c r="D520" s="45">
        <f t="shared" si="51"/>
        <v>45868</v>
      </c>
      <c r="E520" s="14" cm="1">
        <f t="array" ref="E520">_xlfn.IFNA(INDEX('IR data'!$I$4:$I$61,MATCH(D520,'IR data'!$H$4:$H$61,0)),((INDEX('IR data'!$I$4:$I$61,MATCH(D520,'IR data'!$H$4:$H$61,1)))-((D520-(INDEX('IR data'!$H$4:$H$61,MATCH(D520,'IR data'!$H$4:$H$61,1))))/((INDEX('IR data'!$H$4:$H$61,MATCH(D520,'IR data'!$H$4:$H$61,1)+1)-INDEX('IR data'!$H$4:$H$61,MATCH(D520,'IR data'!$H$4:$H$61,1))))) * (INDEX('IR data'!$I$4:$I$61,MATCH(D520,'IR data'!$H$4:$H$61,1))-(INDEX('IR data'!$I$4:$I$61,MATCH(D520,'IR data'!$H$4:$H$61,1)+1)))))</f>
        <v>0.93139447134782605</v>
      </c>
      <c r="F520" s="30">
        <f t="shared" si="52"/>
        <v>2.1791519683295509E-2</v>
      </c>
      <c r="G520" s="45">
        <f t="shared" si="48"/>
        <v>45902</v>
      </c>
      <c r="H520" s="14" cm="1">
        <f t="array" ref="H520">_xlfn.IFNA(INDEX('IR data'!$N$4:$N$61,MATCH(G520,'IR data'!$M$4:$M$61,0)),((INDEX('IR data'!$N$4:$N$61,MATCH(G520,'IR data'!$M$4:$M$61,1)))-((G520-(INDEX('IR data'!$M$4:$M$61,MATCH(G520,'IR data'!$M$4:$M$61,1))))/((INDEX('IR data'!$M$4:$M$61,MATCH(G520,'IR data'!$M$4:$M$61,1)+1)-INDEX('IR data'!$M$4:$M$61,MATCH(G520,'IR data'!$M$4:$M$61,1))))) * (INDEX('IR data'!$N$4:$N$61,MATCH(G520,'IR data'!$M$4:$M$61,1))-(INDEX('IR data'!$N$4:$N$61,MATCH(G520,'IR data'!$M$4:$M$61,1)+1)))))</f>
        <v>0.93104795523076922</v>
      </c>
      <c r="I520" s="44">
        <f t="shared" si="53"/>
        <v>2.1905612214735123E-2</v>
      </c>
    </row>
    <row r="521" spans="1:9" x14ac:dyDescent="0.25">
      <c r="A521" s="45">
        <f t="shared" si="49"/>
        <v>45809</v>
      </c>
      <c r="B521" s="14" cm="1">
        <f t="array" ref="B521">_xlfn.IFNA(INDEX('IR data'!$D$4:$D$61,MATCH(A521,'IR data'!$C$4:$C$61,0)),((INDEX('IR data'!$D$4:$D$61,MATCH(A521,'IR data'!$C$4:$C$61,1)))-((A521-(INDEX('IR data'!$C$4:$C$61,MATCH(A521,'IR data'!$C$4:$C$61,1))))/((INDEX('IR data'!$C$4:$C$61,MATCH(A521,'IR data'!$C$4:$C$61,1)+1)-INDEX('IR data'!$C$4:$C$61,MATCH(A521,'IR data'!$C$4:$C$61,1))))) * (INDEX('IR data'!$D$4:$D$61,MATCH(A521,'IR data'!$C$4:$C$61,1))-(INDEX('IR data'!$D$4:$D$61,MATCH(A521,'IR data'!$C$4:$C$61,1)+1)))))</f>
        <v>0.93569246356043956</v>
      </c>
      <c r="C521" s="30">
        <f t="shared" si="50"/>
        <v>2.0340554051649373E-2</v>
      </c>
      <c r="D521" s="45">
        <f t="shared" si="51"/>
        <v>45869</v>
      </c>
      <c r="E521" s="14" cm="1">
        <f t="array" ref="E521">_xlfn.IFNA(INDEX('IR data'!$I$4:$I$61,MATCH(D521,'IR data'!$H$4:$H$61,0)),((INDEX('IR data'!$I$4:$I$61,MATCH(D521,'IR data'!$H$4:$H$61,1)))-((D521-(INDEX('IR data'!$H$4:$H$61,MATCH(D521,'IR data'!$H$4:$H$61,1))))/((INDEX('IR data'!$H$4:$H$61,MATCH(D521,'IR data'!$H$4:$H$61,1)+1)-INDEX('IR data'!$H$4:$H$61,MATCH(D521,'IR data'!$H$4:$H$61,1))))) * (INDEX('IR data'!$I$4:$I$61,MATCH(D521,'IR data'!$H$4:$H$61,1))-(INDEX('IR data'!$I$4:$I$61,MATCH(D521,'IR data'!$H$4:$H$61,1)+1)))))</f>
        <v>0.93128544453260864</v>
      </c>
      <c r="F521" s="30">
        <f t="shared" si="52"/>
        <v>2.1785274982986495E-2</v>
      </c>
      <c r="G521" s="45">
        <f t="shared" si="48"/>
        <v>45903</v>
      </c>
      <c r="H521" s="14" cm="1">
        <f t="array" ref="H521">_xlfn.IFNA(INDEX('IR data'!$N$4:$N$61,MATCH(G521,'IR data'!$M$4:$M$61,0)),((INDEX('IR data'!$N$4:$N$61,MATCH(G521,'IR data'!$M$4:$M$61,1)))-((G521-(INDEX('IR data'!$M$4:$M$61,MATCH(G521,'IR data'!$M$4:$M$61,1))))/((INDEX('IR data'!$M$4:$M$61,MATCH(G521,'IR data'!$M$4:$M$61,1)+1)-INDEX('IR data'!$M$4:$M$61,MATCH(G521,'IR data'!$M$4:$M$61,1))))) * (INDEX('IR data'!$N$4:$N$61,MATCH(G521,'IR data'!$M$4:$M$61,1))-(INDEX('IR data'!$N$4:$N$61,MATCH(G521,'IR data'!$M$4:$M$61,1)+1)))))</f>
        <v>0.93093570007692306</v>
      </c>
      <c r="I521" s="44">
        <f t="shared" si="53"/>
        <v>2.1900221813782213E-2</v>
      </c>
    </row>
    <row r="522" spans="1:9" x14ac:dyDescent="0.25">
      <c r="A522" s="45">
        <f t="shared" si="49"/>
        <v>45810</v>
      </c>
      <c r="B522" s="14" cm="1">
        <f t="array" ref="B522">_xlfn.IFNA(INDEX('IR data'!$D$4:$D$61,MATCH(A522,'IR data'!$C$4:$C$61,0)),((INDEX('IR data'!$D$4:$D$61,MATCH(A522,'IR data'!$C$4:$C$61,1)))-((A522-(INDEX('IR data'!$C$4:$C$61,MATCH(A522,'IR data'!$C$4:$C$61,1))))/((INDEX('IR data'!$C$4:$C$61,MATCH(A522,'IR data'!$C$4:$C$61,1)+1)-INDEX('IR data'!$C$4:$C$61,MATCH(A522,'IR data'!$C$4:$C$61,1))))) * (INDEX('IR data'!$D$4:$D$61,MATCH(A522,'IR data'!$C$4:$C$61,1))-(INDEX('IR data'!$D$4:$D$61,MATCH(A522,'IR data'!$C$4:$C$61,1)+1)))))</f>
        <v>0.93559830382417586</v>
      </c>
      <c r="C522" s="30">
        <f t="shared" si="50"/>
        <v>2.0332099395120734E-2</v>
      </c>
      <c r="D522" s="45">
        <f t="shared" si="51"/>
        <v>45870</v>
      </c>
      <c r="E522" s="14" cm="1">
        <f t="array" ref="E522">_xlfn.IFNA(INDEX('IR data'!$I$4:$I$61,MATCH(D522,'IR data'!$H$4:$H$61,0)),((INDEX('IR data'!$I$4:$I$61,MATCH(D522,'IR data'!$H$4:$H$61,1)))-((D522-(INDEX('IR data'!$H$4:$H$61,MATCH(D522,'IR data'!$H$4:$H$61,1))))/((INDEX('IR data'!$H$4:$H$61,MATCH(D522,'IR data'!$H$4:$H$61,1)+1)-INDEX('IR data'!$H$4:$H$61,MATCH(D522,'IR data'!$H$4:$H$61,1))))) * (INDEX('IR data'!$I$4:$I$61,MATCH(D522,'IR data'!$H$4:$H$61,1))-(INDEX('IR data'!$I$4:$I$61,MATCH(D522,'IR data'!$H$4:$H$61,1)+1)))))</f>
        <v>0.93117641771739135</v>
      </c>
      <c r="F522" s="30">
        <f t="shared" si="52"/>
        <v>2.1779058533145153E-2</v>
      </c>
      <c r="G522" s="45">
        <f t="shared" si="48"/>
        <v>45904</v>
      </c>
      <c r="H522" s="14" cm="1">
        <f t="array" ref="H522">_xlfn.IFNA(INDEX('IR data'!$N$4:$N$61,MATCH(G522,'IR data'!$M$4:$M$61,0)),((INDEX('IR data'!$N$4:$N$61,MATCH(G522,'IR data'!$M$4:$M$61,1)))-((G522-(INDEX('IR data'!$M$4:$M$61,MATCH(G522,'IR data'!$M$4:$M$61,1))))/((INDEX('IR data'!$M$4:$M$61,MATCH(G522,'IR data'!$M$4:$M$61,1)+1)-INDEX('IR data'!$M$4:$M$61,MATCH(G522,'IR data'!$M$4:$M$61,1))))) * (INDEX('IR data'!$N$4:$N$61,MATCH(G522,'IR data'!$M$4:$M$61,1))-(INDEX('IR data'!$N$4:$N$61,MATCH(G522,'IR data'!$M$4:$M$61,1)+1)))))</f>
        <v>0.93082344492307689</v>
      </c>
      <c r="I522" s="44">
        <f t="shared" si="53"/>
        <v>2.189485662611038E-2</v>
      </c>
    </row>
    <row r="523" spans="1:9" x14ac:dyDescent="0.25">
      <c r="A523" s="45">
        <f t="shared" si="49"/>
        <v>45811</v>
      </c>
      <c r="B523" s="14" cm="1">
        <f t="array" ref="B523">_xlfn.IFNA(INDEX('IR data'!$D$4:$D$61,MATCH(A523,'IR data'!$C$4:$C$61,0)),((INDEX('IR data'!$D$4:$D$61,MATCH(A523,'IR data'!$C$4:$C$61,1)))-((A523-(INDEX('IR data'!$C$4:$C$61,MATCH(A523,'IR data'!$C$4:$C$61,1))))/((INDEX('IR data'!$C$4:$C$61,MATCH(A523,'IR data'!$C$4:$C$61,1)+1)-INDEX('IR data'!$C$4:$C$61,MATCH(A523,'IR data'!$C$4:$C$61,1))))) * (INDEX('IR data'!$D$4:$D$61,MATCH(A523,'IR data'!$C$4:$C$61,1))-(INDEX('IR data'!$D$4:$D$61,MATCH(A523,'IR data'!$C$4:$C$61,1)+1)))))</f>
        <v>0.93550414408791205</v>
      </c>
      <c r="C523" s="30">
        <f t="shared" si="50"/>
        <v>2.0323680344133267E-2</v>
      </c>
      <c r="D523" s="45">
        <f t="shared" si="51"/>
        <v>45871</v>
      </c>
      <c r="E523" s="14" cm="1">
        <f t="array" ref="E523">_xlfn.IFNA(INDEX('IR data'!$I$4:$I$61,MATCH(D523,'IR data'!$H$4:$H$61,0)),((INDEX('IR data'!$I$4:$I$61,MATCH(D523,'IR data'!$H$4:$H$61,1)))-((D523-(INDEX('IR data'!$H$4:$H$61,MATCH(D523,'IR data'!$H$4:$H$61,1))))/((INDEX('IR data'!$H$4:$H$61,MATCH(D523,'IR data'!$H$4:$H$61,1)+1)-INDEX('IR data'!$H$4:$H$61,MATCH(D523,'IR data'!$H$4:$H$61,1))))) * (INDEX('IR data'!$I$4:$I$61,MATCH(D523,'IR data'!$H$4:$H$61,1))-(INDEX('IR data'!$I$4:$I$61,MATCH(D523,'IR data'!$H$4:$H$61,1)+1)))))</f>
        <v>0.93106739090217394</v>
      </c>
      <c r="F523" s="30">
        <f t="shared" si="52"/>
        <v>2.1772870171766524E-2</v>
      </c>
      <c r="G523" s="45">
        <f t="shared" si="48"/>
        <v>45905</v>
      </c>
      <c r="H523" s="14" cm="1">
        <f t="array" ref="H523">_xlfn.IFNA(INDEX('IR data'!$N$4:$N$61,MATCH(G523,'IR data'!$M$4:$M$61,0)),((INDEX('IR data'!$N$4:$N$61,MATCH(G523,'IR data'!$M$4:$M$61,1)))-((G523-(INDEX('IR data'!$M$4:$M$61,MATCH(G523,'IR data'!$M$4:$M$61,1))))/((INDEX('IR data'!$M$4:$M$61,MATCH(G523,'IR data'!$M$4:$M$61,1)+1)-INDEX('IR data'!$M$4:$M$61,MATCH(G523,'IR data'!$M$4:$M$61,1))))) * (INDEX('IR data'!$N$4:$N$61,MATCH(G523,'IR data'!$M$4:$M$61,1))-(INDEX('IR data'!$N$4:$N$61,MATCH(G523,'IR data'!$M$4:$M$61,1)+1)))))</f>
        <v>0.93071118976923073</v>
      </c>
      <c r="I523" s="44">
        <f t="shared" si="53"/>
        <v>2.1889516507327549E-2</v>
      </c>
    </row>
    <row r="524" spans="1:9" x14ac:dyDescent="0.25">
      <c r="A524" s="45">
        <f t="shared" si="49"/>
        <v>45812</v>
      </c>
      <c r="B524" s="14" cm="1">
        <f t="array" ref="B524">_xlfn.IFNA(INDEX('IR data'!$D$4:$D$61,MATCH(A524,'IR data'!$C$4:$C$61,0)),((INDEX('IR data'!$D$4:$D$61,MATCH(A524,'IR data'!$C$4:$C$61,1)))-((A524-(INDEX('IR data'!$C$4:$C$61,MATCH(A524,'IR data'!$C$4:$C$61,1))))/((INDEX('IR data'!$C$4:$C$61,MATCH(A524,'IR data'!$C$4:$C$61,1)+1)-INDEX('IR data'!$C$4:$C$61,MATCH(A524,'IR data'!$C$4:$C$61,1))))) * (INDEX('IR data'!$D$4:$D$61,MATCH(A524,'IR data'!$C$4:$C$61,1))-(INDEX('IR data'!$D$4:$D$61,MATCH(A524,'IR data'!$C$4:$C$61,1)+1)))))</f>
        <v>0.93540998435164835</v>
      </c>
      <c r="C524" s="30">
        <f t="shared" si="50"/>
        <v>2.0315296694284966E-2</v>
      </c>
      <c r="D524" s="45">
        <f t="shared" si="51"/>
        <v>45872</v>
      </c>
      <c r="E524" s="14" cm="1">
        <f t="array" ref="E524">_xlfn.IFNA(INDEX('IR data'!$I$4:$I$61,MATCH(D524,'IR data'!$H$4:$H$61,0)),((INDEX('IR data'!$I$4:$I$61,MATCH(D524,'IR data'!$H$4:$H$61,1)))-((D524-(INDEX('IR data'!$H$4:$H$61,MATCH(D524,'IR data'!$H$4:$H$61,1))))/((INDEX('IR data'!$H$4:$H$61,MATCH(D524,'IR data'!$H$4:$H$61,1)+1)-INDEX('IR data'!$H$4:$H$61,MATCH(D524,'IR data'!$H$4:$H$61,1))))) * (INDEX('IR data'!$I$4:$I$61,MATCH(D524,'IR data'!$H$4:$H$61,1))-(INDEX('IR data'!$I$4:$I$61,MATCH(D524,'IR data'!$H$4:$H$61,1)+1)))))</f>
        <v>0.93095836408695654</v>
      </c>
      <c r="F524" s="30">
        <f t="shared" si="52"/>
        <v>2.1766709738089678E-2</v>
      </c>
      <c r="G524" s="45">
        <f t="shared" si="48"/>
        <v>45906</v>
      </c>
      <c r="H524" s="14" cm="1">
        <f t="array" ref="H524">_xlfn.IFNA(INDEX('IR data'!$N$4:$N$61,MATCH(G524,'IR data'!$M$4:$M$61,0)),((INDEX('IR data'!$N$4:$N$61,MATCH(G524,'IR data'!$M$4:$M$61,1)))-((G524-(INDEX('IR data'!$M$4:$M$61,MATCH(G524,'IR data'!$M$4:$M$61,1))))/((INDEX('IR data'!$M$4:$M$61,MATCH(G524,'IR data'!$M$4:$M$61,1)+1)-INDEX('IR data'!$M$4:$M$61,MATCH(G524,'IR data'!$M$4:$M$61,1))))) * (INDEX('IR data'!$N$4:$N$61,MATCH(G524,'IR data'!$M$4:$M$61,1))-(INDEX('IR data'!$N$4:$N$61,MATCH(G524,'IR data'!$M$4:$M$61,1)+1)))))</f>
        <v>0.93059893461538457</v>
      </c>
      <c r="I524" s="44">
        <f t="shared" si="53"/>
        <v>2.18842013141506E-2</v>
      </c>
    </row>
    <row r="525" spans="1:9" x14ac:dyDescent="0.25">
      <c r="A525" s="45">
        <f t="shared" si="49"/>
        <v>45813</v>
      </c>
      <c r="B525" s="14" cm="1">
        <f t="array" ref="B525">_xlfn.IFNA(INDEX('IR data'!$D$4:$D$61,MATCH(A525,'IR data'!$C$4:$C$61,0)),((INDEX('IR data'!$D$4:$D$61,MATCH(A525,'IR data'!$C$4:$C$61,1)))-((A525-(INDEX('IR data'!$C$4:$C$61,MATCH(A525,'IR data'!$C$4:$C$61,1))))/((INDEX('IR data'!$C$4:$C$61,MATCH(A525,'IR data'!$C$4:$C$61,1)+1)-INDEX('IR data'!$C$4:$C$61,MATCH(A525,'IR data'!$C$4:$C$61,1))))) * (INDEX('IR data'!$D$4:$D$61,MATCH(A525,'IR data'!$C$4:$C$61,1))-(INDEX('IR data'!$D$4:$D$61,MATCH(A525,'IR data'!$C$4:$C$61,1)+1)))))</f>
        <v>0.93531582461538465</v>
      </c>
      <c r="C525" s="30">
        <f t="shared" si="50"/>
        <v>2.0306948242740437E-2</v>
      </c>
      <c r="D525" s="45">
        <f t="shared" si="51"/>
        <v>45873</v>
      </c>
      <c r="E525" s="14" cm="1">
        <f t="array" ref="E525">_xlfn.IFNA(INDEX('IR data'!$I$4:$I$61,MATCH(D525,'IR data'!$H$4:$H$61,0)),((INDEX('IR data'!$I$4:$I$61,MATCH(D525,'IR data'!$H$4:$H$61,1)))-((D525-(INDEX('IR data'!$H$4:$H$61,MATCH(D525,'IR data'!$H$4:$H$61,1))))/((INDEX('IR data'!$H$4:$H$61,MATCH(D525,'IR data'!$H$4:$H$61,1)+1)-INDEX('IR data'!$H$4:$H$61,MATCH(D525,'IR data'!$H$4:$H$61,1))))) * (INDEX('IR data'!$I$4:$I$61,MATCH(D525,'IR data'!$H$4:$H$61,1))-(INDEX('IR data'!$I$4:$I$61,MATCH(D525,'IR data'!$H$4:$H$61,1)+1)))))</f>
        <v>0.93084933727173913</v>
      </c>
      <c r="F525" s="30">
        <f t="shared" si="52"/>
        <v>2.1760577072585954E-2</v>
      </c>
      <c r="G525" s="45">
        <f t="shared" si="48"/>
        <v>45907</v>
      </c>
      <c r="H525" s="14" cm="1">
        <f t="array" ref="H525">_xlfn.IFNA(INDEX('IR data'!$N$4:$N$61,MATCH(G525,'IR data'!$M$4:$M$61,0)),((INDEX('IR data'!$N$4:$N$61,MATCH(G525,'IR data'!$M$4:$M$61,1)))-((G525-(INDEX('IR data'!$M$4:$M$61,MATCH(G525,'IR data'!$M$4:$M$61,1))))/((INDEX('IR data'!$M$4:$M$61,MATCH(G525,'IR data'!$M$4:$M$61,1)+1)-INDEX('IR data'!$M$4:$M$61,MATCH(G525,'IR data'!$M$4:$M$61,1))))) * (INDEX('IR data'!$N$4:$N$61,MATCH(G525,'IR data'!$M$4:$M$61,1))-(INDEX('IR data'!$N$4:$N$61,MATCH(G525,'IR data'!$M$4:$M$61,1)+1)))))</f>
        <v>0.9304866794615384</v>
      </c>
      <c r="I525" s="44">
        <f t="shared" si="53"/>
        <v>2.1878910904394765E-2</v>
      </c>
    </row>
    <row r="526" spans="1:9" x14ac:dyDescent="0.25">
      <c r="A526" s="45">
        <f t="shared" si="49"/>
        <v>45814</v>
      </c>
      <c r="B526" s="14" cm="1">
        <f t="array" ref="B526">_xlfn.IFNA(INDEX('IR data'!$D$4:$D$61,MATCH(A526,'IR data'!$C$4:$C$61,0)),((INDEX('IR data'!$D$4:$D$61,MATCH(A526,'IR data'!$C$4:$C$61,1)))-((A526-(INDEX('IR data'!$C$4:$C$61,MATCH(A526,'IR data'!$C$4:$C$61,1))))/((INDEX('IR data'!$C$4:$C$61,MATCH(A526,'IR data'!$C$4:$C$61,1)+1)-INDEX('IR data'!$C$4:$C$61,MATCH(A526,'IR data'!$C$4:$C$61,1))))) * (INDEX('IR data'!$D$4:$D$61,MATCH(A526,'IR data'!$C$4:$C$61,1))-(INDEX('IR data'!$D$4:$D$61,MATCH(A526,'IR data'!$C$4:$C$61,1)+1)))))</f>
        <v>0.93522166487912084</v>
      </c>
      <c r="C526" s="30">
        <f t="shared" si="50"/>
        <v>2.029863478821578E-2</v>
      </c>
      <c r="D526" s="45">
        <f t="shared" si="51"/>
        <v>45874</v>
      </c>
      <c r="E526" s="14" cm="1">
        <f t="array" ref="E526">_xlfn.IFNA(INDEX('IR data'!$I$4:$I$61,MATCH(D526,'IR data'!$H$4:$H$61,0)),((INDEX('IR data'!$I$4:$I$61,MATCH(D526,'IR data'!$H$4:$H$61,1)))-((D526-(INDEX('IR data'!$H$4:$H$61,MATCH(D526,'IR data'!$H$4:$H$61,1))))/((INDEX('IR data'!$H$4:$H$61,MATCH(D526,'IR data'!$H$4:$H$61,1)+1)-INDEX('IR data'!$H$4:$H$61,MATCH(D526,'IR data'!$H$4:$H$61,1))))) * (INDEX('IR data'!$I$4:$I$61,MATCH(D526,'IR data'!$H$4:$H$61,1))-(INDEX('IR data'!$I$4:$I$61,MATCH(D526,'IR data'!$H$4:$H$61,1)+1)))))</f>
        <v>0.93074031045652172</v>
      </c>
      <c r="F526" s="30">
        <f t="shared" si="52"/>
        <v>2.1754472016947135E-2</v>
      </c>
      <c r="G526" s="45">
        <f t="shared" si="48"/>
        <v>45908</v>
      </c>
      <c r="H526" s="14" cm="1">
        <f t="array" ref="H526">_xlfn.IFNA(INDEX('IR data'!$N$4:$N$61,MATCH(G526,'IR data'!$M$4:$M$61,0)),((INDEX('IR data'!$N$4:$N$61,MATCH(G526,'IR data'!$M$4:$M$61,1)))-((G526-(INDEX('IR data'!$M$4:$M$61,MATCH(G526,'IR data'!$M$4:$M$61,1))))/((INDEX('IR data'!$M$4:$M$61,MATCH(G526,'IR data'!$M$4:$M$61,1)+1)-INDEX('IR data'!$M$4:$M$61,MATCH(G526,'IR data'!$M$4:$M$61,1))))) * (INDEX('IR data'!$N$4:$N$61,MATCH(G526,'IR data'!$M$4:$M$61,1))-(INDEX('IR data'!$N$4:$N$61,MATCH(G526,'IR data'!$M$4:$M$61,1)+1)))))</f>
        <v>0.93037442430769235</v>
      </c>
      <c r="I526" s="44">
        <f t="shared" si="53"/>
        <v>2.187364513696307E-2</v>
      </c>
    </row>
    <row r="527" spans="1:9" x14ac:dyDescent="0.25">
      <c r="A527" s="45">
        <f t="shared" si="49"/>
        <v>45815</v>
      </c>
      <c r="B527" s="14" cm="1">
        <f t="array" ref="B527">_xlfn.IFNA(INDEX('IR data'!$D$4:$D$61,MATCH(A527,'IR data'!$C$4:$C$61,0)),((INDEX('IR data'!$D$4:$D$61,MATCH(A527,'IR data'!$C$4:$C$61,1)))-((A527-(INDEX('IR data'!$C$4:$C$61,MATCH(A527,'IR data'!$C$4:$C$61,1))))/((INDEX('IR data'!$C$4:$C$61,MATCH(A527,'IR data'!$C$4:$C$61,1)+1)-INDEX('IR data'!$C$4:$C$61,MATCH(A527,'IR data'!$C$4:$C$61,1))))) * (INDEX('IR data'!$D$4:$D$61,MATCH(A527,'IR data'!$C$4:$C$61,1))-(INDEX('IR data'!$D$4:$D$61,MATCH(A527,'IR data'!$C$4:$C$61,1)+1)))))</f>
        <v>0.93512750514285714</v>
      </c>
      <c r="C527" s="30">
        <f t="shared" si="50"/>
        <v>2.0290356130963708E-2</v>
      </c>
      <c r="D527" s="45">
        <f t="shared" si="51"/>
        <v>45875</v>
      </c>
      <c r="E527" s="14" cm="1">
        <f t="array" ref="E527">_xlfn.IFNA(INDEX('IR data'!$I$4:$I$61,MATCH(D527,'IR data'!$H$4:$H$61,0)),((INDEX('IR data'!$I$4:$I$61,MATCH(D527,'IR data'!$H$4:$H$61,1)))-((D527-(INDEX('IR data'!$H$4:$H$61,MATCH(D527,'IR data'!$H$4:$H$61,1))))/((INDEX('IR data'!$H$4:$H$61,MATCH(D527,'IR data'!$H$4:$H$61,1)+1)-INDEX('IR data'!$H$4:$H$61,MATCH(D527,'IR data'!$H$4:$H$61,1))))) * (INDEX('IR data'!$I$4:$I$61,MATCH(D527,'IR data'!$H$4:$H$61,1))-(INDEX('IR data'!$I$4:$I$61,MATCH(D527,'IR data'!$H$4:$H$61,1)+1)))))</f>
        <v>0.93063128364130432</v>
      </c>
      <c r="F527" s="30">
        <f t="shared" si="52"/>
        <v>2.1748394414073807E-2</v>
      </c>
      <c r="G527" s="45">
        <f t="shared" si="48"/>
        <v>45909</v>
      </c>
      <c r="H527" s="14" cm="1">
        <f t="array" ref="H527">_xlfn.IFNA(INDEX('IR data'!$N$4:$N$61,MATCH(G527,'IR data'!$M$4:$M$61,0)),((INDEX('IR data'!$N$4:$N$61,MATCH(G527,'IR data'!$M$4:$M$61,1)))-((G527-(INDEX('IR data'!$M$4:$M$61,MATCH(G527,'IR data'!$M$4:$M$61,1))))/((INDEX('IR data'!$M$4:$M$61,MATCH(G527,'IR data'!$M$4:$M$61,1)+1)-INDEX('IR data'!$M$4:$M$61,MATCH(G527,'IR data'!$M$4:$M$61,1))))) * (INDEX('IR data'!$N$4:$N$61,MATCH(G527,'IR data'!$M$4:$M$61,1))-(INDEX('IR data'!$N$4:$N$61,MATCH(G527,'IR data'!$M$4:$M$61,1)+1)))))</f>
        <v>0.93026216915384619</v>
      </c>
      <c r="I527" s="44">
        <f t="shared" si="53"/>
        <v>2.1868403871836115E-2</v>
      </c>
    </row>
    <row r="528" spans="1:9" x14ac:dyDescent="0.25">
      <c r="A528" s="45">
        <f t="shared" si="49"/>
        <v>45816</v>
      </c>
      <c r="B528" s="14" cm="1">
        <f t="array" ref="B528">_xlfn.IFNA(INDEX('IR data'!$D$4:$D$61,MATCH(A528,'IR data'!$C$4:$C$61,0)),((INDEX('IR data'!$D$4:$D$61,MATCH(A528,'IR data'!$C$4:$C$61,1)))-((A528-(INDEX('IR data'!$C$4:$C$61,MATCH(A528,'IR data'!$C$4:$C$61,1))))/((INDEX('IR data'!$C$4:$C$61,MATCH(A528,'IR data'!$C$4:$C$61,1)+1)-INDEX('IR data'!$C$4:$C$61,MATCH(A528,'IR data'!$C$4:$C$61,1))))) * (INDEX('IR data'!$D$4:$D$61,MATCH(A528,'IR data'!$C$4:$C$61,1))-(INDEX('IR data'!$D$4:$D$61,MATCH(A528,'IR data'!$C$4:$C$61,1)+1)))))</f>
        <v>0.93503334540659344</v>
      </c>
      <c r="C528" s="30">
        <f t="shared" si="50"/>
        <v>2.0282112072759099E-2</v>
      </c>
      <c r="D528" s="45">
        <f t="shared" si="51"/>
        <v>45876</v>
      </c>
      <c r="E528" s="14" cm="1">
        <f t="array" ref="E528">_xlfn.IFNA(INDEX('IR data'!$I$4:$I$61,MATCH(D528,'IR data'!$H$4:$H$61,0)),((INDEX('IR data'!$I$4:$I$61,MATCH(D528,'IR data'!$H$4:$H$61,1)))-((D528-(INDEX('IR data'!$H$4:$H$61,MATCH(D528,'IR data'!$H$4:$H$61,1))))/((INDEX('IR data'!$H$4:$H$61,MATCH(D528,'IR data'!$H$4:$H$61,1)+1)-INDEX('IR data'!$H$4:$H$61,MATCH(D528,'IR data'!$H$4:$H$61,1))))) * (INDEX('IR data'!$I$4:$I$61,MATCH(D528,'IR data'!$H$4:$H$61,1))-(INDEX('IR data'!$I$4:$I$61,MATCH(D528,'IR data'!$H$4:$H$61,1)+1)))))</f>
        <v>0.93052225682608691</v>
      </c>
      <c r="F528" s="30">
        <f t="shared" si="52"/>
        <v>2.1742344108063843E-2</v>
      </c>
      <c r="G528" s="45">
        <f t="shared" si="48"/>
        <v>45910</v>
      </c>
      <c r="H528" s="14" cm="1">
        <f t="array" ref="H528">_xlfn.IFNA(INDEX('IR data'!$N$4:$N$61,MATCH(G528,'IR data'!$M$4:$M$61,0)),((INDEX('IR data'!$N$4:$N$61,MATCH(G528,'IR data'!$M$4:$M$61,1)))-((G528-(INDEX('IR data'!$M$4:$M$61,MATCH(G528,'IR data'!$M$4:$M$61,1))))/((INDEX('IR data'!$M$4:$M$61,MATCH(G528,'IR data'!$M$4:$M$61,1)+1)-INDEX('IR data'!$M$4:$M$61,MATCH(G528,'IR data'!$M$4:$M$61,1))))) * (INDEX('IR data'!$N$4:$N$61,MATCH(G528,'IR data'!$M$4:$M$61,1))-(INDEX('IR data'!$N$4:$N$61,MATCH(G528,'IR data'!$M$4:$M$61,1)+1)))))</f>
        <v>0.93014991400000002</v>
      </c>
      <c r="I528" s="44">
        <f t="shared" si="53"/>
        <v>2.1863186970061583E-2</v>
      </c>
    </row>
    <row r="529" spans="1:9" x14ac:dyDescent="0.25">
      <c r="A529" s="45">
        <f t="shared" si="49"/>
        <v>45817</v>
      </c>
      <c r="B529" s="14" cm="1">
        <f t="array" ref="B529">_xlfn.IFNA(INDEX('IR data'!$D$4:$D$61,MATCH(A529,'IR data'!$C$4:$C$61,0)),((INDEX('IR data'!$D$4:$D$61,MATCH(A529,'IR data'!$C$4:$C$61,1)))-((A529-(INDEX('IR data'!$C$4:$C$61,MATCH(A529,'IR data'!$C$4:$C$61,1))))/((INDEX('IR data'!$C$4:$C$61,MATCH(A529,'IR data'!$C$4:$C$61,1)+1)-INDEX('IR data'!$C$4:$C$61,MATCH(A529,'IR data'!$C$4:$C$61,1))))) * (INDEX('IR data'!$D$4:$D$61,MATCH(A529,'IR data'!$C$4:$C$61,1))-(INDEX('IR data'!$D$4:$D$61,MATCH(A529,'IR data'!$C$4:$C$61,1)+1)))))</f>
        <v>0.93493918567032963</v>
      </c>
      <c r="C529" s="30">
        <f t="shared" si="50"/>
        <v>2.0273902416884437E-2</v>
      </c>
      <c r="D529" s="45">
        <f t="shared" si="51"/>
        <v>45877</v>
      </c>
      <c r="E529" s="14" cm="1">
        <f t="array" ref="E529">_xlfn.IFNA(INDEX('IR data'!$I$4:$I$61,MATCH(D529,'IR data'!$H$4:$H$61,0)),((INDEX('IR data'!$I$4:$I$61,MATCH(D529,'IR data'!$H$4:$H$61,1)))-((D529-(INDEX('IR data'!$H$4:$H$61,MATCH(D529,'IR data'!$H$4:$H$61,1))))/((INDEX('IR data'!$H$4:$H$61,MATCH(D529,'IR data'!$H$4:$H$61,1)+1)-INDEX('IR data'!$H$4:$H$61,MATCH(D529,'IR data'!$H$4:$H$61,1))))) * (INDEX('IR data'!$I$4:$I$61,MATCH(D529,'IR data'!$H$4:$H$61,1))-(INDEX('IR data'!$I$4:$I$61,MATCH(D529,'IR data'!$H$4:$H$61,1)+1)))))</f>
        <v>0.93041323001086951</v>
      </c>
      <c r="F529" s="30">
        <f t="shared" si="52"/>
        <v>2.173632094420103E-2</v>
      </c>
      <c r="G529" s="45">
        <f t="shared" si="48"/>
        <v>45911</v>
      </c>
      <c r="H529" s="14" cm="1">
        <f t="array" ref="H529">_xlfn.IFNA(INDEX('IR data'!$N$4:$N$61,MATCH(G529,'IR data'!$M$4:$M$61,0)),((INDEX('IR data'!$N$4:$N$61,MATCH(G529,'IR data'!$M$4:$M$61,1)))-((G529-(INDEX('IR data'!$M$4:$M$61,MATCH(G529,'IR data'!$M$4:$M$61,1))))/((INDEX('IR data'!$M$4:$M$61,MATCH(G529,'IR data'!$M$4:$M$61,1)+1)-INDEX('IR data'!$M$4:$M$61,MATCH(G529,'IR data'!$M$4:$M$61,1))))) * (INDEX('IR data'!$N$4:$N$61,MATCH(G529,'IR data'!$M$4:$M$61,1))-(INDEX('IR data'!$N$4:$N$61,MATCH(G529,'IR data'!$M$4:$M$61,1)+1)))))</f>
        <v>0.93003765884615386</v>
      </c>
      <c r="I529" s="44">
        <f t="shared" si="53"/>
        <v>2.1857994293744257E-2</v>
      </c>
    </row>
    <row r="530" spans="1:9" x14ac:dyDescent="0.25">
      <c r="A530" s="45">
        <f t="shared" si="49"/>
        <v>45818</v>
      </c>
      <c r="B530" s="14" cm="1">
        <f t="array" ref="B530">_xlfn.IFNA(INDEX('IR data'!$D$4:$D$61,MATCH(A530,'IR data'!$C$4:$C$61,0)),((INDEX('IR data'!$D$4:$D$61,MATCH(A530,'IR data'!$C$4:$C$61,1)))-((A530-(INDEX('IR data'!$C$4:$C$61,MATCH(A530,'IR data'!$C$4:$C$61,1))))/((INDEX('IR data'!$C$4:$C$61,MATCH(A530,'IR data'!$C$4:$C$61,1)+1)-INDEX('IR data'!$C$4:$C$61,MATCH(A530,'IR data'!$C$4:$C$61,1))))) * (INDEX('IR data'!$D$4:$D$61,MATCH(A530,'IR data'!$C$4:$C$61,1))-(INDEX('IR data'!$D$4:$D$61,MATCH(A530,'IR data'!$C$4:$C$61,1)+1)))))</f>
        <v>0.93484502593406593</v>
      </c>
      <c r="C530" s="30">
        <f t="shared" si="50"/>
        <v>2.0265726968115398E-2</v>
      </c>
      <c r="D530" s="45">
        <f t="shared" si="51"/>
        <v>45878</v>
      </c>
      <c r="E530" s="14" cm="1">
        <f t="array" ref="E530">_xlfn.IFNA(INDEX('IR data'!$I$4:$I$61,MATCH(D530,'IR data'!$H$4:$H$61,0)),((INDEX('IR data'!$I$4:$I$61,MATCH(D530,'IR data'!$H$4:$H$61,1)))-((D530-(INDEX('IR data'!$H$4:$H$61,MATCH(D530,'IR data'!$H$4:$H$61,1))))/((INDEX('IR data'!$H$4:$H$61,MATCH(D530,'IR data'!$H$4:$H$61,1)+1)-INDEX('IR data'!$H$4:$H$61,MATCH(D530,'IR data'!$H$4:$H$61,1))))) * (INDEX('IR data'!$I$4:$I$61,MATCH(D530,'IR data'!$H$4:$H$61,1))-(INDEX('IR data'!$I$4:$I$61,MATCH(D530,'IR data'!$H$4:$H$61,1)+1)))))</f>
        <v>0.93030420319565221</v>
      </c>
      <c r="F530" s="30">
        <f t="shared" si="52"/>
        <v>2.1730324768943765E-2</v>
      </c>
      <c r="G530" s="45">
        <f t="shared" si="48"/>
        <v>45912</v>
      </c>
      <c r="H530" s="14" cm="1">
        <f t="array" ref="H530">_xlfn.IFNA(INDEX('IR data'!$N$4:$N$61,MATCH(G530,'IR data'!$M$4:$M$61,0)),((INDEX('IR data'!$N$4:$N$61,MATCH(G530,'IR data'!$M$4:$M$61,1)))-((G530-(INDEX('IR data'!$M$4:$M$61,MATCH(G530,'IR data'!$M$4:$M$61,1))))/((INDEX('IR data'!$M$4:$M$61,MATCH(G530,'IR data'!$M$4:$M$61,1)+1)-INDEX('IR data'!$M$4:$M$61,MATCH(G530,'IR data'!$M$4:$M$61,1))))) * (INDEX('IR data'!$N$4:$N$61,MATCH(G530,'IR data'!$M$4:$M$61,1))-(INDEX('IR data'!$N$4:$N$61,MATCH(G530,'IR data'!$M$4:$M$61,1)+1)))))</f>
        <v>0.92992540369230769</v>
      </c>
      <c r="I530" s="44">
        <f t="shared" si="53"/>
        <v>2.1852825706035941E-2</v>
      </c>
    </row>
    <row r="531" spans="1:9" x14ac:dyDescent="0.25">
      <c r="A531" s="45">
        <f t="shared" si="49"/>
        <v>45819</v>
      </c>
      <c r="B531" s="14" cm="1">
        <f t="array" ref="B531">_xlfn.IFNA(INDEX('IR data'!$D$4:$D$61,MATCH(A531,'IR data'!$C$4:$C$61,0)),((INDEX('IR data'!$D$4:$D$61,MATCH(A531,'IR data'!$C$4:$C$61,1)))-((A531-(INDEX('IR data'!$C$4:$C$61,MATCH(A531,'IR data'!$C$4:$C$61,1))))/((INDEX('IR data'!$C$4:$C$61,MATCH(A531,'IR data'!$C$4:$C$61,1)+1)-INDEX('IR data'!$C$4:$C$61,MATCH(A531,'IR data'!$C$4:$C$61,1))))) * (INDEX('IR data'!$D$4:$D$61,MATCH(A531,'IR data'!$C$4:$C$61,1))-(INDEX('IR data'!$D$4:$D$61,MATCH(A531,'IR data'!$C$4:$C$61,1)+1)))))</f>
        <v>0.93475086619780212</v>
      </c>
      <c r="C531" s="30">
        <f t="shared" si="50"/>
        <v>2.025758553270695E-2</v>
      </c>
      <c r="D531" s="45">
        <f t="shared" si="51"/>
        <v>45879</v>
      </c>
      <c r="E531" s="14" cm="1">
        <f t="array" ref="E531">_xlfn.IFNA(INDEX('IR data'!$I$4:$I$61,MATCH(D531,'IR data'!$H$4:$H$61,0)),((INDEX('IR data'!$I$4:$I$61,MATCH(D531,'IR data'!$H$4:$H$61,1)))-((D531-(INDEX('IR data'!$H$4:$H$61,MATCH(D531,'IR data'!$H$4:$H$61,1))))/((INDEX('IR data'!$H$4:$H$61,MATCH(D531,'IR data'!$H$4:$H$61,1)+1)-INDEX('IR data'!$H$4:$H$61,MATCH(D531,'IR data'!$H$4:$H$61,1))))) * (INDEX('IR data'!$I$4:$I$61,MATCH(D531,'IR data'!$H$4:$H$61,1))-(INDEX('IR data'!$I$4:$I$61,MATCH(D531,'IR data'!$H$4:$H$61,1)+1)))))</f>
        <v>0.93019517638043481</v>
      </c>
      <c r="F531" s="30">
        <f t="shared" si="52"/>
        <v>2.1724355429914091E-2</v>
      </c>
      <c r="G531" s="45">
        <f t="shared" si="48"/>
        <v>45913</v>
      </c>
      <c r="H531" s="14" cm="1">
        <f t="array" ref="H531">_xlfn.IFNA(INDEX('IR data'!$N$4:$N$61,MATCH(G531,'IR data'!$M$4:$M$61,0)),((INDEX('IR data'!$N$4:$N$61,MATCH(G531,'IR data'!$M$4:$M$61,1)))-((G531-(INDEX('IR data'!$M$4:$M$61,MATCH(G531,'IR data'!$M$4:$M$61,1))))/((INDEX('IR data'!$M$4:$M$61,MATCH(G531,'IR data'!$M$4:$M$61,1)+1)-INDEX('IR data'!$M$4:$M$61,MATCH(G531,'IR data'!$M$4:$M$61,1))))) * (INDEX('IR data'!$N$4:$N$61,MATCH(G531,'IR data'!$M$4:$M$61,1))-(INDEX('IR data'!$N$4:$N$61,MATCH(G531,'IR data'!$M$4:$M$61,1)+1)))))</f>
        <v>0.92981314853846153</v>
      </c>
      <c r="I531" s="44">
        <f t="shared" si="53"/>
        <v>2.1847681071125551E-2</v>
      </c>
    </row>
    <row r="532" spans="1:9" x14ac:dyDescent="0.25">
      <c r="A532" s="45">
        <f t="shared" si="49"/>
        <v>45820</v>
      </c>
      <c r="B532" s="14" cm="1">
        <f t="array" ref="B532">_xlfn.IFNA(INDEX('IR data'!$D$4:$D$61,MATCH(A532,'IR data'!$C$4:$C$61,0)),((INDEX('IR data'!$D$4:$D$61,MATCH(A532,'IR data'!$C$4:$C$61,1)))-((A532-(INDEX('IR data'!$C$4:$C$61,MATCH(A532,'IR data'!$C$4:$C$61,1))))/((INDEX('IR data'!$C$4:$C$61,MATCH(A532,'IR data'!$C$4:$C$61,1)+1)-INDEX('IR data'!$C$4:$C$61,MATCH(A532,'IR data'!$C$4:$C$61,1))))) * (INDEX('IR data'!$D$4:$D$61,MATCH(A532,'IR data'!$C$4:$C$61,1))-(INDEX('IR data'!$D$4:$D$61,MATCH(A532,'IR data'!$C$4:$C$61,1)+1)))))</f>
        <v>0.93465670646153842</v>
      </c>
      <c r="C532" s="30">
        <f t="shared" si="50"/>
        <v>2.0249477918379107E-2</v>
      </c>
      <c r="D532" s="45">
        <f t="shared" si="51"/>
        <v>45880</v>
      </c>
      <c r="E532" s="14" cm="1">
        <f t="array" ref="E532">_xlfn.IFNA(INDEX('IR data'!$I$4:$I$61,MATCH(D532,'IR data'!$H$4:$H$61,0)),((INDEX('IR data'!$I$4:$I$61,MATCH(D532,'IR data'!$H$4:$H$61,1)))-((D532-(INDEX('IR data'!$H$4:$H$61,MATCH(D532,'IR data'!$H$4:$H$61,1))))/((INDEX('IR data'!$H$4:$H$61,MATCH(D532,'IR data'!$H$4:$H$61,1)+1)-INDEX('IR data'!$H$4:$H$61,MATCH(D532,'IR data'!$H$4:$H$61,1))))) * (INDEX('IR data'!$I$4:$I$61,MATCH(D532,'IR data'!$H$4:$H$61,1))-(INDEX('IR data'!$I$4:$I$61,MATCH(D532,'IR data'!$H$4:$H$61,1)+1)))))</f>
        <v>0.9300861495652174</v>
      </c>
      <c r="F532" s="30">
        <f t="shared" si="52"/>
        <v>2.1718412775886486E-2</v>
      </c>
      <c r="G532" s="45">
        <f t="shared" si="48"/>
        <v>45914</v>
      </c>
      <c r="H532" s="14" cm="1">
        <f t="array" ref="H532">_xlfn.IFNA(INDEX('IR data'!$N$4:$N$61,MATCH(G532,'IR data'!$M$4:$M$61,0)),((INDEX('IR data'!$N$4:$N$61,MATCH(G532,'IR data'!$M$4:$M$61,1)))-((G532-(INDEX('IR data'!$M$4:$M$61,MATCH(G532,'IR data'!$M$4:$M$61,1))))/((INDEX('IR data'!$M$4:$M$61,MATCH(G532,'IR data'!$M$4:$M$61,1)+1)-INDEX('IR data'!$M$4:$M$61,MATCH(G532,'IR data'!$M$4:$M$61,1))))) * (INDEX('IR data'!$N$4:$N$61,MATCH(G532,'IR data'!$M$4:$M$61,1))-(INDEX('IR data'!$N$4:$N$61,MATCH(G532,'IR data'!$M$4:$M$61,1)+1)))))</f>
        <v>0.92970089338461537</v>
      </c>
      <c r="I532" s="44">
        <f t="shared" si="53"/>
        <v>2.1842560254229312E-2</v>
      </c>
    </row>
    <row r="533" spans="1:9" x14ac:dyDescent="0.25">
      <c r="A533" s="45">
        <f t="shared" si="49"/>
        <v>45821</v>
      </c>
      <c r="B533" s="14" cm="1">
        <f t="array" ref="B533">_xlfn.IFNA(INDEX('IR data'!$D$4:$D$61,MATCH(A533,'IR data'!$C$4:$C$61,0)),((INDEX('IR data'!$D$4:$D$61,MATCH(A533,'IR data'!$C$4:$C$61,1)))-((A533-(INDEX('IR data'!$C$4:$C$61,MATCH(A533,'IR data'!$C$4:$C$61,1))))/((INDEX('IR data'!$C$4:$C$61,MATCH(A533,'IR data'!$C$4:$C$61,1)+1)-INDEX('IR data'!$C$4:$C$61,MATCH(A533,'IR data'!$C$4:$C$61,1))))) * (INDEX('IR data'!$D$4:$D$61,MATCH(A533,'IR data'!$C$4:$C$61,1))-(INDEX('IR data'!$D$4:$D$61,MATCH(A533,'IR data'!$C$4:$C$61,1)+1)))))</f>
        <v>0.93456254672527472</v>
      </c>
      <c r="C533" s="30">
        <f t="shared" si="50"/>
        <v>2.0241403934303334E-2</v>
      </c>
      <c r="D533" s="45">
        <f t="shared" si="51"/>
        <v>45881</v>
      </c>
      <c r="E533" s="14" cm="1">
        <f t="array" ref="E533">_xlfn.IFNA(INDEX('IR data'!$I$4:$I$61,MATCH(D533,'IR data'!$H$4:$H$61,0)),((INDEX('IR data'!$I$4:$I$61,MATCH(D533,'IR data'!$H$4:$H$61,1)))-((D533-(INDEX('IR data'!$H$4:$H$61,MATCH(D533,'IR data'!$H$4:$H$61,1))))/((INDEX('IR data'!$H$4:$H$61,MATCH(D533,'IR data'!$H$4:$H$61,1)+1)-INDEX('IR data'!$H$4:$H$61,MATCH(D533,'IR data'!$H$4:$H$61,1))))) * (INDEX('IR data'!$I$4:$I$61,MATCH(D533,'IR data'!$H$4:$H$61,1))-(INDEX('IR data'!$I$4:$I$61,MATCH(D533,'IR data'!$H$4:$H$61,1)+1)))))</f>
        <v>0.92997712275</v>
      </c>
      <c r="F533" s="30">
        <f t="shared" si="52"/>
        <v>2.1712496656777117E-2</v>
      </c>
      <c r="G533" s="45">
        <f t="shared" si="48"/>
        <v>45915</v>
      </c>
      <c r="H533" s="14" cm="1">
        <f t="array" ref="H533">_xlfn.IFNA(INDEX('IR data'!$N$4:$N$61,MATCH(G533,'IR data'!$M$4:$M$61,0)),((INDEX('IR data'!$N$4:$N$61,MATCH(G533,'IR data'!$M$4:$M$61,1)))-((G533-(INDEX('IR data'!$M$4:$M$61,MATCH(G533,'IR data'!$M$4:$M$61,1))))/((INDEX('IR data'!$M$4:$M$61,MATCH(G533,'IR data'!$M$4:$M$61,1)+1)-INDEX('IR data'!$M$4:$M$61,MATCH(G533,'IR data'!$M$4:$M$61,1))))) * (INDEX('IR data'!$N$4:$N$61,MATCH(G533,'IR data'!$M$4:$M$61,1))-(INDEX('IR data'!$N$4:$N$61,MATCH(G533,'IR data'!$M$4:$M$61,1)+1)))))</f>
        <v>0.9295886382307692</v>
      </c>
      <c r="I533" s="44">
        <f t="shared" si="53"/>
        <v>2.1837463121581066E-2</v>
      </c>
    </row>
    <row r="534" spans="1:9" x14ac:dyDescent="0.25">
      <c r="A534" s="45">
        <f t="shared" si="49"/>
        <v>45822</v>
      </c>
      <c r="B534" s="14" cm="1">
        <f t="array" ref="B534">_xlfn.IFNA(INDEX('IR data'!$D$4:$D$61,MATCH(A534,'IR data'!$C$4:$C$61,0)),((INDEX('IR data'!$D$4:$D$61,MATCH(A534,'IR data'!$C$4:$C$61,1)))-((A534-(INDEX('IR data'!$C$4:$C$61,MATCH(A534,'IR data'!$C$4:$C$61,1))))/((INDEX('IR data'!$C$4:$C$61,MATCH(A534,'IR data'!$C$4:$C$61,1)+1)-INDEX('IR data'!$C$4:$C$61,MATCH(A534,'IR data'!$C$4:$C$61,1))))) * (INDEX('IR data'!$D$4:$D$61,MATCH(A534,'IR data'!$C$4:$C$61,1))-(INDEX('IR data'!$D$4:$D$61,MATCH(A534,'IR data'!$C$4:$C$61,1)+1)))))</f>
        <v>0.93446838698901091</v>
      </c>
      <c r="C534" s="30">
        <f t="shared" si="50"/>
        <v>2.0233363391088794E-2</v>
      </c>
      <c r="D534" s="45">
        <f t="shared" si="51"/>
        <v>45882</v>
      </c>
      <c r="E534" s="14" cm="1">
        <f t="array" ref="E534">_xlfn.IFNA(INDEX('IR data'!$I$4:$I$61,MATCH(D534,'IR data'!$H$4:$H$61,0)),((INDEX('IR data'!$I$4:$I$61,MATCH(D534,'IR data'!$H$4:$H$61,1)))-((D534-(INDEX('IR data'!$H$4:$H$61,MATCH(D534,'IR data'!$H$4:$H$61,1))))/((INDEX('IR data'!$H$4:$H$61,MATCH(D534,'IR data'!$H$4:$H$61,1)+1)-INDEX('IR data'!$H$4:$H$61,MATCH(D534,'IR data'!$H$4:$H$61,1))))) * (INDEX('IR data'!$I$4:$I$61,MATCH(D534,'IR data'!$H$4:$H$61,1))-(INDEX('IR data'!$I$4:$I$61,MATCH(D534,'IR data'!$H$4:$H$61,1)+1)))))</f>
        <v>0.92986809593478259</v>
      </c>
      <c r="F534" s="30">
        <f t="shared" si="52"/>
        <v>2.1706606923633076E-2</v>
      </c>
      <c r="G534" s="45">
        <f t="shared" si="48"/>
        <v>45916</v>
      </c>
      <c r="H534" s="14" cm="1">
        <f t="array" ref="H534">_xlfn.IFNA(INDEX('IR data'!$N$4:$N$61,MATCH(G534,'IR data'!$M$4:$M$61,0)),((INDEX('IR data'!$N$4:$N$61,MATCH(G534,'IR data'!$M$4:$M$61,1)))-((G534-(INDEX('IR data'!$M$4:$M$61,MATCH(G534,'IR data'!$M$4:$M$61,1))))/((INDEX('IR data'!$M$4:$M$61,MATCH(G534,'IR data'!$M$4:$M$61,1)+1)-INDEX('IR data'!$M$4:$M$61,MATCH(G534,'IR data'!$M$4:$M$61,1))))) * (INDEX('IR data'!$N$4:$N$61,MATCH(G534,'IR data'!$M$4:$M$61,1))-(INDEX('IR data'!$N$4:$N$61,MATCH(G534,'IR data'!$M$4:$M$61,1)+1)))))</f>
        <v>0.92947638307692304</v>
      </c>
      <c r="I534" s="44">
        <f t="shared" si="53"/>
        <v>2.183238954042269E-2</v>
      </c>
    </row>
    <row r="535" spans="1:9" x14ac:dyDescent="0.25">
      <c r="A535" s="45">
        <f t="shared" si="49"/>
        <v>45823</v>
      </c>
      <c r="B535" s="14" cm="1">
        <f t="array" ref="B535">_xlfn.IFNA(INDEX('IR data'!$D$4:$D$61,MATCH(A535,'IR data'!$C$4:$C$61,0)),((INDEX('IR data'!$D$4:$D$61,MATCH(A535,'IR data'!$C$4:$C$61,1)))-((A535-(INDEX('IR data'!$C$4:$C$61,MATCH(A535,'IR data'!$C$4:$C$61,1))))/((INDEX('IR data'!$C$4:$C$61,MATCH(A535,'IR data'!$C$4:$C$61,1)+1)-INDEX('IR data'!$C$4:$C$61,MATCH(A535,'IR data'!$C$4:$C$61,1))))) * (INDEX('IR data'!$D$4:$D$61,MATCH(A535,'IR data'!$C$4:$C$61,1))-(INDEX('IR data'!$D$4:$D$61,MATCH(A535,'IR data'!$C$4:$C$61,1)+1)))))</f>
        <v>0.93437422725274721</v>
      </c>
      <c r="C535" s="30">
        <f t="shared" si="50"/>
        <v>2.0225356100768702E-2</v>
      </c>
      <c r="D535" s="45">
        <f t="shared" si="51"/>
        <v>45883</v>
      </c>
      <c r="E535" s="14" cm="1">
        <f t="array" ref="E535">_xlfn.IFNA(INDEX('IR data'!$I$4:$I$61,MATCH(D535,'IR data'!$H$4:$H$61,0)),((INDEX('IR data'!$I$4:$I$61,MATCH(D535,'IR data'!$H$4:$H$61,1)))-((D535-(INDEX('IR data'!$H$4:$H$61,MATCH(D535,'IR data'!$H$4:$H$61,1))))/((INDEX('IR data'!$H$4:$H$61,MATCH(D535,'IR data'!$H$4:$H$61,1)+1)-INDEX('IR data'!$H$4:$H$61,MATCH(D535,'IR data'!$H$4:$H$61,1))))) * (INDEX('IR data'!$I$4:$I$61,MATCH(D535,'IR data'!$H$4:$H$61,1))-(INDEX('IR data'!$I$4:$I$61,MATCH(D535,'IR data'!$H$4:$H$61,1)+1)))))</f>
        <v>0.92975906911956518</v>
      </c>
      <c r="F535" s="30">
        <f t="shared" si="52"/>
        <v>2.1700743428621723E-2</v>
      </c>
      <c r="G535" s="45">
        <f t="shared" si="48"/>
        <v>45917</v>
      </c>
      <c r="H535" s="14" cm="1">
        <f t="array" ref="H535">_xlfn.IFNA(INDEX('IR data'!$N$4:$N$61,MATCH(G535,'IR data'!$M$4:$M$61,0)),((INDEX('IR data'!$N$4:$N$61,MATCH(G535,'IR data'!$M$4:$M$61,1)))-((G535-(INDEX('IR data'!$M$4:$M$61,MATCH(G535,'IR data'!$M$4:$M$61,1))))/((INDEX('IR data'!$M$4:$M$61,MATCH(G535,'IR data'!$M$4:$M$61,1)+1)-INDEX('IR data'!$M$4:$M$61,MATCH(G535,'IR data'!$M$4:$M$61,1))))) * (INDEX('IR data'!$N$4:$N$61,MATCH(G535,'IR data'!$M$4:$M$61,1))-(INDEX('IR data'!$N$4:$N$61,MATCH(G535,'IR data'!$M$4:$M$61,1)+1)))))</f>
        <v>0.92936412792307688</v>
      </c>
      <c r="I535" s="44">
        <f t="shared" si="53"/>
        <v>2.1827339378994622E-2</v>
      </c>
    </row>
    <row r="536" spans="1:9" x14ac:dyDescent="0.25">
      <c r="A536" s="45">
        <f t="shared" si="49"/>
        <v>45824</v>
      </c>
      <c r="B536" s="14" cm="1">
        <f t="array" ref="B536">_xlfn.IFNA(INDEX('IR data'!$D$4:$D$61,MATCH(A536,'IR data'!$C$4:$C$61,0)),((INDEX('IR data'!$D$4:$D$61,MATCH(A536,'IR data'!$C$4:$C$61,1)))-((A536-(INDEX('IR data'!$C$4:$C$61,MATCH(A536,'IR data'!$C$4:$C$61,1))))/((INDEX('IR data'!$C$4:$C$61,MATCH(A536,'IR data'!$C$4:$C$61,1)+1)-INDEX('IR data'!$C$4:$C$61,MATCH(A536,'IR data'!$C$4:$C$61,1))))) * (INDEX('IR data'!$D$4:$D$61,MATCH(A536,'IR data'!$C$4:$C$61,1))-(INDEX('IR data'!$D$4:$D$61,MATCH(A536,'IR data'!$C$4:$C$61,1)+1)))))</f>
        <v>0.93428006751648351</v>
      </c>
      <c r="C536" s="30">
        <f t="shared" si="50"/>
        <v>2.0217381876787212E-2</v>
      </c>
      <c r="D536" s="45">
        <f t="shared" si="51"/>
        <v>45884</v>
      </c>
      <c r="E536" s="14" cm="1">
        <f t="array" ref="E536">_xlfn.IFNA(INDEX('IR data'!$I$4:$I$61,MATCH(D536,'IR data'!$H$4:$H$61,0)),((INDEX('IR data'!$I$4:$I$61,MATCH(D536,'IR data'!$H$4:$H$61,1)))-((D536-(INDEX('IR data'!$H$4:$H$61,MATCH(D536,'IR data'!$H$4:$H$61,1))))/((INDEX('IR data'!$H$4:$H$61,MATCH(D536,'IR data'!$H$4:$H$61,1)+1)-INDEX('IR data'!$H$4:$H$61,MATCH(D536,'IR data'!$H$4:$H$61,1))))) * (INDEX('IR data'!$I$4:$I$61,MATCH(D536,'IR data'!$H$4:$H$61,1))-(INDEX('IR data'!$I$4:$I$61,MATCH(D536,'IR data'!$H$4:$H$61,1)+1)))))</f>
        <v>0.92965004230434778</v>
      </c>
      <c r="F536" s="30">
        <f t="shared" si="52"/>
        <v>2.1694906025020201E-2</v>
      </c>
      <c r="G536" s="45">
        <f t="shared" si="48"/>
        <v>45918</v>
      </c>
      <c r="H536" s="14" cm="1">
        <f t="array" ref="H536">_xlfn.IFNA(INDEX('IR data'!$N$4:$N$61,MATCH(G536,'IR data'!$M$4:$M$61,0)),((INDEX('IR data'!$N$4:$N$61,MATCH(G536,'IR data'!$M$4:$M$61,1)))-((G536-(INDEX('IR data'!$M$4:$M$61,MATCH(G536,'IR data'!$M$4:$M$61,1))))/((INDEX('IR data'!$M$4:$M$61,MATCH(G536,'IR data'!$M$4:$M$61,1)+1)-INDEX('IR data'!$M$4:$M$61,MATCH(G536,'IR data'!$M$4:$M$61,1))))) * (INDEX('IR data'!$N$4:$N$61,MATCH(G536,'IR data'!$M$4:$M$61,1))-(INDEX('IR data'!$N$4:$N$61,MATCH(G536,'IR data'!$M$4:$M$61,1)+1)))))</f>
        <v>0.92925187276923071</v>
      </c>
      <c r="I536" s="44">
        <f t="shared" si="53"/>
        <v>2.1822312506526498E-2</v>
      </c>
    </row>
    <row r="537" spans="1:9" x14ac:dyDescent="0.25">
      <c r="A537" s="45">
        <f t="shared" si="49"/>
        <v>45825</v>
      </c>
      <c r="B537" s="14" cm="1">
        <f t="array" ref="B537">_xlfn.IFNA(INDEX('IR data'!$D$4:$D$61,MATCH(A537,'IR data'!$C$4:$C$61,0)),((INDEX('IR data'!$D$4:$D$61,MATCH(A537,'IR data'!$C$4:$C$61,1)))-((A537-(INDEX('IR data'!$C$4:$C$61,MATCH(A537,'IR data'!$C$4:$C$61,1))))/((INDEX('IR data'!$C$4:$C$61,MATCH(A537,'IR data'!$C$4:$C$61,1)+1)-INDEX('IR data'!$C$4:$C$61,MATCH(A537,'IR data'!$C$4:$C$61,1))))) * (INDEX('IR data'!$D$4:$D$61,MATCH(A537,'IR data'!$C$4:$C$61,1))-(INDEX('IR data'!$D$4:$D$61,MATCH(A537,'IR data'!$C$4:$C$61,1)+1)))))</f>
        <v>0.9341859077802197</v>
      </c>
      <c r="C537" s="30">
        <f t="shared" si="50"/>
        <v>2.020944053398608E-2</v>
      </c>
      <c r="D537" s="45">
        <f t="shared" si="51"/>
        <v>45885</v>
      </c>
      <c r="E537" s="14" cm="1">
        <f t="array" ref="E537">_xlfn.IFNA(INDEX('IR data'!$I$4:$I$61,MATCH(D537,'IR data'!$H$4:$H$61,0)),((INDEX('IR data'!$I$4:$I$61,MATCH(D537,'IR data'!$H$4:$H$61,1)))-((D537-(INDEX('IR data'!$H$4:$H$61,MATCH(D537,'IR data'!$H$4:$H$61,1))))/((INDEX('IR data'!$H$4:$H$61,MATCH(D537,'IR data'!$H$4:$H$61,1)+1)-INDEX('IR data'!$H$4:$H$61,MATCH(D537,'IR data'!$H$4:$H$61,1))))) * (INDEX('IR data'!$I$4:$I$61,MATCH(D537,'IR data'!$H$4:$H$61,1))-(INDEX('IR data'!$I$4:$I$61,MATCH(D537,'IR data'!$H$4:$H$61,1)+1)))))</f>
        <v>0.92954101548913048</v>
      </c>
      <c r="F537" s="30">
        <f t="shared" si="52"/>
        <v>2.1689094567205011E-2</v>
      </c>
      <c r="G537" s="45">
        <f t="shared" si="48"/>
        <v>45919</v>
      </c>
      <c r="H537" s="14" cm="1">
        <f t="array" ref="H537">_xlfn.IFNA(INDEX('IR data'!$N$4:$N$61,MATCH(G537,'IR data'!$M$4:$M$61,0)),((INDEX('IR data'!$N$4:$N$61,MATCH(G537,'IR data'!$M$4:$M$61,1)))-((G537-(INDEX('IR data'!$M$4:$M$61,MATCH(G537,'IR data'!$M$4:$M$61,1))))/((INDEX('IR data'!$M$4:$M$61,MATCH(G537,'IR data'!$M$4:$M$61,1)+1)-INDEX('IR data'!$M$4:$M$61,MATCH(G537,'IR data'!$M$4:$M$61,1))))) * (INDEX('IR data'!$N$4:$N$61,MATCH(G537,'IR data'!$M$4:$M$61,1))-(INDEX('IR data'!$N$4:$N$61,MATCH(G537,'IR data'!$M$4:$M$61,1)+1)))))</f>
        <v>0.92913961761538455</v>
      </c>
      <c r="I537" s="44">
        <f t="shared" si="53"/>
        <v>2.1817308793227883E-2</v>
      </c>
    </row>
    <row r="538" spans="1:9" x14ac:dyDescent="0.25">
      <c r="A538" s="45">
        <f t="shared" si="49"/>
        <v>45826</v>
      </c>
      <c r="B538" s="14" cm="1">
        <f t="array" ref="B538">_xlfn.IFNA(INDEX('IR data'!$D$4:$D$61,MATCH(A538,'IR data'!$C$4:$C$61,0)),((INDEX('IR data'!$D$4:$D$61,MATCH(A538,'IR data'!$C$4:$C$61,1)))-((A538-(INDEX('IR data'!$C$4:$C$61,MATCH(A538,'IR data'!$C$4:$C$61,1))))/((INDEX('IR data'!$C$4:$C$61,MATCH(A538,'IR data'!$C$4:$C$61,1)+1)-INDEX('IR data'!$C$4:$C$61,MATCH(A538,'IR data'!$C$4:$C$61,1))))) * (INDEX('IR data'!$D$4:$D$61,MATCH(A538,'IR data'!$C$4:$C$61,1))-(INDEX('IR data'!$D$4:$D$61,MATCH(A538,'IR data'!$C$4:$C$61,1)+1)))))</f>
        <v>0.934091748043956</v>
      </c>
      <c r="C538" s="30">
        <f t="shared" si="50"/>
        <v>2.0201531888591487E-2</v>
      </c>
      <c r="D538" s="45">
        <f t="shared" si="51"/>
        <v>45886</v>
      </c>
      <c r="E538" s="14" cm="1">
        <f t="array" ref="E538">_xlfn.IFNA(INDEX('IR data'!$I$4:$I$61,MATCH(D538,'IR data'!$H$4:$H$61,0)),((INDEX('IR data'!$I$4:$I$61,MATCH(D538,'IR data'!$H$4:$H$61,1)))-((D538-(INDEX('IR data'!$H$4:$H$61,MATCH(D538,'IR data'!$H$4:$H$61,1))))/((INDEX('IR data'!$H$4:$H$61,MATCH(D538,'IR data'!$H$4:$H$61,1)+1)-INDEX('IR data'!$H$4:$H$61,MATCH(D538,'IR data'!$H$4:$H$61,1))))) * (INDEX('IR data'!$I$4:$I$61,MATCH(D538,'IR data'!$H$4:$H$61,1))-(INDEX('IR data'!$I$4:$I$61,MATCH(D538,'IR data'!$H$4:$H$61,1)+1)))))</f>
        <v>0.92943198867391308</v>
      </c>
      <c r="F538" s="30">
        <f t="shared" si="52"/>
        <v>2.1683308910641859E-2</v>
      </c>
      <c r="G538" s="45">
        <f t="shared" si="48"/>
        <v>45920</v>
      </c>
      <c r="H538" s="14" cm="1">
        <f t="array" ref="H538">_xlfn.IFNA(INDEX('IR data'!$N$4:$N$61,MATCH(G538,'IR data'!$M$4:$M$61,0)),((INDEX('IR data'!$N$4:$N$61,MATCH(G538,'IR data'!$M$4:$M$61,1)))-((G538-(INDEX('IR data'!$M$4:$M$61,MATCH(G538,'IR data'!$M$4:$M$61,1))))/((INDEX('IR data'!$M$4:$M$61,MATCH(G538,'IR data'!$M$4:$M$61,1)+1)-INDEX('IR data'!$M$4:$M$61,MATCH(G538,'IR data'!$M$4:$M$61,1))))) * (INDEX('IR data'!$N$4:$N$61,MATCH(G538,'IR data'!$M$4:$M$61,1))-(INDEX('IR data'!$N$4:$N$61,MATCH(G538,'IR data'!$M$4:$M$61,1)+1)))))</f>
        <v>0.9290273624615385</v>
      </c>
      <c r="I538" s="44">
        <f t="shared" si="53"/>
        <v>2.1812328110279076E-2</v>
      </c>
    </row>
    <row r="539" spans="1:9" x14ac:dyDescent="0.25">
      <c r="A539" s="45">
        <f t="shared" si="49"/>
        <v>45827</v>
      </c>
      <c r="B539" s="14" cm="1">
        <f t="array" ref="B539">_xlfn.IFNA(INDEX('IR data'!$D$4:$D$61,MATCH(A539,'IR data'!$C$4:$C$61,0)),((INDEX('IR data'!$D$4:$D$61,MATCH(A539,'IR data'!$C$4:$C$61,1)))-((A539-(INDEX('IR data'!$C$4:$C$61,MATCH(A539,'IR data'!$C$4:$C$61,1))))/((INDEX('IR data'!$C$4:$C$61,MATCH(A539,'IR data'!$C$4:$C$61,1)+1)-INDEX('IR data'!$C$4:$C$61,MATCH(A539,'IR data'!$C$4:$C$61,1))))) * (INDEX('IR data'!$D$4:$D$61,MATCH(A539,'IR data'!$C$4:$C$61,1))-(INDEX('IR data'!$D$4:$D$61,MATCH(A539,'IR data'!$C$4:$C$61,1)+1)))))</f>
        <v>0.93399758830769231</v>
      </c>
      <c r="C539" s="30">
        <f t="shared" si="50"/>
        <v>2.0193655758201375E-2</v>
      </c>
      <c r="D539" s="45">
        <f t="shared" si="51"/>
        <v>45887</v>
      </c>
      <c r="E539" s="14" cm="1">
        <f t="array" ref="E539">_xlfn.IFNA(INDEX('IR data'!$I$4:$I$61,MATCH(D539,'IR data'!$H$4:$H$61,0)),((INDEX('IR data'!$I$4:$I$61,MATCH(D539,'IR data'!$H$4:$H$61,1)))-((D539-(INDEX('IR data'!$H$4:$H$61,MATCH(D539,'IR data'!$H$4:$H$61,1))))/((INDEX('IR data'!$H$4:$H$61,MATCH(D539,'IR data'!$H$4:$H$61,1)+1)-INDEX('IR data'!$H$4:$H$61,MATCH(D539,'IR data'!$H$4:$H$61,1))))) * (INDEX('IR data'!$I$4:$I$61,MATCH(D539,'IR data'!$H$4:$H$61,1))-(INDEX('IR data'!$I$4:$I$61,MATCH(D539,'IR data'!$H$4:$H$61,1)+1)))))</f>
        <v>0.92932296185869567</v>
      </c>
      <c r="F539" s="30">
        <f t="shared" si="52"/>
        <v>2.1677548911875306E-2</v>
      </c>
      <c r="G539" s="45">
        <f t="shared" si="48"/>
        <v>45921</v>
      </c>
      <c r="H539" s="14" cm="1">
        <f t="array" ref="H539">_xlfn.IFNA(INDEX('IR data'!$N$4:$N$61,MATCH(G539,'IR data'!$M$4:$M$61,0)),((INDEX('IR data'!$N$4:$N$61,MATCH(G539,'IR data'!$M$4:$M$61,1)))-((G539-(INDEX('IR data'!$M$4:$M$61,MATCH(G539,'IR data'!$M$4:$M$61,1))))/((INDEX('IR data'!$M$4:$M$61,MATCH(G539,'IR data'!$M$4:$M$61,1)+1)-INDEX('IR data'!$M$4:$M$61,MATCH(G539,'IR data'!$M$4:$M$61,1))))) * (INDEX('IR data'!$N$4:$N$61,MATCH(G539,'IR data'!$M$4:$M$61,1))-(INDEX('IR data'!$N$4:$N$61,MATCH(G539,'IR data'!$M$4:$M$61,1)+1)))))</f>
        <v>0.92891510730769233</v>
      </c>
      <c r="I539" s="44">
        <f t="shared" si="53"/>
        <v>2.1807370329822218E-2</v>
      </c>
    </row>
    <row r="540" spans="1:9" x14ac:dyDescent="0.25">
      <c r="A540" s="45">
        <f t="shared" si="49"/>
        <v>45828</v>
      </c>
      <c r="B540" s="14" cm="1">
        <f t="array" ref="B540">_xlfn.IFNA(INDEX('IR data'!$D$4:$D$61,MATCH(A540,'IR data'!$C$4:$C$61,0)),((INDEX('IR data'!$D$4:$D$61,MATCH(A540,'IR data'!$C$4:$C$61,1)))-((A540-(INDEX('IR data'!$C$4:$C$61,MATCH(A540,'IR data'!$C$4:$C$61,1))))/((INDEX('IR data'!$C$4:$C$61,MATCH(A540,'IR data'!$C$4:$C$61,1)+1)-INDEX('IR data'!$C$4:$C$61,MATCH(A540,'IR data'!$C$4:$C$61,1))))) * (INDEX('IR data'!$D$4:$D$61,MATCH(A540,'IR data'!$C$4:$C$61,1))-(INDEX('IR data'!$D$4:$D$61,MATCH(A540,'IR data'!$C$4:$C$61,1)+1)))))</f>
        <v>0.9339034285714285</v>
      </c>
      <c r="C540" s="30">
        <f t="shared" si="50"/>
        <v>2.0185811961772521E-2</v>
      </c>
      <c r="D540" s="45">
        <f t="shared" si="51"/>
        <v>45888</v>
      </c>
      <c r="E540" s="14" cm="1">
        <f t="array" ref="E540">_xlfn.IFNA(INDEX('IR data'!$I$4:$I$61,MATCH(D540,'IR data'!$H$4:$H$61,0)),((INDEX('IR data'!$I$4:$I$61,MATCH(D540,'IR data'!$H$4:$H$61,1)))-((D540-(INDEX('IR data'!$H$4:$H$61,MATCH(D540,'IR data'!$H$4:$H$61,1))))/((INDEX('IR data'!$H$4:$H$61,MATCH(D540,'IR data'!$H$4:$H$61,1)+1)-INDEX('IR data'!$H$4:$H$61,MATCH(D540,'IR data'!$H$4:$H$61,1))))) * (INDEX('IR data'!$I$4:$I$61,MATCH(D540,'IR data'!$H$4:$H$61,1))-(INDEX('IR data'!$I$4:$I$61,MATCH(D540,'IR data'!$H$4:$H$61,1)+1)))))</f>
        <v>0.92921393504347827</v>
      </c>
      <c r="F540" s="30">
        <f t="shared" si="52"/>
        <v>2.1671814428518829E-2</v>
      </c>
      <c r="G540" s="45">
        <f t="shared" si="48"/>
        <v>45922</v>
      </c>
      <c r="H540" s="14" cm="1">
        <f t="array" ref="H540">_xlfn.IFNA(INDEX('IR data'!$N$4:$N$61,MATCH(G540,'IR data'!$M$4:$M$61,0)),((INDEX('IR data'!$N$4:$N$61,MATCH(G540,'IR data'!$M$4:$M$61,1)))-((G540-(INDEX('IR data'!$M$4:$M$61,MATCH(G540,'IR data'!$M$4:$M$61,1))))/((INDEX('IR data'!$M$4:$M$61,MATCH(G540,'IR data'!$M$4:$M$61,1)+1)-INDEX('IR data'!$M$4:$M$61,MATCH(G540,'IR data'!$M$4:$M$61,1))))) * (INDEX('IR data'!$N$4:$N$61,MATCH(G540,'IR data'!$M$4:$M$61,1))-(INDEX('IR data'!$N$4:$N$61,MATCH(G540,'IR data'!$M$4:$M$61,1)+1)))))</f>
        <v>0.92880285215384617</v>
      </c>
      <c r="I540" s="44">
        <f t="shared" si="53"/>
        <v>2.1802435324952088E-2</v>
      </c>
    </row>
    <row r="541" spans="1:9" x14ac:dyDescent="0.25">
      <c r="A541" s="45">
        <f t="shared" si="49"/>
        <v>45829</v>
      </c>
      <c r="B541" s="14" cm="1">
        <f t="array" ref="B541">_xlfn.IFNA(INDEX('IR data'!$D$4:$D$61,MATCH(A541,'IR data'!$C$4:$C$61,0)),((INDEX('IR data'!$D$4:$D$61,MATCH(A541,'IR data'!$C$4:$C$61,1)))-((A541-(INDEX('IR data'!$C$4:$C$61,MATCH(A541,'IR data'!$C$4:$C$61,1))))/((INDEX('IR data'!$C$4:$C$61,MATCH(A541,'IR data'!$C$4:$C$61,1)+1)-INDEX('IR data'!$C$4:$C$61,MATCH(A541,'IR data'!$C$4:$C$61,1))))) * (INDEX('IR data'!$D$4:$D$61,MATCH(A541,'IR data'!$C$4:$C$61,1))-(INDEX('IR data'!$D$4:$D$61,MATCH(A541,'IR data'!$C$4:$C$61,1)+1)))))</f>
        <v>0.9338092688351648</v>
      </c>
      <c r="C541" s="30">
        <f t="shared" si="50"/>
        <v>2.0178000319607838E-2</v>
      </c>
      <c r="D541" s="45">
        <f t="shared" si="51"/>
        <v>45889</v>
      </c>
      <c r="E541" s="14" cm="1">
        <f t="array" ref="E541">_xlfn.IFNA(INDEX('IR data'!$I$4:$I$61,MATCH(D541,'IR data'!$H$4:$H$61,0)),((INDEX('IR data'!$I$4:$I$61,MATCH(D541,'IR data'!$H$4:$H$61,1)))-((D541-(INDEX('IR data'!$H$4:$H$61,MATCH(D541,'IR data'!$H$4:$H$61,1))))/((INDEX('IR data'!$H$4:$H$61,MATCH(D541,'IR data'!$H$4:$H$61,1)+1)-INDEX('IR data'!$H$4:$H$61,MATCH(D541,'IR data'!$H$4:$H$61,1))))) * (INDEX('IR data'!$I$4:$I$61,MATCH(D541,'IR data'!$H$4:$H$61,1))-(INDEX('IR data'!$I$4:$I$61,MATCH(D541,'IR data'!$H$4:$H$61,1)+1)))))</f>
        <v>0.92910490822826086</v>
      </c>
      <c r="F541" s="30">
        <f t="shared" si="52"/>
        <v>2.166610531924491E-2</v>
      </c>
      <c r="G541" s="45">
        <f t="shared" si="48"/>
        <v>45923</v>
      </c>
      <c r="H541" s="14" cm="1">
        <f t="array" ref="H541">_xlfn.IFNA(INDEX('IR data'!$N$4:$N$61,MATCH(G541,'IR data'!$M$4:$M$61,0)),((INDEX('IR data'!$N$4:$N$61,MATCH(G541,'IR data'!$M$4:$M$61,1)))-((G541-(INDEX('IR data'!$M$4:$M$61,MATCH(G541,'IR data'!$M$4:$M$61,1))))/((INDEX('IR data'!$M$4:$M$61,MATCH(G541,'IR data'!$M$4:$M$61,1)+1)-INDEX('IR data'!$M$4:$M$61,MATCH(G541,'IR data'!$M$4:$M$61,1))))) * (INDEX('IR data'!$N$4:$N$61,MATCH(G541,'IR data'!$M$4:$M$61,1))-(INDEX('IR data'!$N$4:$N$61,MATCH(G541,'IR data'!$M$4:$M$61,1)+1)))))</f>
        <v>0.92869059700000001</v>
      </c>
      <c r="I541" s="44">
        <f t="shared" si="53"/>
        <v>2.1797522969707425E-2</v>
      </c>
    </row>
    <row r="542" spans="1:9" x14ac:dyDescent="0.25">
      <c r="A542" s="45">
        <f t="shared" si="49"/>
        <v>45830</v>
      </c>
      <c r="B542" s="14" cm="1">
        <f t="array" ref="B542">_xlfn.IFNA(INDEX('IR data'!$D$4:$D$61,MATCH(A542,'IR data'!$C$4:$C$61,0)),((INDEX('IR data'!$D$4:$D$61,MATCH(A542,'IR data'!$C$4:$C$61,1)))-((A542-(INDEX('IR data'!$C$4:$C$61,MATCH(A542,'IR data'!$C$4:$C$61,1))))/((INDEX('IR data'!$C$4:$C$61,MATCH(A542,'IR data'!$C$4:$C$61,1)+1)-INDEX('IR data'!$C$4:$C$61,MATCH(A542,'IR data'!$C$4:$C$61,1))))) * (INDEX('IR data'!$D$4:$D$61,MATCH(A542,'IR data'!$C$4:$C$61,1))-(INDEX('IR data'!$D$4:$D$61,MATCH(A542,'IR data'!$C$4:$C$61,1)+1)))))</f>
        <v>0.9337151090989011</v>
      </c>
      <c r="C542" s="30">
        <f t="shared" si="50"/>
        <v>2.0170220653344072E-2</v>
      </c>
      <c r="D542" s="45">
        <f t="shared" si="51"/>
        <v>45890</v>
      </c>
      <c r="E542" s="14" cm="1">
        <f t="array" ref="E542">_xlfn.IFNA(INDEX('IR data'!$I$4:$I$61,MATCH(D542,'IR data'!$H$4:$H$61,0)),((INDEX('IR data'!$I$4:$I$61,MATCH(D542,'IR data'!$H$4:$H$61,1)))-((D542-(INDEX('IR data'!$H$4:$H$61,MATCH(D542,'IR data'!$H$4:$H$61,1))))/((INDEX('IR data'!$H$4:$H$61,MATCH(D542,'IR data'!$H$4:$H$61,1)+1)-INDEX('IR data'!$H$4:$H$61,MATCH(D542,'IR data'!$H$4:$H$61,1))))) * (INDEX('IR data'!$I$4:$I$61,MATCH(D542,'IR data'!$H$4:$H$61,1))-(INDEX('IR data'!$I$4:$I$61,MATCH(D542,'IR data'!$H$4:$H$61,1)+1)))))</f>
        <v>0.92899588141304346</v>
      </c>
      <c r="F542" s="30">
        <f t="shared" si="52"/>
        <v>2.1660421443775148E-2</v>
      </c>
      <c r="G542" s="45">
        <f t="shared" si="48"/>
        <v>45924</v>
      </c>
      <c r="H542" s="14" cm="1">
        <f t="array" ref="H542">_xlfn.IFNA(INDEX('IR data'!$N$4:$N$61,MATCH(G542,'IR data'!$M$4:$M$61,0)),((INDEX('IR data'!$N$4:$N$61,MATCH(G542,'IR data'!$M$4:$M$61,1)))-((G542-(INDEX('IR data'!$M$4:$M$61,MATCH(G542,'IR data'!$M$4:$M$61,1))))/((INDEX('IR data'!$M$4:$M$61,MATCH(G542,'IR data'!$M$4:$M$61,1)+1)-INDEX('IR data'!$M$4:$M$61,MATCH(G542,'IR data'!$M$4:$M$61,1))))) * (INDEX('IR data'!$N$4:$N$61,MATCH(G542,'IR data'!$M$4:$M$61,1))-(INDEX('IR data'!$N$4:$N$61,MATCH(G542,'IR data'!$M$4:$M$61,1)+1)))))</f>
        <v>0.92857834184615384</v>
      </c>
      <c r="I542" s="44">
        <f t="shared" si="53"/>
        <v>2.1792633139062111E-2</v>
      </c>
    </row>
    <row r="543" spans="1:9" x14ac:dyDescent="0.25">
      <c r="A543" s="45">
        <f t="shared" si="49"/>
        <v>45831</v>
      </c>
      <c r="B543" s="14" cm="1">
        <f t="array" ref="B543">_xlfn.IFNA(INDEX('IR data'!$D$4:$D$61,MATCH(A543,'IR data'!$C$4:$C$61,0)),((INDEX('IR data'!$D$4:$D$61,MATCH(A543,'IR data'!$C$4:$C$61,1)))-((A543-(INDEX('IR data'!$C$4:$C$61,MATCH(A543,'IR data'!$C$4:$C$61,1))))/((INDEX('IR data'!$C$4:$C$61,MATCH(A543,'IR data'!$C$4:$C$61,1)+1)-INDEX('IR data'!$C$4:$C$61,MATCH(A543,'IR data'!$C$4:$C$61,1))))) * (INDEX('IR data'!$D$4:$D$61,MATCH(A543,'IR data'!$C$4:$C$61,1))-(INDEX('IR data'!$D$4:$D$61,MATCH(A543,'IR data'!$C$4:$C$61,1)+1)))))</f>
        <v>0.93362094936263729</v>
      </c>
      <c r="C543" s="30">
        <f t="shared" si="50"/>
        <v>2.0162472785939377E-2</v>
      </c>
      <c r="D543" s="45">
        <f t="shared" si="51"/>
        <v>45891</v>
      </c>
      <c r="E543" s="14" cm="1">
        <f t="array" ref="E543">_xlfn.IFNA(INDEX('IR data'!$I$4:$I$61,MATCH(D543,'IR data'!$H$4:$H$61,0)),((INDEX('IR data'!$I$4:$I$61,MATCH(D543,'IR data'!$H$4:$H$61,1)))-((D543-(INDEX('IR data'!$H$4:$H$61,MATCH(D543,'IR data'!$H$4:$H$61,1))))/((INDEX('IR data'!$H$4:$H$61,MATCH(D543,'IR data'!$H$4:$H$61,1)+1)-INDEX('IR data'!$H$4:$H$61,MATCH(D543,'IR data'!$H$4:$H$61,1))))) * (INDEX('IR data'!$I$4:$I$61,MATCH(D543,'IR data'!$H$4:$H$61,1))-(INDEX('IR data'!$I$4:$I$61,MATCH(D543,'IR data'!$H$4:$H$61,1)+1)))))</f>
        <v>0.92888685459782605</v>
      </c>
      <c r="F543" s="30">
        <f t="shared" si="52"/>
        <v>2.16547626628706E-2</v>
      </c>
      <c r="G543" s="45">
        <f t="shared" si="48"/>
        <v>45925</v>
      </c>
      <c r="H543" s="14" cm="1">
        <f t="array" ref="H543">_xlfn.IFNA(INDEX('IR data'!$N$4:$N$61,MATCH(G543,'IR data'!$M$4:$M$61,0)),((INDEX('IR data'!$N$4:$N$61,MATCH(G543,'IR data'!$M$4:$M$61,1)))-((G543-(INDEX('IR data'!$M$4:$M$61,MATCH(G543,'IR data'!$M$4:$M$61,1))))/((INDEX('IR data'!$M$4:$M$61,MATCH(G543,'IR data'!$M$4:$M$61,1)+1)-INDEX('IR data'!$M$4:$M$61,MATCH(G543,'IR data'!$M$4:$M$61,1))))) * (INDEX('IR data'!$N$4:$N$61,MATCH(G543,'IR data'!$M$4:$M$61,1))-(INDEX('IR data'!$N$4:$N$61,MATCH(G543,'IR data'!$M$4:$M$61,1)+1)))))</f>
        <v>0.92846608669230768</v>
      </c>
      <c r="I543" s="44">
        <f t="shared" si="53"/>
        <v>2.1787765708916534E-2</v>
      </c>
    </row>
    <row r="544" spans="1:9" x14ac:dyDescent="0.25">
      <c r="A544" s="45">
        <f t="shared" si="49"/>
        <v>45832</v>
      </c>
      <c r="B544" s="14" cm="1">
        <f t="array" ref="B544">_xlfn.IFNA(INDEX('IR data'!$D$4:$D$61,MATCH(A544,'IR data'!$C$4:$C$61,0)),((INDEX('IR data'!$D$4:$D$61,MATCH(A544,'IR data'!$C$4:$C$61,1)))-((A544-(INDEX('IR data'!$C$4:$C$61,MATCH(A544,'IR data'!$C$4:$C$61,1))))/((INDEX('IR data'!$C$4:$C$61,MATCH(A544,'IR data'!$C$4:$C$61,1)+1)-INDEX('IR data'!$C$4:$C$61,MATCH(A544,'IR data'!$C$4:$C$61,1))))) * (INDEX('IR data'!$D$4:$D$61,MATCH(A544,'IR data'!$C$4:$C$61,1))-(INDEX('IR data'!$D$4:$D$61,MATCH(A544,'IR data'!$C$4:$C$61,1)+1)))))</f>
        <v>0.93352678962637359</v>
      </c>
      <c r="C544" s="30">
        <f t="shared" si="50"/>
        <v>2.0154756541660969E-2</v>
      </c>
      <c r="D544" s="45">
        <f t="shared" si="51"/>
        <v>45892</v>
      </c>
      <c r="E544" s="14" cm="1">
        <f t="array" ref="E544">_xlfn.IFNA(INDEX('IR data'!$I$4:$I$61,MATCH(D544,'IR data'!$H$4:$H$61,0)),((INDEX('IR data'!$I$4:$I$61,MATCH(D544,'IR data'!$H$4:$H$61,1)))-((D544-(INDEX('IR data'!$H$4:$H$61,MATCH(D544,'IR data'!$H$4:$H$61,1))))/((INDEX('IR data'!$H$4:$H$61,MATCH(D544,'IR data'!$H$4:$H$61,1)+1)-INDEX('IR data'!$H$4:$H$61,MATCH(D544,'IR data'!$H$4:$H$61,1))))) * (INDEX('IR data'!$I$4:$I$61,MATCH(D544,'IR data'!$H$4:$H$61,1))-(INDEX('IR data'!$I$4:$I$61,MATCH(D544,'IR data'!$H$4:$H$61,1)+1)))))</f>
        <v>0.92877782778260864</v>
      </c>
      <c r="F544" s="30">
        <f t="shared" si="52"/>
        <v>2.1649128838322124E-2</v>
      </c>
      <c r="G544" s="45">
        <f t="shared" si="48"/>
        <v>45926</v>
      </c>
      <c r="H544" s="14" cm="1">
        <f t="array" ref="H544">_xlfn.IFNA(INDEX('IR data'!$N$4:$N$61,MATCH(G544,'IR data'!$M$4:$M$61,0)),((INDEX('IR data'!$N$4:$N$61,MATCH(G544,'IR data'!$M$4:$M$61,1)))-((G544-(INDEX('IR data'!$M$4:$M$61,MATCH(G544,'IR data'!$M$4:$M$61,1))))/((INDEX('IR data'!$M$4:$M$61,MATCH(G544,'IR data'!$M$4:$M$61,1)+1)-INDEX('IR data'!$M$4:$M$61,MATCH(G544,'IR data'!$M$4:$M$61,1))))) * (INDEX('IR data'!$N$4:$N$61,MATCH(G544,'IR data'!$M$4:$M$61,1))-(INDEX('IR data'!$N$4:$N$61,MATCH(G544,'IR data'!$M$4:$M$61,1)+1)))))</f>
        <v>0.92835383153846152</v>
      </c>
      <c r="I544" s="44">
        <f t="shared" si="53"/>
        <v>2.1782920556088999E-2</v>
      </c>
    </row>
    <row r="545" spans="1:9" x14ac:dyDescent="0.25">
      <c r="A545" s="45">
        <f t="shared" si="49"/>
        <v>45833</v>
      </c>
      <c r="B545" s="14" cm="1">
        <f t="array" ref="B545">_xlfn.IFNA(INDEX('IR data'!$D$4:$D$61,MATCH(A545,'IR data'!$C$4:$C$61,0)),((INDEX('IR data'!$D$4:$D$61,MATCH(A545,'IR data'!$C$4:$C$61,1)))-((A545-(INDEX('IR data'!$C$4:$C$61,MATCH(A545,'IR data'!$C$4:$C$61,1))))/((INDEX('IR data'!$C$4:$C$61,MATCH(A545,'IR data'!$C$4:$C$61,1)+1)-INDEX('IR data'!$C$4:$C$61,MATCH(A545,'IR data'!$C$4:$C$61,1))))) * (INDEX('IR data'!$D$4:$D$61,MATCH(A545,'IR data'!$C$4:$C$61,1))-(INDEX('IR data'!$D$4:$D$61,MATCH(A545,'IR data'!$C$4:$C$61,1)+1)))))</f>
        <v>0.93343262989010989</v>
      </c>
      <c r="C545" s="30">
        <f t="shared" si="50"/>
        <v>2.0147071746073282E-2</v>
      </c>
      <c r="D545" s="45">
        <f t="shared" si="51"/>
        <v>45893</v>
      </c>
      <c r="E545" s="14" cm="1">
        <f t="array" ref="E545">_xlfn.IFNA(INDEX('IR data'!$I$4:$I$61,MATCH(D545,'IR data'!$H$4:$H$61,0)),((INDEX('IR data'!$I$4:$I$61,MATCH(D545,'IR data'!$H$4:$H$61,1)))-((D545-(INDEX('IR data'!$H$4:$H$61,MATCH(D545,'IR data'!$H$4:$H$61,1))))/((INDEX('IR data'!$H$4:$H$61,MATCH(D545,'IR data'!$H$4:$H$61,1)+1)-INDEX('IR data'!$H$4:$H$61,MATCH(D545,'IR data'!$H$4:$H$61,1))))) * (INDEX('IR data'!$I$4:$I$61,MATCH(D545,'IR data'!$H$4:$H$61,1))-(INDEX('IR data'!$I$4:$I$61,MATCH(D545,'IR data'!$H$4:$H$61,1)+1)))))</f>
        <v>0.92866880096739135</v>
      </c>
      <c r="F545" s="30">
        <f t="shared" si="52"/>
        <v>2.164351983294089E-2</v>
      </c>
      <c r="G545" s="45">
        <f t="shared" si="48"/>
        <v>45927</v>
      </c>
      <c r="H545" s="14" cm="1">
        <f t="array" ref="H545">_xlfn.IFNA(INDEX('IR data'!$N$4:$N$61,MATCH(G545,'IR data'!$M$4:$M$61,0)),((INDEX('IR data'!$N$4:$N$61,MATCH(G545,'IR data'!$M$4:$M$61,1)))-((G545-(INDEX('IR data'!$M$4:$M$61,MATCH(G545,'IR data'!$M$4:$M$61,1))))/((INDEX('IR data'!$M$4:$M$61,MATCH(G545,'IR data'!$M$4:$M$61,1)+1)-INDEX('IR data'!$M$4:$M$61,MATCH(G545,'IR data'!$M$4:$M$61,1))))) * (INDEX('IR data'!$N$4:$N$61,MATCH(G545,'IR data'!$M$4:$M$61,1))-(INDEX('IR data'!$N$4:$N$61,MATCH(G545,'IR data'!$M$4:$M$61,1)+1)))))</f>
        <v>0.92824157638461535</v>
      </c>
      <c r="I545" s="44">
        <f t="shared" si="53"/>
        <v>2.1778097558307299E-2</v>
      </c>
    </row>
    <row r="546" spans="1:9" x14ac:dyDescent="0.25">
      <c r="A546" s="45">
        <f t="shared" si="49"/>
        <v>45834</v>
      </c>
      <c r="B546" s="14" cm="1">
        <f t="array" ref="B546">_xlfn.IFNA(INDEX('IR data'!$D$4:$D$61,MATCH(A546,'IR data'!$C$4:$C$61,0)),((INDEX('IR data'!$D$4:$D$61,MATCH(A546,'IR data'!$C$4:$C$61,1)))-((A546-(INDEX('IR data'!$C$4:$C$61,MATCH(A546,'IR data'!$C$4:$C$61,1))))/((INDEX('IR data'!$C$4:$C$61,MATCH(A546,'IR data'!$C$4:$C$61,1)+1)-INDEX('IR data'!$C$4:$C$61,MATCH(A546,'IR data'!$C$4:$C$61,1))))) * (INDEX('IR data'!$D$4:$D$61,MATCH(A546,'IR data'!$C$4:$C$61,1))-(INDEX('IR data'!$D$4:$D$61,MATCH(A546,'IR data'!$C$4:$C$61,1)+1)))))</f>
        <v>0.93333847015384608</v>
      </c>
      <c r="C546" s="30">
        <f t="shared" si="50"/>
        <v>2.0139418226025892E-2</v>
      </c>
      <c r="D546" s="45">
        <f t="shared" si="51"/>
        <v>45894</v>
      </c>
      <c r="E546" s="14" cm="1">
        <f t="array" ref="E546">_xlfn.IFNA(INDEX('IR data'!$I$4:$I$61,MATCH(D546,'IR data'!$H$4:$H$61,0)),((INDEX('IR data'!$I$4:$I$61,MATCH(D546,'IR data'!$H$4:$H$61,1)))-((D546-(INDEX('IR data'!$H$4:$H$61,MATCH(D546,'IR data'!$H$4:$H$61,1))))/((INDEX('IR data'!$H$4:$H$61,MATCH(D546,'IR data'!$H$4:$H$61,1)+1)-INDEX('IR data'!$H$4:$H$61,MATCH(D546,'IR data'!$H$4:$H$61,1))))) * (INDEX('IR data'!$I$4:$I$61,MATCH(D546,'IR data'!$H$4:$H$61,1))-(INDEX('IR data'!$I$4:$I$61,MATCH(D546,'IR data'!$H$4:$H$61,1)+1)))))</f>
        <v>0.92855977415217394</v>
      </c>
      <c r="F546" s="30">
        <f t="shared" si="52"/>
        <v>2.1637935510549097E-2</v>
      </c>
      <c r="G546" s="45">
        <f t="shared" si="48"/>
        <v>45928</v>
      </c>
      <c r="H546" s="14" cm="1">
        <f t="array" ref="H546">_xlfn.IFNA(INDEX('IR data'!$N$4:$N$61,MATCH(G546,'IR data'!$M$4:$M$61,0)),((INDEX('IR data'!$N$4:$N$61,MATCH(G546,'IR data'!$M$4:$M$61,1)))-((G546-(INDEX('IR data'!$M$4:$M$61,MATCH(G546,'IR data'!$M$4:$M$61,1))))/((INDEX('IR data'!$M$4:$M$61,MATCH(G546,'IR data'!$M$4:$M$61,1)+1)-INDEX('IR data'!$M$4:$M$61,MATCH(G546,'IR data'!$M$4:$M$61,1))))) * (INDEX('IR data'!$N$4:$N$61,MATCH(G546,'IR data'!$M$4:$M$61,1))-(INDEX('IR data'!$N$4:$N$61,MATCH(G546,'IR data'!$M$4:$M$61,1)+1)))))</f>
        <v>0.92812932123076919</v>
      </c>
      <c r="I546" s="44">
        <f t="shared" si="53"/>
        <v>2.1773296594200301E-2</v>
      </c>
    </row>
    <row r="547" spans="1:9" x14ac:dyDescent="0.25">
      <c r="A547" s="45">
        <f t="shared" si="49"/>
        <v>45835</v>
      </c>
      <c r="B547" s="14" cm="1">
        <f t="array" ref="B547">_xlfn.IFNA(INDEX('IR data'!$D$4:$D$61,MATCH(A547,'IR data'!$C$4:$C$61,0)),((INDEX('IR data'!$D$4:$D$61,MATCH(A547,'IR data'!$C$4:$C$61,1)))-((A547-(INDEX('IR data'!$C$4:$C$61,MATCH(A547,'IR data'!$C$4:$C$61,1))))/((INDEX('IR data'!$C$4:$C$61,MATCH(A547,'IR data'!$C$4:$C$61,1)+1)-INDEX('IR data'!$C$4:$C$61,MATCH(A547,'IR data'!$C$4:$C$61,1))))) * (INDEX('IR data'!$D$4:$D$61,MATCH(A547,'IR data'!$C$4:$C$61,1))-(INDEX('IR data'!$D$4:$D$61,MATCH(A547,'IR data'!$C$4:$C$61,1)+1)))))</f>
        <v>0.93324431041758238</v>
      </c>
      <c r="C547" s="30">
        <f t="shared" si="50"/>
        <v>2.0131795809641629E-2</v>
      </c>
      <c r="D547" s="45">
        <f t="shared" si="51"/>
        <v>45895</v>
      </c>
      <c r="E547" s="14" cm="1">
        <f t="array" ref="E547">_xlfn.IFNA(INDEX('IR data'!$I$4:$I$61,MATCH(D547,'IR data'!$H$4:$H$61,0)),((INDEX('IR data'!$I$4:$I$61,MATCH(D547,'IR data'!$H$4:$H$61,1)))-((D547-(INDEX('IR data'!$H$4:$H$61,MATCH(D547,'IR data'!$H$4:$H$61,1))))/((INDEX('IR data'!$H$4:$H$61,MATCH(D547,'IR data'!$H$4:$H$61,1)+1)-INDEX('IR data'!$H$4:$H$61,MATCH(D547,'IR data'!$H$4:$H$61,1))))) * (INDEX('IR data'!$I$4:$I$61,MATCH(D547,'IR data'!$H$4:$H$61,1))-(INDEX('IR data'!$I$4:$I$61,MATCH(D547,'IR data'!$H$4:$H$61,1)+1)))))</f>
        <v>0.92845074733695654</v>
      </c>
      <c r="F547" s="30">
        <f t="shared" si="52"/>
        <v>2.1632375735970478E-2</v>
      </c>
      <c r="G547" s="45">
        <f t="shared" si="48"/>
        <v>45929</v>
      </c>
      <c r="H547" s="14" cm="1">
        <f t="array" ref="H547">_xlfn.IFNA(INDEX('IR data'!$N$4:$N$61,MATCH(G547,'IR data'!$M$4:$M$61,0)),((INDEX('IR data'!$N$4:$N$61,MATCH(G547,'IR data'!$M$4:$M$61,1)))-((G547-(INDEX('IR data'!$M$4:$M$61,MATCH(G547,'IR data'!$M$4:$M$61,1))))/((INDEX('IR data'!$M$4:$M$61,MATCH(G547,'IR data'!$M$4:$M$61,1)+1)-INDEX('IR data'!$M$4:$M$61,MATCH(G547,'IR data'!$M$4:$M$61,1))))) * (INDEX('IR data'!$N$4:$N$61,MATCH(G547,'IR data'!$M$4:$M$61,1))-(INDEX('IR data'!$N$4:$N$61,MATCH(G547,'IR data'!$M$4:$M$61,1)+1)))))</f>
        <v>0.92801706607692303</v>
      </c>
      <c r="I547" s="44">
        <f t="shared" si="53"/>
        <v>2.1768517543289678E-2</v>
      </c>
    </row>
    <row r="548" spans="1:9" x14ac:dyDescent="0.25">
      <c r="A548" s="45">
        <f t="shared" si="49"/>
        <v>45836</v>
      </c>
      <c r="B548" s="14" cm="1">
        <f t="array" ref="B548">_xlfn.IFNA(INDEX('IR data'!$D$4:$D$61,MATCH(A548,'IR data'!$C$4:$C$61,0)),((INDEX('IR data'!$D$4:$D$61,MATCH(A548,'IR data'!$C$4:$C$61,1)))-((A548-(INDEX('IR data'!$C$4:$C$61,MATCH(A548,'IR data'!$C$4:$C$61,1))))/((INDEX('IR data'!$C$4:$C$61,MATCH(A548,'IR data'!$C$4:$C$61,1)+1)-INDEX('IR data'!$C$4:$C$61,MATCH(A548,'IR data'!$C$4:$C$61,1))))) * (INDEX('IR data'!$D$4:$D$61,MATCH(A548,'IR data'!$C$4:$C$61,1))-(INDEX('IR data'!$D$4:$D$61,MATCH(A548,'IR data'!$C$4:$C$61,1)+1)))))</f>
        <v>0.93315015068131868</v>
      </c>
      <c r="C548" s="30">
        <f t="shared" si="50"/>
        <v>2.0124204326305094E-2</v>
      </c>
      <c r="D548" s="45">
        <f t="shared" si="51"/>
        <v>45896</v>
      </c>
      <c r="E548" s="14" cm="1">
        <f t="array" ref="E548">_xlfn.IFNA(INDEX('IR data'!$I$4:$I$61,MATCH(D548,'IR data'!$H$4:$H$61,0)),((INDEX('IR data'!$I$4:$I$61,MATCH(D548,'IR data'!$H$4:$H$61,1)))-((D548-(INDEX('IR data'!$H$4:$H$61,MATCH(D548,'IR data'!$H$4:$H$61,1))))/((INDEX('IR data'!$H$4:$H$61,MATCH(D548,'IR data'!$H$4:$H$61,1)+1)-INDEX('IR data'!$H$4:$H$61,MATCH(D548,'IR data'!$H$4:$H$61,1))))) * (INDEX('IR data'!$I$4:$I$61,MATCH(D548,'IR data'!$H$4:$H$61,1))-(INDEX('IR data'!$I$4:$I$61,MATCH(D548,'IR data'!$H$4:$H$61,1)+1)))))</f>
        <v>0.92834172052173913</v>
      </c>
      <c r="F548" s="30">
        <f t="shared" si="52"/>
        <v>2.1626840375021258E-2</v>
      </c>
      <c r="G548" s="45">
        <f t="shared" si="48"/>
        <v>45930</v>
      </c>
      <c r="H548" s="14" cm="1">
        <f t="array" ref="H548">_xlfn.IFNA(INDEX('IR data'!$N$4:$N$61,MATCH(G548,'IR data'!$M$4:$M$61,0)),((INDEX('IR data'!$N$4:$N$61,MATCH(G548,'IR data'!$M$4:$M$61,1)))-((G548-(INDEX('IR data'!$M$4:$M$61,MATCH(G548,'IR data'!$M$4:$M$61,1))))/((INDEX('IR data'!$M$4:$M$61,MATCH(G548,'IR data'!$M$4:$M$61,1)+1)-INDEX('IR data'!$M$4:$M$61,MATCH(G548,'IR data'!$M$4:$M$61,1))))) * (INDEX('IR data'!$N$4:$N$61,MATCH(G548,'IR data'!$M$4:$M$61,1))-(INDEX('IR data'!$N$4:$N$61,MATCH(G548,'IR data'!$M$4:$M$61,1)+1)))))</f>
        <v>0.92790481092307686</v>
      </c>
      <c r="I548" s="44">
        <f t="shared" si="53"/>
        <v>2.1763760285981738E-2</v>
      </c>
    </row>
    <row r="549" spans="1:9" x14ac:dyDescent="0.25">
      <c r="A549" s="45">
        <f t="shared" si="49"/>
        <v>45837</v>
      </c>
      <c r="B549" s="14" cm="1">
        <f t="array" ref="B549">_xlfn.IFNA(INDEX('IR data'!$D$4:$D$61,MATCH(A549,'IR data'!$C$4:$C$61,0)),((INDEX('IR data'!$D$4:$D$61,MATCH(A549,'IR data'!$C$4:$C$61,1)))-((A549-(INDEX('IR data'!$C$4:$C$61,MATCH(A549,'IR data'!$C$4:$C$61,1))))/((INDEX('IR data'!$C$4:$C$61,MATCH(A549,'IR data'!$C$4:$C$61,1)+1)-INDEX('IR data'!$C$4:$C$61,MATCH(A549,'IR data'!$C$4:$C$61,1))))) * (INDEX('IR data'!$D$4:$D$61,MATCH(A549,'IR data'!$C$4:$C$61,1))-(INDEX('IR data'!$D$4:$D$61,MATCH(A549,'IR data'!$C$4:$C$61,1)+1)))))</f>
        <v>0.93305599094505487</v>
      </c>
      <c r="C549" s="30">
        <f t="shared" si="50"/>
        <v>2.0116643606650986E-2</v>
      </c>
      <c r="D549" s="45">
        <f t="shared" si="51"/>
        <v>45897</v>
      </c>
      <c r="E549" s="14" cm="1">
        <f t="array" ref="E549">_xlfn.IFNA(INDEX('IR data'!$I$4:$I$61,MATCH(D549,'IR data'!$H$4:$H$61,0)),((INDEX('IR data'!$I$4:$I$61,MATCH(D549,'IR data'!$H$4:$H$61,1)))-((D549-(INDEX('IR data'!$H$4:$H$61,MATCH(D549,'IR data'!$H$4:$H$61,1))))/((INDEX('IR data'!$H$4:$H$61,MATCH(D549,'IR data'!$H$4:$H$61,1)+1)-INDEX('IR data'!$H$4:$H$61,MATCH(D549,'IR data'!$H$4:$H$61,1))))) * (INDEX('IR data'!$I$4:$I$61,MATCH(D549,'IR data'!$H$4:$H$61,1))-(INDEX('IR data'!$I$4:$I$61,MATCH(D549,'IR data'!$H$4:$H$61,1)+1)))))</f>
        <v>0.92823269370652173</v>
      </c>
      <c r="F549" s="30">
        <f t="shared" si="52"/>
        <v>2.1621329294501015E-2</v>
      </c>
      <c r="G549" s="45">
        <f t="shared" si="48"/>
        <v>45931</v>
      </c>
      <c r="H549" s="14" cm="1">
        <f t="array" ref="H549">_xlfn.IFNA(INDEX('IR data'!$N$4:$N$61,MATCH(G549,'IR data'!$M$4:$M$61,0)),((INDEX('IR data'!$N$4:$N$61,MATCH(G549,'IR data'!$M$4:$M$61,1)))-((G549-(INDEX('IR data'!$M$4:$M$61,MATCH(G549,'IR data'!$M$4:$M$61,1))))/((INDEX('IR data'!$M$4:$M$61,MATCH(G549,'IR data'!$M$4:$M$61,1)+1)-INDEX('IR data'!$M$4:$M$61,MATCH(G549,'IR data'!$M$4:$M$61,1))))) * (INDEX('IR data'!$N$4:$N$61,MATCH(G549,'IR data'!$M$4:$M$61,1))-(INDEX('IR data'!$N$4:$N$61,MATCH(G549,'IR data'!$M$4:$M$61,1)+1)))))</f>
        <v>0.92779255576923081</v>
      </c>
      <c r="I549" s="44">
        <f t="shared" si="53"/>
        <v>2.1759024703559247E-2</v>
      </c>
    </row>
    <row r="550" spans="1:9" x14ac:dyDescent="0.25">
      <c r="A550" s="45">
        <f t="shared" si="49"/>
        <v>45838</v>
      </c>
      <c r="B550" s="14" cm="1">
        <f t="array" ref="B550">_xlfn.IFNA(INDEX('IR data'!$D$4:$D$61,MATCH(A550,'IR data'!$C$4:$C$61,0)),((INDEX('IR data'!$D$4:$D$61,MATCH(A550,'IR data'!$C$4:$C$61,1)))-((A550-(INDEX('IR data'!$C$4:$C$61,MATCH(A550,'IR data'!$C$4:$C$61,1))))/((INDEX('IR data'!$C$4:$C$61,MATCH(A550,'IR data'!$C$4:$C$61,1)+1)-INDEX('IR data'!$C$4:$C$61,MATCH(A550,'IR data'!$C$4:$C$61,1))))) * (INDEX('IR data'!$D$4:$D$61,MATCH(A550,'IR data'!$C$4:$C$61,1))-(INDEX('IR data'!$D$4:$D$61,MATCH(A550,'IR data'!$C$4:$C$61,1)+1)))))</f>
        <v>0.93296183120879117</v>
      </c>
      <c r="C550" s="30">
        <f t="shared" si="50"/>
        <v>2.0109113482552593E-2</v>
      </c>
      <c r="D550" s="45">
        <f t="shared" si="51"/>
        <v>45898</v>
      </c>
      <c r="E550" s="14" cm="1">
        <f t="array" ref="E550">_xlfn.IFNA(INDEX('IR data'!$I$4:$I$61,MATCH(D550,'IR data'!$H$4:$H$61,0)),((INDEX('IR data'!$I$4:$I$61,MATCH(D550,'IR data'!$H$4:$H$61,1)))-((D550-(INDEX('IR data'!$H$4:$H$61,MATCH(D550,'IR data'!$H$4:$H$61,1))))/((INDEX('IR data'!$H$4:$H$61,MATCH(D550,'IR data'!$H$4:$H$61,1)+1)-INDEX('IR data'!$H$4:$H$61,MATCH(D550,'IR data'!$H$4:$H$61,1))))) * (INDEX('IR data'!$I$4:$I$61,MATCH(D550,'IR data'!$H$4:$H$61,1))-(INDEX('IR data'!$I$4:$I$61,MATCH(D550,'IR data'!$H$4:$H$61,1)+1)))))</f>
        <v>0.92812366689130432</v>
      </c>
      <c r="F550" s="30">
        <f t="shared" si="52"/>
        <v>2.1615842362183713E-2</v>
      </c>
      <c r="G550" s="45">
        <f t="shared" si="48"/>
        <v>45932</v>
      </c>
      <c r="H550" s="14" cm="1">
        <f t="array" ref="H550">_xlfn.IFNA(INDEX('IR data'!$N$4:$N$61,MATCH(G550,'IR data'!$M$4:$M$61,0)),((INDEX('IR data'!$N$4:$N$61,MATCH(G550,'IR data'!$M$4:$M$61,1)))-((G550-(INDEX('IR data'!$M$4:$M$61,MATCH(G550,'IR data'!$M$4:$M$61,1))))/((INDEX('IR data'!$M$4:$M$61,MATCH(G550,'IR data'!$M$4:$M$61,1)+1)-INDEX('IR data'!$M$4:$M$61,MATCH(G550,'IR data'!$M$4:$M$61,1))))) * (INDEX('IR data'!$N$4:$N$61,MATCH(G550,'IR data'!$M$4:$M$61,1))-(INDEX('IR data'!$N$4:$N$61,MATCH(G550,'IR data'!$M$4:$M$61,1)+1)))))</f>
        <v>0.92768030061538465</v>
      </c>
      <c r="I550" s="44">
        <f t="shared" si="53"/>
        <v>2.1754310678173613E-2</v>
      </c>
    </row>
    <row r="551" spans="1:9" x14ac:dyDescent="0.25">
      <c r="A551" s="45">
        <f t="shared" si="49"/>
        <v>45839</v>
      </c>
      <c r="B551" s="14" cm="1">
        <f t="array" ref="B551">_xlfn.IFNA(INDEX('IR data'!$D$4:$D$61,MATCH(A551,'IR data'!$C$4:$C$61,0)),((INDEX('IR data'!$D$4:$D$61,MATCH(A551,'IR data'!$C$4:$C$61,1)))-((A551-(INDEX('IR data'!$C$4:$C$61,MATCH(A551,'IR data'!$C$4:$C$61,1))))/((INDEX('IR data'!$C$4:$C$61,MATCH(A551,'IR data'!$C$4:$C$61,1)+1)-INDEX('IR data'!$C$4:$C$61,MATCH(A551,'IR data'!$C$4:$C$61,1))))) * (INDEX('IR data'!$D$4:$D$61,MATCH(A551,'IR data'!$C$4:$C$61,1))-(INDEX('IR data'!$D$4:$D$61,MATCH(A551,'IR data'!$C$4:$C$61,1)+1)))))</f>
        <v>0.93286767147252747</v>
      </c>
      <c r="C551" s="30">
        <f t="shared" si="50"/>
        <v>2.0101613787110686E-2</v>
      </c>
      <c r="D551" s="45">
        <f t="shared" si="51"/>
        <v>45899</v>
      </c>
      <c r="E551" s="14" cm="1">
        <f t="array" ref="E551">_xlfn.IFNA(INDEX('IR data'!$I$4:$I$61,MATCH(D551,'IR data'!$H$4:$H$61,0)),((INDEX('IR data'!$I$4:$I$61,MATCH(D551,'IR data'!$H$4:$H$61,1)))-((D551-(INDEX('IR data'!$H$4:$H$61,MATCH(D551,'IR data'!$H$4:$H$61,1))))/((INDEX('IR data'!$H$4:$H$61,MATCH(D551,'IR data'!$H$4:$H$61,1)+1)-INDEX('IR data'!$H$4:$H$61,MATCH(D551,'IR data'!$H$4:$H$61,1))))) * (INDEX('IR data'!$I$4:$I$61,MATCH(D551,'IR data'!$H$4:$H$61,1))-(INDEX('IR data'!$I$4:$I$61,MATCH(D551,'IR data'!$H$4:$H$61,1)+1)))))</f>
        <v>0.92801464007608692</v>
      </c>
      <c r="F551" s="30">
        <f t="shared" si="52"/>
        <v>2.1610379446808783E-2</v>
      </c>
      <c r="G551" s="45">
        <f t="shared" si="48"/>
        <v>45933</v>
      </c>
      <c r="H551" s="14" cm="1">
        <f t="array" ref="H551">_xlfn.IFNA(INDEX('IR data'!$N$4:$N$61,MATCH(G551,'IR data'!$M$4:$M$61,0)),((INDEX('IR data'!$N$4:$N$61,MATCH(G551,'IR data'!$M$4:$M$61,1)))-((G551-(INDEX('IR data'!$M$4:$M$61,MATCH(G551,'IR data'!$M$4:$M$61,1))))/((INDEX('IR data'!$M$4:$M$61,MATCH(G551,'IR data'!$M$4:$M$61,1)+1)-INDEX('IR data'!$M$4:$M$61,MATCH(G551,'IR data'!$M$4:$M$61,1))))) * (INDEX('IR data'!$N$4:$N$61,MATCH(G551,'IR data'!$M$4:$M$61,1))-(INDEX('IR data'!$N$4:$N$61,MATCH(G551,'IR data'!$M$4:$M$61,1)+1)))))</f>
        <v>0.92756804546153848</v>
      </c>
      <c r="I551" s="44">
        <f t="shared" si="53"/>
        <v>2.1749618092836688E-2</v>
      </c>
    </row>
    <row r="552" spans="1:9" x14ac:dyDescent="0.25">
      <c r="A552" s="45">
        <f t="shared" si="49"/>
        <v>45840</v>
      </c>
      <c r="B552" s="14" cm="1">
        <f t="array" ref="B552">_xlfn.IFNA(INDEX('IR data'!$D$4:$D$61,MATCH(A552,'IR data'!$C$4:$C$61,0)),((INDEX('IR data'!$D$4:$D$61,MATCH(A552,'IR data'!$C$4:$C$61,1)))-((A552-(INDEX('IR data'!$C$4:$C$61,MATCH(A552,'IR data'!$C$4:$C$61,1))))/((INDEX('IR data'!$C$4:$C$61,MATCH(A552,'IR data'!$C$4:$C$61,1)+1)-INDEX('IR data'!$C$4:$C$61,MATCH(A552,'IR data'!$C$4:$C$61,1))))) * (INDEX('IR data'!$D$4:$D$61,MATCH(A552,'IR data'!$C$4:$C$61,1))-(INDEX('IR data'!$D$4:$D$61,MATCH(A552,'IR data'!$C$4:$C$61,1)+1)))))</f>
        <v>0.93277351173626366</v>
      </c>
      <c r="C552" s="30">
        <f t="shared" si="50"/>
        <v>2.0094144354642244E-2</v>
      </c>
      <c r="D552" s="45">
        <f t="shared" si="51"/>
        <v>45900</v>
      </c>
      <c r="E552" s="14" cm="1">
        <f t="array" ref="E552">_xlfn.IFNA(INDEX('IR data'!$I$4:$I$61,MATCH(D552,'IR data'!$H$4:$H$61,0)),((INDEX('IR data'!$I$4:$I$61,MATCH(D552,'IR data'!$H$4:$H$61,1)))-((D552-(INDEX('IR data'!$H$4:$H$61,MATCH(D552,'IR data'!$H$4:$H$61,1))))/((INDEX('IR data'!$H$4:$H$61,MATCH(D552,'IR data'!$H$4:$H$61,1)+1)-INDEX('IR data'!$H$4:$H$61,MATCH(D552,'IR data'!$H$4:$H$61,1))))) * (INDEX('IR data'!$I$4:$I$61,MATCH(D552,'IR data'!$H$4:$H$61,1))-(INDEX('IR data'!$I$4:$I$61,MATCH(D552,'IR data'!$H$4:$H$61,1)+1)))))</f>
        <v>0.92790561326086951</v>
      </c>
      <c r="F552" s="30">
        <f t="shared" si="52"/>
        <v>2.1604940418072361E-2</v>
      </c>
      <c r="G552" s="45">
        <f t="shared" si="48"/>
        <v>45934</v>
      </c>
      <c r="H552" s="14" cm="1">
        <f t="array" ref="H552">_xlfn.IFNA(INDEX('IR data'!$N$4:$N$61,MATCH(G552,'IR data'!$M$4:$M$61,0)),((INDEX('IR data'!$N$4:$N$61,MATCH(G552,'IR data'!$M$4:$M$61,1)))-((G552-(INDEX('IR data'!$M$4:$M$61,MATCH(G552,'IR data'!$M$4:$M$61,1))))/((INDEX('IR data'!$M$4:$M$61,MATCH(G552,'IR data'!$M$4:$M$61,1)+1)-INDEX('IR data'!$M$4:$M$61,MATCH(G552,'IR data'!$M$4:$M$61,1))))) * (INDEX('IR data'!$N$4:$N$61,MATCH(G552,'IR data'!$M$4:$M$61,1))-(INDEX('IR data'!$N$4:$N$61,MATCH(G552,'IR data'!$M$4:$M$61,1)+1)))))</f>
        <v>0.92745579030769232</v>
      </c>
      <c r="I552" s="44">
        <f t="shared" si="53"/>
        <v>2.1744946831413123E-2</v>
      </c>
    </row>
    <row r="553" spans="1:9" x14ac:dyDescent="0.25">
      <c r="A553" s="45">
        <f t="shared" si="49"/>
        <v>45841</v>
      </c>
      <c r="B553" s="14" cm="1">
        <f t="array" ref="B553">_xlfn.IFNA(INDEX('IR data'!$D$4:$D$61,MATCH(A553,'IR data'!$C$4:$C$61,0)),((INDEX('IR data'!$D$4:$D$61,MATCH(A553,'IR data'!$C$4:$C$61,1)))-((A553-(INDEX('IR data'!$C$4:$C$61,MATCH(A553,'IR data'!$C$4:$C$61,1))))/((INDEX('IR data'!$C$4:$C$61,MATCH(A553,'IR data'!$C$4:$C$61,1)+1)-INDEX('IR data'!$C$4:$C$61,MATCH(A553,'IR data'!$C$4:$C$61,1))))) * (INDEX('IR data'!$D$4:$D$61,MATCH(A553,'IR data'!$C$4:$C$61,1))-(INDEX('IR data'!$D$4:$D$61,MATCH(A553,'IR data'!$C$4:$C$61,1)+1)))))</f>
        <v>0.93267935199999996</v>
      </c>
      <c r="C553" s="30">
        <f t="shared" si="50"/>
        <v>2.0086705020669275E-2</v>
      </c>
      <c r="D553" s="45">
        <f t="shared" si="51"/>
        <v>45901</v>
      </c>
      <c r="E553" s="14" cm="1">
        <f t="array" ref="E553">_xlfn.IFNA(INDEX('IR data'!$I$4:$I$61,MATCH(D553,'IR data'!$H$4:$H$61,0)),((INDEX('IR data'!$I$4:$I$61,MATCH(D553,'IR data'!$H$4:$H$61,1)))-((D553-(INDEX('IR data'!$H$4:$H$61,MATCH(D553,'IR data'!$H$4:$H$61,1))))/((INDEX('IR data'!$H$4:$H$61,MATCH(D553,'IR data'!$H$4:$H$61,1)+1)-INDEX('IR data'!$H$4:$H$61,MATCH(D553,'IR data'!$H$4:$H$61,1))))) * (INDEX('IR data'!$I$4:$I$61,MATCH(D553,'IR data'!$H$4:$H$61,1))-(INDEX('IR data'!$I$4:$I$61,MATCH(D553,'IR data'!$H$4:$H$61,1)+1)))))</f>
        <v>0.92779658644565222</v>
      </c>
      <c r="F553" s="30">
        <f t="shared" si="52"/>
        <v>2.1599525146618542E-2</v>
      </c>
      <c r="G553" s="45">
        <f t="shared" si="48"/>
        <v>45935</v>
      </c>
      <c r="H553" s="14" cm="1">
        <f t="array" ref="H553">_xlfn.IFNA(INDEX('IR data'!$N$4:$N$61,MATCH(G553,'IR data'!$M$4:$M$61,0)),((INDEX('IR data'!$N$4:$N$61,MATCH(G553,'IR data'!$M$4:$M$61,1)))-((G553-(INDEX('IR data'!$M$4:$M$61,MATCH(G553,'IR data'!$M$4:$M$61,1))))/((INDEX('IR data'!$M$4:$M$61,MATCH(G553,'IR data'!$M$4:$M$61,1)+1)-INDEX('IR data'!$M$4:$M$61,MATCH(G553,'IR data'!$M$4:$M$61,1))))) * (INDEX('IR data'!$N$4:$N$61,MATCH(G553,'IR data'!$M$4:$M$61,1))-(INDEX('IR data'!$N$4:$N$61,MATCH(G553,'IR data'!$M$4:$M$61,1)+1)))))</f>
        <v>0.92734353515384615</v>
      </c>
      <c r="I553" s="44">
        <f t="shared" si="53"/>
        <v>2.1740296778612556E-2</v>
      </c>
    </row>
    <row r="554" spans="1:9" x14ac:dyDescent="0.25">
      <c r="A554" s="45">
        <f t="shared" si="49"/>
        <v>45842</v>
      </c>
      <c r="B554" s="14" cm="1">
        <f t="array" ref="B554">_xlfn.IFNA(INDEX('IR data'!$D$4:$D$61,MATCH(A554,'IR data'!$C$4:$C$61,0)),((INDEX('IR data'!$D$4:$D$61,MATCH(A554,'IR data'!$C$4:$C$61,1)))-((A554-(INDEX('IR data'!$C$4:$C$61,MATCH(A554,'IR data'!$C$4:$C$61,1))))/((INDEX('IR data'!$C$4:$C$61,MATCH(A554,'IR data'!$C$4:$C$61,1)+1)-INDEX('IR data'!$C$4:$C$61,MATCH(A554,'IR data'!$C$4:$C$61,1))))) * (INDEX('IR data'!$D$4:$D$61,MATCH(A554,'IR data'!$C$4:$C$61,1))-(INDEX('IR data'!$D$4:$D$61,MATCH(A554,'IR data'!$C$4:$C$61,1)+1)))))</f>
        <v>0.93259127095652172</v>
      </c>
      <c r="C554" s="30">
        <f t="shared" si="50"/>
        <v>2.0077420429478576E-2</v>
      </c>
      <c r="D554" s="45">
        <f t="shared" si="51"/>
        <v>45902</v>
      </c>
      <c r="E554" s="14" cm="1">
        <f t="array" ref="E554">_xlfn.IFNA(INDEX('IR data'!$I$4:$I$61,MATCH(D554,'IR data'!$H$4:$H$61,0)),((INDEX('IR data'!$I$4:$I$61,MATCH(D554,'IR data'!$H$4:$H$61,1)))-((D554-(INDEX('IR data'!$H$4:$H$61,MATCH(D554,'IR data'!$H$4:$H$61,1))))/((INDEX('IR data'!$H$4:$H$61,MATCH(D554,'IR data'!$H$4:$H$61,1)+1)-INDEX('IR data'!$H$4:$H$61,MATCH(D554,'IR data'!$H$4:$H$61,1))))) * (INDEX('IR data'!$I$4:$I$61,MATCH(D554,'IR data'!$H$4:$H$61,1))-(INDEX('IR data'!$I$4:$I$61,MATCH(D554,'IR data'!$H$4:$H$61,1)+1)))))</f>
        <v>0.92768755963043481</v>
      </c>
      <c r="F554" s="30">
        <f t="shared" si="52"/>
        <v>2.1594133504030912E-2</v>
      </c>
      <c r="G554" s="45">
        <f t="shared" si="48"/>
        <v>45936</v>
      </c>
      <c r="H554" s="14" cm="1">
        <f t="array" ref="H554">_xlfn.IFNA(INDEX('IR data'!$N$4:$N$61,MATCH(G554,'IR data'!$M$4:$M$61,0)),((INDEX('IR data'!$N$4:$N$61,MATCH(G554,'IR data'!$M$4:$M$61,1)))-((G554-(INDEX('IR data'!$M$4:$M$61,MATCH(G554,'IR data'!$M$4:$M$61,1))))/((INDEX('IR data'!$M$4:$M$61,MATCH(G554,'IR data'!$M$4:$M$61,1)+1)-INDEX('IR data'!$M$4:$M$61,MATCH(G554,'IR data'!$M$4:$M$61,1))))) * (INDEX('IR data'!$N$4:$N$61,MATCH(G554,'IR data'!$M$4:$M$61,1))-(INDEX('IR data'!$N$4:$N$61,MATCH(G554,'IR data'!$M$4:$M$61,1)+1)))))</f>
        <v>0.92723127999999999</v>
      </c>
      <c r="I554" s="44">
        <f t="shared" si="53"/>
        <v>2.1735667819981947E-2</v>
      </c>
    </row>
    <row r="555" spans="1:9" x14ac:dyDescent="0.25">
      <c r="A555" s="45">
        <f t="shared" si="49"/>
        <v>45843</v>
      </c>
      <c r="B555" s="14" cm="1">
        <f t="array" ref="B555">_xlfn.IFNA(INDEX('IR data'!$D$4:$D$61,MATCH(A555,'IR data'!$C$4:$C$61,0)),((INDEX('IR data'!$D$4:$D$61,MATCH(A555,'IR data'!$C$4:$C$61,1)))-((A555-(INDEX('IR data'!$C$4:$C$61,MATCH(A555,'IR data'!$C$4:$C$61,1))))/((INDEX('IR data'!$C$4:$C$61,MATCH(A555,'IR data'!$C$4:$C$61,1)+1)-INDEX('IR data'!$C$4:$C$61,MATCH(A555,'IR data'!$C$4:$C$61,1))))) * (INDEX('IR data'!$D$4:$D$61,MATCH(A555,'IR data'!$C$4:$C$61,1))-(INDEX('IR data'!$D$4:$D$61,MATCH(A555,'IR data'!$C$4:$C$61,1)+1)))))</f>
        <v>0.93250318991304348</v>
      </c>
      <c r="C555" s="30">
        <f t="shared" si="50"/>
        <v>2.0068172039764087E-2</v>
      </c>
      <c r="D555" s="45">
        <f t="shared" si="51"/>
        <v>45903</v>
      </c>
      <c r="E555" s="14" cm="1">
        <f t="array" ref="E555">_xlfn.IFNA(INDEX('IR data'!$I$4:$I$61,MATCH(D555,'IR data'!$H$4:$H$61,0)),((INDEX('IR data'!$I$4:$I$61,MATCH(D555,'IR data'!$H$4:$H$61,1)))-((D555-(INDEX('IR data'!$H$4:$H$61,MATCH(D555,'IR data'!$H$4:$H$61,1))))/((INDEX('IR data'!$H$4:$H$61,MATCH(D555,'IR data'!$H$4:$H$61,1)+1)-INDEX('IR data'!$H$4:$H$61,MATCH(D555,'IR data'!$H$4:$H$61,1))))) * (INDEX('IR data'!$I$4:$I$61,MATCH(D555,'IR data'!$H$4:$H$61,1))-(INDEX('IR data'!$I$4:$I$61,MATCH(D555,'IR data'!$H$4:$H$61,1)+1)))))</f>
        <v>0.9275785328152174</v>
      </c>
      <c r="F555" s="30">
        <f t="shared" si="52"/>
        <v>2.1588765362823826E-2</v>
      </c>
      <c r="G555" s="45">
        <f t="shared" si="48"/>
        <v>45937</v>
      </c>
      <c r="H555" s="14" cm="1">
        <f t="array" ref="H555">_xlfn.IFNA(INDEX('IR data'!$N$4:$N$61,MATCH(G555,'IR data'!$M$4:$M$61,0)),((INDEX('IR data'!$N$4:$N$61,MATCH(G555,'IR data'!$M$4:$M$61,1)))-((G555-(INDEX('IR data'!$M$4:$M$61,MATCH(G555,'IR data'!$M$4:$M$61,1))))/((INDEX('IR data'!$M$4:$M$61,MATCH(G555,'IR data'!$M$4:$M$61,1)+1)-INDEX('IR data'!$M$4:$M$61,MATCH(G555,'IR data'!$M$4:$M$61,1))))) * (INDEX('IR data'!$N$4:$N$61,MATCH(G555,'IR data'!$M$4:$M$61,1))-(INDEX('IR data'!$N$4:$N$61,MATCH(G555,'IR data'!$M$4:$M$61,1)+1)))))</f>
        <v>0.92712443942857137</v>
      </c>
      <c r="I555" s="44">
        <f t="shared" si="53"/>
        <v>2.1729382713527982E-2</v>
      </c>
    </row>
    <row r="556" spans="1:9" x14ac:dyDescent="0.25">
      <c r="A556" s="45">
        <f t="shared" si="49"/>
        <v>45844</v>
      </c>
      <c r="B556" s="14" cm="1">
        <f t="array" ref="B556">_xlfn.IFNA(INDEX('IR data'!$D$4:$D$61,MATCH(A556,'IR data'!$C$4:$C$61,0)),((INDEX('IR data'!$D$4:$D$61,MATCH(A556,'IR data'!$C$4:$C$61,1)))-((A556-(INDEX('IR data'!$C$4:$C$61,MATCH(A556,'IR data'!$C$4:$C$61,1))))/((INDEX('IR data'!$C$4:$C$61,MATCH(A556,'IR data'!$C$4:$C$61,1)+1)-INDEX('IR data'!$C$4:$C$61,MATCH(A556,'IR data'!$C$4:$C$61,1))))) * (INDEX('IR data'!$D$4:$D$61,MATCH(A556,'IR data'!$C$4:$C$61,1))-(INDEX('IR data'!$D$4:$D$61,MATCH(A556,'IR data'!$C$4:$C$61,1)+1)))))</f>
        <v>0.93241510886956513</v>
      </c>
      <c r="C556" s="30">
        <f t="shared" si="50"/>
        <v>2.0058959655617548E-2</v>
      </c>
      <c r="D556" s="45">
        <f t="shared" si="51"/>
        <v>45904</v>
      </c>
      <c r="E556" s="14" cm="1">
        <f t="array" ref="E556">_xlfn.IFNA(INDEX('IR data'!$I$4:$I$61,MATCH(D556,'IR data'!$H$4:$H$61,0)),((INDEX('IR data'!$I$4:$I$61,MATCH(D556,'IR data'!$H$4:$H$61,1)))-((D556-(INDEX('IR data'!$H$4:$H$61,MATCH(D556,'IR data'!$H$4:$H$61,1))))/((INDEX('IR data'!$H$4:$H$61,MATCH(D556,'IR data'!$H$4:$H$61,1)+1)-INDEX('IR data'!$H$4:$H$61,MATCH(D556,'IR data'!$H$4:$H$61,1))))) * (INDEX('IR data'!$I$4:$I$61,MATCH(D556,'IR data'!$H$4:$H$61,1))-(INDEX('IR data'!$I$4:$I$61,MATCH(D556,'IR data'!$H$4:$H$61,1)+1)))))</f>
        <v>0.927469506</v>
      </c>
      <c r="F556" s="30">
        <f t="shared" si="52"/>
        <v>2.1583420596434165E-2</v>
      </c>
      <c r="G556" s="45">
        <f t="shared" si="48"/>
        <v>45938</v>
      </c>
      <c r="H556" s="14" cm="1">
        <f t="array" ref="H556">_xlfn.IFNA(INDEX('IR data'!$N$4:$N$61,MATCH(G556,'IR data'!$M$4:$M$61,0)),((INDEX('IR data'!$N$4:$N$61,MATCH(G556,'IR data'!$M$4:$M$61,1)))-((G556-(INDEX('IR data'!$M$4:$M$61,MATCH(G556,'IR data'!$M$4:$M$61,1))))/((INDEX('IR data'!$M$4:$M$61,MATCH(G556,'IR data'!$M$4:$M$61,1)+1)-INDEX('IR data'!$M$4:$M$61,MATCH(G556,'IR data'!$M$4:$M$61,1))))) * (INDEX('IR data'!$N$4:$N$61,MATCH(G556,'IR data'!$M$4:$M$61,1))-(INDEX('IR data'!$N$4:$N$61,MATCH(G556,'IR data'!$M$4:$M$61,1)+1)))))</f>
        <v>0.92701759885714285</v>
      </c>
      <c r="I556" s="44">
        <f t="shared" si="53"/>
        <v>2.1723124144717294E-2</v>
      </c>
    </row>
    <row r="557" spans="1:9" x14ac:dyDescent="0.25">
      <c r="A557" s="45">
        <f t="shared" si="49"/>
        <v>45845</v>
      </c>
      <c r="B557" s="14" cm="1">
        <f t="array" ref="B557">_xlfn.IFNA(INDEX('IR data'!$D$4:$D$61,MATCH(A557,'IR data'!$C$4:$C$61,0)),((INDEX('IR data'!$D$4:$D$61,MATCH(A557,'IR data'!$C$4:$C$61,1)))-((A557-(INDEX('IR data'!$C$4:$C$61,MATCH(A557,'IR data'!$C$4:$C$61,1))))/((INDEX('IR data'!$C$4:$C$61,MATCH(A557,'IR data'!$C$4:$C$61,1)+1)-INDEX('IR data'!$C$4:$C$61,MATCH(A557,'IR data'!$C$4:$C$61,1))))) * (INDEX('IR data'!$D$4:$D$61,MATCH(A557,'IR data'!$C$4:$C$61,1))-(INDEX('IR data'!$D$4:$D$61,MATCH(A557,'IR data'!$C$4:$C$61,1)+1)))))</f>
        <v>0.9323270278260869</v>
      </c>
      <c r="C557" s="30">
        <f t="shared" si="50"/>
        <v>2.004978308254524E-2</v>
      </c>
      <c r="D557" s="45">
        <f t="shared" si="51"/>
        <v>45905</v>
      </c>
      <c r="E557" s="14" cm="1">
        <f t="array" ref="E557">_xlfn.IFNA(INDEX('IR data'!$I$4:$I$61,MATCH(D557,'IR data'!$H$4:$H$61,0)),((INDEX('IR data'!$I$4:$I$61,MATCH(D557,'IR data'!$H$4:$H$61,1)))-((D557-(INDEX('IR data'!$H$4:$H$61,MATCH(D557,'IR data'!$H$4:$H$61,1))))/((INDEX('IR data'!$H$4:$H$61,MATCH(D557,'IR data'!$H$4:$H$61,1)+1)-INDEX('IR data'!$H$4:$H$61,MATCH(D557,'IR data'!$H$4:$H$61,1))))) * (INDEX('IR data'!$I$4:$I$61,MATCH(D557,'IR data'!$H$4:$H$61,1))-(INDEX('IR data'!$I$4:$I$61,MATCH(D557,'IR data'!$H$4:$H$61,1)+1)))))</f>
        <v>0.92736635736263739</v>
      </c>
      <c r="F557" s="30">
        <f t="shared" si="52"/>
        <v>2.1576285401262919E-2</v>
      </c>
      <c r="G557" s="45">
        <f t="shared" si="48"/>
        <v>45939</v>
      </c>
      <c r="H557" s="14" cm="1">
        <f t="array" ref="H557">_xlfn.IFNA(INDEX('IR data'!$N$4:$N$61,MATCH(G557,'IR data'!$M$4:$M$61,0)),((INDEX('IR data'!$N$4:$N$61,MATCH(G557,'IR data'!$M$4:$M$61,1)))-((G557-(INDEX('IR data'!$M$4:$M$61,MATCH(G557,'IR data'!$M$4:$M$61,1))))/((INDEX('IR data'!$M$4:$M$61,MATCH(G557,'IR data'!$M$4:$M$61,1)+1)-INDEX('IR data'!$M$4:$M$61,MATCH(G557,'IR data'!$M$4:$M$61,1))))) * (INDEX('IR data'!$N$4:$N$61,MATCH(G557,'IR data'!$M$4:$M$61,1))-(INDEX('IR data'!$N$4:$N$61,MATCH(G557,'IR data'!$M$4:$M$61,1)+1)))))</f>
        <v>0.92691075828571423</v>
      </c>
      <c r="I557" s="44">
        <f t="shared" si="53"/>
        <v>2.1716891970720228E-2</v>
      </c>
    </row>
    <row r="558" spans="1:9" x14ac:dyDescent="0.25">
      <c r="A558" s="45">
        <f t="shared" si="49"/>
        <v>45846</v>
      </c>
      <c r="B558" s="14" cm="1">
        <f t="array" ref="B558">_xlfn.IFNA(INDEX('IR data'!$D$4:$D$61,MATCH(A558,'IR data'!$C$4:$C$61,0)),((INDEX('IR data'!$D$4:$D$61,MATCH(A558,'IR data'!$C$4:$C$61,1)))-((A558-(INDEX('IR data'!$C$4:$C$61,MATCH(A558,'IR data'!$C$4:$C$61,1))))/((INDEX('IR data'!$C$4:$C$61,MATCH(A558,'IR data'!$C$4:$C$61,1)+1)-INDEX('IR data'!$C$4:$C$61,MATCH(A558,'IR data'!$C$4:$C$61,1))))) * (INDEX('IR data'!$D$4:$D$61,MATCH(A558,'IR data'!$C$4:$C$61,1))-(INDEX('IR data'!$D$4:$D$61,MATCH(A558,'IR data'!$C$4:$C$61,1)+1)))))</f>
        <v>0.93223894678260866</v>
      </c>
      <c r="C558" s="30">
        <f t="shared" si="50"/>
        <v>2.0040642127455419E-2</v>
      </c>
      <c r="D558" s="45">
        <f t="shared" si="51"/>
        <v>45906</v>
      </c>
      <c r="E558" s="14" cm="1">
        <f t="array" ref="E558">_xlfn.IFNA(INDEX('IR data'!$I$4:$I$61,MATCH(D558,'IR data'!$H$4:$H$61,0)),((INDEX('IR data'!$I$4:$I$61,MATCH(D558,'IR data'!$H$4:$H$61,1)))-((D558-(INDEX('IR data'!$H$4:$H$61,MATCH(D558,'IR data'!$H$4:$H$61,1))))/((INDEX('IR data'!$H$4:$H$61,MATCH(D558,'IR data'!$H$4:$H$61,1)+1)-INDEX('IR data'!$H$4:$H$61,MATCH(D558,'IR data'!$H$4:$H$61,1))))) * (INDEX('IR data'!$I$4:$I$61,MATCH(D558,'IR data'!$H$4:$H$61,1))-(INDEX('IR data'!$I$4:$I$61,MATCH(D558,'IR data'!$H$4:$H$61,1)+1)))))</f>
        <v>0.92726320872527468</v>
      </c>
      <c r="F558" s="30">
        <f t="shared" si="52"/>
        <v>2.1569179452034536E-2</v>
      </c>
      <c r="G558" s="45">
        <f t="shared" si="48"/>
        <v>45940</v>
      </c>
      <c r="H558" s="14" cm="1">
        <f t="array" ref="H558">_xlfn.IFNA(INDEX('IR data'!$N$4:$N$61,MATCH(G558,'IR data'!$M$4:$M$61,0)),((INDEX('IR data'!$N$4:$N$61,MATCH(G558,'IR data'!$M$4:$M$61,1)))-((G558-(INDEX('IR data'!$M$4:$M$61,MATCH(G558,'IR data'!$M$4:$M$61,1))))/((INDEX('IR data'!$M$4:$M$61,MATCH(G558,'IR data'!$M$4:$M$61,1)+1)-INDEX('IR data'!$M$4:$M$61,MATCH(G558,'IR data'!$M$4:$M$61,1))))) * (INDEX('IR data'!$N$4:$N$61,MATCH(G558,'IR data'!$M$4:$M$61,1))-(INDEX('IR data'!$N$4:$N$61,MATCH(G558,'IR data'!$M$4:$M$61,1)+1)))))</f>
        <v>0.92680391771428572</v>
      </c>
      <c r="I558" s="44">
        <f t="shared" si="53"/>
        <v>2.1710686049736697E-2</v>
      </c>
    </row>
    <row r="559" spans="1:9" x14ac:dyDescent="0.25">
      <c r="A559" s="45">
        <f t="shared" si="49"/>
        <v>45847</v>
      </c>
      <c r="B559" s="14" cm="1">
        <f t="array" ref="B559">_xlfn.IFNA(INDEX('IR data'!$D$4:$D$61,MATCH(A559,'IR data'!$C$4:$C$61,0)),((INDEX('IR data'!$D$4:$D$61,MATCH(A559,'IR data'!$C$4:$C$61,1)))-((A559-(INDEX('IR data'!$C$4:$C$61,MATCH(A559,'IR data'!$C$4:$C$61,1))))/((INDEX('IR data'!$C$4:$C$61,MATCH(A559,'IR data'!$C$4:$C$61,1)+1)-INDEX('IR data'!$C$4:$C$61,MATCH(A559,'IR data'!$C$4:$C$61,1))))) * (INDEX('IR data'!$D$4:$D$61,MATCH(A559,'IR data'!$C$4:$C$61,1))-(INDEX('IR data'!$D$4:$D$61,MATCH(A559,'IR data'!$C$4:$C$61,1)+1)))))</f>
        <v>0.93215086573913042</v>
      </c>
      <c r="C559" s="30">
        <f t="shared" si="50"/>
        <v>2.0031536598645618E-2</v>
      </c>
      <c r="D559" s="45">
        <f t="shared" si="51"/>
        <v>45907</v>
      </c>
      <c r="E559" s="14" cm="1">
        <f t="array" ref="E559">_xlfn.IFNA(INDEX('IR data'!$I$4:$I$61,MATCH(D559,'IR data'!$H$4:$H$61,0)),((INDEX('IR data'!$I$4:$I$61,MATCH(D559,'IR data'!$H$4:$H$61,1)))-((D559-(INDEX('IR data'!$H$4:$H$61,MATCH(D559,'IR data'!$H$4:$H$61,1))))/((INDEX('IR data'!$H$4:$H$61,MATCH(D559,'IR data'!$H$4:$H$61,1)+1)-INDEX('IR data'!$H$4:$H$61,MATCH(D559,'IR data'!$H$4:$H$61,1))))) * (INDEX('IR data'!$I$4:$I$61,MATCH(D559,'IR data'!$H$4:$H$61,1))-(INDEX('IR data'!$I$4:$I$61,MATCH(D559,'IR data'!$H$4:$H$61,1)+1)))))</f>
        <v>0.92716006008791207</v>
      </c>
      <c r="F559" s="30">
        <f t="shared" si="52"/>
        <v>2.1562102591731868E-2</v>
      </c>
      <c r="G559" s="45">
        <f t="shared" si="48"/>
        <v>45941</v>
      </c>
      <c r="H559" s="14" cm="1">
        <f t="array" ref="H559">_xlfn.IFNA(INDEX('IR data'!$N$4:$N$61,MATCH(G559,'IR data'!$M$4:$M$61,0)),((INDEX('IR data'!$N$4:$N$61,MATCH(G559,'IR data'!$M$4:$M$61,1)))-((G559-(INDEX('IR data'!$M$4:$M$61,MATCH(G559,'IR data'!$M$4:$M$61,1))))/((INDEX('IR data'!$M$4:$M$61,MATCH(G559,'IR data'!$M$4:$M$61,1)+1)-INDEX('IR data'!$M$4:$M$61,MATCH(G559,'IR data'!$M$4:$M$61,1))))) * (INDEX('IR data'!$N$4:$N$61,MATCH(G559,'IR data'!$M$4:$M$61,1))-(INDEX('IR data'!$N$4:$N$61,MATCH(G559,'IR data'!$M$4:$M$61,1)+1)))))</f>
        <v>0.9266970771428571</v>
      </c>
      <c r="I559" s="44">
        <f t="shared" si="53"/>
        <v>2.1704506240987197E-2</v>
      </c>
    </row>
    <row r="560" spans="1:9" x14ac:dyDescent="0.25">
      <c r="A560" s="45">
        <f t="shared" si="49"/>
        <v>45848</v>
      </c>
      <c r="B560" s="14" cm="1">
        <f t="array" ref="B560">_xlfn.IFNA(INDEX('IR data'!$D$4:$D$61,MATCH(A560,'IR data'!$C$4:$C$61,0)),((INDEX('IR data'!$D$4:$D$61,MATCH(A560,'IR data'!$C$4:$C$61,1)))-((A560-(INDEX('IR data'!$C$4:$C$61,MATCH(A560,'IR data'!$C$4:$C$61,1))))/((INDEX('IR data'!$C$4:$C$61,MATCH(A560,'IR data'!$C$4:$C$61,1)+1)-INDEX('IR data'!$C$4:$C$61,MATCH(A560,'IR data'!$C$4:$C$61,1))))) * (INDEX('IR data'!$D$4:$D$61,MATCH(A560,'IR data'!$C$4:$C$61,1))-(INDEX('IR data'!$D$4:$D$61,MATCH(A560,'IR data'!$C$4:$C$61,1)+1)))))</f>
        <v>0.93206278469565218</v>
      </c>
      <c r="C560" s="30">
        <f t="shared" si="50"/>
        <v>2.0022466305790167E-2</v>
      </c>
      <c r="D560" s="45">
        <f t="shared" si="51"/>
        <v>45908</v>
      </c>
      <c r="E560" s="14" cm="1">
        <f t="array" ref="E560">_xlfn.IFNA(INDEX('IR data'!$I$4:$I$61,MATCH(D560,'IR data'!$H$4:$H$61,0)),((INDEX('IR data'!$I$4:$I$61,MATCH(D560,'IR data'!$H$4:$H$61,1)))-((D560-(INDEX('IR data'!$H$4:$H$61,MATCH(D560,'IR data'!$H$4:$H$61,1))))/((INDEX('IR data'!$H$4:$H$61,MATCH(D560,'IR data'!$H$4:$H$61,1)+1)-INDEX('IR data'!$H$4:$H$61,MATCH(D560,'IR data'!$H$4:$H$61,1))))) * (INDEX('IR data'!$I$4:$I$61,MATCH(D560,'IR data'!$H$4:$H$61,1))-(INDEX('IR data'!$I$4:$I$61,MATCH(D560,'IR data'!$H$4:$H$61,1)+1)))))</f>
        <v>0.92705691145054947</v>
      </c>
      <c r="F560" s="30">
        <f t="shared" si="52"/>
        <v>2.1555054664465712E-2</v>
      </c>
      <c r="G560" s="45">
        <f t="shared" si="48"/>
        <v>45942</v>
      </c>
      <c r="H560" s="14" cm="1">
        <f t="array" ref="H560">_xlfn.IFNA(INDEX('IR data'!$N$4:$N$61,MATCH(G560,'IR data'!$M$4:$M$61,0)),((INDEX('IR data'!$N$4:$N$61,MATCH(G560,'IR data'!$M$4:$M$61,1)))-((G560-(INDEX('IR data'!$M$4:$M$61,MATCH(G560,'IR data'!$M$4:$M$61,1))))/((INDEX('IR data'!$M$4:$M$61,MATCH(G560,'IR data'!$M$4:$M$61,1)+1)-INDEX('IR data'!$M$4:$M$61,MATCH(G560,'IR data'!$M$4:$M$61,1))))) * (INDEX('IR data'!$N$4:$N$61,MATCH(G560,'IR data'!$M$4:$M$61,1))-(INDEX('IR data'!$N$4:$N$61,MATCH(G560,'IR data'!$M$4:$M$61,1)+1)))))</f>
        <v>0.92659023657142858</v>
      </c>
      <c r="I560" s="44">
        <f t="shared" si="53"/>
        <v>2.1698352404703365E-2</v>
      </c>
    </row>
    <row r="561" spans="1:9" x14ac:dyDescent="0.25">
      <c r="A561" s="45">
        <f t="shared" si="49"/>
        <v>45849</v>
      </c>
      <c r="B561" s="14" cm="1">
        <f t="array" ref="B561">_xlfn.IFNA(INDEX('IR data'!$D$4:$D$61,MATCH(A561,'IR data'!$C$4:$C$61,0)),((INDEX('IR data'!$D$4:$D$61,MATCH(A561,'IR data'!$C$4:$C$61,1)))-((A561-(INDEX('IR data'!$C$4:$C$61,MATCH(A561,'IR data'!$C$4:$C$61,1))))/((INDEX('IR data'!$C$4:$C$61,MATCH(A561,'IR data'!$C$4:$C$61,1)+1)-INDEX('IR data'!$C$4:$C$61,MATCH(A561,'IR data'!$C$4:$C$61,1))))) * (INDEX('IR data'!$D$4:$D$61,MATCH(A561,'IR data'!$C$4:$C$61,1))-(INDEX('IR data'!$D$4:$D$61,MATCH(A561,'IR data'!$C$4:$C$61,1)+1)))))</f>
        <v>0.93197470365217383</v>
      </c>
      <c r="C561" s="30">
        <f t="shared" si="50"/>
        <v>2.0013431059927915E-2</v>
      </c>
      <c r="D561" s="45">
        <f t="shared" si="51"/>
        <v>45909</v>
      </c>
      <c r="E561" s="14" cm="1">
        <f t="array" ref="E561">_xlfn.IFNA(INDEX('IR data'!$I$4:$I$61,MATCH(D561,'IR data'!$H$4:$H$61,0)),((INDEX('IR data'!$I$4:$I$61,MATCH(D561,'IR data'!$H$4:$H$61,1)))-((D561-(INDEX('IR data'!$H$4:$H$61,MATCH(D561,'IR data'!$H$4:$H$61,1))))/((INDEX('IR data'!$H$4:$H$61,MATCH(D561,'IR data'!$H$4:$H$61,1)+1)-INDEX('IR data'!$H$4:$H$61,MATCH(D561,'IR data'!$H$4:$H$61,1))))) * (INDEX('IR data'!$I$4:$I$61,MATCH(D561,'IR data'!$H$4:$H$61,1))-(INDEX('IR data'!$I$4:$I$61,MATCH(D561,'IR data'!$H$4:$H$61,1)+1)))))</f>
        <v>0.92695376281318687</v>
      </c>
      <c r="F561" s="30">
        <f t="shared" si="52"/>
        <v>2.1548035515464602E-2</v>
      </c>
      <c r="G561" s="45">
        <f t="shared" si="48"/>
        <v>45943</v>
      </c>
      <c r="H561" s="14" cm="1">
        <f t="array" ref="H561">_xlfn.IFNA(INDEX('IR data'!$N$4:$N$61,MATCH(G561,'IR data'!$M$4:$M$61,0)),((INDEX('IR data'!$N$4:$N$61,MATCH(G561,'IR data'!$M$4:$M$61,1)))-((G561-(INDEX('IR data'!$M$4:$M$61,MATCH(G561,'IR data'!$M$4:$M$61,1))))/((INDEX('IR data'!$M$4:$M$61,MATCH(G561,'IR data'!$M$4:$M$61,1)+1)-INDEX('IR data'!$M$4:$M$61,MATCH(G561,'IR data'!$M$4:$M$61,1))))) * (INDEX('IR data'!$N$4:$N$61,MATCH(G561,'IR data'!$M$4:$M$61,1))-(INDEX('IR data'!$N$4:$N$61,MATCH(G561,'IR data'!$M$4:$M$61,1)+1)))))</f>
        <v>0.92648339599999996</v>
      </c>
      <c r="I561" s="44">
        <f t="shared" si="53"/>
        <v>2.1692224402119216E-2</v>
      </c>
    </row>
    <row r="562" spans="1:9" x14ac:dyDescent="0.25">
      <c r="A562" s="45">
        <f t="shared" si="49"/>
        <v>45850</v>
      </c>
      <c r="B562" s="14" cm="1">
        <f t="array" ref="B562">_xlfn.IFNA(INDEX('IR data'!$D$4:$D$61,MATCH(A562,'IR data'!$C$4:$C$61,0)),((INDEX('IR data'!$D$4:$D$61,MATCH(A562,'IR data'!$C$4:$C$61,1)))-((A562-(INDEX('IR data'!$C$4:$C$61,MATCH(A562,'IR data'!$C$4:$C$61,1))))/((INDEX('IR data'!$C$4:$C$61,MATCH(A562,'IR data'!$C$4:$C$61,1)+1)-INDEX('IR data'!$C$4:$C$61,MATCH(A562,'IR data'!$C$4:$C$61,1))))) * (INDEX('IR data'!$D$4:$D$61,MATCH(A562,'IR data'!$C$4:$C$61,1))-(INDEX('IR data'!$D$4:$D$61,MATCH(A562,'IR data'!$C$4:$C$61,1)+1)))))</f>
        <v>0.93188662260869559</v>
      </c>
      <c r="C562" s="30">
        <f t="shared" si="50"/>
        <v>2.0004430673449876E-2</v>
      </c>
      <c r="D562" s="45">
        <f t="shared" si="51"/>
        <v>45910</v>
      </c>
      <c r="E562" s="14" cm="1">
        <f t="array" ref="E562">_xlfn.IFNA(INDEX('IR data'!$I$4:$I$61,MATCH(D562,'IR data'!$H$4:$H$61,0)),((INDEX('IR data'!$I$4:$I$61,MATCH(D562,'IR data'!$H$4:$H$61,1)))-((D562-(INDEX('IR data'!$H$4:$H$61,MATCH(D562,'IR data'!$H$4:$H$61,1))))/((INDEX('IR data'!$H$4:$H$61,MATCH(D562,'IR data'!$H$4:$H$61,1)+1)-INDEX('IR data'!$H$4:$H$61,MATCH(D562,'IR data'!$H$4:$H$61,1))))) * (INDEX('IR data'!$I$4:$I$61,MATCH(D562,'IR data'!$H$4:$H$61,1))-(INDEX('IR data'!$I$4:$I$61,MATCH(D562,'IR data'!$H$4:$H$61,1)+1)))))</f>
        <v>0.92685061417582415</v>
      </c>
      <c r="F562" s="30">
        <f t="shared" si="52"/>
        <v>2.1541044991064819E-2</v>
      </c>
      <c r="G562" s="45">
        <f t="shared" si="48"/>
        <v>45944</v>
      </c>
      <c r="H562" s="14" cm="1">
        <f t="array" ref="H562">_xlfn.IFNA(INDEX('IR data'!$N$4:$N$61,MATCH(G562,'IR data'!$M$4:$M$61,0)),((INDEX('IR data'!$N$4:$N$61,MATCH(G562,'IR data'!$M$4:$M$61,1)))-((G562-(INDEX('IR data'!$M$4:$M$61,MATCH(G562,'IR data'!$M$4:$M$61,1))))/((INDEX('IR data'!$M$4:$M$61,MATCH(G562,'IR data'!$M$4:$M$61,1)+1)-INDEX('IR data'!$M$4:$M$61,MATCH(G562,'IR data'!$M$4:$M$61,1))))) * (INDEX('IR data'!$N$4:$N$61,MATCH(G562,'IR data'!$M$4:$M$61,1))-(INDEX('IR data'!$N$4:$N$61,MATCH(G562,'IR data'!$M$4:$M$61,1)+1)))))</f>
        <v>0.92637655542857145</v>
      </c>
      <c r="I562" s="44">
        <f t="shared" si="53"/>
        <v>2.1686122095461877E-2</v>
      </c>
    </row>
    <row r="563" spans="1:9" x14ac:dyDescent="0.25">
      <c r="A563" s="45">
        <f t="shared" si="49"/>
        <v>45851</v>
      </c>
      <c r="B563" s="14" cm="1">
        <f t="array" ref="B563">_xlfn.IFNA(INDEX('IR data'!$D$4:$D$61,MATCH(A563,'IR data'!$C$4:$C$61,0)),((INDEX('IR data'!$D$4:$D$61,MATCH(A563,'IR data'!$C$4:$C$61,1)))-((A563-(INDEX('IR data'!$C$4:$C$61,MATCH(A563,'IR data'!$C$4:$C$61,1))))/((INDEX('IR data'!$C$4:$C$61,MATCH(A563,'IR data'!$C$4:$C$61,1)+1)-INDEX('IR data'!$C$4:$C$61,MATCH(A563,'IR data'!$C$4:$C$61,1))))) * (INDEX('IR data'!$D$4:$D$61,MATCH(A563,'IR data'!$C$4:$C$61,1))-(INDEX('IR data'!$D$4:$D$61,MATCH(A563,'IR data'!$C$4:$C$61,1)+1)))))</f>
        <v>0.93179854156521735</v>
      </c>
      <c r="C563" s="30">
        <f t="shared" si="50"/>
        <v>1.9995464960087375E-2</v>
      </c>
      <c r="D563" s="45">
        <f t="shared" si="51"/>
        <v>45911</v>
      </c>
      <c r="E563" s="14" cm="1">
        <f t="array" ref="E563">_xlfn.IFNA(INDEX('IR data'!$I$4:$I$61,MATCH(D563,'IR data'!$H$4:$H$61,0)),((INDEX('IR data'!$I$4:$I$61,MATCH(D563,'IR data'!$H$4:$H$61,1)))-((D563-(INDEX('IR data'!$H$4:$H$61,MATCH(D563,'IR data'!$H$4:$H$61,1))))/((INDEX('IR data'!$H$4:$H$61,MATCH(D563,'IR data'!$H$4:$H$61,1)+1)-INDEX('IR data'!$H$4:$H$61,MATCH(D563,'IR data'!$H$4:$H$61,1))))) * (INDEX('IR data'!$I$4:$I$61,MATCH(D563,'IR data'!$H$4:$H$61,1))-(INDEX('IR data'!$I$4:$I$61,MATCH(D563,'IR data'!$H$4:$H$61,1)+1)))))</f>
        <v>0.92674746553846155</v>
      </c>
      <c r="F563" s="30">
        <f t="shared" si="52"/>
        <v>2.153408293870044E-2</v>
      </c>
      <c r="G563" s="45">
        <f t="shared" si="48"/>
        <v>45945</v>
      </c>
      <c r="H563" s="14" cm="1">
        <f t="array" ref="H563">_xlfn.IFNA(INDEX('IR data'!$N$4:$N$61,MATCH(G563,'IR data'!$M$4:$M$61,0)),((INDEX('IR data'!$N$4:$N$61,MATCH(G563,'IR data'!$M$4:$M$61,1)))-((G563-(INDEX('IR data'!$M$4:$M$61,MATCH(G563,'IR data'!$M$4:$M$61,1))))/((INDEX('IR data'!$M$4:$M$61,MATCH(G563,'IR data'!$M$4:$M$61,1)+1)-INDEX('IR data'!$M$4:$M$61,MATCH(G563,'IR data'!$M$4:$M$61,1))))) * (INDEX('IR data'!$N$4:$N$61,MATCH(G563,'IR data'!$M$4:$M$61,1))-(INDEX('IR data'!$N$4:$N$61,MATCH(G563,'IR data'!$M$4:$M$61,1)+1)))))</f>
        <v>0.92626971485714282</v>
      </c>
      <c r="I563" s="44">
        <f t="shared" si="53"/>
        <v>2.1680045347943003E-2</v>
      </c>
    </row>
    <row r="564" spans="1:9" x14ac:dyDescent="0.25">
      <c r="A564" s="45">
        <f t="shared" si="49"/>
        <v>45852</v>
      </c>
      <c r="B564" s="14" cm="1">
        <f t="array" ref="B564">_xlfn.IFNA(INDEX('IR data'!$D$4:$D$61,MATCH(A564,'IR data'!$C$4:$C$61,0)),((INDEX('IR data'!$D$4:$D$61,MATCH(A564,'IR data'!$C$4:$C$61,1)))-((A564-(INDEX('IR data'!$C$4:$C$61,MATCH(A564,'IR data'!$C$4:$C$61,1))))/((INDEX('IR data'!$C$4:$C$61,MATCH(A564,'IR data'!$C$4:$C$61,1)+1)-INDEX('IR data'!$C$4:$C$61,MATCH(A564,'IR data'!$C$4:$C$61,1))))) * (INDEX('IR data'!$D$4:$D$61,MATCH(A564,'IR data'!$C$4:$C$61,1))-(INDEX('IR data'!$D$4:$D$61,MATCH(A564,'IR data'!$C$4:$C$61,1)+1)))))</f>
        <v>0.93171046052173911</v>
      </c>
      <c r="C564" s="30">
        <f t="shared" si="50"/>
        <v>1.9986533734899947E-2</v>
      </c>
      <c r="D564" s="45">
        <f t="shared" si="51"/>
        <v>45912</v>
      </c>
      <c r="E564" s="14" cm="1">
        <f t="array" ref="E564">_xlfn.IFNA(INDEX('IR data'!$I$4:$I$61,MATCH(D564,'IR data'!$H$4:$H$61,0)),((INDEX('IR data'!$I$4:$I$61,MATCH(D564,'IR data'!$H$4:$H$61,1)))-((D564-(INDEX('IR data'!$H$4:$H$61,MATCH(D564,'IR data'!$H$4:$H$61,1))))/((INDEX('IR data'!$H$4:$H$61,MATCH(D564,'IR data'!$H$4:$H$61,1)+1)-INDEX('IR data'!$H$4:$H$61,MATCH(D564,'IR data'!$H$4:$H$61,1))))) * (INDEX('IR data'!$I$4:$I$61,MATCH(D564,'IR data'!$H$4:$H$61,1))-(INDEX('IR data'!$I$4:$I$61,MATCH(D564,'IR data'!$H$4:$H$61,1)+1)))))</f>
        <v>0.92664431690109894</v>
      </c>
      <c r="F564" s="30">
        <f t="shared" si="52"/>
        <v>2.1527149206893682E-2</v>
      </c>
      <c r="G564" s="45">
        <f t="shared" si="48"/>
        <v>45946</v>
      </c>
      <c r="H564" s="14" cm="1">
        <f t="array" ref="H564">_xlfn.IFNA(INDEX('IR data'!$N$4:$N$61,MATCH(G564,'IR data'!$M$4:$M$61,0)),((INDEX('IR data'!$N$4:$N$61,MATCH(G564,'IR data'!$M$4:$M$61,1)))-((G564-(INDEX('IR data'!$M$4:$M$61,MATCH(G564,'IR data'!$M$4:$M$61,1))))/((INDEX('IR data'!$M$4:$M$61,MATCH(G564,'IR data'!$M$4:$M$61,1)+1)-INDEX('IR data'!$M$4:$M$61,MATCH(G564,'IR data'!$M$4:$M$61,1))))) * (INDEX('IR data'!$N$4:$N$61,MATCH(G564,'IR data'!$M$4:$M$61,1))-(INDEX('IR data'!$N$4:$N$61,MATCH(G564,'IR data'!$M$4:$M$61,1)+1)))))</f>
        <v>0.92616287428571431</v>
      </c>
      <c r="I564" s="44">
        <f t="shared" si="53"/>
        <v>2.167399402374973E-2</v>
      </c>
    </row>
    <row r="565" spans="1:9" x14ac:dyDescent="0.25">
      <c r="A565" s="45">
        <f t="shared" si="49"/>
        <v>45853</v>
      </c>
      <c r="B565" s="14" cm="1">
        <f t="array" ref="B565">_xlfn.IFNA(INDEX('IR data'!$D$4:$D$61,MATCH(A565,'IR data'!$C$4:$C$61,0)),((INDEX('IR data'!$D$4:$D$61,MATCH(A565,'IR data'!$C$4:$C$61,1)))-((A565-(INDEX('IR data'!$C$4:$C$61,MATCH(A565,'IR data'!$C$4:$C$61,1))))/((INDEX('IR data'!$C$4:$C$61,MATCH(A565,'IR data'!$C$4:$C$61,1)+1)-INDEX('IR data'!$C$4:$C$61,MATCH(A565,'IR data'!$C$4:$C$61,1))))) * (INDEX('IR data'!$D$4:$D$61,MATCH(A565,'IR data'!$C$4:$C$61,1))-(INDEX('IR data'!$D$4:$D$61,MATCH(A565,'IR data'!$C$4:$C$61,1)+1)))))</f>
        <v>0.93162237947826088</v>
      </c>
      <c r="C565" s="30">
        <f t="shared" si="50"/>
        <v>1.9977636814263577E-2</v>
      </c>
      <c r="D565" s="45">
        <f t="shared" si="51"/>
        <v>45913</v>
      </c>
      <c r="E565" s="14" cm="1">
        <f t="array" ref="E565">_xlfn.IFNA(INDEX('IR data'!$I$4:$I$61,MATCH(D565,'IR data'!$H$4:$H$61,0)),((INDEX('IR data'!$I$4:$I$61,MATCH(D565,'IR data'!$H$4:$H$61,1)))-((D565-(INDEX('IR data'!$H$4:$H$61,MATCH(D565,'IR data'!$H$4:$H$61,1))))/((INDEX('IR data'!$H$4:$H$61,MATCH(D565,'IR data'!$H$4:$H$61,1)+1)-INDEX('IR data'!$H$4:$H$61,MATCH(D565,'IR data'!$H$4:$H$61,1))))) * (INDEX('IR data'!$I$4:$I$61,MATCH(D565,'IR data'!$H$4:$H$61,1))-(INDEX('IR data'!$I$4:$I$61,MATCH(D565,'IR data'!$H$4:$H$61,1)+1)))))</f>
        <v>0.92654116826373623</v>
      </c>
      <c r="F565" s="30">
        <f t="shared" si="52"/>
        <v>2.1520243645245178E-2</v>
      </c>
      <c r="G565" s="45">
        <f t="shared" si="48"/>
        <v>45947</v>
      </c>
      <c r="H565" s="14" cm="1">
        <f t="array" ref="H565">_xlfn.IFNA(INDEX('IR data'!$N$4:$N$61,MATCH(G565,'IR data'!$M$4:$M$61,0)),((INDEX('IR data'!$N$4:$N$61,MATCH(G565,'IR data'!$M$4:$M$61,1)))-((G565-(INDEX('IR data'!$M$4:$M$61,MATCH(G565,'IR data'!$M$4:$M$61,1))))/((INDEX('IR data'!$M$4:$M$61,MATCH(G565,'IR data'!$M$4:$M$61,1)+1)-INDEX('IR data'!$M$4:$M$61,MATCH(G565,'IR data'!$M$4:$M$61,1))))) * (INDEX('IR data'!$N$4:$N$61,MATCH(G565,'IR data'!$M$4:$M$61,1))-(INDEX('IR data'!$N$4:$N$61,MATCH(G565,'IR data'!$M$4:$M$61,1)+1)))))</f>
        <v>0.92605603371428569</v>
      </c>
      <c r="I565" s="44">
        <f t="shared" si="53"/>
        <v>2.1667967988036288E-2</v>
      </c>
    </row>
    <row r="566" spans="1:9" x14ac:dyDescent="0.25">
      <c r="A566" s="45">
        <f t="shared" si="49"/>
        <v>45854</v>
      </c>
      <c r="B566" s="14" cm="1">
        <f t="array" ref="B566">_xlfn.IFNA(INDEX('IR data'!$D$4:$D$61,MATCH(A566,'IR data'!$C$4:$C$61,0)),((INDEX('IR data'!$D$4:$D$61,MATCH(A566,'IR data'!$C$4:$C$61,1)))-((A566-(INDEX('IR data'!$C$4:$C$61,MATCH(A566,'IR data'!$C$4:$C$61,1))))/((INDEX('IR data'!$C$4:$C$61,MATCH(A566,'IR data'!$C$4:$C$61,1)+1)-INDEX('IR data'!$C$4:$C$61,MATCH(A566,'IR data'!$C$4:$C$61,1))))) * (INDEX('IR data'!$D$4:$D$61,MATCH(A566,'IR data'!$C$4:$C$61,1))-(INDEX('IR data'!$D$4:$D$61,MATCH(A566,'IR data'!$C$4:$C$61,1)+1)))))</f>
        <v>0.93153429843478253</v>
      </c>
      <c r="C566" s="30">
        <f t="shared" si="50"/>
        <v>1.996877401585901E-2</v>
      </c>
      <c r="D566" s="45">
        <f t="shared" si="51"/>
        <v>45914</v>
      </c>
      <c r="E566" s="14" cm="1">
        <f t="array" ref="E566">_xlfn.IFNA(INDEX('IR data'!$I$4:$I$61,MATCH(D566,'IR data'!$H$4:$H$61,0)),((INDEX('IR data'!$I$4:$I$61,MATCH(D566,'IR data'!$H$4:$H$61,1)))-((D566-(INDEX('IR data'!$H$4:$H$61,MATCH(D566,'IR data'!$H$4:$H$61,1))))/((INDEX('IR data'!$H$4:$H$61,MATCH(D566,'IR data'!$H$4:$H$61,1)+1)-INDEX('IR data'!$H$4:$H$61,MATCH(D566,'IR data'!$H$4:$H$61,1))))) * (INDEX('IR data'!$I$4:$I$61,MATCH(D566,'IR data'!$H$4:$H$61,1))-(INDEX('IR data'!$I$4:$I$61,MATCH(D566,'IR data'!$H$4:$H$61,1)+1)))))</f>
        <v>0.92643801962637362</v>
      </c>
      <c r="F566" s="30">
        <f t="shared" si="52"/>
        <v>2.151336610442427E-2</v>
      </c>
      <c r="G566" s="45">
        <f t="shared" si="48"/>
        <v>45948</v>
      </c>
      <c r="H566" s="14" cm="1">
        <f t="array" ref="H566">_xlfn.IFNA(INDEX('IR data'!$N$4:$N$61,MATCH(G566,'IR data'!$M$4:$M$61,0)),((INDEX('IR data'!$N$4:$N$61,MATCH(G566,'IR data'!$M$4:$M$61,1)))-((G566-(INDEX('IR data'!$M$4:$M$61,MATCH(G566,'IR data'!$M$4:$M$61,1))))/((INDEX('IR data'!$M$4:$M$61,MATCH(G566,'IR data'!$M$4:$M$61,1)+1)-INDEX('IR data'!$M$4:$M$61,MATCH(G566,'IR data'!$M$4:$M$61,1))))) * (INDEX('IR data'!$N$4:$N$61,MATCH(G566,'IR data'!$M$4:$M$61,1))-(INDEX('IR data'!$N$4:$N$61,MATCH(G566,'IR data'!$M$4:$M$61,1)+1)))))</f>
        <v>0.92594919314285717</v>
      </c>
      <c r="I566" s="44">
        <f t="shared" si="53"/>
        <v>2.1661967106915085E-2</v>
      </c>
    </row>
    <row r="567" spans="1:9" x14ac:dyDescent="0.25">
      <c r="A567" s="45">
        <f t="shared" si="49"/>
        <v>45855</v>
      </c>
      <c r="B567" s="14" cm="1">
        <f t="array" ref="B567">_xlfn.IFNA(INDEX('IR data'!$D$4:$D$61,MATCH(A567,'IR data'!$C$4:$C$61,0)),((INDEX('IR data'!$D$4:$D$61,MATCH(A567,'IR data'!$C$4:$C$61,1)))-((A567-(INDEX('IR data'!$C$4:$C$61,MATCH(A567,'IR data'!$C$4:$C$61,1))))/((INDEX('IR data'!$C$4:$C$61,MATCH(A567,'IR data'!$C$4:$C$61,1)+1)-INDEX('IR data'!$C$4:$C$61,MATCH(A567,'IR data'!$C$4:$C$61,1))))) * (INDEX('IR data'!$D$4:$D$61,MATCH(A567,'IR data'!$C$4:$C$61,1))-(INDEX('IR data'!$D$4:$D$61,MATCH(A567,'IR data'!$C$4:$C$61,1)+1)))))</f>
        <v>0.93144621739130429</v>
      </c>
      <c r="C567" s="30">
        <f t="shared" si="50"/>
        <v>1.9959945158660088E-2</v>
      </c>
      <c r="D567" s="45">
        <f t="shared" si="51"/>
        <v>45915</v>
      </c>
      <c r="E567" s="14" cm="1">
        <f t="array" ref="E567">_xlfn.IFNA(INDEX('IR data'!$I$4:$I$61,MATCH(D567,'IR data'!$H$4:$H$61,0)),((INDEX('IR data'!$I$4:$I$61,MATCH(D567,'IR data'!$H$4:$H$61,1)))-((D567-(INDEX('IR data'!$H$4:$H$61,MATCH(D567,'IR data'!$H$4:$H$61,1))))/((INDEX('IR data'!$H$4:$H$61,MATCH(D567,'IR data'!$H$4:$H$61,1)+1)-INDEX('IR data'!$H$4:$H$61,MATCH(D567,'IR data'!$H$4:$H$61,1))))) * (INDEX('IR data'!$I$4:$I$61,MATCH(D567,'IR data'!$H$4:$H$61,1))-(INDEX('IR data'!$I$4:$I$61,MATCH(D567,'IR data'!$H$4:$H$61,1)+1)))))</f>
        <v>0.92633487098901102</v>
      </c>
      <c r="F567" s="30">
        <f t="shared" si="52"/>
        <v>2.1506516436159737E-2</v>
      </c>
      <c r="G567" s="45">
        <f t="shared" si="48"/>
        <v>45949</v>
      </c>
      <c r="H567" s="14" cm="1">
        <f t="array" ref="H567">_xlfn.IFNA(INDEX('IR data'!$N$4:$N$61,MATCH(G567,'IR data'!$M$4:$M$61,0)),((INDEX('IR data'!$N$4:$N$61,MATCH(G567,'IR data'!$M$4:$M$61,1)))-((G567-(INDEX('IR data'!$M$4:$M$61,MATCH(G567,'IR data'!$M$4:$M$61,1))))/((INDEX('IR data'!$M$4:$M$61,MATCH(G567,'IR data'!$M$4:$M$61,1)+1)-INDEX('IR data'!$M$4:$M$61,MATCH(G567,'IR data'!$M$4:$M$61,1))))) * (INDEX('IR data'!$N$4:$N$61,MATCH(G567,'IR data'!$M$4:$M$61,1))-(INDEX('IR data'!$N$4:$N$61,MATCH(G567,'IR data'!$M$4:$M$61,1)+1)))))</f>
        <v>0.92584235257142855</v>
      </c>
      <c r="I567" s="44">
        <f t="shared" si="53"/>
        <v>2.1655991247448561E-2</v>
      </c>
    </row>
    <row r="568" spans="1:9" x14ac:dyDescent="0.25">
      <c r="A568" s="45">
        <f t="shared" si="49"/>
        <v>45856</v>
      </c>
      <c r="B568" s="14" cm="1">
        <f t="array" ref="B568">_xlfn.IFNA(INDEX('IR data'!$D$4:$D$61,MATCH(A568,'IR data'!$C$4:$C$61,0)),((INDEX('IR data'!$D$4:$D$61,MATCH(A568,'IR data'!$C$4:$C$61,1)))-((A568-(INDEX('IR data'!$C$4:$C$61,MATCH(A568,'IR data'!$C$4:$C$61,1))))/((INDEX('IR data'!$C$4:$C$61,MATCH(A568,'IR data'!$C$4:$C$61,1)+1)-INDEX('IR data'!$C$4:$C$61,MATCH(A568,'IR data'!$C$4:$C$61,1))))) * (INDEX('IR data'!$D$4:$D$61,MATCH(A568,'IR data'!$C$4:$C$61,1))-(INDEX('IR data'!$D$4:$D$61,MATCH(A568,'IR data'!$C$4:$C$61,1)+1)))))</f>
        <v>0.93135813634782605</v>
      </c>
      <c r="C568" s="30">
        <f t="shared" si="50"/>
        <v>1.9951150062922487E-2</v>
      </c>
      <c r="D568" s="45">
        <f t="shared" si="51"/>
        <v>45916</v>
      </c>
      <c r="E568" s="14" cm="1">
        <f t="array" ref="E568">_xlfn.IFNA(INDEX('IR data'!$I$4:$I$61,MATCH(D568,'IR data'!$H$4:$H$61,0)),((INDEX('IR data'!$I$4:$I$61,MATCH(D568,'IR data'!$H$4:$H$61,1)))-((D568-(INDEX('IR data'!$H$4:$H$61,MATCH(D568,'IR data'!$H$4:$H$61,1))))/((INDEX('IR data'!$H$4:$H$61,MATCH(D568,'IR data'!$H$4:$H$61,1)+1)-INDEX('IR data'!$H$4:$H$61,MATCH(D568,'IR data'!$H$4:$H$61,1))))) * (INDEX('IR data'!$I$4:$I$61,MATCH(D568,'IR data'!$H$4:$H$61,1))-(INDEX('IR data'!$I$4:$I$61,MATCH(D568,'IR data'!$H$4:$H$61,1)+1)))))</f>
        <v>0.9262317223516483</v>
      </c>
      <c r="F568" s="30">
        <f t="shared" si="52"/>
        <v>2.1499694493230338E-2</v>
      </c>
      <c r="G568" s="45">
        <f t="shared" si="48"/>
        <v>45950</v>
      </c>
      <c r="H568" s="14" cm="1">
        <f t="array" ref="H568">_xlfn.IFNA(INDEX('IR data'!$N$4:$N$61,MATCH(G568,'IR data'!$M$4:$M$61,0)),((INDEX('IR data'!$N$4:$N$61,MATCH(G568,'IR data'!$M$4:$M$61,1)))-((G568-(INDEX('IR data'!$M$4:$M$61,MATCH(G568,'IR data'!$M$4:$M$61,1))))/((INDEX('IR data'!$M$4:$M$61,MATCH(G568,'IR data'!$M$4:$M$61,1)+1)-INDEX('IR data'!$M$4:$M$61,MATCH(G568,'IR data'!$M$4:$M$61,1))))) * (INDEX('IR data'!$N$4:$N$61,MATCH(G568,'IR data'!$M$4:$M$61,1))-(INDEX('IR data'!$N$4:$N$61,MATCH(G568,'IR data'!$M$4:$M$61,1)+1)))))</f>
        <v>0.92573551200000004</v>
      </c>
      <c r="I568" s="44">
        <f t="shared" si="53"/>
        <v>2.1650040277640444E-2</v>
      </c>
    </row>
    <row r="569" spans="1:9" x14ac:dyDescent="0.25">
      <c r="A569" s="45">
        <f t="shared" si="49"/>
        <v>45857</v>
      </c>
      <c r="B569" s="14" cm="1">
        <f t="array" ref="B569">_xlfn.IFNA(INDEX('IR data'!$D$4:$D$61,MATCH(A569,'IR data'!$C$4:$C$61,0)),((INDEX('IR data'!$D$4:$D$61,MATCH(A569,'IR data'!$C$4:$C$61,1)))-((A569-(INDEX('IR data'!$C$4:$C$61,MATCH(A569,'IR data'!$C$4:$C$61,1))))/((INDEX('IR data'!$C$4:$C$61,MATCH(A569,'IR data'!$C$4:$C$61,1)+1)-INDEX('IR data'!$C$4:$C$61,MATCH(A569,'IR data'!$C$4:$C$61,1))))) * (INDEX('IR data'!$D$4:$D$61,MATCH(A569,'IR data'!$C$4:$C$61,1))-(INDEX('IR data'!$D$4:$D$61,MATCH(A569,'IR data'!$C$4:$C$61,1)+1)))))</f>
        <v>0.93127005530434781</v>
      </c>
      <c r="C569" s="30">
        <f t="shared" si="50"/>
        <v>1.9942388550172246E-2</v>
      </c>
      <c r="D569" s="45">
        <f t="shared" si="51"/>
        <v>45917</v>
      </c>
      <c r="E569" s="14" cm="1">
        <f t="array" ref="E569">_xlfn.IFNA(INDEX('IR data'!$I$4:$I$61,MATCH(D569,'IR data'!$H$4:$H$61,0)),((INDEX('IR data'!$I$4:$I$61,MATCH(D569,'IR data'!$H$4:$H$61,1)))-((D569-(INDEX('IR data'!$H$4:$H$61,MATCH(D569,'IR data'!$H$4:$H$61,1))))/((INDEX('IR data'!$H$4:$H$61,MATCH(D569,'IR data'!$H$4:$H$61,1)+1)-INDEX('IR data'!$H$4:$H$61,MATCH(D569,'IR data'!$H$4:$H$61,1))))) * (INDEX('IR data'!$I$4:$I$61,MATCH(D569,'IR data'!$H$4:$H$61,1))-(INDEX('IR data'!$I$4:$I$61,MATCH(D569,'IR data'!$H$4:$H$61,1)+1)))))</f>
        <v>0.9261285737142857</v>
      </c>
      <c r="F569" s="30">
        <f t="shared" si="52"/>
        <v>2.1492900129455407E-2</v>
      </c>
      <c r="G569" s="45">
        <f t="shared" si="48"/>
        <v>45951</v>
      </c>
      <c r="H569" s="14" cm="1">
        <f t="array" ref="H569">_xlfn.IFNA(INDEX('IR data'!$N$4:$N$61,MATCH(G569,'IR data'!$M$4:$M$61,0)),((INDEX('IR data'!$N$4:$N$61,MATCH(G569,'IR data'!$M$4:$M$61,1)))-((G569-(INDEX('IR data'!$M$4:$M$61,MATCH(G569,'IR data'!$M$4:$M$61,1))))/((INDEX('IR data'!$M$4:$M$61,MATCH(G569,'IR data'!$M$4:$M$61,1)+1)-INDEX('IR data'!$M$4:$M$61,MATCH(G569,'IR data'!$M$4:$M$61,1))))) * (INDEX('IR data'!$N$4:$N$61,MATCH(G569,'IR data'!$M$4:$M$61,1))-(INDEX('IR data'!$N$4:$N$61,MATCH(G569,'IR data'!$M$4:$M$61,1)+1)))))</f>
        <v>0.92562867142857141</v>
      </c>
      <c r="I569" s="44">
        <f t="shared" si="53"/>
        <v>2.1644114066427737E-2</v>
      </c>
    </row>
    <row r="570" spans="1:9" x14ac:dyDescent="0.25">
      <c r="A570" s="45">
        <f t="shared" si="49"/>
        <v>45858</v>
      </c>
      <c r="B570" s="14" cm="1">
        <f t="array" ref="B570">_xlfn.IFNA(INDEX('IR data'!$D$4:$D$61,MATCH(A570,'IR data'!$C$4:$C$61,0)),((INDEX('IR data'!$D$4:$D$61,MATCH(A570,'IR data'!$C$4:$C$61,1)))-((A570-(INDEX('IR data'!$C$4:$C$61,MATCH(A570,'IR data'!$C$4:$C$61,1))))/((INDEX('IR data'!$C$4:$C$61,MATCH(A570,'IR data'!$C$4:$C$61,1)+1)-INDEX('IR data'!$C$4:$C$61,MATCH(A570,'IR data'!$C$4:$C$61,1))))) * (INDEX('IR data'!$D$4:$D$61,MATCH(A570,'IR data'!$C$4:$C$61,1))-(INDEX('IR data'!$D$4:$D$61,MATCH(A570,'IR data'!$C$4:$C$61,1)+1)))))</f>
        <v>0.93118197426086957</v>
      </c>
      <c r="C570" s="30">
        <f t="shared" si="50"/>
        <v>1.9933660443194633E-2</v>
      </c>
      <c r="D570" s="45">
        <f t="shared" si="51"/>
        <v>45918</v>
      </c>
      <c r="E570" s="14" cm="1">
        <f t="array" ref="E570">_xlfn.IFNA(INDEX('IR data'!$I$4:$I$61,MATCH(D570,'IR data'!$H$4:$H$61,0)),((INDEX('IR data'!$I$4:$I$61,MATCH(D570,'IR data'!$H$4:$H$61,1)))-((D570-(INDEX('IR data'!$H$4:$H$61,MATCH(D570,'IR data'!$H$4:$H$61,1))))/((INDEX('IR data'!$H$4:$H$61,MATCH(D570,'IR data'!$H$4:$H$61,1)+1)-INDEX('IR data'!$H$4:$H$61,MATCH(D570,'IR data'!$H$4:$H$61,1))))) * (INDEX('IR data'!$I$4:$I$61,MATCH(D570,'IR data'!$H$4:$H$61,1))-(INDEX('IR data'!$I$4:$I$61,MATCH(D570,'IR data'!$H$4:$H$61,1)+1)))))</f>
        <v>0.92602542507692309</v>
      </c>
      <c r="F570" s="30">
        <f t="shared" si="52"/>
        <v>2.1486133199685904E-2</v>
      </c>
      <c r="G570" s="45">
        <f t="shared" si="48"/>
        <v>45952</v>
      </c>
      <c r="H570" s="14" cm="1">
        <f t="array" ref="H570">_xlfn.IFNA(INDEX('IR data'!$N$4:$N$61,MATCH(G570,'IR data'!$M$4:$M$61,0)),((INDEX('IR data'!$N$4:$N$61,MATCH(G570,'IR data'!$M$4:$M$61,1)))-((G570-(INDEX('IR data'!$M$4:$M$61,MATCH(G570,'IR data'!$M$4:$M$61,1))))/((INDEX('IR data'!$M$4:$M$61,MATCH(G570,'IR data'!$M$4:$M$61,1)+1)-INDEX('IR data'!$M$4:$M$61,MATCH(G570,'IR data'!$M$4:$M$61,1))))) * (INDEX('IR data'!$N$4:$N$61,MATCH(G570,'IR data'!$M$4:$M$61,1))-(INDEX('IR data'!$N$4:$N$61,MATCH(G570,'IR data'!$M$4:$M$61,1)+1)))))</f>
        <v>0.9255218308571429</v>
      </c>
      <c r="I570" s="44">
        <f t="shared" si="53"/>
        <v>2.1638212483672217E-2</v>
      </c>
    </row>
    <row r="571" spans="1:9" x14ac:dyDescent="0.25">
      <c r="A571" s="45">
        <f t="shared" si="49"/>
        <v>45859</v>
      </c>
      <c r="B571" s="14" cm="1">
        <f t="array" ref="B571">_xlfn.IFNA(INDEX('IR data'!$D$4:$D$61,MATCH(A571,'IR data'!$C$4:$C$61,0)),((INDEX('IR data'!$D$4:$D$61,MATCH(A571,'IR data'!$C$4:$C$61,1)))-((A571-(INDEX('IR data'!$C$4:$C$61,MATCH(A571,'IR data'!$C$4:$C$61,1))))/((INDEX('IR data'!$C$4:$C$61,MATCH(A571,'IR data'!$C$4:$C$61,1)+1)-INDEX('IR data'!$C$4:$C$61,MATCH(A571,'IR data'!$C$4:$C$61,1))))) * (INDEX('IR data'!$D$4:$D$61,MATCH(A571,'IR data'!$C$4:$C$61,1))-(INDEX('IR data'!$D$4:$D$61,MATCH(A571,'IR data'!$C$4:$C$61,1)+1)))))</f>
        <v>0.93109389321739122</v>
      </c>
      <c r="C571" s="30">
        <f t="shared" si="50"/>
        <v>1.9924965566023065E-2</v>
      </c>
      <c r="D571" s="45">
        <f t="shared" si="51"/>
        <v>45919</v>
      </c>
      <c r="E571" s="14" cm="1">
        <f t="array" ref="E571">_xlfn.IFNA(INDEX('IR data'!$I$4:$I$61,MATCH(D571,'IR data'!$H$4:$H$61,0)),((INDEX('IR data'!$I$4:$I$61,MATCH(D571,'IR data'!$H$4:$H$61,1)))-((D571-(INDEX('IR data'!$H$4:$H$61,MATCH(D571,'IR data'!$H$4:$H$61,1))))/((INDEX('IR data'!$H$4:$H$61,MATCH(D571,'IR data'!$H$4:$H$61,1)+1)-INDEX('IR data'!$H$4:$H$61,MATCH(D571,'IR data'!$H$4:$H$61,1))))) * (INDEX('IR data'!$I$4:$I$61,MATCH(D571,'IR data'!$H$4:$H$61,1))-(INDEX('IR data'!$I$4:$I$61,MATCH(D571,'IR data'!$H$4:$H$61,1)+1)))))</f>
        <v>0.92592227643956049</v>
      </c>
      <c r="F571" s="30">
        <f t="shared" si="52"/>
        <v>2.1479393559795178E-2</v>
      </c>
      <c r="G571" s="45">
        <f t="shared" si="48"/>
        <v>45953</v>
      </c>
      <c r="H571" s="14" cm="1">
        <f t="array" ref="H571">_xlfn.IFNA(INDEX('IR data'!$N$4:$N$61,MATCH(G571,'IR data'!$M$4:$M$61,0)),((INDEX('IR data'!$N$4:$N$61,MATCH(G571,'IR data'!$M$4:$M$61,1)))-((G571-(INDEX('IR data'!$M$4:$M$61,MATCH(G571,'IR data'!$M$4:$M$61,1))))/((INDEX('IR data'!$M$4:$M$61,MATCH(G571,'IR data'!$M$4:$M$61,1)+1)-INDEX('IR data'!$M$4:$M$61,MATCH(G571,'IR data'!$M$4:$M$61,1))))) * (INDEX('IR data'!$N$4:$N$61,MATCH(G571,'IR data'!$M$4:$M$61,1))-(INDEX('IR data'!$N$4:$N$61,MATCH(G571,'IR data'!$M$4:$M$61,1)+1)))))</f>
        <v>0.92541499028571428</v>
      </c>
      <c r="I571" s="44">
        <f t="shared" si="53"/>
        <v>2.1632335400152553E-2</v>
      </c>
    </row>
    <row r="572" spans="1:9" x14ac:dyDescent="0.25">
      <c r="A572" s="45">
        <f t="shared" si="49"/>
        <v>45860</v>
      </c>
      <c r="B572" s="14" cm="1">
        <f t="array" ref="B572">_xlfn.IFNA(INDEX('IR data'!$D$4:$D$61,MATCH(A572,'IR data'!$C$4:$C$61,0)),((INDEX('IR data'!$D$4:$D$61,MATCH(A572,'IR data'!$C$4:$C$61,1)))-((A572-(INDEX('IR data'!$C$4:$C$61,MATCH(A572,'IR data'!$C$4:$C$61,1))))/((INDEX('IR data'!$C$4:$C$61,MATCH(A572,'IR data'!$C$4:$C$61,1)+1)-INDEX('IR data'!$C$4:$C$61,MATCH(A572,'IR data'!$C$4:$C$61,1))))) * (INDEX('IR data'!$D$4:$D$61,MATCH(A572,'IR data'!$C$4:$C$61,1))-(INDEX('IR data'!$D$4:$D$61,MATCH(A572,'IR data'!$C$4:$C$61,1)+1)))))</f>
        <v>0.93100581217391298</v>
      </c>
      <c r="C572" s="30">
        <f t="shared" si="50"/>
        <v>1.9916303743928016E-2</v>
      </c>
      <c r="D572" s="45">
        <f t="shared" si="51"/>
        <v>45920</v>
      </c>
      <c r="E572" s="14" cm="1">
        <f t="array" ref="E572">_xlfn.IFNA(INDEX('IR data'!$I$4:$I$61,MATCH(D572,'IR data'!$H$4:$H$61,0)),((INDEX('IR data'!$I$4:$I$61,MATCH(D572,'IR data'!$H$4:$H$61,1)))-((D572-(INDEX('IR data'!$H$4:$H$61,MATCH(D572,'IR data'!$H$4:$H$61,1))))/((INDEX('IR data'!$H$4:$H$61,MATCH(D572,'IR data'!$H$4:$H$61,1)+1)-INDEX('IR data'!$H$4:$H$61,MATCH(D572,'IR data'!$H$4:$H$61,1))))) * (INDEX('IR data'!$I$4:$I$61,MATCH(D572,'IR data'!$H$4:$H$61,1))-(INDEX('IR data'!$I$4:$I$61,MATCH(D572,'IR data'!$H$4:$H$61,1)+1)))))</f>
        <v>0.92581912780219777</v>
      </c>
      <c r="F572" s="30">
        <f t="shared" si="52"/>
        <v>2.147268106667008E-2</v>
      </c>
      <c r="G572" s="45">
        <f t="shared" si="48"/>
        <v>45954</v>
      </c>
      <c r="H572" s="14" cm="1">
        <f t="array" ref="H572">_xlfn.IFNA(INDEX('IR data'!$N$4:$N$61,MATCH(G572,'IR data'!$M$4:$M$61,0)),((INDEX('IR data'!$N$4:$N$61,MATCH(G572,'IR data'!$M$4:$M$61,1)))-((G572-(INDEX('IR data'!$M$4:$M$61,MATCH(G572,'IR data'!$M$4:$M$61,1))))/((INDEX('IR data'!$M$4:$M$61,MATCH(G572,'IR data'!$M$4:$M$61,1)+1)-INDEX('IR data'!$M$4:$M$61,MATCH(G572,'IR data'!$M$4:$M$61,1))))) * (INDEX('IR data'!$N$4:$N$61,MATCH(G572,'IR data'!$M$4:$M$61,1))-(INDEX('IR data'!$N$4:$N$61,MATCH(G572,'IR data'!$M$4:$M$61,1)+1)))))</f>
        <v>0.92530814971428577</v>
      </c>
      <c r="I572" s="44">
        <f t="shared" si="53"/>
        <v>2.162648268755599E-2</v>
      </c>
    </row>
    <row r="573" spans="1:9" x14ac:dyDescent="0.25">
      <c r="A573" s="45">
        <f t="shared" si="49"/>
        <v>45861</v>
      </c>
      <c r="B573" s="14" cm="1">
        <f t="array" ref="B573">_xlfn.IFNA(INDEX('IR data'!$D$4:$D$61,MATCH(A573,'IR data'!$C$4:$C$61,0)),((INDEX('IR data'!$D$4:$D$61,MATCH(A573,'IR data'!$C$4:$C$61,1)))-((A573-(INDEX('IR data'!$C$4:$C$61,MATCH(A573,'IR data'!$C$4:$C$61,1))))/((INDEX('IR data'!$C$4:$C$61,MATCH(A573,'IR data'!$C$4:$C$61,1)+1)-INDEX('IR data'!$C$4:$C$61,MATCH(A573,'IR data'!$C$4:$C$61,1))))) * (INDEX('IR data'!$D$4:$D$61,MATCH(A573,'IR data'!$C$4:$C$61,1))-(INDEX('IR data'!$D$4:$D$61,MATCH(A573,'IR data'!$C$4:$C$61,1)+1)))))</f>
        <v>0.93091773113043474</v>
      </c>
      <c r="C573" s="30">
        <f t="shared" si="50"/>
        <v>1.9907674803406366E-2</v>
      </c>
      <c r="D573" s="45">
        <f t="shared" si="51"/>
        <v>45921</v>
      </c>
      <c r="E573" s="14" cm="1">
        <f t="array" ref="E573">_xlfn.IFNA(INDEX('IR data'!$I$4:$I$61,MATCH(D573,'IR data'!$H$4:$H$61,0)),((INDEX('IR data'!$I$4:$I$61,MATCH(D573,'IR data'!$H$4:$H$61,1)))-((D573-(INDEX('IR data'!$H$4:$H$61,MATCH(D573,'IR data'!$H$4:$H$61,1))))/((INDEX('IR data'!$H$4:$H$61,MATCH(D573,'IR data'!$H$4:$H$61,1)+1)-INDEX('IR data'!$H$4:$H$61,MATCH(D573,'IR data'!$H$4:$H$61,1))))) * (INDEX('IR data'!$I$4:$I$61,MATCH(D573,'IR data'!$H$4:$H$61,1))-(INDEX('IR data'!$I$4:$I$61,MATCH(D573,'IR data'!$H$4:$H$61,1)+1)))))</f>
        <v>0.92571597916483517</v>
      </c>
      <c r="F573" s="30">
        <f t="shared" si="52"/>
        <v>2.1465995578201901E-2</v>
      </c>
      <c r="G573" s="45">
        <f t="shared" si="48"/>
        <v>45955</v>
      </c>
      <c r="H573" s="14" cm="1">
        <f t="array" ref="H573">_xlfn.IFNA(INDEX('IR data'!$N$4:$N$61,MATCH(G573,'IR data'!$M$4:$M$61,0)),((INDEX('IR data'!$N$4:$N$61,MATCH(G573,'IR data'!$M$4:$M$61,1)))-((G573-(INDEX('IR data'!$M$4:$M$61,MATCH(G573,'IR data'!$M$4:$M$61,1))))/((INDEX('IR data'!$M$4:$M$61,MATCH(G573,'IR data'!$M$4:$M$61,1)+1)-INDEX('IR data'!$M$4:$M$61,MATCH(G573,'IR data'!$M$4:$M$61,1))))) * (INDEX('IR data'!$N$4:$N$61,MATCH(G573,'IR data'!$M$4:$M$61,1))-(INDEX('IR data'!$N$4:$N$61,MATCH(G573,'IR data'!$M$4:$M$61,1)+1)))))</f>
        <v>0.92520130914285714</v>
      </c>
      <c r="I573" s="44">
        <f t="shared" si="53"/>
        <v>2.162065421847064E-2</v>
      </c>
    </row>
    <row r="574" spans="1:9" x14ac:dyDescent="0.25">
      <c r="A574" s="45">
        <f t="shared" si="49"/>
        <v>45862</v>
      </c>
      <c r="B574" s="14" cm="1">
        <f t="array" ref="B574">_xlfn.IFNA(INDEX('IR data'!$D$4:$D$61,MATCH(A574,'IR data'!$C$4:$C$61,0)),((INDEX('IR data'!$D$4:$D$61,MATCH(A574,'IR data'!$C$4:$C$61,1)))-((A574-(INDEX('IR data'!$C$4:$C$61,MATCH(A574,'IR data'!$C$4:$C$61,1))))/((INDEX('IR data'!$C$4:$C$61,MATCH(A574,'IR data'!$C$4:$C$61,1)+1)-INDEX('IR data'!$C$4:$C$61,MATCH(A574,'IR data'!$C$4:$C$61,1))))) * (INDEX('IR data'!$D$4:$D$61,MATCH(A574,'IR data'!$C$4:$C$61,1))-(INDEX('IR data'!$D$4:$D$61,MATCH(A574,'IR data'!$C$4:$C$61,1)+1)))))</f>
        <v>0.93082965008695651</v>
      </c>
      <c r="C574" s="30">
        <f t="shared" si="50"/>
        <v>1.9899078572170534E-2</v>
      </c>
      <c r="D574" s="45">
        <f t="shared" si="51"/>
        <v>45922</v>
      </c>
      <c r="E574" s="14" cm="1">
        <f t="array" ref="E574">_xlfn.IFNA(INDEX('IR data'!$I$4:$I$61,MATCH(D574,'IR data'!$H$4:$H$61,0)),((INDEX('IR data'!$I$4:$I$61,MATCH(D574,'IR data'!$H$4:$H$61,1)))-((D574-(INDEX('IR data'!$H$4:$H$61,MATCH(D574,'IR data'!$H$4:$H$61,1))))/((INDEX('IR data'!$H$4:$H$61,MATCH(D574,'IR data'!$H$4:$H$61,1)+1)-INDEX('IR data'!$H$4:$H$61,MATCH(D574,'IR data'!$H$4:$H$61,1))))) * (INDEX('IR data'!$I$4:$I$61,MATCH(D574,'IR data'!$H$4:$H$61,1))-(INDEX('IR data'!$I$4:$I$61,MATCH(D574,'IR data'!$H$4:$H$61,1)+1)))))</f>
        <v>0.92561283052747256</v>
      </c>
      <c r="F574" s="30">
        <f t="shared" si="52"/>
        <v>2.1459336953277813E-2</v>
      </c>
      <c r="G574" s="45">
        <f t="shared" si="48"/>
        <v>45956</v>
      </c>
      <c r="H574" s="14" cm="1">
        <f t="array" ref="H574">_xlfn.IFNA(INDEX('IR data'!$N$4:$N$61,MATCH(G574,'IR data'!$M$4:$M$61,0)),((INDEX('IR data'!$N$4:$N$61,MATCH(G574,'IR data'!$M$4:$M$61,1)))-((G574-(INDEX('IR data'!$M$4:$M$61,MATCH(G574,'IR data'!$M$4:$M$61,1))))/((INDEX('IR data'!$M$4:$M$61,MATCH(G574,'IR data'!$M$4:$M$61,1)+1)-INDEX('IR data'!$M$4:$M$61,MATCH(G574,'IR data'!$M$4:$M$61,1))))) * (INDEX('IR data'!$N$4:$N$61,MATCH(G574,'IR data'!$M$4:$M$61,1))-(INDEX('IR data'!$N$4:$N$61,MATCH(G574,'IR data'!$M$4:$M$61,1)+1)))))</f>
        <v>0.92509446857142852</v>
      </c>
      <c r="I574" s="44">
        <f t="shared" si="53"/>
        <v>2.1614849866377375E-2</v>
      </c>
    </row>
    <row r="575" spans="1:9" x14ac:dyDescent="0.25">
      <c r="A575" s="45">
        <f t="shared" si="49"/>
        <v>45863</v>
      </c>
      <c r="B575" s="14" cm="1">
        <f t="array" ref="B575">_xlfn.IFNA(INDEX('IR data'!$D$4:$D$61,MATCH(A575,'IR data'!$C$4:$C$61,0)),((INDEX('IR data'!$D$4:$D$61,MATCH(A575,'IR data'!$C$4:$C$61,1)))-((A575-(INDEX('IR data'!$C$4:$C$61,MATCH(A575,'IR data'!$C$4:$C$61,1))))/((INDEX('IR data'!$C$4:$C$61,MATCH(A575,'IR data'!$C$4:$C$61,1)+1)-INDEX('IR data'!$C$4:$C$61,MATCH(A575,'IR data'!$C$4:$C$61,1))))) * (INDEX('IR data'!$D$4:$D$61,MATCH(A575,'IR data'!$C$4:$C$61,1))-(INDEX('IR data'!$D$4:$D$61,MATCH(A575,'IR data'!$C$4:$C$61,1)+1)))))</f>
        <v>0.93074156904347827</v>
      </c>
      <c r="C575" s="30">
        <f t="shared" si="50"/>
        <v>1.9890514879137872E-2</v>
      </c>
      <c r="D575" s="45">
        <f t="shared" si="51"/>
        <v>45923</v>
      </c>
      <c r="E575" s="14" cm="1">
        <f t="array" ref="E575">_xlfn.IFNA(INDEX('IR data'!$I$4:$I$61,MATCH(D575,'IR data'!$H$4:$H$61,0)),((INDEX('IR data'!$I$4:$I$61,MATCH(D575,'IR data'!$H$4:$H$61,1)))-((D575-(INDEX('IR data'!$H$4:$H$61,MATCH(D575,'IR data'!$H$4:$H$61,1))))/((INDEX('IR data'!$H$4:$H$61,MATCH(D575,'IR data'!$H$4:$H$61,1)+1)-INDEX('IR data'!$H$4:$H$61,MATCH(D575,'IR data'!$H$4:$H$61,1))))) * (INDEX('IR data'!$I$4:$I$61,MATCH(D575,'IR data'!$H$4:$H$61,1))-(INDEX('IR data'!$I$4:$I$61,MATCH(D575,'IR data'!$H$4:$H$61,1)+1)))))</f>
        <v>0.92550968189010985</v>
      </c>
      <c r="F575" s="30">
        <f t="shared" si="52"/>
        <v>2.1452705051772034E-2</v>
      </c>
      <c r="G575" s="45">
        <f t="shared" si="48"/>
        <v>45957</v>
      </c>
      <c r="H575" s="14" cm="1">
        <f t="array" ref="H575">_xlfn.IFNA(INDEX('IR data'!$N$4:$N$61,MATCH(G575,'IR data'!$M$4:$M$61,0)),((INDEX('IR data'!$N$4:$N$61,MATCH(G575,'IR data'!$M$4:$M$61,1)))-((G575-(INDEX('IR data'!$M$4:$M$61,MATCH(G575,'IR data'!$M$4:$M$61,1))))/((INDEX('IR data'!$M$4:$M$61,MATCH(G575,'IR data'!$M$4:$M$61,1)+1)-INDEX('IR data'!$M$4:$M$61,MATCH(G575,'IR data'!$M$4:$M$61,1))))) * (INDEX('IR data'!$N$4:$N$61,MATCH(G575,'IR data'!$M$4:$M$61,1))-(INDEX('IR data'!$N$4:$N$61,MATCH(G575,'IR data'!$M$4:$M$61,1)+1)))))</f>
        <v>0.92498762800000001</v>
      </c>
      <c r="I575" s="44">
        <f t="shared" si="53"/>
        <v>2.1609069505642099E-2</v>
      </c>
    </row>
    <row r="576" spans="1:9" x14ac:dyDescent="0.25">
      <c r="A576" s="45">
        <f t="shared" si="49"/>
        <v>45864</v>
      </c>
      <c r="B576" s="14" cm="1">
        <f t="array" ref="B576">_xlfn.IFNA(INDEX('IR data'!$D$4:$D$61,MATCH(A576,'IR data'!$C$4:$C$61,0)),((INDEX('IR data'!$D$4:$D$61,MATCH(A576,'IR data'!$C$4:$C$61,1)))-((A576-(INDEX('IR data'!$C$4:$C$61,MATCH(A576,'IR data'!$C$4:$C$61,1))))/((INDEX('IR data'!$C$4:$C$61,MATCH(A576,'IR data'!$C$4:$C$61,1)+1)-INDEX('IR data'!$C$4:$C$61,MATCH(A576,'IR data'!$C$4:$C$61,1))))) * (INDEX('IR data'!$D$4:$D$61,MATCH(A576,'IR data'!$C$4:$C$61,1))-(INDEX('IR data'!$D$4:$D$61,MATCH(A576,'IR data'!$C$4:$C$61,1)+1)))))</f>
        <v>0.93065348799999992</v>
      </c>
      <c r="C576" s="30">
        <f t="shared" si="50"/>
        <v>1.98819835544202E-2</v>
      </c>
      <c r="D576" s="45">
        <f t="shared" si="51"/>
        <v>45924</v>
      </c>
      <c r="E576" s="14" cm="1">
        <f t="array" ref="E576">_xlfn.IFNA(INDEX('IR data'!$I$4:$I$61,MATCH(D576,'IR data'!$H$4:$H$61,0)),((INDEX('IR data'!$I$4:$I$61,MATCH(D576,'IR data'!$H$4:$H$61,1)))-((D576-(INDEX('IR data'!$H$4:$H$61,MATCH(D576,'IR data'!$H$4:$H$61,1))))/((INDEX('IR data'!$H$4:$H$61,MATCH(D576,'IR data'!$H$4:$H$61,1)+1)-INDEX('IR data'!$H$4:$H$61,MATCH(D576,'IR data'!$H$4:$H$61,1))))) * (INDEX('IR data'!$I$4:$I$61,MATCH(D576,'IR data'!$H$4:$H$61,1))-(INDEX('IR data'!$I$4:$I$61,MATCH(D576,'IR data'!$H$4:$H$61,1)+1)))))</f>
        <v>0.92540653325274724</v>
      </c>
      <c r="F576" s="30">
        <f t="shared" si="52"/>
        <v>2.1446099734537132E-2</v>
      </c>
      <c r="G576" s="45">
        <f t="shared" si="48"/>
        <v>45958</v>
      </c>
      <c r="H576" s="14" cm="1">
        <f t="array" ref="H576">_xlfn.IFNA(INDEX('IR data'!$N$4:$N$61,MATCH(G576,'IR data'!$M$4:$M$61,0)),((INDEX('IR data'!$N$4:$N$61,MATCH(G576,'IR data'!$M$4:$M$61,1)))-((G576-(INDEX('IR data'!$M$4:$M$61,MATCH(G576,'IR data'!$M$4:$M$61,1))))/((INDEX('IR data'!$M$4:$M$61,MATCH(G576,'IR data'!$M$4:$M$61,1)+1)-INDEX('IR data'!$M$4:$M$61,MATCH(G576,'IR data'!$M$4:$M$61,1))))) * (INDEX('IR data'!$N$4:$N$61,MATCH(G576,'IR data'!$M$4:$M$61,1))-(INDEX('IR data'!$N$4:$N$61,MATCH(G576,'IR data'!$M$4:$M$61,1)+1)))))</f>
        <v>0.92488078742857138</v>
      </c>
      <c r="I576" s="44">
        <f t="shared" si="53"/>
        <v>2.1603313011508137E-2</v>
      </c>
    </row>
    <row r="577" spans="1:9" x14ac:dyDescent="0.25">
      <c r="A577" s="45">
        <f t="shared" si="49"/>
        <v>45865</v>
      </c>
      <c r="B577" s="14" cm="1">
        <f t="array" ref="B577">_xlfn.IFNA(INDEX('IR data'!$D$4:$D$61,MATCH(A577,'IR data'!$C$4:$C$61,0)),((INDEX('IR data'!$D$4:$D$61,MATCH(A577,'IR data'!$C$4:$C$61,1)))-((A577-(INDEX('IR data'!$C$4:$C$61,MATCH(A577,'IR data'!$C$4:$C$61,1))))/((INDEX('IR data'!$C$4:$C$61,MATCH(A577,'IR data'!$C$4:$C$61,1)+1)-INDEX('IR data'!$C$4:$C$61,MATCH(A577,'IR data'!$C$4:$C$61,1))))) * (INDEX('IR data'!$D$4:$D$61,MATCH(A577,'IR data'!$C$4:$C$61,1))-(INDEX('IR data'!$D$4:$D$61,MATCH(A577,'IR data'!$C$4:$C$61,1)+1)))))</f>
        <v>0.93056540695652168</v>
      </c>
      <c r="C577" s="30">
        <f t="shared" si="50"/>
        <v>1.9873484429313259E-2</v>
      </c>
      <c r="D577" s="45">
        <f t="shared" si="51"/>
        <v>45925</v>
      </c>
      <c r="E577" s="14" cm="1">
        <f t="array" ref="E577">_xlfn.IFNA(INDEX('IR data'!$I$4:$I$61,MATCH(D577,'IR data'!$H$4:$H$61,0)),((INDEX('IR data'!$I$4:$I$61,MATCH(D577,'IR data'!$H$4:$H$61,1)))-((D577-(INDEX('IR data'!$H$4:$H$61,MATCH(D577,'IR data'!$H$4:$H$61,1))))/((INDEX('IR data'!$H$4:$H$61,MATCH(D577,'IR data'!$H$4:$H$61,1)+1)-INDEX('IR data'!$H$4:$H$61,MATCH(D577,'IR data'!$H$4:$H$61,1))))) * (INDEX('IR data'!$I$4:$I$61,MATCH(D577,'IR data'!$H$4:$H$61,1))-(INDEX('IR data'!$I$4:$I$61,MATCH(D577,'IR data'!$H$4:$H$61,1)+1)))))</f>
        <v>0.92530338461538464</v>
      </c>
      <c r="F577" s="30">
        <f t="shared" si="52"/>
        <v>2.1439520863395713E-2</v>
      </c>
      <c r="G577" s="45">
        <f t="shared" si="48"/>
        <v>45959</v>
      </c>
      <c r="H577" s="14" cm="1">
        <f t="array" ref="H577">_xlfn.IFNA(INDEX('IR data'!$N$4:$N$61,MATCH(G577,'IR data'!$M$4:$M$61,0)),((INDEX('IR data'!$N$4:$N$61,MATCH(G577,'IR data'!$M$4:$M$61,1)))-((G577-(INDEX('IR data'!$M$4:$M$61,MATCH(G577,'IR data'!$M$4:$M$61,1))))/((INDEX('IR data'!$M$4:$M$61,MATCH(G577,'IR data'!$M$4:$M$61,1)+1)-INDEX('IR data'!$M$4:$M$61,MATCH(G577,'IR data'!$M$4:$M$61,1))))) * (INDEX('IR data'!$N$4:$N$61,MATCH(G577,'IR data'!$M$4:$M$61,1))-(INDEX('IR data'!$N$4:$N$61,MATCH(G577,'IR data'!$M$4:$M$61,1)+1)))))</f>
        <v>0.92477394685714287</v>
      </c>
      <c r="I577" s="44">
        <f t="shared" si="53"/>
        <v>2.1597580260088376E-2</v>
      </c>
    </row>
    <row r="578" spans="1:9" x14ac:dyDescent="0.25">
      <c r="A578" s="45">
        <f t="shared" si="49"/>
        <v>45866</v>
      </c>
      <c r="B578" s="14" cm="1">
        <f t="array" ref="B578">_xlfn.IFNA(INDEX('IR data'!$D$4:$D$61,MATCH(A578,'IR data'!$C$4:$C$61,0)),((INDEX('IR data'!$D$4:$D$61,MATCH(A578,'IR data'!$C$4:$C$61,1)))-((A578-(INDEX('IR data'!$C$4:$C$61,MATCH(A578,'IR data'!$C$4:$C$61,1))))/((INDEX('IR data'!$C$4:$C$61,MATCH(A578,'IR data'!$C$4:$C$61,1)+1)-INDEX('IR data'!$C$4:$C$61,MATCH(A578,'IR data'!$C$4:$C$61,1))))) * (INDEX('IR data'!$D$4:$D$61,MATCH(A578,'IR data'!$C$4:$C$61,1))-(INDEX('IR data'!$D$4:$D$61,MATCH(A578,'IR data'!$C$4:$C$61,1)+1)))))</f>
        <v>0.93047732591304344</v>
      </c>
      <c r="C578" s="30">
        <f t="shared" si="50"/>
        <v>1.9865017336286612E-2</v>
      </c>
      <c r="D578" s="45">
        <f t="shared" si="51"/>
        <v>45926</v>
      </c>
      <c r="E578" s="14" cm="1">
        <f t="array" ref="E578">_xlfn.IFNA(INDEX('IR data'!$I$4:$I$61,MATCH(D578,'IR data'!$H$4:$H$61,0)),((INDEX('IR data'!$I$4:$I$61,MATCH(D578,'IR data'!$H$4:$H$61,1)))-((D578-(INDEX('IR data'!$H$4:$H$61,MATCH(D578,'IR data'!$H$4:$H$61,1))))/((INDEX('IR data'!$H$4:$H$61,MATCH(D578,'IR data'!$H$4:$H$61,1)+1)-INDEX('IR data'!$H$4:$H$61,MATCH(D578,'IR data'!$H$4:$H$61,1))))) * (INDEX('IR data'!$I$4:$I$61,MATCH(D578,'IR data'!$H$4:$H$61,1))-(INDEX('IR data'!$I$4:$I$61,MATCH(D578,'IR data'!$H$4:$H$61,1)+1)))))</f>
        <v>0.92520023597802192</v>
      </c>
      <c r="F578" s="30">
        <f t="shared" si="52"/>
        <v>2.1432968301131845E-2</v>
      </c>
      <c r="G578" s="45">
        <f t="shared" si="48"/>
        <v>45960</v>
      </c>
      <c r="H578" s="14" cm="1">
        <f t="array" ref="H578">_xlfn.IFNA(INDEX('IR data'!$N$4:$N$61,MATCH(G578,'IR data'!$M$4:$M$61,0)),((INDEX('IR data'!$N$4:$N$61,MATCH(G578,'IR data'!$M$4:$M$61,1)))-((G578-(INDEX('IR data'!$M$4:$M$61,MATCH(G578,'IR data'!$M$4:$M$61,1))))/((INDEX('IR data'!$M$4:$M$61,MATCH(G578,'IR data'!$M$4:$M$61,1)+1)-INDEX('IR data'!$M$4:$M$61,MATCH(G578,'IR data'!$M$4:$M$61,1))))) * (INDEX('IR data'!$N$4:$N$61,MATCH(G578,'IR data'!$M$4:$M$61,1))-(INDEX('IR data'!$N$4:$N$61,MATCH(G578,'IR data'!$M$4:$M$61,1)+1)))))</f>
        <v>0.92466710628571425</v>
      </c>
      <c r="I578" s="44">
        <f t="shared" si="53"/>
        <v>2.1591871128357941E-2</v>
      </c>
    </row>
    <row r="579" spans="1:9" x14ac:dyDescent="0.25">
      <c r="A579" s="45">
        <f t="shared" si="49"/>
        <v>45867</v>
      </c>
      <c r="B579" s="14" cm="1">
        <f t="array" ref="B579">_xlfn.IFNA(INDEX('IR data'!$D$4:$D$61,MATCH(A579,'IR data'!$C$4:$C$61,0)),((INDEX('IR data'!$D$4:$D$61,MATCH(A579,'IR data'!$C$4:$C$61,1)))-((A579-(INDEX('IR data'!$C$4:$C$61,MATCH(A579,'IR data'!$C$4:$C$61,1))))/((INDEX('IR data'!$C$4:$C$61,MATCH(A579,'IR data'!$C$4:$C$61,1)+1)-INDEX('IR data'!$C$4:$C$61,MATCH(A579,'IR data'!$C$4:$C$61,1))))) * (INDEX('IR data'!$D$4:$D$61,MATCH(A579,'IR data'!$C$4:$C$61,1))-(INDEX('IR data'!$D$4:$D$61,MATCH(A579,'IR data'!$C$4:$C$61,1)+1)))))</f>
        <v>0.9303892448695652</v>
      </c>
      <c r="C579" s="30">
        <f t="shared" si="50"/>
        <v>1.9856582108973338E-2</v>
      </c>
      <c r="D579" s="45">
        <f t="shared" si="51"/>
        <v>45927</v>
      </c>
      <c r="E579" s="14" cm="1">
        <f t="array" ref="E579">_xlfn.IFNA(INDEX('IR data'!$I$4:$I$61,MATCH(D579,'IR data'!$H$4:$H$61,0)),((INDEX('IR data'!$I$4:$I$61,MATCH(D579,'IR data'!$H$4:$H$61,1)))-((D579-(INDEX('IR data'!$H$4:$H$61,MATCH(D579,'IR data'!$H$4:$H$61,1))))/((INDEX('IR data'!$H$4:$H$61,MATCH(D579,'IR data'!$H$4:$H$61,1)+1)-INDEX('IR data'!$H$4:$H$61,MATCH(D579,'IR data'!$H$4:$H$61,1))))) * (INDEX('IR data'!$I$4:$I$61,MATCH(D579,'IR data'!$H$4:$H$61,1))-(INDEX('IR data'!$I$4:$I$61,MATCH(D579,'IR data'!$H$4:$H$61,1)+1)))))</f>
        <v>0.92509708734065932</v>
      </c>
      <c r="F579" s="30">
        <f t="shared" si="52"/>
        <v>2.1426441911482668E-2</v>
      </c>
      <c r="G579" s="45">
        <f t="shared" ref="G579:G642" si="54">G578+1</f>
        <v>45961</v>
      </c>
      <c r="H579" s="14" cm="1">
        <f t="array" ref="H579">_xlfn.IFNA(INDEX('IR data'!$N$4:$N$61,MATCH(G579,'IR data'!$M$4:$M$61,0)),((INDEX('IR data'!$N$4:$N$61,MATCH(G579,'IR data'!$M$4:$M$61,1)))-((G579-(INDEX('IR data'!$M$4:$M$61,MATCH(G579,'IR data'!$M$4:$M$61,1))))/((INDEX('IR data'!$M$4:$M$61,MATCH(G579,'IR data'!$M$4:$M$61,1)+1)-INDEX('IR data'!$M$4:$M$61,MATCH(G579,'IR data'!$M$4:$M$61,1))))) * (INDEX('IR data'!$N$4:$N$61,MATCH(G579,'IR data'!$M$4:$M$61,1))-(INDEX('IR data'!$N$4:$N$61,MATCH(G579,'IR data'!$M$4:$M$61,1)+1)))))</f>
        <v>0.92456026571428573</v>
      </c>
      <c r="I579" s="44">
        <f t="shared" si="53"/>
        <v>2.1586185494146457E-2</v>
      </c>
    </row>
    <row r="580" spans="1:9" x14ac:dyDescent="0.25">
      <c r="A580" s="45">
        <f t="shared" si="49"/>
        <v>45868</v>
      </c>
      <c r="B580" s="14" cm="1">
        <f t="array" ref="B580">_xlfn.IFNA(INDEX('IR data'!$D$4:$D$61,MATCH(A580,'IR data'!$C$4:$C$61,0)),((INDEX('IR data'!$D$4:$D$61,MATCH(A580,'IR data'!$C$4:$C$61,1)))-((A580-(INDEX('IR data'!$C$4:$C$61,MATCH(A580,'IR data'!$C$4:$C$61,1))))/((INDEX('IR data'!$C$4:$C$61,MATCH(A580,'IR data'!$C$4:$C$61,1)+1)-INDEX('IR data'!$C$4:$C$61,MATCH(A580,'IR data'!$C$4:$C$61,1))))) * (INDEX('IR data'!$D$4:$D$61,MATCH(A580,'IR data'!$C$4:$C$61,1))-(INDEX('IR data'!$D$4:$D$61,MATCH(A580,'IR data'!$C$4:$C$61,1)+1)))))</f>
        <v>0.93030116382608696</v>
      </c>
      <c r="C580" s="30">
        <f t="shared" si="50"/>
        <v>1.9848178582159957E-2</v>
      </c>
      <c r="D580" s="45">
        <f t="shared" si="51"/>
        <v>45928</v>
      </c>
      <c r="E580" s="14" cm="1">
        <f t="array" ref="E580">_xlfn.IFNA(INDEX('IR data'!$I$4:$I$61,MATCH(D580,'IR data'!$H$4:$H$61,0)),((INDEX('IR data'!$I$4:$I$61,MATCH(D580,'IR data'!$H$4:$H$61,1)))-((D580-(INDEX('IR data'!$H$4:$H$61,MATCH(D580,'IR data'!$H$4:$H$61,1))))/((INDEX('IR data'!$H$4:$H$61,MATCH(D580,'IR data'!$H$4:$H$61,1)+1)-INDEX('IR data'!$H$4:$H$61,MATCH(D580,'IR data'!$H$4:$H$61,1))))) * (INDEX('IR data'!$I$4:$I$61,MATCH(D580,'IR data'!$H$4:$H$61,1))-(INDEX('IR data'!$I$4:$I$61,MATCH(D580,'IR data'!$H$4:$H$61,1)+1)))))</f>
        <v>0.92499393870329671</v>
      </c>
      <c r="F580" s="30">
        <f t="shared" si="52"/>
        <v>2.1419941559130282E-2</v>
      </c>
      <c r="G580" s="45">
        <f t="shared" si="54"/>
        <v>45962</v>
      </c>
      <c r="H580" s="14" cm="1">
        <f t="array" ref="H580">_xlfn.IFNA(INDEX('IR data'!$N$4:$N$61,MATCH(G580,'IR data'!$M$4:$M$61,0)),((INDEX('IR data'!$N$4:$N$61,MATCH(G580,'IR data'!$M$4:$M$61,1)))-((G580-(INDEX('IR data'!$M$4:$M$61,MATCH(G580,'IR data'!$M$4:$M$61,1))))/((INDEX('IR data'!$M$4:$M$61,MATCH(G580,'IR data'!$M$4:$M$61,1)+1)-INDEX('IR data'!$M$4:$M$61,MATCH(G580,'IR data'!$M$4:$M$61,1))))) * (INDEX('IR data'!$N$4:$N$61,MATCH(G580,'IR data'!$M$4:$M$61,1))-(INDEX('IR data'!$N$4:$N$61,MATCH(G580,'IR data'!$M$4:$M$61,1)+1)))))</f>
        <v>0.92445342514285711</v>
      </c>
      <c r="I580" s="44">
        <f t="shared" si="53"/>
        <v>2.1580523236130918E-2</v>
      </c>
    </row>
    <row r="581" spans="1:9" x14ac:dyDescent="0.25">
      <c r="A581" s="45">
        <f t="shared" ref="A581:A644" si="55">A580+1</f>
        <v>45869</v>
      </c>
      <c r="B581" s="14" cm="1">
        <f t="array" ref="B581">_xlfn.IFNA(INDEX('IR data'!$D$4:$D$61,MATCH(A581,'IR data'!$C$4:$C$61,0)),((INDEX('IR data'!$D$4:$D$61,MATCH(A581,'IR data'!$C$4:$C$61,1)))-((A581-(INDEX('IR data'!$C$4:$C$61,MATCH(A581,'IR data'!$C$4:$C$61,1))))/((INDEX('IR data'!$C$4:$C$61,MATCH(A581,'IR data'!$C$4:$C$61,1)+1)-INDEX('IR data'!$C$4:$C$61,MATCH(A581,'IR data'!$C$4:$C$61,1))))) * (INDEX('IR data'!$D$4:$D$61,MATCH(A581,'IR data'!$C$4:$C$61,1))-(INDEX('IR data'!$D$4:$D$61,MATCH(A581,'IR data'!$C$4:$C$61,1)+1)))))</f>
        <v>0.93021308278260872</v>
      </c>
      <c r="C581" s="30">
        <f t="shared" ref="C581:C644" si="56">-LOG(B581)/YEARFRAC($B$1, A581, 3)</f>
        <v>1.983980659177648E-2</v>
      </c>
      <c r="D581" s="45">
        <f t="shared" ref="D581:D644" si="57">D580+1</f>
        <v>45929</v>
      </c>
      <c r="E581" s="14" cm="1">
        <f t="array" ref="E581">_xlfn.IFNA(INDEX('IR data'!$I$4:$I$61,MATCH(D581,'IR data'!$H$4:$H$61,0)),((INDEX('IR data'!$I$4:$I$61,MATCH(D581,'IR data'!$H$4:$H$61,1)))-((D581-(INDEX('IR data'!$H$4:$H$61,MATCH(D581,'IR data'!$H$4:$H$61,1))))/((INDEX('IR data'!$H$4:$H$61,MATCH(D581,'IR data'!$H$4:$H$61,1)+1)-INDEX('IR data'!$H$4:$H$61,MATCH(D581,'IR data'!$H$4:$H$61,1))))) * (INDEX('IR data'!$I$4:$I$61,MATCH(D581,'IR data'!$H$4:$H$61,1))-(INDEX('IR data'!$I$4:$I$61,MATCH(D581,'IR data'!$H$4:$H$61,1)+1)))))</f>
        <v>0.92489079006593411</v>
      </c>
      <c r="F581" s="30">
        <f t="shared" ref="F581:F644" si="58">-LOG(E581)/YEARFRAC($E$1, D581, 3)</f>
        <v>2.1413467109693482E-2</v>
      </c>
      <c r="G581" s="45">
        <f t="shared" si="54"/>
        <v>45963</v>
      </c>
      <c r="H581" s="14" cm="1">
        <f t="array" ref="H581">_xlfn.IFNA(INDEX('IR data'!$N$4:$N$61,MATCH(G581,'IR data'!$M$4:$M$61,0)),((INDEX('IR data'!$N$4:$N$61,MATCH(G581,'IR data'!$M$4:$M$61,1)))-((G581-(INDEX('IR data'!$M$4:$M$61,MATCH(G581,'IR data'!$M$4:$M$61,1))))/((INDEX('IR data'!$M$4:$M$61,MATCH(G581,'IR data'!$M$4:$M$61,1)+1)-INDEX('IR data'!$M$4:$M$61,MATCH(G581,'IR data'!$M$4:$M$61,1))))) * (INDEX('IR data'!$N$4:$N$61,MATCH(G581,'IR data'!$M$4:$M$61,1))-(INDEX('IR data'!$N$4:$N$61,MATCH(G581,'IR data'!$M$4:$M$61,1)+1)))))</f>
        <v>0.9243465845714286</v>
      </c>
      <c r="I581" s="44">
        <f t="shared" ref="I581:I644" si="59">-LOG(H581)/YEARFRAC($H$1, G581, 3)</f>
        <v>2.1574884233828077E-2</v>
      </c>
    </row>
    <row r="582" spans="1:9" x14ac:dyDescent="0.25">
      <c r="A582" s="45">
        <f t="shared" si="55"/>
        <v>45870</v>
      </c>
      <c r="B582" s="14" cm="1">
        <f t="array" ref="B582">_xlfn.IFNA(INDEX('IR data'!$D$4:$D$61,MATCH(A582,'IR data'!$C$4:$C$61,0)),((INDEX('IR data'!$D$4:$D$61,MATCH(A582,'IR data'!$C$4:$C$61,1)))-((A582-(INDEX('IR data'!$C$4:$C$61,MATCH(A582,'IR data'!$C$4:$C$61,1))))/((INDEX('IR data'!$C$4:$C$61,MATCH(A582,'IR data'!$C$4:$C$61,1)+1)-INDEX('IR data'!$C$4:$C$61,MATCH(A582,'IR data'!$C$4:$C$61,1))))) * (INDEX('IR data'!$D$4:$D$61,MATCH(A582,'IR data'!$C$4:$C$61,1))-(INDEX('IR data'!$D$4:$D$61,MATCH(A582,'IR data'!$C$4:$C$61,1)+1)))))</f>
        <v>0.93012500173913037</v>
      </c>
      <c r="C582" s="30">
        <f t="shared" si="56"/>
        <v>1.9831465974886546E-2</v>
      </c>
      <c r="D582" s="45">
        <f t="shared" si="57"/>
        <v>45930</v>
      </c>
      <c r="E582" s="14" cm="1">
        <f t="array" ref="E582">_xlfn.IFNA(INDEX('IR data'!$I$4:$I$61,MATCH(D582,'IR data'!$H$4:$H$61,0)),((INDEX('IR data'!$I$4:$I$61,MATCH(D582,'IR data'!$H$4:$H$61,1)))-((D582-(INDEX('IR data'!$H$4:$H$61,MATCH(D582,'IR data'!$H$4:$H$61,1))))/((INDEX('IR data'!$H$4:$H$61,MATCH(D582,'IR data'!$H$4:$H$61,1)+1)-INDEX('IR data'!$H$4:$H$61,MATCH(D582,'IR data'!$H$4:$H$61,1))))) * (INDEX('IR data'!$I$4:$I$61,MATCH(D582,'IR data'!$H$4:$H$61,1))-(INDEX('IR data'!$I$4:$I$61,MATCH(D582,'IR data'!$H$4:$H$61,1)+1)))))</f>
        <v>0.92478764142857139</v>
      </c>
      <c r="F582" s="30">
        <f t="shared" si="58"/>
        <v>2.1407018429719711E-2</v>
      </c>
      <c r="G582" s="45">
        <f t="shared" si="54"/>
        <v>45964</v>
      </c>
      <c r="H582" s="14" cm="1">
        <f t="array" ref="H582">_xlfn.IFNA(INDEX('IR data'!$N$4:$N$61,MATCH(G582,'IR data'!$M$4:$M$61,0)),((INDEX('IR data'!$N$4:$N$61,MATCH(G582,'IR data'!$M$4:$M$61,1)))-((G582-(INDEX('IR data'!$M$4:$M$61,MATCH(G582,'IR data'!$M$4:$M$61,1))))/((INDEX('IR data'!$M$4:$M$61,MATCH(G582,'IR data'!$M$4:$M$61,1)+1)-INDEX('IR data'!$M$4:$M$61,MATCH(G582,'IR data'!$M$4:$M$61,1))))) * (INDEX('IR data'!$N$4:$N$61,MATCH(G582,'IR data'!$M$4:$M$61,1))-(INDEX('IR data'!$N$4:$N$61,MATCH(G582,'IR data'!$M$4:$M$61,1)+1)))))</f>
        <v>0.92423974399999997</v>
      </c>
      <c r="I582" s="44">
        <f t="shared" si="59"/>
        <v>2.156926836758747E-2</v>
      </c>
    </row>
    <row r="583" spans="1:9" x14ac:dyDescent="0.25">
      <c r="A583" s="45">
        <f t="shared" si="55"/>
        <v>45871</v>
      </c>
      <c r="B583" s="14" cm="1">
        <f t="array" ref="B583">_xlfn.IFNA(INDEX('IR data'!$D$4:$D$61,MATCH(A583,'IR data'!$C$4:$C$61,0)),((INDEX('IR data'!$D$4:$D$61,MATCH(A583,'IR data'!$C$4:$C$61,1)))-((A583-(INDEX('IR data'!$C$4:$C$61,MATCH(A583,'IR data'!$C$4:$C$61,1))))/((INDEX('IR data'!$C$4:$C$61,MATCH(A583,'IR data'!$C$4:$C$61,1)+1)-INDEX('IR data'!$C$4:$C$61,MATCH(A583,'IR data'!$C$4:$C$61,1))))) * (INDEX('IR data'!$D$4:$D$61,MATCH(A583,'IR data'!$C$4:$C$61,1))-(INDEX('IR data'!$D$4:$D$61,MATCH(A583,'IR data'!$C$4:$C$61,1)+1)))))</f>
        <v>0.93003692069565214</v>
      </c>
      <c r="C583" s="30">
        <f t="shared" si="56"/>
        <v>1.9823156569677539E-2</v>
      </c>
      <c r="D583" s="45">
        <f t="shared" si="57"/>
        <v>45931</v>
      </c>
      <c r="E583" s="14" cm="1">
        <f t="array" ref="E583">_xlfn.IFNA(INDEX('IR data'!$I$4:$I$61,MATCH(D583,'IR data'!$H$4:$H$61,0)),((INDEX('IR data'!$I$4:$I$61,MATCH(D583,'IR data'!$H$4:$H$61,1)))-((D583-(INDEX('IR data'!$H$4:$H$61,MATCH(D583,'IR data'!$H$4:$H$61,1))))/((INDEX('IR data'!$H$4:$H$61,MATCH(D583,'IR data'!$H$4:$H$61,1)+1)-INDEX('IR data'!$H$4:$H$61,MATCH(D583,'IR data'!$H$4:$H$61,1))))) * (INDEX('IR data'!$I$4:$I$61,MATCH(D583,'IR data'!$H$4:$H$61,1))-(INDEX('IR data'!$I$4:$I$61,MATCH(D583,'IR data'!$H$4:$H$61,1)+1)))))</f>
        <v>0.92468449279120879</v>
      </c>
      <c r="F583" s="30">
        <f t="shared" si="58"/>
        <v>2.1400595386676925E-2</v>
      </c>
      <c r="G583" s="45">
        <f t="shared" si="54"/>
        <v>45965</v>
      </c>
      <c r="H583" s="14" cm="1">
        <f t="array" ref="H583">_xlfn.IFNA(INDEX('IR data'!$N$4:$N$61,MATCH(G583,'IR data'!$M$4:$M$61,0)),((INDEX('IR data'!$N$4:$N$61,MATCH(G583,'IR data'!$M$4:$M$61,1)))-((G583-(INDEX('IR data'!$M$4:$M$61,MATCH(G583,'IR data'!$M$4:$M$61,1))))/((INDEX('IR data'!$M$4:$M$61,MATCH(G583,'IR data'!$M$4:$M$61,1)+1)-INDEX('IR data'!$M$4:$M$61,MATCH(G583,'IR data'!$M$4:$M$61,1))))) * (INDEX('IR data'!$N$4:$N$61,MATCH(G583,'IR data'!$M$4:$M$61,1))-(INDEX('IR data'!$N$4:$N$61,MATCH(G583,'IR data'!$M$4:$M$61,1)+1)))))</f>
        <v>0.92413290342857146</v>
      </c>
      <c r="I583" s="44">
        <f t="shared" si="59"/>
        <v>2.1563675518583975E-2</v>
      </c>
    </row>
    <row r="584" spans="1:9" x14ac:dyDescent="0.25">
      <c r="A584" s="45">
        <f t="shared" si="55"/>
        <v>45872</v>
      </c>
      <c r="B584" s="14" cm="1">
        <f t="array" ref="B584">_xlfn.IFNA(INDEX('IR data'!$D$4:$D$61,MATCH(A584,'IR data'!$C$4:$C$61,0)),((INDEX('IR data'!$D$4:$D$61,MATCH(A584,'IR data'!$C$4:$C$61,1)))-((A584-(INDEX('IR data'!$C$4:$C$61,MATCH(A584,'IR data'!$C$4:$C$61,1))))/((INDEX('IR data'!$C$4:$C$61,MATCH(A584,'IR data'!$C$4:$C$61,1)+1)-INDEX('IR data'!$C$4:$C$61,MATCH(A584,'IR data'!$C$4:$C$61,1))))) * (INDEX('IR data'!$D$4:$D$61,MATCH(A584,'IR data'!$C$4:$C$61,1))-(INDEX('IR data'!$D$4:$D$61,MATCH(A584,'IR data'!$C$4:$C$61,1)+1)))))</f>
        <v>0.9299488396521739</v>
      </c>
      <c r="C584" s="30">
        <f t="shared" si="56"/>
        <v>1.9814878215451082E-2</v>
      </c>
      <c r="D584" s="45">
        <f t="shared" si="57"/>
        <v>45932</v>
      </c>
      <c r="E584" s="14" cm="1">
        <f t="array" ref="E584">_xlfn.IFNA(INDEX('IR data'!$I$4:$I$61,MATCH(D584,'IR data'!$H$4:$H$61,0)),((INDEX('IR data'!$I$4:$I$61,MATCH(D584,'IR data'!$H$4:$H$61,1)))-((D584-(INDEX('IR data'!$H$4:$H$61,MATCH(D584,'IR data'!$H$4:$H$61,1))))/((INDEX('IR data'!$H$4:$H$61,MATCH(D584,'IR data'!$H$4:$H$61,1)+1)-INDEX('IR data'!$H$4:$H$61,MATCH(D584,'IR data'!$H$4:$H$61,1))))) * (INDEX('IR data'!$I$4:$I$61,MATCH(D584,'IR data'!$H$4:$H$61,1))-(INDEX('IR data'!$I$4:$I$61,MATCH(D584,'IR data'!$H$4:$H$61,1)+1)))))</f>
        <v>0.92458134415384619</v>
      </c>
      <c r="F584" s="30">
        <f t="shared" si="58"/>
        <v>2.1394197848945883E-2</v>
      </c>
      <c r="G584" s="45">
        <f t="shared" si="54"/>
        <v>45966</v>
      </c>
      <c r="H584" s="14" cm="1">
        <f t="array" ref="H584">_xlfn.IFNA(INDEX('IR data'!$N$4:$N$61,MATCH(G584,'IR data'!$M$4:$M$61,0)),((INDEX('IR data'!$N$4:$N$61,MATCH(G584,'IR data'!$M$4:$M$61,1)))-((G584-(INDEX('IR data'!$M$4:$M$61,MATCH(G584,'IR data'!$M$4:$M$61,1))))/((INDEX('IR data'!$M$4:$M$61,MATCH(G584,'IR data'!$M$4:$M$61,1)+1)-INDEX('IR data'!$M$4:$M$61,MATCH(G584,'IR data'!$M$4:$M$61,1))))) * (INDEX('IR data'!$N$4:$N$61,MATCH(G584,'IR data'!$M$4:$M$61,1))-(INDEX('IR data'!$N$4:$N$61,MATCH(G584,'IR data'!$M$4:$M$61,1)+1)))))</f>
        <v>0.92402606285714284</v>
      </c>
      <c r="I584" s="44">
        <f t="shared" si="59"/>
        <v>2.1558105568810954E-2</v>
      </c>
    </row>
    <row r="585" spans="1:9" x14ac:dyDescent="0.25">
      <c r="A585" s="45">
        <f t="shared" si="55"/>
        <v>45873</v>
      </c>
      <c r="B585" s="14" cm="1">
        <f t="array" ref="B585">_xlfn.IFNA(INDEX('IR data'!$D$4:$D$61,MATCH(A585,'IR data'!$C$4:$C$61,0)),((INDEX('IR data'!$D$4:$D$61,MATCH(A585,'IR data'!$C$4:$C$61,1)))-((A585-(INDEX('IR data'!$C$4:$C$61,MATCH(A585,'IR data'!$C$4:$C$61,1))))/((INDEX('IR data'!$C$4:$C$61,MATCH(A585,'IR data'!$C$4:$C$61,1)+1)-INDEX('IR data'!$C$4:$C$61,MATCH(A585,'IR data'!$C$4:$C$61,1))))) * (INDEX('IR data'!$D$4:$D$61,MATCH(A585,'IR data'!$C$4:$C$61,1))-(INDEX('IR data'!$D$4:$D$61,MATCH(A585,'IR data'!$C$4:$C$61,1)+1)))))</f>
        <v>0.92986075860869566</v>
      </c>
      <c r="C585" s="30">
        <f t="shared" si="56"/>
        <v>1.9806630752613366E-2</v>
      </c>
      <c r="D585" s="45">
        <f t="shared" si="57"/>
        <v>45933</v>
      </c>
      <c r="E585" s="14" cm="1">
        <f t="array" ref="E585">_xlfn.IFNA(INDEX('IR data'!$I$4:$I$61,MATCH(D585,'IR data'!$H$4:$H$61,0)),((INDEX('IR data'!$I$4:$I$61,MATCH(D585,'IR data'!$H$4:$H$61,1)))-((D585-(INDEX('IR data'!$H$4:$H$61,MATCH(D585,'IR data'!$H$4:$H$61,1))))/((INDEX('IR data'!$H$4:$H$61,MATCH(D585,'IR data'!$H$4:$H$61,1)+1)-INDEX('IR data'!$H$4:$H$61,MATCH(D585,'IR data'!$H$4:$H$61,1))))) * (INDEX('IR data'!$I$4:$I$61,MATCH(D585,'IR data'!$H$4:$H$61,1))-(INDEX('IR data'!$I$4:$I$61,MATCH(D585,'IR data'!$H$4:$H$61,1)+1)))))</f>
        <v>0.92447819551648347</v>
      </c>
      <c r="F585" s="30">
        <f t="shared" si="58"/>
        <v>2.1387825685812187E-2</v>
      </c>
      <c r="G585" s="45">
        <f t="shared" si="54"/>
        <v>45967</v>
      </c>
      <c r="H585" s="14" cm="1">
        <f t="array" ref="H585">_xlfn.IFNA(INDEX('IR data'!$N$4:$N$61,MATCH(G585,'IR data'!$M$4:$M$61,0)),((INDEX('IR data'!$N$4:$N$61,MATCH(G585,'IR data'!$M$4:$M$61,1)))-((G585-(INDEX('IR data'!$M$4:$M$61,MATCH(G585,'IR data'!$M$4:$M$61,1))))/((INDEX('IR data'!$M$4:$M$61,MATCH(G585,'IR data'!$M$4:$M$61,1)+1)-INDEX('IR data'!$M$4:$M$61,MATCH(G585,'IR data'!$M$4:$M$61,1))))) * (INDEX('IR data'!$N$4:$N$61,MATCH(G585,'IR data'!$M$4:$M$61,1))-(INDEX('IR data'!$N$4:$N$61,MATCH(G585,'IR data'!$M$4:$M$61,1)+1)))))</f>
        <v>0.92391922228571433</v>
      </c>
      <c r="I585" s="44">
        <f t="shared" si="59"/>
        <v>2.1552558401072983E-2</v>
      </c>
    </row>
    <row r="586" spans="1:9" x14ac:dyDescent="0.25">
      <c r="A586" s="45">
        <f t="shared" si="55"/>
        <v>45874</v>
      </c>
      <c r="B586" s="14" cm="1">
        <f t="array" ref="B586">_xlfn.IFNA(INDEX('IR data'!$D$4:$D$61,MATCH(A586,'IR data'!$C$4:$C$61,0)),((INDEX('IR data'!$D$4:$D$61,MATCH(A586,'IR data'!$C$4:$C$61,1)))-((A586-(INDEX('IR data'!$C$4:$C$61,MATCH(A586,'IR data'!$C$4:$C$61,1))))/((INDEX('IR data'!$C$4:$C$61,MATCH(A586,'IR data'!$C$4:$C$61,1)+1)-INDEX('IR data'!$C$4:$C$61,MATCH(A586,'IR data'!$C$4:$C$61,1))))) * (INDEX('IR data'!$D$4:$D$61,MATCH(A586,'IR data'!$C$4:$C$61,1))-(INDEX('IR data'!$D$4:$D$61,MATCH(A586,'IR data'!$C$4:$C$61,1)+1)))))</f>
        <v>0.92977267756521742</v>
      </c>
      <c r="C586" s="30">
        <f t="shared" si="56"/>
        <v>1.9798414022665693E-2</v>
      </c>
      <c r="D586" s="45">
        <f t="shared" si="57"/>
        <v>45934</v>
      </c>
      <c r="E586" s="14" cm="1">
        <f t="array" ref="E586">_xlfn.IFNA(INDEX('IR data'!$I$4:$I$61,MATCH(D586,'IR data'!$H$4:$H$61,0)),((INDEX('IR data'!$I$4:$I$61,MATCH(D586,'IR data'!$H$4:$H$61,1)))-((D586-(INDEX('IR data'!$H$4:$H$61,MATCH(D586,'IR data'!$H$4:$H$61,1))))/((INDEX('IR data'!$H$4:$H$61,MATCH(D586,'IR data'!$H$4:$H$61,1)+1)-INDEX('IR data'!$H$4:$H$61,MATCH(D586,'IR data'!$H$4:$H$61,1))))) * (INDEX('IR data'!$I$4:$I$61,MATCH(D586,'IR data'!$H$4:$H$61,1))-(INDEX('IR data'!$I$4:$I$61,MATCH(D586,'IR data'!$H$4:$H$61,1)+1)))))</f>
        <v>0.92437504687912087</v>
      </c>
      <c r="F586" s="30">
        <f t="shared" si="58"/>
        <v>2.1381478767458436E-2</v>
      </c>
      <c r="G586" s="45">
        <f t="shared" si="54"/>
        <v>45968</v>
      </c>
      <c r="H586" s="14" cm="1">
        <f t="array" ref="H586">_xlfn.IFNA(INDEX('IR data'!$N$4:$N$61,MATCH(G586,'IR data'!$M$4:$M$61,0)),((INDEX('IR data'!$N$4:$N$61,MATCH(G586,'IR data'!$M$4:$M$61,1)))-((G586-(INDEX('IR data'!$M$4:$M$61,MATCH(G586,'IR data'!$M$4:$M$61,1))))/((INDEX('IR data'!$M$4:$M$61,MATCH(G586,'IR data'!$M$4:$M$61,1)+1)-INDEX('IR data'!$M$4:$M$61,MATCH(G586,'IR data'!$M$4:$M$61,1))))) * (INDEX('IR data'!$N$4:$N$61,MATCH(G586,'IR data'!$M$4:$M$61,1))-(INDEX('IR data'!$N$4:$N$61,MATCH(G586,'IR data'!$M$4:$M$61,1)+1)))))</f>
        <v>0.9238123817142857</v>
      </c>
      <c r="I586" s="44">
        <f t="shared" si="59"/>
        <v>2.1547033898979141E-2</v>
      </c>
    </row>
    <row r="587" spans="1:9" x14ac:dyDescent="0.25">
      <c r="A587" s="45">
        <f t="shared" si="55"/>
        <v>45875</v>
      </c>
      <c r="B587" s="14" cm="1">
        <f t="array" ref="B587">_xlfn.IFNA(INDEX('IR data'!$D$4:$D$61,MATCH(A587,'IR data'!$C$4:$C$61,0)),((INDEX('IR data'!$D$4:$D$61,MATCH(A587,'IR data'!$C$4:$C$61,1)))-((A587-(INDEX('IR data'!$C$4:$C$61,MATCH(A587,'IR data'!$C$4:$C$61,1))))/((INDEX('IR data'!$C$4:$C$61,MATCH(A587,'IR data'!$C$4:$C$61,1)+1)-INDEX('IR data'!$C$4:$C$61,MATCH(A587,'IR data'!$C$4:$C$61,1))))) * (INDEX('IR data'!$D$4:$D$61,MATCH(A587,'IR data'!$C$4:$C$61,1))-(INDEX('IR data'!$D$4:$D$61,MATCH(A587,'IR data'!$C$4:$C$61,1)+1)))))</f>
        <v>0.92968459652173907</v>
      </c>
      <c r="C587" s="30">
        <f t="shared" si="56"/>
        <v>1.9790227868195138E-2</v>
      </c>
      <c r="D587" s="45">
        <f t="shared" si="57"/>
        <v>45935</v>
      </c>
      <c r="E587" s="14" cm="1">
        <f t="array" ref="E587">_xlfn.IFNA(INDEX('IR data'!$I$4:$I$61,MATCH(D587,'IR data'!$H$4:$H$61,0)),((INDEX('IR data'!$I$4:$I$61,MATCH(D587,'IR data'!$H$4:$H$61,1)))-((D587-(INDEX('IR data'!$H$4:$H$61,MATCH(D587,'IR data'!$H$4:$H$61,1))))/((INDEX('IR data'!$H$4:$H$61,MATCH(D587,'IR data'!$H$4:$H$61,1)+1)-INDEX('IR data'!$H$4:$H$61,MATCH(D587,'IR data'!$H$4:$H$61,1))))) * (INDEX('IR data'!$I$4:$I$61,MATCH(D587,'IR data'!$H$4:$H$61,1))-(INDEX('IR data'!$I$4:$I$61,MATCH(D587,'IR data'!$H$4:$H$61,1)+1)))))</f>
        <v>0.92427189824175826</v>
      </c>
      <c r="F587" s="30">
        <f t="shared" si="58"/>
        <v>2.1375156964956742E-2</v>
      </c>
      <c r="G587" s="45">
        <f t="shared" si="54"/>
        <v>45969</v>
      </c>
      <c r="H587" s="14" cm="1">
        <f t="array" ref="H587">_xlfn.IFNA(INDEX('IR data'!$N$4:$N$61,MATCH(G587,'IR data'!$M$4:$M$61,0)),((INDEX('IR data'!$N$4:$N$61,MATCH(G587,'IR data'!$M$4:$M$61,1)))-((G587-(INDEX('IR data'!$M$4:$M$61,MATCH(G587,'IR data'!$M$4:$M$61,1))))/((INDEX('IR data'!$M$4:$M$61,MATCH(G587,'IR data'!$M$4:$M$61,1)+1)-INDEX('IR data'!$M$4:$M$61,MATCH(G587,'IR data'!$M$4:$M$61,1))))) * (INDEX('IR data'!$N$4:$N$61,MATCH(G587,'IR data'!$M$4:$M$61,1))-(INDEX('IR data'!$N$4:$N$61,MATCH(G587,'IR data'!$M$4:$M$61,1)+1)))))</f>
        <v>0.92370554114285719</v>
      </c>
      <c r="I587" s="44">
        <f t="shared" si="59"/>
        <v>2.1541531946935869E-2</v>
      </c>
    </row>
    <row r="588" spans="1:9" x14ac:dyDescent="0.25">
      <c r="A588" s="45">
        <f t="shared" si="55"/>
        <v>45876</v>
      </c>
      <c r="B588" s="14" cm="1">
        <f t="array" ref="B588">_xlfn.IFNA(INDEX('IR data'!$D$4:$D$61,MATCH(A588,'IR data'!$C$4:$C$61,0)),((INDEX('IR data'!$D$4:$D$61,MATCH(A588,'IR data'!$C$4:$C$61,1)))-((A588-(INDEX('IR data'!$C$4:$C$61,MATCH(A588,'IR data'!$C$4:$C$61,1))))/((INDEX('IR data'!$C$4:$C$61,MATCH(A588,'IR data'!$C$4:$C$61,1)+1)-INDEX('IR data'!$C$4:$C$61,MATCH(A588,'IR data'!$C$4:$C$61,1))))) * (INDEX('IR data'!$D$4:$D$61,MATCH(A588,'IR data'!$C$4:$C$61,1))-(INDEX('IR data'!$D$4:$D$61,MATCH(A588,'IR data'!$C$4:$C$61,1)+1)))))</f>
        <v>0.92959651547826083</v>
      </c>
      <c r="C588" s="30">
        <f t="shared" si="56"/>
        <v>1.9782072132865144E-2</v>
      </c>
      <c r="D588" s="45">
        <f t="shared" si="57"/>
        <v>45936</v>
      </c>
      <c r="E588" s="14" cm="1">
        <f t="array" ref="E588">_xlfn.IFNA(INDEX('IR data'!$I$4:$I$61,MATCH(D588,'IR data'!$H$4:$H$61,0)),((INDEX('IR data'!$I$4:$I$61,MATCH(D588,'IR data'!$H$4:$H$61,1)))-((D588-(INDEX('IR data'!$H$4:$H$61,MATCH(D588,'IR data'!$H$4:$H$61,1))))/((INDEX('IR data'!$H$4:$H$61,MATCH(D588,'IR data'!$H$4:$H$61,1)+1)-INDEX('IR data'!$H$4:$H$61,MATCH(D588,'IR data'!$H$4:$H$61,1))))) * (INDEX('IR data'!$I$4:$I$61,MATCH(D588,'IR data'!$H$4:$H$61,1))-(INDEX('IR data'!$I$4:$I$61,MATCH(D588,'IR data'!$H$4:$H$61,1)+1)))))</f>
        <v>0.92416874960439566</v>
      </c>
      <c r="F588" s="30">
        <f t="shared" si="58"/>
        <v>2.1368860150261001E-2</v>
      </c>
      <c r="G588" s="45">
        <f t="shared" si="54"/>
        <v>45970</v>
      </c>
      <c r="H588" s="14" cm="1">
        <f t="array" ref="H588">_xlfn.IFNA(INDEX('IR data'!$N$4:$N$61,MATCH(G588,'IR data'!$M$4:$M$61,0)),((INDEX('IR data'!$N$4:$N$61,MATCH(G588,'IR data'!$M$4:$M$61,1)))-((G588-(INDEX('IR data'!$M$4:$M$61,MATCH(G588,'IR data'!$M$4:$M$61,1))))/((INDEX('IR data'!$M$4:$M$61,MATCH(G588,'IR data'!$M$4:$M$61,1)+1)-INDEX('IR data'!$M$4:$M$61,MATCH(G588,'IR data'!$M$4:$M$61,1))))) * (INDEX('IR data'!$N$4:$N$61,MATCH(G588,'IR data'!$M$4:$M$61,1))-(INDEX('IR data'!$N$4:$N$61,MATCH(G588,'IR data'!$M$4:$M$61,1)+1)))))</f>
        <v>0.92359870057142857</v>
      </c>
      <c r="I588" s="44">
        <f t="shared" si="59"/>
        <v>2.1536052430140409E-2</v>
      </c>
    </row>
    <row r="589" spans="1:9" x14ac:dyDescent="0.25">
      <c r="A589" s="45">
        <f t="shared" si="55"/>
        <v>45877</v>
      </c>
      <c r="B589" s="14" cm="1">
        <f t="array" ref="B589">_xlfn.IFNA(INDEX('IR data'!$D$4:$D$61,MATCH(A589,'IR data'!$C$4:$C$61,0)),((INDEX('IR data'!$D$4:$D$61,MATCH(A589,'IR data'!$C$4:$C$61,1)))-((A589-(INDEX('IR data'!$C$4:$C$61,MATCH(A589,'IR data'!$C$4:$C$61,1))))/((INDEX('IR data'!$C$4:$C$61,MATCH(A589,'IR data'!$C$4:$C$61,1)+1)-INDEX('IR data'!$C$4:$C$61,MATCH(A589,'IR data'!$C$4:$C$61,1))))) * (INDEX('IR data'!$D$4:$D$61,MATCH(A589,'IR data'!$C$4:$C$61,1))-(INDEX('IR data'!$D$4:$D$61,MATCH(A589,'IR data'!$C$4:$C$61,1)+1)))))</f>
        <v>0.92950843443478259</v>
      </c>
      <c r="C589" s="30">
        <f t="shared" si="56"/>
        <v>1.9773946661406507E-2</v>
      </c>
      <c r="D589" s="45">
        <f t="shared" si="57"/>
        <v>45937</v>
      </c>
      <c r="E589" s="14" cm="1">
        <f t="array" ref="E589">_xlfn.IFNA(INDEX('IR data'!$I$4:$I$61,MATCH(D589,'IR data'!$H$4:$H$61,0)),((INDEX('IR data'!$I$4:$I$61,MATCH(D589,'IR data'!$H$4:$H$61,1)))-((D589-(INDEX('IR data'!$H$4:$H$61,MATCH(D589,'IR data'!$H$4:$H$61,1))))/((INDEX('IR data'!$H$4:$H$61,MATCH(D589,'IR data'!$H$4:$H$61,1)+1)-INDEX('IR data'!$H$4:$H$61,MATCH(D589,'IR data'!$H$4:$H$61,1))))) * (INDEX('IR data'!$I$4:$I$61,MATCH(D589,'IR data'!$H$4:$H$61,1))-(INDEX('IR data'!$I$4:$I$61,MATCH(D589,'IR data'!$H$4:$H$61,1)+1)))))</f>
        <v>0.92406560096703294</v>
      </c>
      <c r="F589" s="30">
        <f t="shared" si="58"/>
        <v>2.1362588196199413E-2</v>
      </c>
      <c r="G589" s="45">
        <f t="shared" si="54"/>
        <v>45971</v>
      </c>
      <c r="H589" s="14" cm="1">
        <f t="array" ref="H589">_xlfn.IFNA(INDEX('IR data'!$N$4:$N$61,MATCH(G589,'IR data'!$M$4:$M$61,0)),((INDEX('IR data'!$N$4:$N$61,MATCH(G589,'IR data'!$M$4:$M$61,1)))-((G589-(INDEX('IR data'!$M$4:$M$61,MATCH(G589,'IR data'!$M$4:$M$61,1))))/((INDEX('IR data'!$M$4:$M$61,MATCH(G589,'IR data'!$M$4:$M$61,1)+1)-INDEX('IR data'!$M$4:$M$61,MATCH(G589,'IR data'!$M$4:$M$61,1))))) * (INDEX('IR data'!$N$4:$N$61,MATCH(G589,'IR data'!$M$4:$M$61,1))-(INDEX('IR data'!$N$4:$N$61,MATCH(G589,'IR data'!$M$4:$M$61,1)+1)))))</f>
        <v>0.92349186000000005</v>
      </c>
      <c r="I589" s="44">
        <f t="shared" si="59"/>
        <v>2.1530595234573804E-2</v>
      </c>
    </row>
    <row r="590" spans="1:9" x14ac:dyDescent="0.25">
      <c r="A590" s="45">
        <f t="shared" si="55"/>
        <v>45878</v>
      </c>
      <c r="B590" s="14" cm="1">
        <f t="array" ref="B590">_xlfn.IFNA(INDEX('IR data'!$D$4:$D$61,MATCH(A590,'IR data'!$C$4:$C$61,0)),((INDEX('IR data'!$D$4:$D$61,MATCH(A590,'IR data'!$C$4:$C$61,1)))-((A590-(INDEX('IR data'!$C$4:$C$61,MATCH(A590,'IR data'!$C$4:$C$61,1))))/((INDEX('IR data'!$C$4:$C$61,MATCH(A590,'IR data'!$C$4:$C$61,1)+1)-INDEX('IR data'!$C$4:$C$61,MATCH(A590,'IR data'!$C$4:$C$61,1))))) * (INDEX('IR data'!$D$4:$D$61,MATCH(A590,'IR data'!$C$4:$C$61,1))-(INDEX('IR data'!$D$4:$D$61,MATCH(A590,'IR data'!$C$4:$C$61,1)+1)))))</f>
        <v>0.92942035339130435</v>
      </c>
      <c r="C590" s="30">
        <f t="shared" si="56"/>
        <v>1.976585129960819E-2</v>
      </c>
      <c r="D590" s="45">
        <f t="shared" si="57"/>
        <v>45938</v>
      </c>
      <c r="E590" s="14" cm="1">
        <f t="array" ref="E590">_xlfn.IFNA(INDEX('IR data'!$I$4:$I$61,MATCH(D590,'IR data'!$H$4:$H$61,0)),((INDEX('IR data'!$I$4:$I$61,MATCH(D590,'IR data'!$H$4:$H$61,1)))-((D590-(INDEX('IR data'!$H$4:$H$61,MATCH(D590,'IR data'!$H$4:$H$61,1))))/((INDEX('IR data'!$H$4:$H$61,MATCH(D590,'IR data'!$H$4:$H$61,1)+1)-INDEX('IR data'!$H$4:$H$61,MATCH(D590,'IR data'!$H$4:$H$61,1))))) * (INDEX('IR data'!$I$4:$I$61,MATCH(D590,'IR data'!$H$4:$H$61,1))-(INDEX('IR data'!$I$4:$I$61,MATCH(D590,'IR data'!$H$4:$H$61,1)+1)))))</f>
        <v>0.92396245232967034</v>
      </c>
      <c r="F590" s="30">
        <f t="shared" si="58"/>
        <v>2.1356340976466926E-2</v>
      </c>
      <c r="G590" s="45">
        <f t="shared" si="54"/>
        <v>45972</v>
      </c>
      <c r="H590" s="14" cm="1">
        <f t="array" ref="H590">_xlfn.IFNA(INDEX('IR data'!$N$4:$N$61,MATCH(G590,'IR data'!$M$4:$M$61,0)),((INDEX('IR data'!$N$4:$N$61,MATCH(G590,'IR data'!$M$4:$M$61,1)))-((G590-(INDEX('IR data'!$M$4:$M$61,MATCH(G590,'IR data'!$M$4:$M$61,1))))/((INDEX('IR data'!$M$4:$M$61,MATCH(G590,'IR data'!$M$4:$M$61,1)+1)-INDEX('IR data'!$M$4:$M$61,MATCH(G590,'IR data'!$M$4:$M$61,1))))) * (INDEX('IR data'!$N$4:$N$61,MATCH(G590,'IR data'!$M$4:$M$61,1))-(INDEX('IR data'!$N$4:$N$61,MATCH(G590,'IR data'!$M$4:$M$61,1)+1)))))</f>
        <v>0.92338501942857143</v>
      </c>
      <c r="I590" s="44">
        <f t="shared" si="59"/>
        <v>2.1525160246994472E-2</v>
      </c>
    </row>
    <row r="591" spans="1:9" x14ac:dyDescent="0.25">
      <c r="A591" s="45">
        <f t="shared" si="55"/>
        <v>45879</v>
      </c>
      <c r="B591" s="14" cm="1">
        <f t="array" ref="B591">_xlfn.IFNA(INDEX('IR data'!$D$4:$D$61,MATCH(A591,'IR data'!$C$4:$C$61,0)),((INDEX('IR data'!$D$4:$D$61,MATCH(A591,'IR data'!$C$4:$C$61,1)))-((A591-(INDEX('IR data'!$C$4:$C$61,MATCH(A591,'IR data'!$C$4:$C$61,1))))/((INDEX('IR data'!$C$4:$C$61,MATCH(A591,'IR data'!$C$4:$C$61,1)+1)-INDEX('IR data'!$C$4:$C$61,MATCH(A591,'IR data'!$C$4:$C$61,1))))) * (INDEX('IR data'!$D$4:$D$61,MATCH(A591,'IR data'!$C$4:$C$61,1))-(INDEX('IR data'!$D$4:$D$61,MATCH(A591,'IR data'!$C$4:$C$61,1)+1)))))</f>
        <v>0.92933227234782612</v>
      </c>
      <c r="C591" s="30">
        <f t="shared" si="56"/>
        <v>1.9757785894308329E-2</v>
      </c>
      <c r="D591" s="45">
        <f t="shared" si="57"/>
        <v>45939</v>
      </c>
      <c r="E591" s="14" cm="1">
        <f t="array" ref="E591">_xlfn.IFNA(INDEX('IR data'!$I$4:$I$61,MATCH(D591,'IR data'!$H$4:$H$61,0)),((INDEX('IR data'!$I$4:$I$61,MATCH(D591,'IR data'!$H$4:$H$61,1)))-((D591-(INDEX('IR data'!$H$4:$H$61,MATCH(D591,'IR data'!$H$4:$H$61,1))))/((INDEX('IR data'!$H$4:$H$61,MATCH(D591,'IR data'!$H$4:$H$61,1)+1)-INDEX('IR data'!$H$4:$H$61,MATCH(D591,'IR data'!$H$4:$H$61,1))))) * (INDEX('IR data'!$I$4:$I$61,MATCH(D591,'IR data'!$H$4:$H$61,1))-(INDEX('IR data'!$I$4:$I$61,MATCH(D591,'IR data'!$H$4:$H$61,1)+1)))))</f>
        <v>0.92385930369230773</v>
      </c>
      <c r="F591" s="30">
        <f t="shared" si="58"/>
        <v>2.1350118365618058E-2</v>
      </c>
      <c r="G591" s="45">
        <f t="shared" si="54"/>
        <v>45973</v>
      </c>
      <c r="H591" s="14" cm="1">
        <f t="array" ref="H591">_xlfn.IFNA(INDEX('IR data'!$N$4:$N$61,MATCH(G591,'IR data'!$M$4:$M$61,0)),((INDEX('IR data'!$N$4:$N$61,MATCH(G591,'IR data'!$M$4:$M$61,1)))-((G591-(INDEX('IR data'!$M$4:$M$61,MATCH(G591,'IR data'!$M$4:$M$61,1))))/((INDEX('IR data'!$M$4:$M$61,MATCH(G591,'IR data'!$M$4:$M$61,1)+1)-INDEX('IR data'!$M$4:$M$61,MATCH(G591,'IR data'!$M$4:$M$61,1))))) * (INDEX('IR data'!$N$4:$N$61,MATCH(G591,'IR data'!$M$4:$M$61,1))-(INDEX('IR data'!$N$4:$N$61,MATCH(G591,'IR data'!$M$4:$M$61,1)+1)))))</f>
        <v>0.92327817885714281</v>
      </c>
      <c r="I591" s="44">
        <f t="shared" si="59"/>
        <v>2.1519747354931371E-2</v>
      </c>
    </row>
    <row r="592" spans="1:9" x14ac:dyDescent="0.25">
      <c r="A592" s="45">
        <f t="shared" si="55"/>
        <v>45880</v>
      </c>
      <c r="B592" s="14" cm="1">
        <f t="array" ref="B592">_xlfn.IFNA(INDEX('IR data'!$D$4:$D$61,MATCH(A592,'IR data'!$C$4:$C$61,0)),((INDEX('IR data'!$D$4:$D$61,MATCH(A592,'IR data'!$C$4:$C$61,1)))-((A592-(INDEX('IR data'!$C$4:$C$61,MATCH(A592,'IR data'!$C$4:$C$61,1))))/((INDEX('IR data'!$C$4:$C$61,MATCH(A592,'IR data'!$C$4:$C$61,1)+1)-INDEX('IR data'!$C$4:$C$61,MATCH(A592,'IR data'!$C$4:$C$61,1))))) * (INDEX('IR data'!$D$4:$D$61,MATCH(A592,'IR data'!$C$4:$C$61,1))-(INDEX('IR data'!$D$4:$D$61,MATCH(A592,'IR data'!$C$4:$C$61,1)+1)))))</f>
        <v>0.92924419130434777</v>
      </c>
      <c r="C592" s="30">
        <f t="shared" si="56"/>
        <v>1.9749750293385385E-2</v>
      </c>
      <c r="D592" s="45">
        <f t="shared" si="57"/>
        <v>45940</v>
      </c>
      <c r="E592" s="14" cm="1">
        <f t="array" ref="E592">_xlfn.IFNA(INDEX('IR data'!$I$4:$I$61,MATCH(D592,'IR data'!$H$4:$H$61,0)),((INDEX('IR data'!$I$4:$I$61,MATCH(D592,'IR data'!$H$4:$H$61,1)))-((D592-(INDEX('IR data'!$H$4:$H$61,MATCH(D592,'IR data'!$H$4:$H$61,1))))/((INDEX('IR data'!$H$4:$H$61,MATCH(D592,'IR data'!$H$4:$H$61,1)+1)-INDEX('IR data'!$H$4:$H$61,MATCH(D592,'IR data'!$H$4:$H$61,1))))) * (INDEX('IR data'!$I$4:$I$61,MATCH(D592,'IR data'!$H$4:$H$61,1))-(INDEX('IR data'!$I$4:$I$61,MATCH(D592,'IR data'!$H$4:$H$61,1)+1)))))</f>
        <v>0.92375615505494502</v>
      </c>
      <c r="F592" s="30">
        <f t="shared" si="58"/>
        <v>2.13439202390595E-2</v>
      </c>
      <c r="G592" s="45">
        <f t="shared" si="54"/>
        <v>45974</v>
      </c>
      <c r="H592" s="14" cm="1">
        <f t="array" ref="H592">_xlfn.IFNA(INDEX('IR data'!$N$4:$N$61,MATCH(G592,'IR data'!$M$4:$M$61,0)),((INDEX('IR data'!$N$4:$N$61,MATCH(G592,'IR data'!$M$4:$M$61,1)))-((G592-(INDEX('IR data'!$M$4:$M$61,MATCH(G592,'IR data'!$M$4:$M$61,1))))/((INDEX('IR data'!$M$4:$M$61,MATCH(G592,'IR data'!$M$4:$M$61,1)+1)-INDEX('IR data'!$M$4:$M$61,MATCH(G592,'IR data'!$M$4:$M$61,1))))) * (INDEX('IR data'!$N$4:$N$61,MATCH(G592,'IR data'!$M$4:$M$61,1))-(INDEX('IR data'!$N$4:$N$61,MATCH(G592,'IR data'!$M$4:$M$61,1)+1)))))</f>
        <v>0.92317133828571429</v>
      </c>
      <c r="I592" s="44">
        <f t="shared" si="59"/>
        <v>2.1514356446677572E-2</v>
      </c>
    </row>
    <row r="593" spans="1:9" x14ac:dyDescent="0.25">
      <c r="A593" s="45">
        <f t="shared" si="55"/>
        <v>45881</v>
      </c>
      <c r="B593" s="14" cm="1">
        <f t="array" ref="B593">_xlfn.IFNA(INDEX('IR data'!$D$4:$D$61,MATCH(A593,'IR data'!$C$4:$C$61,0)),((INDEX('IR data'!$D$4:$D$61,MATCH(A593,'IR data'!$C$4:$C$61,1)))-((A593-(INDEX('IR data'!$C$4:$C$61,MATCH(A593,'IR data'!$C$4:$C$61,1))))/((INDEX('IR data'!$C$4:$C$61,MATCH(A593,'IR data'!$C$4:$C$61,1)+1)-INDEX('IR data'!$C$4:$C$61,MATCH(A593,'IR data'!$C$4:$C$61,1))))) * (INDEX('IR data'!$D$4:$D$61,MATCH(A593,'IR data'!$C$4:$C$61,1))-(INDEX('IR data'!$D$4:$D$61,MATCH(A593,'IR data'!$C$4:$C$61,1)+1)))))</f>
        <v>0.92915611026086953</v>
      </c>
      <c r="C593" s="30">
        <f t="shared" si="56"/>
        <v>1.9741744345749178E-2</v>
      </c>
      <c r="D593" s="45">
        <f t="shared" si="57"/>
        <v>45941</v>
      </c>
      <c r="E593" s="14" cm="1">
        <f t="array" ref="E593">_xlfn.IFNA(INDEX('IR data'!$I$4:$I$61,MATCH(D593,'IR data'!$H$4:$H$61,0)),((INDEX('IR data'!$I$4:$I$61,MATCH(D593,'IR data'!$H$4:$H$61,1)))-((D593-(INDEX('IR data'!$H$4:$H$61,MATCH(D593,'IR data'!$H$4:$H$61,1))))/((INDEX('IR data'!$H$4:$H$61,MATCH(D593,'IR data'!$H$4:$H$61,1)+1)-INDEX('IR data'!$H$4:$H$61,MATCH(D593,'IR data'!$H$4:$H$61,1))))) * (INDEX('IR data'!$I$4:$I$61,MATCH(D593,'IR data'!$H$4:$H$61,1))-(INDEX('IR data'!$I$4:$I$61,MATCH(D593,'IR data'!$H$4:$H$61,1)+1)))))</f>
        <v>0.92365300641758241</v>
      </c>
      <c r="F593" s="30">
        <f t="shared" si="58"/>
        <v>2.1337746473042794E-2</v>
      </c>
      <c r="G593" s="45">
        <f t="shared" si="54"/>
        <v>45975</v>
      </c>
      <c r="H593" s="14" cm="1">
        <f t="array" ref="H593">_xlfn.IFNA(INDEX('IR data'!$N$4:$N$61,MATCH(G593,'IR data'!$M$4:$M$61,0)),((INDEX('IR data'!$N$4:$N$61,MATCH(G593,'IR data'!$M$4:$M$61,1)))-((G593-(INDEX('IR data'!$M$4:$M$61,MATCH(G593,'IR data'!$M$4:$M$61,1))))/((INDEX('IR data'!$M$4:$M$61,MATCH(G593,'IR data'!$M$4:$M$61,1)+1)-INDEX('IR data'!$M$4:$M$61,MATCH(G593,'IR data'!$M$4:$M$61,1))))) * (INDEX('IR data'!$N$4:$N$61,MATCH(G593,'IR data'!$M$4:$M$61,1))-(INDEX('IR data'!$N$4:$N$61,MATCH(G593,'IR data'!$M$4:$M$61,1)+1)))))</f>
        <v>0.92306449771428567</v>
      </c>
      <c r="I593" s="44">
        <f t="shared" si="59"/>
        <v>2.1508987411283858E-2</v>
      </c>
    </row>
    <row r="594" spans="1:9" x14ac:dyDescent="0.25">
      <c r="A594" s="45">
        <f t="shared" si="55"/>
        <v>45882</v>
      </c>
      <c r="B594" s="14" cm="1">
        <f t="array" ref="B594">_xlfn.IFNA(INDEX('IR data'!$D$4:$D$61,MATCH(A594,'IR data'!$C$4:$C$61,0)),((INDEX('IR data'!$D$4:$D$61,MATCH(A594,'IR data'!$C$4:$C$61,1)))-((A594-(INDEX('IR data'!$C$4:$C$61,MATCH(A594,'IR data'!$C$4:$C$61,1))))/((INDEX('IR data'!$C$4:$C$61,MATCH(A594,'IR data'!$C$4:$C$61,1)+1)-INDEX('IR data'!$C$4:$C$61,MATCH(A594,'IR data'!$C$4:$C$61,1))))) * (INDEX('IR data'!$D$4:$D$61,MATCH(A594,'IR data'!$C$4:$C$61,1))-(INDEX('IR data'!$D$4:$D$61,MATCH(A594,'IR data'!$C$4:$C$61,1)+1)))))</f>
        <v>0.92906802921739129</v>
      </c>
      <c r="C594" s="30">
        <f t="shared" si="56"/>
        <v>1.9733767901332359E-2</v>
      </c>
      <c r="D594" s="45">
        <f t="shared" si="57"/>
        <v>45942</v>
      </c>
      <c r="E594" s="14" cm="1">
        <f t="array" ref="E594">_xlfn.IFNA(INDEX('IR data'!$I$4:$I$61,MATCH(D594,'IR data'!$H$4:$H$61,0)),((INDEX('IR data'!$I$4:$I$61,MATCH(D594,'IR data'!$H$4:$H$61,1)))-((D594-(INDEX('IR data'!$H$4:$H$61,MATCH(D594,'IR data'!$H$4:$H$61,1))))/((INDEX('IR data'!$H$4:$H$61,MATCH(D594,'IR data'!$H$4:$H$61,1)+1)-INDEX('IR data'!$H$4:$H$61,MATCH(D594,'IR data'!$H$4:$H$61,1))))) * (INDEX('IR data'!$I$4:$I$61,MATCH(D594,'IR data'!$H$4:$H$61,1))-(INDEX('IR data'!$I$4:$I$61,MATCH(D594,'IR data'!$H$4:$H$61,1)+1)))))</f>
        <v>0.92354985778021981</v>
      </c>
      <c r="F594" s="30">
        <f t="shared" si="58"/>
        <v>2.1331596944657381E-2</v>
      </c>
      <c r="G594" s="45">
        <f t="shared" si="54"/>
        <v>45976</v>
      </c>
      <c r="H594" s="14" cm="1">
        <f t="array" ref="H594">_xlfn.IFNA(INDEX('IR data'!$N$4:$N$61,MATCH(G594,'IR data'!$M$4:$M$61,0)),((INDEX('IR data'!$N$4:$N$61,MATCH(G594,'IR data'!$M$4:$M$61,1)))-((G594-(INDEX('IR data'!$M$4:$M$61,MATCH(G594,'IR data'!$M$4:$M$61,1))))/((INDEX('IR data'!$M$4:$M$61,MATCH(G594,'IR data'!$M$4:$M$61,1)+1)-INDEX('IR data'!$M$4:$M$61,MATCH(G594,'IR data'!$M$4:$M$61,1))))) * (INDEX('IR data'!$N$4:$N$61,MATCH(G594,'IR data'!$M$4:$M$61,1))-(INDEX('IR data'!$N$4:$N$61,MATCH(G594,'IR data'!$M$4:$M$61,1)+1)))))</f>
        <v>0.92295765714285716</v>
      </c>
      <c r="I594" s="44">
        <f t="shared" si="59"/>
        <v>2.1503640138552105E-2</v>
      </c>
    </row>
    <row r="595" spans="1:9" x14ac:dyDescent="0.25">
      <c r="A595" s="45">
        <f t="shared" si="55"/>
        <v>45883</v>
      </c>
      <c r="B595" s="14" cm="1">
        <f t="array" ref="B595">_xlfn.IFNA(INDEX('IR data'!$D$4:$D$61,MATCH(A595,'IR data'!$C$4:$C$61,0)),((INDEX('IR data'!$D$4:$D$61,MATCH(A595,'IR data'!$C$4:$C$61,1)))-((A595-(INDEX('IR data'!$C$4:$C$61,MATCH(A595,'IR data'!$C$4:$C$61,1))))/((INDEX('IR data'!$C$4:$C$61,MATCH(A595,'IR data'!$C$4:$C$61,1)+1)-INDEX('IR data'!$C$4:$C$61,MATCH(A595,'IR data'!$C$4:$C$61,1))))) * (INDEX('IR data'!$D$4:$D$61,MATCH(A595,'IR data'!$C$4:$C$61,1))-(INDEX('IR data'!$D$4:$D$61,MATCH(A595,'IR data'!$C$4:$C$61,1)+1)))))</f>
        <v>0.92897994817391305</v>
      </c>
      <c r="C595" s="30">
        <f t="shared" si="56"/>
        <v>1.9725820811081641E-2</v>
      </c>
      <c r="D595" s="45">
        <f t="shared" si="57"/>
        <v>45943</v>
      </c>
      <c r="E595" s="14" cm="1">
        <f t="array" ref="E595">_xlfn.IFNA(INDEX('IR data'!$I$4:$I$61,MATCH(D595,'IR data'!$H$4:$H$61,0)),((INDEX('IR data'!$I$4:$I$61,MATCH(D595,'IR data'!$H$4:$H$61,1)))-((D595-(INDEX('IR data'!$H$4:$H$61,MATCH(D595,'IR data'!$H$4:$H$61,1))))/((INDEX('IR data'!$H$4:$H$61,MATCH(D595,'IR data'!$H$4:$H$61,1)+1)-INDEX('IR data'!$H$4:$H$61,MATCH(D595,'IR data'!$H$4:$H$61,1))))) * (INDEX('IR data'!$I$4:$I$61,MATCH(D595,'IR data'!$H$4:$H$61,1))-(INDEX('IR data'!$I$4:$I$61,MATCH(D595,'IR data'!$H$4:$H$61,1)+1)))))</f>
        <v>0.92344670914285709</v>
      </c>
      <c r="F595" s="30">
        <f t="shared" si="58"/>
        <v>2.1325471531823435E-2</v>
      </c>
      <c r="G595" s="45">
        <f t="shared" si="54"/>
        <v>45977</v>
      </c>
      <c r="H595" s="14" cm="1">
        <f t="array" ref="H595">_xlfn.IFNA(INDEX('IR data'!$N$4:$N$61,MATCH(G595,'IR data'!$M$4:$M$61,0)),((INDEX('IR data'!$N$4:$N$61,MATCH(G595,'IR data'!$M$4:$M$61,1)))-((G595-(INDEX('IR data'!$M$4:$M$61,MATCH(G595,'IR data'!$M$4:$M$61,1))))/((INDEX('IR data'!$M$4:$M$61,MATCH(G595,'IR data'!$M$4:$M$61,1)+1)-INDEX('IR data'!$M$4:$M$61,MATCH(G595,'IR data'!$M$4:$M$61,1))))) * (INDEX('IR data'!$N$4:$N$61,MATCH(G595,'IR data'!$M$4:$M$61,1))-(INDEX('IR data'!$N$4:$N$61,MATCH(G595,'IR data'!$M$4:$M$61,1)+1)))))</f>
        <v>0.92285081657142853</v>
      </c>
      <c r="I595" s="44">
        <f t="shared" si="59"/>
        <v>2.1498314519029171E-2</v>
      </c>
    </row>
    <row r="596" spans="1:9" x14ac:dyDescent="0.25">
      <c r="A596" s="45">
        <f t="shared" si="55"/>
        <v>45884</v>
      </c>
      <c r="B596" s="14" cm="1">
        <f t="array" ref="B596">_xlfn.IFNA(INDEX('IR data'!$D$4:$D$61,MATCH(A596,'IR data'!$C$4:$C$61,0)),((INDEX('IR data'!$D$4:$D$61,MATCH(A596,'IR data'!$C$4:$C$61,1)))-((A596-(INDEX('IR data'!$C$4:$C$61,MATCH(A596,'IR data'!$C$4:$C$61,1))))/((INDEX('IR data'!$C$4:$C$61,MATCH(A596,'IR data'!$C$4:$C$61,1)+1)-INDEX('IR data'!$C$4:$C$61,MATCH(A596,'IR data'!$C$4:$C$61,1))))) * (INDEX('IR data'!$D$4:$D$61,MATCH(A596,'IR data'!$C$4:$C$61,1))-(INDEX('IR data'!$D$4:$D$61,MATCH(A596,'IR data'!$C$4:$C$61,1)+1)))))</f>
        <v>0.92889186713043481</v>
      </c>
      <c r="C596" s="30">
        <f t="shared" si="56"/>
        <v>1.9717902926949301E-2</v>
      </c>
      <c r="D596" s="45">
        <f t="shared" si="57"/>
        <v>45944</v>
      </c>
      <c r="E596" s="14" cm="1">
        <f t="array" ref="E596">_xlfn.IFNA(INDEX('IR data'!$I$4:$I$61,MATCH(D596,'IR data'!$H$4:$H$61,0)),((INDEX('IR data'!$I$4:$I$61,MATCH(D596,'IR data'!$H$4:$H$61,1)))-((D596-(INDEX('IR data'!$H$4:$H$61,MATCH(D596,'IR data'!$H$4:$H$61,1))))/((INDEX('IR data'!$H$4:$H$61,MATCH(D596,'IR data'!$H$4:$H$61,1)+1)-INDEX('IR data'!$H$4:$H$61,MATCH(D596,'IR data'!$H$4:$H$61,1))))) * (INDEX('IR data'!$I$4:$I$61,MATCH(D596,'IR data'!$H$4:$H$61,1))-(INDEX('IR data'!$I$4:$I$61,MATCH(D596,'IR data'!$H$4:$H$61,1)+1)))))</f>
        <v>0.92334356050549449</v>
      </c>
      <c r="F596" s="30">
        <f t="shared" si="58"/>
        <v>2.1319370113284743E-2</v>
      </c>
      <c r="G596" s="45">
        <f t="shared" si="54"/>
        <v>45978</v>
      </c>
      <c r="H596" s="14" cm="1">
        <f t="array" ref="H596">_xlfn.IFNA(INDEX('IR data'!$N$4:$N$61,MATCH(G596,'IR data'!$M$4:$M$61,0)),((INDEX('IR data'!$N$4:$N$61,MATCH(G596,'IR data'!$M$4:$M$61,1)))-((G596-(INDEX('IR data'!$M$4:$M$61,MATCH(G596,'IR data'!$M$4:$M$61,1))))/((INDEX('IR data'!$M$4:$M$61,MATCH(G596,'IR data'!$M$4:$M$61,1)+1)-INDEX('IR data'!$M$4:$M$61,MATCH(G596,'IR data'!$M$4:$M$61,1))))) * (INDEX('IR data'!$N$4:$N$61,MATCH(G596,'IR data'!$M$4:$M$61,1))-(INDEX('IR data'!$N$4:$N$61,MATCH(G596,'IR data'!$M$4:$M$61,1)+1)))))</f>
        <v>0.92274397600000002</v>
      </c>
      <c r="I596" s="44">
        <f t="shared" si="59"/>
        <v>2.1493010444000388E-2</v>
      </c>
    </row>
    <row r="597" spans="1:9" x14ac:dyDescent="0.25">
      <c r="A597" s="45">
        <f t="shared" si="55"/>
        <v>45885</v>
      </c>
      <c r="B597" s="14" cm="1">
        <f t="array" ref="B597">_xlfn.IFNA(INDEX('IR data'!$D$4:$D$61,MATCH(A597,'IR data'!$C$4:$C$61,0)),((INDEX('IR data'!$D$4:$D$61,MATCH(A597,'IR data'!$C$4:$C$61,1)))-((A597-(INDEX('IR data'!$C$4:$C$61,MATCH(A597,'IR data'!$C$4:$C$61,1))))/((INDEX('IR data'!$C$4:$C$61,MATCH(A597,'IR data'!$C$4:$C$61,1)+1)-INDEX('IR data'!$C$4:$C$61,MATCH(A597,'IR data'!$C$4:$C$61,1))))) * (INDEX('IR data'!$D$4:$D$61,MATCH(A597,'IR data'!$C$4:$C$61,1))-(INDEX('IR data'!$D$4:$D$61,MATCH(A597,'IR data'!$C$4:$C$61,1)+1)))))</f>
        <v>0.92880378608695646</v>
      </c>
      <c r="C597" s="30">
        <f t="shared" si="56"/>
        <v>1.9710014101884717E-2</v>
      </c>
      <c r="D597" s="45">
        <f t="shared" si="57"/>
        <v>45945</v>
      </c>
      <c r="E597" s="14" cm="1">
        <f t="array" ref="E597">_xlfn.IFNA(INDEX('IR data'!$I$4:$I$61,MATCH(D597,'IR data'!$H$4:$H$61,0)),((INDEX('IR data'!$I$4:$I$61,MATCH(D597,'IR data'!$H$4:$H$61,1)))-((D597-(INDEX('IR data'!$H$4:$H$61,MATCH(D597,'IR data'!$H$4:$H$61,1))))/((INDEX('IR data'!$H$4:$H$61,MATCH(D597,'IR data'!$H$4:$H$61,1)+1)-INDEX('IR data'!$H$4:$H$61,MATCH(D597,'IR data'!$H$4:$H$61,1))))) * (INDEX('IR data'!$I$4:$I$61,MATCH(D597,'IR data'!$H$4:$H$61,1))-(INDEX('IR data'!$I$4:$I$61,MATCH(D597,'IR data'!$H$4:$H$61,1)+1)))))</f>
        <v>0.92324041186813188</v>
      </c>
      <c r="F597" s="30">
        <f t="shared" si="58"/>
        <v>2.1313292568601996E-2</v>
      </c>
      <c r="G597" s="45">
        <f t="shared" si="54"/>
        <v>45979</v>
      </c>
      <c r="H597" s="14" cm="1">
        <f t="array" ref="H597">_xlfn.IFNA(INDEX('IR data'!$N$4:$N$61,MATCH(G597,'IR data'!$M$4:$M$61,0)),((INDEX('IR data'!$N$4:$N$61,MATCH(G597,'IR data'!$M$4:$M$61,1)))-((G597-(INDEX('IR data'!$M$4:$M$61,MATCH(G597,'IR data'!$M$4:$M$61,1))))/((INDEX('IR data'!$M$4:$M$61,MATCH(G597,'IR data'!$M$4:$M$61,1)+1)-INDEX('IR data'!$M$4:$M$61,MATCH(G597,'IR data'!$M$4:$M$61,1))))) * (INDEX('IR data'!$N$4:$N$61,MATCH(G597,'IR data'!$M$4:$M$61,1))-(INDEX('IR data'!$N$4:$N$61,MATCH(G597,'IR data'!$M$4:$M$61,1)+1)))))</f>
        <v>0.9226371354285714</v>
      </c>
      <c r="I597" s="44">
        <f t="shared" si="59"/>
        <v>2.1487727805483595E-2</v>
      </c>
    </row>
    <row r="598" spans="1:9" x14ac:dyDescent="0.25">
      <c r="A598" s="45">
        <f t="shared" si="55"/>
        <v>45886</v>
      </c>
      <c r="B598" s="14" cm="1">
        <f t="array" ref="B598">_xlfn.IFNA(INDEX('IR data'!$D$4:$D$61,MATCH(A598,'IR data'!$C$4:$C$61,0)),((INDEX('IR data'!$D$4:$D$61,MATCH(A598,'IR data'!$C$4:$C$61,1)))-((A598-(INDEX('IR data'!$C$4:$C$61,MATCH(A598,'IR data'!$C$4:$C$61,1))))/((INDEX('IR data'!$C$4:$C$61,MATCH(A598,'IR data'!$C$4:$C$61,1)+1)-INDEX('IR data'!$C$4:$C$61,MATCH(A598,'IR data'!$C$4:$C$61,1))))) * (INDEX('IR data'!$D$4:$D$61,MATCH(A598,'IR data'!$C$4:$C$61,1))-(INDEX('IR data'!$D$4:$D$61,MATCH(A598,'IR data'!$C$4:$C$61,1)+1)))))</f>
        <v>0.92871570504347822</v>
      </c>
      <c r="C598" s="30">
        <f t="shared" si="56"/>
        <v>1.970215418982588E-2</v>
      </c>
      <c r="D598" s="45">
        <f t="shared" si="57"/>
        <v>45946</v>
      </c>
      <c r="E598" s="14" cm="1">
        <f t="array" ref="E598">_xlfn.IFNA(INDEX('IR data'!$I$4:$I$61,MATCH(D598,'IR data'!$H$4:$H$61,0)),((INDEX('IR data'!$I$4:$I$61,MATCH(D598,'IR data'!$H$4:$H$61,1)))-((D598-(INDEX('IR data'!$H$4:$H$61,MATCH(D598,'IR data'!$H$4:$H$61,1))))/((INDEX('IR data'!$H$4:$H$61,MATCH(D598,'IR data'!$H$4:$H$61,1)+1)-INDEX('IR data'!$H$4:$H$61,MATCH(D598,'IR data'!$H$4:$H$61,1))))) * (INDEX('IR data'!$I$4:$I$61,MATCH(D598,'IR data'!$H$4:$H$61,1))-(INDEX('IR data'!$I$4:$I$61,MATCH(D598,'IR data'!$H$4:$H$61,1)+1)))))</f>
        <v>0.92313726323076928</v>
      </c>
      <c r="F598" s="30">
        <f t="shared" si="58"/>
        <v>2.1307238778145759E-2</v>
      </c>
      <c r="G598" s="45">
        <f t="shared" si="54"/>
        <v>45980</v>
      </c>
      <c r="H598" s="14" cm="1">
        <f t="array" ref="H598">_xlfn.IFNA(INDEX('IR data'!$N$4:$N$61,MATCH(G598,'IR data'!$M$4:$M$61,0)),((INDEX('IR data'!$N$4:$N$61,MATCH(G598,'IR data'!$M$4:$M$61,1)))-((G598-(INDEX('IR data'!$M$4:$M$61,MATCH(G598,'IR data'!$M$4:$M$61,1))))/((INDEX('IR data'!$M$4:$M$61,MATCH(G598,'IR data'!$M$4:$M$61,1)+1)-INDEX('IR data'!$M$4:$M$61,MATCH(G598,'IR data'!$M$4:$M$61,1))))) * (INDEX('IR data'!$N$4:$N$61,MATCH(G598,'IR data'!$M$4:$M$61,1))-(INDEX('IR data'!$N$4:$N$61,MATCH(G598,'IR data'!$M$4:$M$61,1)+1)))))</f>
        <v>0.92253029485714289</v>
      </c>
      <c r="I598" s="44">
        <f t="shared" si="59"/>
        <v>2.1482466496222704E-2</v>
      </c>
    </row>
    <row r="599" spans="1:9" x14ac:dyDescent="0.25">
      <c r="A599" s="45">
        <f t="shared" si="55"/>
        <v>45887</v>
      </c>
      <c r="B599" s="14" cm="1">
        <f t="array" ref="B599">_xlfn.IFNA(INDEX('IR data'!$D$4:$D$61,MATCH(A599,'IR data'!$C$4:$C$61,0)),((INDEX('IR data'!$D$4:$D$61,MATCH(A599,'IR data'!$C$4:$C$61,1)))-((A599-(INDEX('IR data'!$C$4:$C$61,MATCH(A599,'IR data'!$C$4:$C$61,1))))/((INDEX('IR data'!$C$4:$C$61,MATCH(A599,'IR data'!$C$4:$C$61,1)+1)-INDEX('IR data'!$C$4:$C$61,MATCH(A599,'IR data'!$C$4:$C$61,1))))) * (INDEX('IR data'!$D$4:$D$61,MATCH(A599,'IR data'!$C$4:$C$61,1))-(INDEX('IR data'!$D$4:$D$61,MATCH(A599,'IR data'!$C$4:$C$61,1)+1)))))</f>
        <v>0.92862762399999998</v>
      </c>
      <c r="C599" s="30">
        <f t="shared" si="56"/>
        <v>1.9694323045691294E-2</v>
      </c>
      <c r="D599" s="45">
        <f t="shared" si="57"/>
        <v>45947</v>
      </c>
      <c r="E599" s="14" cm="1">
        <f t="array" ref="E599">_xlfn.IFNA(INDEX('IR data'!$I$4:$I$61,MATCH(D599,'IR data'!$H$4:$H$61,0)),((INDEX('IR data'!$I$4:$I$61,MATCH(D599,'IR data'!$H$4:$H$61,1)))-((D599-(INDEX('IR data'!$H$4:$H$61,MATCH(D599,'IR data'!$H$4:$H$61,1))))/((INDEX('IR data'!$H$4:$H$61,MATCH(D599,'IR data'!$H$4:$H$61,1)+1)-INDEX('IR data'!$H$4:$H$61,MATCH(D599,'IR data'!$H$4:$H$61,1))))) * (INDEX('IR data'!$I$4:$I$61,MATCH(D599,'IR data'!$H$4:$H$61,1))-(INDEX('IR data'!$I$4:$I$61,MATCH(D599,'IR data'!$H$4:$H$61,1)+1)))))</f>
        <v>0.92303411459340656</v>
      </c>
      <c r="F599" s="30">
        <f t="shared" si="58"/>
        <v>2.1301208623089773E-2</v>
      </c>
      <c r="G599" s="45">
        <f t="shared" si="54"/>
        <v>45981</v>
      </c>
      <c r="H599" s="14" cm="1">
        <f t="array" ref="H599">_xlfn.IFNA(INDEX('IR data'!$N$4:$N$61,MATCH(G599,'IR data'!$M$4:$M$61,0)),((INDEX('IR data'!$N$4:$N$61,MATCH(G599,'IR data'!$M$4:$M$61,1)))-((G599-(INDEX('IR data'!$M$4:$M$61,MATCH(G599,'IR data'!$M$4:$M$61,1))))/((INDEX('IR data'!$M$4:$M$61,MATCH(G599,'IR data'!$M$4:$M$61,1)+1)-INDEX('IR data'!$M$4:$M$61,MATCH(G599,'IR data'!$M$4:$M$61,1))))) * (INDEX('IR data'!$N$4:$N$61,MATCH(G599,'IR data'!$M$4:$M$61,1))-(INDEX('IR data'!$N$4:$N$61,MATCH(G599,'IR data'!$M$4:$M$61,1)+1)))))</f>
        <v>0.92242345428571426</v>
      </c>
      <c r="I599" s="44">
        <f t="shared" si="59"/>
        <v>2.1477226409681895E-2</v>
      </c>
    </row>
    <row r="600" spans="1:9" x14ac:dyDescent="0.25">
      <c r="A600" s="45">
        <f t="shared" si="55"/>
        <v>45888</v>
      </c>
      <c r="B600" s="14" cm="1">
        <f t="array" ref="B600">_xlfn.IFNA(INDEX('IR data'!$D$4:$D$61,MATCH(A600,'IR data'!$C$4:$C$61,0)),((INDEX('IR data'!$D$4:$D$61,MATCH(A600,'IR data'!$C$4:$C$61,1)))-((A600-(INDEX('IR data'!$C$4:$C$61,MATCH(A600,'IR data'!$C$4:$C$61,1))))/((INDEX('IR data'!$C$4:$C$61,MATCH(A600,'IR data'!$C$4:$C$61,1)+1)-INDEX('IR data'!$C$4:$C$61,MATCH(A600,'IR data'!$C$4:$C$61,1))))) * (INDEX('IR data'!$D$4:$D$61,MATCH(A600,'IR data'!$C$4:$C$61,1))-(INDEX('IR data'!$D$4:$D$61,MATCH(A600,'IR data'!$C$4:$C$61,1)+1)))))</f>
        <v>0.92853954295652175</v>
      </c>
      <c r="C600" s="30">
        <f t="shared" si="56"/>
        <v>1.968652052537162E-2</v>
      </c>
      <c r="D600" s="45">
        <f t="shared" si="57"/>
        <v>45948</v>
      </c>
      <c r="E600" s="14" cm="1">
        <f t="array" ref="E600">_xlfn.IFNA(INDEX('IR data'!$I$4:$I$61,MATCH(D600,'IR data'!$H$4:$H$61,0)),((INDEX('IR data'!$I$4:$I$61,MATCH(D600,'IR data'!$H$4:$H$61,1)))-((D600-(INDEX('IR data'!$H$4:$H$61,MATCH(D600,'IR data'!$H$4:$H$61,1))))/((INDEX('IR data'!$H$4:$H$61,MATCH(D600,'IR data'!$H$4:$H$61,1)+1)-INDEX('IR data'!$H$4:$H$61,MATCH(D600,'IR data'!$H$4:$H$61,1))))) * (INDEX('IR data'!$I$4:$I$61,MATCH(D600,'IR data'!$H$4:$H$61,1))-(INDEX('IR data'!$I$4:$I$61,MATCH(D600,'IR data'!$H$4:$H$61,1)+1)))))</f>
        <v>0.92293096595604396</v>
      </c>
      <c r="F600" s="30">
        <f t="shared" si="58"/>
        <v>2.1295201985404081E-2</v>
      </c>
      <c r="G600" s="45">
        <f t="shared" si="54"/>
        <v>45982</v>
      </c>
      <c r="H600" s="14" cm="1">
        <f t="array" ref="H600">_xlfn.IFNA(INDEX('IR data'!$N$4:$N$61,MATCH(G600,'IR data'!$M$4:$M$61,0)),((INDEX('IR data'!$N$4:$N$61,MATCH(G600,'IR data'!$M$4:$M$61,1)))-((G600-(INDEX('IR data'!$M$4:$M$61,MATCH(G600,'IR data'!$M$4:$M$61,1))))/((INDEX('IR data'!$M$4:$M$61,MATCH(G600,'IR data'!$M$4:$M$61,1)+1)-INDEX('IR data'!$M$4:$M$61,MATCH(G600,'IR data'!$M$4:$M$61,1))))) * (INDEX('IR data'!$N$4:$N$61,MATCH(G600,'IR data'!$M$4:$M$61,1))-(INDEX('IR data'!$N$4:$N$61,MATCH(G600,'IR data'!$M$4:$M$61,1)+1)))))</f>
        <v>0.92231661371428575</v>
      </c>
      <c r="I600" s="44">
        <f t="shared" si="59"/>
        <v>2.1472007440039305E-2</v>
      </c>
    </row>
    <row r="601" spans="1:9" x14ac:dyDescent="0.25">
      <c r="A601" s="45">
        <f t="shared" si="55"/>
        <v>45889</v>
      </c>
      <c r="B601" s="14" cm="1">
        <f t="array" ref="B601">_xlfn.IFNA(INDEX('IR data'!$D$4:$D$61,MATCH(A601,'IR data'!$C$4:$C$61,0)),((INDEX('IR data'!$D$4:$D$61,MATCH(A601,'IR data'!$C$4:$C$61,1)))-((A601-(INDEX('IR data'!$C$4:$C$61,MATCH(A601,'IR data'!$C$4:$C$61,1))))/((INDEX('IR data'!$C$4:$C$61,MATCH(A601,'IR data'!$C$4:$C$61,1)+1)-INDEX('IR data'!$C$4:$C$61,MATCH(A601,'IR data'!$C$4:$C$61,1))))) * (INDEX('IR data'!$D$4:$D$61,MATCH(A601,'IR data'!$C$4:$C$61,1))-(INDEX('IR data'!$D$4:$D$61,MATCH(A601,'IR data'!$C$4:$C$61,1)+1)))))</f>
        <v>0.92845146191304351</v>
      </c>
      <c r="C601" s="30">
        <f t="shared" si="56"/>
        <v>1.9678746485721599E-2</v>
      </c>
      <c r="D601" s="45">
        <f t="shared" si="57"/>
        <v>45949</v>
      </c>
      <c r="E601" s="14" cm="1">
        <f t="array" ref="E601">_xlfn.IFNA(INDEX('IR data'!$I$4:$I$61,MATCH(D601,'IR data'!$H$4:$H$61,0)),((INDEX('IR data'!$I$4:$I$61,MATCH(D601,'IR data'!$H$4:$H$61,1)))-((D601-(INDEX('IR data'!$H$4:$H$61,MATCH(D601,'IR data'!$H$4:$H$61,1))))/((INDEX('IR data'!$H$4:$H$61,MATCH(D601,'IR data'!$H$4:$H$61,1)+1)-INDEX('IR data'!$H$4:$H$61,MATCH(D601,'IR data'!$H$4:$H$61,1))))) * (INDEX('IR data'!$I$4:$I$61,MATCH(D601,'IR data'!$H$4:$H$61,1))-(INDEX('IR data'!$I$4:$I$61,MATCH(D601,'IR data'!$H$4:$H$61,1)+1)))))</f>
        <v>0.92282781731868135</v>
      </c>
      <c r="F601" s="30">
        <f t="shared" si="58"/>
        <v>2.128921874784857E-2</v>
      </c>
      <c r="G601" s="45">
        <f t="shared" si="54"/>
        <v>45983</v>
      </c>
      <c r="H601" s="14" cm="1">
        <f t="array" ref="H601">_xlfn.IFNA(INDEX('IR data'!$N$4:$N$61,MATCH(G601,'IR data'!$M$4:$M$61,0)),((INDEX('IR data'!$N$4:$N$61,MATCH(G601,'IR data'!$M$4:$M$61,1)))-((G601-(INDEX('IR data'!$M$4:$M$61,MATCH(G601,'IR data'!$M$4:$M$61,1))))/((INDEX('IR data'!$M$4:$M$61,MATCH(G601,'IR data'!$M$4:$M$61,1)+1)-INDEX('IR data'!$M$4:$M$61,MATCH(G601,'IR data'!$M$4:$M$61,1))))) * (INDEX('IR data'!$N$4:$N$61,MATCH(G601,'IR data'!$M$4:$M$61,1))-(INDEX('IR data'!$N$4:$N$61,MATCH(G601,'IR data'!$M$4:$M$61,1)+1)))))</f>
        <v>0.92220977314285713</v>
      </c>
      <c r="I601" s="44">
        <f t="shared" si="59"/>
        <v>2.1466809482181333E-2</v>
      </c>
    </row>
    <row r="602" spans="1:9" x14ac:dyDescent="0.25">
      <c r="A602" s="45">
        <f t="shared" si="55"/>
        <v>45890</v>
      </c>
      <c r="B602" s="14" cm="1">
        <f t="array" ref="B602">_xlfn.IFNA(INDEX('IR data'!$D$4:$D$61,MATCH(A602,'IR data'!$C$4:$C$61,0)),((INDEX('IR data'!$D$4:$D$61,MATCH(A602,'IR data'!$C$4:$C$61,1)))-((A602-(INDEX('IR data'!$C$4:$C$61,MATCH(A602,'IR data'!$C$4:$C$61,1))))/((INDEX('IR data'!$C$4:$C$61,MATCH(A602,'IR data'!$C$4:$C$61,1)+1)-INDEX('IR data'!$C$4:$C$61,MATCH(A602,'IR data'!$C$4:$C$61,1))))) * (INDEX('IR data'!$D$4:$D$61,MATCH(A602,'IR data'!$C$4:$C$61,1))-(INDEX('IR data'!$D$4:$D$61,MATCH(A602,'IR data'!$C$4:$C$61,1)+1)))))</f>
        <v>0.92836338086956516</v>
      </c>
      <c r="C602" s="30">
        <f t="shared" si="56"/>
        <v>1.9671000784552022E-2</v>
      </c>
      <c r="D602" s="45">
        <f t="shared" si="57"/>
        <v>45950</v>
      </c>
      <c r="E602" s="14" cm="1">
        <f t="array" ref="E602">_xlfn.IFNA(INDEX('IR data'!$I$4:$I$61,MATCH(D602,'IR data'!$H$4:$H$61,0)),((INDEX('IR data'!$I$4:$I$61,MATCH(D602,'IR data'!$H$4:$H$61,1)))-((D602-(INDEX('IR data'!$H$4:$H$61,MATCH(D602,'IR data'!$H$4:$H$61,1))))/((INDEX('IR data'!$H$4:$H$61,MATCH(D602,'IR data'!$H$4:$H$61,1)+1)-INDEX('IR data'!$H$4:$H$61,MATCH(D602,'IR data'!$H$4:$H$61,1))))) * (INDEX('IR data'!$I$4:$I$61,MATCH(D602,'IR data'!$H$4:$H$61,1))-(INDEX('IR data'!$I$4:$I$61,MATCH(D602,'IR data'!$H$4:$H$61,1)+1)))))</f>
        <v>0.92272466868131864</v>
      </c>
      <c r="F602" s="30">
        <f t="shared" si="58"/>
        <v>2.1283258793966281E-2</v>
      </c>
      <c r="G602" s="45">
        <f t="shared" si="54"/>
        <v>45984</v>
      </c>
      <c r="H602" s="14" cm="1">
        <f t="array" ref="H602">_xlfn.IFNA(INDEX('IR data'!$N$4:$N$61,MATCH(G602,'IR data'!$M$4:$M$61,0)),((INDEX('IR data'!$N$4:$N$61,MATCH(G602,'IR data'!$M$4:$M$61,1)))-((G602-(INDEX('IR data'!$M$4:$M$61,MATCH(G602,'IR data'!$M$4:$M$61,1))))/((INDEX('IR data'!$M$4:$M$61,MATCH(G602,'IR data'!$M$4:$M$61,1)+1)-INDEX('IR data'!$M$4:$M$61,MATCH(G602,'IR data'!$M$4:$M$61,1))))) * (INDEX('IR data'!$N$4:$N$61,MATCH(G602,'IR data'!$M$4:$M$61,1))-(INDEX('IR data'!$N$4:$N$61,MATCH(G602,'IR data'!$M$4:$M$61,1)+1)))))</f>
        <v>0.92210293257142861</v>
      </c>
      <c r="I602" s="44">
        <f t="shared" si="59"/>
        <v>2.1461632431696447E-2</v>
      </c>
    </row>
    <row r="603" spans="1:9" x14ac:dyDescent="0.25">
      <c r="A603" s="45">
        <f t="shared" si="55"/>
        <v>45891</v>
      </c>
      <c r="B603" s="14" cm="1">
        <f t="array" ref="B603">_xlfn.IFNA(INDEX('IR data'!$D$4:$D$61,MATCH(A603,'IR data'!$C$4:$C$61,0)),((INDEX('IR data'!$D$4:$D$61,MATCH(A603,'IR data'!$C$4:$C$61,1)))-((A603-(INDEX('IR data'!$C$4:$C$61,MATCH(A603,'IR data'!$C$4:$C$61,1))))/((INDEX('IR data'!$C$4:$C$61,MATCH(A603,'IR data'!$C$4:$C$61,1)+1)-INDEX('IR data'!$C$4:$C$61,MATCH(A603,'IR data'!$C$4:$C$61,1))))) * (INDEX('IR data'!$D$4:$D$61,MATCH(A603,'IR data'!$C$4:$C$61,1))-(INDEX('IR data'!$D$4:$D$61,MATCH(A603,'IR data'!$C$4:$C$61,1)+1)))))</f>
        <v>0.92827529982608692</v>
      </c>
      <c r="C603" s="30">
        <f t="shared" si="56"/>
        <v>1.9663283280621637E-2</v>
      </c>
      <c r="D603" s="45">
        <f t="shared" si="57"/>
        <v>45951</v>
      </c>
      <c r="E603" s="14" cm="1">
        <f t="array" ref="E603">_xlfn.IFNA(INDEX('IR data'!$I$4:$I$61,MATCH(D603,'IR data'!$H$4:$H$61,0)),((INDEX('IR data'!$I$4:$I$61,MATCH(D603,'IR data'!$H$4:$H$61,1)))-((D603-(INDEX('IR data'!$H$4:$H$61,MATCH(D603,'IR data'!$H$4:$H$61,1))))/((INDEX('IR data'!$H$4:$H$61,MATCH(D603,'IR data'!$H$4:$H$61,1)+1)-INDEX('IR data'!$H$4:$H$61,MATCH(D603,'IR data'!$H$4:$H$61,1))))) * (INDEX('IR data'!$I$4:$I$61,MATCH(D603,'IR data'!$H$4:$H$61,1))-(INDEX('IR data'!$I$4:$I$61,MATCH(D603,'IR data'!$H$4:$H$61,1)+1)))))</f>
        <v>0.92262152004395603</v>
      </c>
      <c r="F603" s="30">
        <f t="shared" si="58"/>
        <v>2.1277322008076787E-2</v>
      </c>
      <c r="G603" s="45">
        <f t="shared" si="54"/>
        <v>45985</v>
      </c>
      <c r="H603" s="14" cm="1">
        <f t="array" ref="H603">_xlfn.IFNA(INDEX('IR data'!$N$4:$N$61,MATCH(G603,'IR data'!$M$4:$M$61,0)),((INDEX('IR data'!$N$4:$N$61,MATCH(G603,'IR data'!$M$4:$M$61,1)))-((G603-(INDEX('IR data'!$M$4:$M$61,MATCH(G603,'IR data'!$M$4:$M$61,1))))/((INDEX('IR data'!$M$4:$M$61,MATCH(G603,'IR data'!$M$4:$M$61,1)+1)-INDEX('IR data'!$M$4:$M$61,MATCH(G603,'IR data'!$M$4:$M$61,1))))) * (INDEX('IR data'!$N$4:$N$61,MATCH(G603,'IR data'!$M$4:$M$61,1))-(INDEX('IR data'!$N$4:$N$61,MATCH(G603,'IR data'!$M$4:$M$61,1)+1)))))</f>
        <v>0.92199609199999999</v>
      </c>
      <c r="I603" s="44">
        <f t="shared" si="59"/>
        <v>2.1456476184869636E-2</v>
      </c>
    </row>
    <row r="604" spans="1:9" x14ac:dyDescent="0.25">
      <c r="A604" s="45">
        <f t="shared" si="55"/>
        <v>45892</v>
      </c>
      <c r="B604" s="14" cm="1">
        <f t="array" ref="B604">_xlfn.IFNA(INDEX('IR data'!$D$4:$D$61,MATCH(A604,'IR data'!$C$4:$C$61,0)),((INDEX('IR data'!$D$4:$D$61,MATCH(A604,'IR data'!$C$4:$C$61,1)))-((A604-(INDEX('IR data'!$C$4:$C$61,MATCH(A604,'IR data'!$C$4:$C$61,1))))/((INDEX('IR data'!$C$4:$C$61,MATCH(A604,'IR data'!$C$4:$C$61,1)+1)-INDEX('IR data'!$C$4:$C$61,MATCH(A604,'IR data'!$C$4:$C$61,1))))) * (INDEX('IR data'!$D$4:$D$61,MATCH(A604,'IR data'!$C$4:$C$61,1))-(INDEX('IR data'!$D$4:$D$61,MATCH(A604,'IR data'!$C$4:$C$61,1)+1)))))</f>
        <v>0.92818721878260868</v>
      </c>
      <c r="C604" s="30">
        <f t="shared" si="56"/>
        <v>1.965559383362947E-2</v>
      </c>
      <c r="D604" s="45">
        <f t="shared" si="57"/>
        <v>45952</v>
      </c>
      <c r="E604" s="14" cm="1">
        <f t="array" ref="E604">_xlfn.IFNA(INDEX('IR data'!$I$4:$I$61,MATCH(D604,'IR data'!$H$4:$H$61,0)),((INDEX('IR data'!$I$4:$I$61,MATCH(D604,'IR data'!$H$4:$H$61,1)))-((D604-(INDEX('IR data'!$H$4:$H$61,MATCH(D604,'IR data'!$H$4:$H$61,1))))/((INDEX('IR data'!$H$4:$H$61,MATCH(D604,'IR data'!$H$4:$H$61,1)+1)-INDEX('IR data'!$H$4:$H$61,MATCH(D604,'IR data'!$H$4:$H$61,1))))) * (INDEX('IR data'!$I$4:$I$61,MATCH(D604,'IR data'!$H$4:$H$61,1))-(INDEX('IR data'!$I$4:$I$61,MATCH(D604,'IR data'!$H$4:$H$61,1)+1)))))</f>
        <v>0.92251837140659343</v>
      </c>
      <c r="F604" s="30">
        <f t="shared" si="58"/>
        <v>2.1271408275269917E-2</v>
      </c>
      <c r="G604" s="45">
        <f t="shared" si="54"/>
        <v>45986</v>
      </c>
      <c r="H604" s="14" cm="1">
        <f t="array" ref="H604">_xlfn.IFNA(INDEX('IR data'!$N$4:$N$61,MATCH(G604,'IR data'!$M$4:$M$61,0)),((INDEX('IR data'!$N$4:$N$61,MATCH(G604,'IR data'!$M$4:$M$61,1)))-((G604-(INDEX('IR data'!$M$4:$M$61,MATCH(G604,'IR data'!$M$4:$M$61,1))))/((INDEX('IR data'!$M$4:$M$61,MATCH(G604,'IR data'!$M$4:$M$61,1)+1)-INDEX('IR data'!$M$4:$M$61,MATCH(G604,'IR data'!$M$4:$M$61,1))))) * (INDEX('IR data'!$N$4:$N$61,MATCH(G604,'IR data'!$M$4:$M$61,1))-(INDEX('IR data'!$N$4:$N$61,MATCH(G604,'IR data'!$M$4:$M$61,1)+1)))))</f>
        <v>0.92188925142857148</v>
      </c>
      <c r="I604" s="44">
        <f t="shared" si="59"/>
        <v>2.1451340638676292E-2</v>
      </c>
    </row>
    <row r="605" spans="1:9" x14ac:dyDescent="0.25">
      <c r="A605" s="45">
        <f t="shared" si="55"/>
        <v>45893</v>
      </c>
      <c r="B605" s="14" cm="1">
        <f t="array" ref="B605">_xlfn.IFNA(INDEX('IR data'!$D$4:$D$61,MATCH(A605,'IR data'!$C$4:$C$61,0)),((INDEX('IR data'!$D$4:$D$61,MATCH(A605,'IR data'!$C$4:$C$61,1)))-((A605-(INDEX('IR data'!$C$4:$C$61,MATCH(A605,'IR data'!$C$4:$C$61,1))))/((INDEX('IR data'!$C$4:$C$61,MATCH(A605,'IR data'!$C$4:$C$61,1)+1)-INDEX('IR data'!$C$4:$C$61,MATCH(A605,'IR data'!$C$4:$C$61,1))))) * (INDEX('IR data'!$D$4:$D$61,MATCH(A605,'IR data'!$C$4:$C$61,1))-(INDEX('IR data'!$D$4:$D$61,MATCH(A605,'IR data'!$C$4:$C$61,1)+1)))))</f>
        <v>0.92809913773913044</v>
      </c>
      <c r="C605" s="30">
        <f t="shared" si="56"/>
        <v>1.9647932304206858E-2</v>
      </c>
      <c r="D605" s="45">
        <f t="shared" si="57"/>
        <v>45953</v>
      </c>
      <c r="E605" s="14" cm="1">
        <f t="array" ref="E605">_xlfn.IFNA(INDEX('IR data'!$I$4:$I$61,MATCH(D605,'IR data'!$H$4:$H$61,0)),((INDEX('IR data'!$I$4:$I$61,MATCH(D605,'IR data'!$H$4:$H$61,1)))-((D605-(INDEX('IR data'!$H$4:$H$61,MATCH(D605,'IR data'!$H$4:$H$61,1))))/((INDEX('IR data'!$H$4:$H$61,MATCH(D605,'IR data'!$H$4:$H$61,1)+1)-INDEX('IR data'!$H$4:$H$61,MATCH(D605,'IR data'!$H$4:$H$61,1))))) * (INDEX('IR data'!$I$4:$I$61,MATCH(D605,'IR data'!$H$4:$H$61,1))-(INDEX('IR data'!$I$4:$I$61,MATCH(D605,'IR data'!$H$4:$H$61,1)+1)))))</f>
        <v>0.92241522276923071</v>
      </c>
      <c r="F605" s="30">
        <f t="shared" si="58"/>
        <v>2.1265517481399276E-2</v>
      </c>
      <c r="G605" s="45">
        <f t="shared" si="54"/>
        <v>45987</v>
      </c>
      <c r="H605" s="14" cm="1">
        <f t="array" ref="H605">_xlfn.IFNA(INDEX('IR data'!$N$4:$N$61,MATCH(G605,'IR data'!$M$4:$M$61,0)),((INDEX('IR data'!$N$4:$N$61,MATCH(G605,'IR data'!$M$4:$M$61,1)))-((G605-(INDEX('IR data'!$M$4:$M$61,MATCH(G605,'IR data'!$M$4:$M$61,1))))/((INDEX('IR data'!$M$4:$M$61,MATCH(G605,'IR data'!$M$4:$M$61,1)+1)-INDEX('IR data'!$M$4:$M$61,MATCH(G605,'IR data'!$M$4:$M$61,1))))) * (INDEX('IR data'!$N$4:$N$61,MATCH(G605,'IR data'!$M$4:$M$61,1))-(INDEX('IR data'!$N$4:$N$61,MATCH(G605,'IR data'!$M$4:$M$61,1)+1)))))</f>
        <v>0.92178241085714285</v>
      </c>
      <c r="I605" s="44">
        <f t="shared" si="59"/>
        <v>2.1446225690776789E-2</v>
      </c>
    </row>
    <row r="606" spans="1:9" x14ac:dyDescent="0.25">
      <c r="A606" s="45">
        <f t="shared" si="55"/>
        <v>45894</v>
      </c>
      <c r="B606" s="14" cm="1">
        <f t="array" ref="B606">_xlfn.IFNA(INDEX('IR data'!$D$4:$D$61,MATCH(A606,'IR data'!$C$4:$C$61,0)),((INDEX('IR data'!$D$4:$D$61,MATCH(A606,'IR data'!$C$4:$C$61,1)))-((A606-(INDEX('IR data'!$C$4:$C$61,MATCH(A606,'IR data'!$C$4:$C$61,1))))/((INDEX('IR data'!$C$4:$C$61,MATCH(A606,'IR data'!$C$4:$C$61,1)+1)-INDEX('IR data'!$C$4:$C$61,MATCH(A606,'IR data'!$C$4:$C$61,1))))) * (INDEX('IR data'!$D$4:$D$61,MATCH(A606,'IR data'!$C$4:$C$61,1))-(INDEX('IR data'!$D$4:$D$61,MATCH(A606,'IR data'!$C$4:$C$61,1)+1)))))</f>
        <v>0.9280110566956522</v>
      </c>
      <c r="C606" s="30">
        <f t="shared" si="56"/>
        <v>1.964029855390979E-2</v>
      </c>
      <c r="D606" s="45">
        <f t="shared" si="57"/>
        <v>45954</v>
      </c>
      <c r="E606" s="14" cm="1">
        <f t="array" ref="E606">_xlfn.IFNA(INDEX('IR data'!$I$4:$I$61,MATCH(D606,'IR data'!$H$4:$H$61,0)),((INDEX('IR data'!$I$4:$I$61,MATCH(D606,'IR data'!$H$4:$H$61,1)))-((D606-(INDEX('IR data'!$H$4:$H$61,MATCH(D606,'IR data'!$H$4:$H$61,1))))/((INDEX('IR data'!$H$4:$H$61,MATCH(D606,'IR data'!$H$4:$H$61,1)+1)-INDEX('IR data'!$H$4:$H$61,MATCH(D606,'IR data'!$H$4:$H$61,1))))) * (INDEX('IR data'!$I$4:$I$61,MATCH(D606,'IR data'!$H$4:$H$61,1))-(INDEX('IR data'!$I$4:$I$61,MATCH(D606,'IR data'!$H$4:$H$61,1)+1)))))</f>
        <v>0.92231207413186811</v>
      </c>
      <c r="F606" s="30">
        <f t="shared" si="58"/>
        <v>2.1259649513075813E-2</v>
      </c>
      <c r="G606" s="45">
        <f t="shared" si="54"/>
        <v>45988</v>
      </c>
      <c r="H606" s="14" cm="1">
        <f t="array" ref="H606">_xlfn.IFNA(INDEX('IR data'!$N$4:$N$61,MATCH(G606,'IR data'!$M$4:$M$61,0)),((INDEX('IR data'!$N$4:$N$61,MATCH(G606,'IR data'!$M$4:$M$61,1)))-((G606-(INDEX('IR data'!$M$4:$M$61,MATCH(G606,'IR data'!$M$4:$M$61,1))))/((INDEX('IR data'!$M$4:$M$61,MATCH(G606,'IR data'!$M$4:$M$61,1)+1)-INDEX('IR data'!$M$4:$M$61,MATCH(G606,'IR data'!$M$4:$M$61,1))))) * (INDEX('IR data'!$N$4:$N$61,MATCH(G606,'IR data'!$M$4:$M$61,1))-(INDEX('IR data'!$N$4:$N$61,MATCH(G606,'IR data'!$M$4:$M$61,1)+1)))))</f>
        <v>0.92167557028571434</v>
      </c>
      <c r="I606" s="44">
        <f t="shared" si="59"/>
        <v>2.1441131239510539E-2</v>
      </c>
    </row>
    <row r="607" spans="1:9" x14ac:dyDescent="0.25">
      <c r="A607" s="45">
        <f t="shared" si="55"/>
        <v>45895</v>
      </c>
      <c r="B607" s="14" cm="1">
        <f t="array" ref="B607">_xlfn.IFNA(INDEX('IR data'!$D$4:$D$61,MATCH(A607,'IR data'!$C$4:$C$61,0)),((INDEX('IR data'!$D$4:$D$61,MATCH(A607,'IR data'!$C$4:$C$61,1)))-((A607-(INDEX('IR data'!$C$4:$C$61,MATCH(A607,'IR data'!$C$4:$C$61,1))))/((INDEX('IR data'!$C$4:$C$61,MATCH(A607,'IR data'!$C$4:$C$61,1)+1)-INDEX('IR data'!$C$4:$C$61,MATCH(A607,'IR data'!$C$4:$C$61,1))))) * (INDEX('IR data'!$D$4:$D$61,MATCH(A607,'IR data'!$C$4:$C$61,1))-(INDEX('IR data'!$D$4:$D$61,MATCH(A607,'IR data'!$C$4:$C$61,1)+1)))))</f>
        <v>0.92792297565217385</v>
      </c>
      <c r="C607" s="30">
        <f t="shared" si="56"/>
        <v>1.9632692445211247E-2</v>
      </c>
      <c r="D607" s="45">
        <f t="shared" si="57"/>
        <v>45955</v>
      </c>
      <c r="E607" s="14" cm="1">
        <f t="array" ref="E607">_xlfn.IFNA(INDEX('IR data'!$I$4:$I$61,MATCH(D607,'IR data'!$H$4:$H$61,0)),((INDEX('IR data'!$I$4:$I$61,MATCH(D607,'IR data'!$H$4:$H$61,1)))-((D607-(INDEX('IR data'!$H$4:$H$61,MATCH(D607,'IR data'!$H$4:$H$61,1))))/((INDEX('IR data'!$H$4:$H$61,MATCH(D607,'IR data'!$H$4:$H$61,1)+1)-INDEX('IR data'!$H$4:$H$61,MATCH(D607,'IR data'!$H$4:$H$61,1))))) * (INDEX('IR data'!$I$4:$I$61,MATCH(D607,'IR data'!$H$4:$H$61,1))-(INDEX('IR data'!$I$4:$I$61,MATCH(D607,'IR data'!$H$4:$H$61,1)+1)))))</f>
        <v>0.9222089254945055</v>
      </c>
      <c r="F607" s="30">
        <f t="shared" si="58"/>
        <v>2.125380425766173E-2</v>
      </c>
      <c r="G607" s="45">
        <f t="shared" si="54"/>
        <v>45989</v>
      </c>
      <c r="H607" s="14" cm="1">
        <f t="array" ref="H607">_xlfn.IFNA(INDEX('IR data'!$N$4:$N$61,MATCH(G607,'IR data'!$M$4:$M$61,0)),((INDEX('IR data'!$N$4:$N$61,MATCH(G607,'IR data'!$M$4:$M$61,1)))-((G607-(INDEX('IR data'!$M$4:$M$61,MATCH(G607,'IR data'!$M$4:$M$61,1))))/((INDEX('IR data'!$M$4:$M$61,MATCH(G607,'IR data'!$M$4:$M$61,1)+1)-INDEX('IR data'!$M$4:$M$61,MATCH(G607,'IR data'!$M$4:$M$61,1))))) * (INDEX('IR data'!$N$4:$N$61,MATCH(G607,'IR data'!$M$4:$M$61,1))-(INDEX('IR data'!$N$4:$N$61,MATCH(G607,'IR data'!$M$4:$M$61,1)+1)))))</f>
        <v>0.92156872971428572</v>
      </c>
      <c r="I607" s="44">
        <f t="shared" si="59"/>
        <v>2.1436057183890588E-2</v>
      </c>
    </row>
    <row r="608" spans="1:9" x14ac:dyDescent="0.25">
      <c r="A608" s="45">
        <f t="shared" si="55"/>
        <v>45896</v>
      </c>
      <c r="B608" s="14" cm="1">
        <f t="array" ref="B608">_xlfn.IFNA(INDEX('IR data'!$D$4:$D$61,MATCH(A608,'IR data'!$C$4:$C$61,0)),((INDEX('IR data'!$D$4:$D$61,MATCH(A608,'IR data'!$C$4:$C$61,1)))-((A608-(INDEX('IR data'!$C$4:$C$61,MATCH(A608,'IR data'!$C$4:$C$61,1))))/((INDEX('IR data'!$C$4:$C$61,MATCH(A608,'IR data'!$C$4:$C$61,1)+1)-INDEX('IR data'!$C$4:$C$61,MATCH(A608,'IR data'!$C$4:$C$61,1))))) * (INDEX('IR data'!$D$4:$D$61,MATCH(A608,'IR data'!$C$4:$C$61,1))-(INDEX('IR data'!$D$4:$D$61,MATCH(A608,'IR data'!$C$4:$C$61,1)+1)))))</f>
        <v>0.92783489460869562</v>
      </c>
      <c r="C608" s="30">
        <f t="shared" si="56"/>
        <v>1.9625113841493513E-2</v>
      </c>
      <c r="D608" s="45">
        <f t="shared" si="57"/>
        <v>45956</v>
      </c>
      <c r="E608" s="14" cm="1">
        <f t="array" ref="E608">_xlfn.IFNA(INDEX('IR data'!$I$4:$I$61,MATCH(D608,'IR data'!$H$4:$H$61,0)),((INDEX('IR data'!$I$4:$I$61,MATCH(D608,'IR data'!$H$4:$H$61,1)))-((D608-(INDEX('IR data'!$H$4:$H$61,MATCH(D608,'IR data'!$H$4:$H$61,1))))/((INDEX('IR data'!$H$4:$H$61,MATCH(D608,'IR data'!$H$4:$H$61,1)+1)-INDEX('IR data'!$H$4:$H$61,MATCH(D608,'IR data'!$H$4:$H$61,1))))) * (INDEX('IR data'!$I$4:$I$61,MATCH(D608,'IR data'!$H$4:$H$61,1))-(INDEX('IR data'!$I$4:$I$61,MATCH(D608,'IR data'!$H$4:$H$61,1)+1)))))</f>
        <v>0.9221057768571429</v>
      </c>
      <c r="F608" s="30">
        <f t="shared" si="58"/>
        <v>2.1247981603264167E-2</v>
      </c>
      <c r="G608" s="45">
        <f t="shared" si="54"/>
        <v>45990</v>
      </c>
      <c r="H608" s="14" cm="1">
        <f t="array" ref="H608">_xlfn.IFNA(INDEX('IR data'!$N$4:$N$61,MATCH(G608,'IR data'!$M$4:$M$61,0)),((INDEX('IR data'!$N$4:$N$61,MATCH(G608,'IR data'!$M$4:$M$61,1)))-((G608-(INDEX('IR data'!$M$4:$M$61,MATCH(G608,'IR data'!$M$4:$M$61,1))))/((INDEX('IR data'!$M$4:$M$61,MATCH(G608,'IR data'!$M$4:$M$61,1)+1)-INDEX('IR data'!$M$4:$M$61,MATCH(G608,'IR data'!$M$4:$M$61,1))))) * (INDEX('IR data'!$N$4:$N$61,MATCH(G608,'IR data'!$M$4:$M$61,1))-(INDEX('IR data'!$N$4:$N$61,MATCH(G608,'IR data'!$M$4:$M$61,1)+1)))))</f>
        <v>0.9214618891428572</v>
      </c>
      <c r="I608" s="44">
        <f t="shared" si="59"/>
        <v>2.1431003423597845E-2</v>
      </c>
    </row>
    <row r="609" spans="1:9" x14ac:dyDescent="0.25">
      <c r="A609" s="45">
        <f t="shared" si="55"/>
        <v>45897</v>
      </c>
      <c r="B609" s="14" cm="1">
        <f t="array" ref="B609">_xlfn.IFNA(INDEX('IR data'!$D$4:$D$61,MATCH(A609,'IR data'!$C$4:$C$61,0)),((INDEX('IR data'!$D$4:$D$61,MATCH(A609,'IR data'!$C$4:$C$61,1)))-((A609-(INDEX('IR data'!$C$4:$C$61,MATCH(A609,'IR data'!$C$4:$C$61,1))))/((INDEX('IR data'!$C$4:$C$61,MATCH(A609,'IR data'!$C$4:$C$61,1)+1)-INDEX('IR data'!$C$4:$C$61,MATCH(A609,'IR data'!$C$4:$C$61,1))))) * (INDEX('IR data'!$D$4:$D$61,MATCH(A609,'IR data'!$C$4:$C$61,1))-(INDEX('IR data'!$D$4:$D$61,MATCH(A609,'IR data'!$C$4:$C$61,1)+1)))))</f>
        <v>0.92774681356521738</v>
      </c>
      <c r="C609" s="30">
        <f t="shared" si="56"/>
        <v>1.9617562607040857E-2</v>
      </c>
      <c r="D609" s="45">
        <f t="shared" si="57"/>
        <v>45957</v>
      </c>
      <c r="E609" s="14" cm="1">
        <f t="array" ref="E609">_xlfn.IFNA(INDEX('IR data'!$I$4:$I$61,MATCH(D609,'IR data'!$H$4:$H$61,0)),((INDEX('IR data'!$I$4:$I$61,MATCH(D609,'IR data'!$H$4:$H$61,1)))-((D609-(INDEX('IR data'!$H$4:$H$61,MATCH(D609,'IR data'!$H$4:$H$61,1))))/((INDEX('IR data'!$H$4:$H$61,MATCH(D609,'IR data'!$H$4:$H$61,1)+1)-INDEX('IR data'!$H$4:$H$61,MATCH(D609,'IR data'!$H$4:$H$61,1))))) * (INDEX('IR data'!$I$4:$I$61,MATCH(D609,'IR data'!$H$4:$H$61,1))-(INDEX('IR data'!$I$4:$I$61,MATCH(D609,'IR data'!$H$4:$H$61,1)+1)))))</f>
        <v>0.92200262821978018</v>
      </c>
      <c r="F609" s="30">
        <f t="shared" si="58"/>
        <v>2.124218143872909E-2</v>
      </c>
      <c r="G609" s="45">
        <f t="shared" si="54"/>
        <v>45991</v>
      </c>
      <c r="H609" s="14" cm="1">
        <f t="array" ref="H609">_xlfn.IFNA(INDEX('IR data'!$N$4:$N$61,MATCH(G609,'IR data'!$M$4:$M$61,0)),((INDEX('IR data'!$N$4:$N$61,MATCH(G609,'IR data'!$M$4:$M$61,1)))-((G609-(INDEX('IR data'!$M$4:$M$61,MATCH(G609,'IR data'!$M$4:$M$61,1))))/((INDEX('IR data'!$M$4:$M$61,MATCH(G609,'IR data'!$M$4:$M$61,1)+1)-INDEX('IR data'!$M$4:$M$61,MATCH(G609,'IR data'!$M$4:$M$61,1))))) * (INDEX('IR data'!$N$4:$N$61,MATCH(G609,'IR data'!$M$4:$M$61,1))-(INDEX('IR data'!$N$4:$N$61,MATCH(G609,'IR data'!$M$4:$M$61,1)+1)))))</f>
        <v>0.92135504857142858</v>
      </c>
      <c r="I609" s="44">
        <f t="shared" si="59"/>
        <v>2.1425969858975772E-2</v>
      </c>
    </row>
    <row r="610" spans="1:9" x14ac:dyDescent="0.25">
      <c r="A610" s="45">
        <f t="shared" si="55"/>
        <v>45898</v>
      </c>
      <c r="B610" s="14" cm="1">
        <f t="array" ref="B610">_xlfn.IFNA(INDEX('IR data'!$D$4:$D$61,MATCH(A610,'IR data'!$C$4:$C$61,0)),((INDEX('IR data'!$D$4:$D$61,MATCH(A610,'IR data'!$C$4:$C$61,1)))-((A610-(INDEX('IR data'!$C$4:$C$61,MATCH(A610,'IR data'!$C$4:$C$61,1))))/((INDEX('IR data'!$C$4:$C$61,MATCH(A610,'IR data'!$C$4:$C$61,1)+1)-INDEX('IR data'!$C$4:$C$61,MATCH(A610,'IR data'!$C$4:$C$61,1))))) * (INDEX('IR data'!$D$4:$D$61,MATCH(A610,'IR data'!$C$4:$C$61,1))-(INDEX('IR data'!$D$4:$D$61,MATCH(A610,'IR data'!$C$4:$C$61,1)+1)))))</f>
        <v>0.92765873252173914</v>
      </c>
      <c r="C610" s="30">
        <f t="shared" si="56"/>
        <v>1.9610038607032004E-2</v>
      </c>
      <c r="D610" s="45">
        <f t="shared" si="57"/>
        <v>45958</v>
      </c>
      <c r="E610" s="14" cm="1">
        <f t="array" ref="E610">_xlfn.IFNA(INDEX('IR data'!$I$4:$I$61,MATCH(D610,'IR data'!$H$4:$H$61,0)),((INDEX('IR data'!$I$4:$I$61,MATCH(D610,'IR data'!$H$4:$H$61,1)))-((D610-(INDEX('IR data'!$H$4:$H$61,MATCH(D610,'IR data'!$H$4:$H$61,1))))/((INDEX('IR data'!$H$4:$H$61,MATCH(D610,'IR data'!$H$4:$H$61,1)+1)-INDEX('IR data'!$H$4:$H$61,MATCH(D610,'IR data'!$H$4:$H$61,1))))) * (INDEX('IR data'!$I$4:$I$61,MATCH(D610,'IR data'!$H$4:$H$61,1))-(INDEX('IR data'!$I$4:$I$61,MATCH(D610,'IR data'!$H$4:$H$61,1)+1)))))</f>
        <v>0.92189947958241758</v>
      </c>
      <c r="F610" s="30">
        <f t="shared" si="58"/>
        <v>2.1236403653635119E-2</v>
      </c>
      <c r="G610" s="45">
        <f t="shared" si="54"/>
        <v>45992</v>
      </c>
      <c r="H610" s="14" cm="1">
        <f t="array" ref="H610">_xlfn.IFNA(INDEX('IR data'!$N$4:$N$61,MATCH(G610,'IR data'!$M$4:$M$61,0)),((INDEX('IR data'!$N$4:$N$61,MATCH(G610,'IR data'!$M$4:$M$61,1)))-((G610-(INDEX('IR data'!$M$4:$M$61,MATCH(G610,'IR data'!$M$4:$M$61,1))))/((INDEX('IR data'!$M$4:$M$61,MATCH(G610,'IR data'!$M$4:$M$61,1)+1)-INDEX('IR data'!$M$4:$M$61,MATCH(G610,'IR data'!$M$4:$M$61,1))))) * (INDEX('IR data'!$N$4:$N$61,MATCH(G610,'IR data'!$M$4:$M$61,1))-(INDEX('IR data'!$N$4:$N$61,MATCH(G610,'IR data'!$M$4:$M$61,1)+1)))))</f>
        <v>0.92124820799999996</v>
      </c>
      <c r="I610" s="44">
        <f t="shared" si="59"/>
        <v>2.1420956391024766E-2</v>
      </c>
    </row>
    <row r="611" spans="1:9" x14ac:dyDescent="0.25">
      <c r="A611" s="45">
        <f t="shared" si="55"/>
        <v>45899</v>
      </c>
      <c r="B611" s="14" cm="1">
        <f t="array" ref="B611">_xlfn.IFNA(INDEX('IR data'!$D$4:$D$61,MATCH(A611,'IR data'!$C$4:$C$61,0)),((INDEX('IR data'!$D$4:$D$61,MATCH(A611,'IR data'!$C$4:$C$61,1)))-((A611-(INDEX('IR data'!$C$4:$C$61,MATCH(A611,'IR data'!$C$4:$C$61,1))))/((INDEX('IR data'!$C$4:$C$61,MATCH(A611,'IR data'!$C$4:$C$61,1)+1)-INDEX('IR data'!$C$4:$C$61,MATCH(A611,'IR data'!$C$4:$C$61,1))))) * (INDEX('IR data'!$D$4:$D$61,MATCH(A611,'IR data'!$C$4:$C$61,1))-(INDEX('IR data'!$D$4:$D$61,MATCH(A611,'IR data'!$C$4:$C$61,1)+1)))))</f>
        <v>0.9275706514782609</v>
      </c>
      <c r="C611" s="30">
        <f t="shared" si="56"/>
        <v>1.9602541707532756E-2</v>
      </c>
      <c r="D611" s="45">
        <f t="shared" si="57"/>
        <v>45959</v>
      </c>
      <c r="E611" s="14" cm="1">
        <f t="array" ref="E611">_xlfn.IFNA(INDEX('IR data'!$I$4:$I$61,MATCH(D611,'IR data'!$H$4:$H$61,0)),((INDEX('IR data'!$I$4:$I$61,MATCH(D611,'IR data'!$H$4:$H$61,1)))-((D611-(INDEX('IR data'!$H$4:$H$61,MATCH(D611,'IR data'!$H$4:$H$61,1))))/((INDEX('IR data'!$H$4:$H$61,MATCH(D611,'IR data'!$H$4:$H$61,1)+1)-INDEX('IR data'!$H$4:$H$61,MATCH(D611,'IR data'!$H$4:$H$61,1))))) * (INDEX('IR data'!$I$4:$I$61,MATCH(D611,'IR data'!$H$4:$H$61,1))-(INDEX('IR data'!$I$4:$I$61,MATCH(D611,'IR data'!$H$4:$H$61,1)+1)))))</f>
        <v>0.92179633094505498</v>
      </c>
      <c r="F611" s="30">
        <f t="shared" si="58"/>
        <v>2.123064813828766E-2</v>
      </c>
      <c r="G611" s="45">
        <f t="shared" si="54"/>
        <v>45993</v>
      </c>
      <c r="H611" s="14" cm="1">
        <f t="array" ref="H611">_xlfn.IFNA(INDEX('IR data'!$N$4:$N$61,MATCH(G611,'IR data'!$M$4:$M$61,0)),((INDEX('IR data'!$N$4:$N$61,MATCH(G611,'IR data'!$M$4:$M$61,1)))-((G611-(INDEX('IR data'!$M$4:$M$61,MATCH(G611,'IR data'!$M$4:$M$61,1))))/((INDEX('IR data'!$M$4:$M$61,MATCH(G611,'IR data'!$M$4:$M$61,1)+1)-INDEX('IR data'!$M$4:$M$61,MATCH(G611,'IR data'!$M$4:$M$61,1))))) * (INDEX('IR data'!$N$4:$N$61,MATCH(G611,'IR data'!$M$4:$M$61,1))-(INDEX('IR data'!$N$4:$N$61,MATCH(G611,'IR data'!$M$4:$M$61,1)+1)))))</f>
        <v>0.92114136742857144</v>
      </c>
      <c r="I611" s="44">
        <f t="shared" si="59"/>
        <v>2.1415962921396806E-2</v>
      </c>
    </row>
    <row r="612" spans="1:9" x14ac:dyDescent="0.25">
      <c r="A612" s="45">
        <f t="shared" si="55"/>
        <v>45900</v>
      </c>
      <c r="B612" s="14" cm="1">
        <f t="array" ref="B612">_xlfn.IFNA(INDEX('IR data'!$D$4:$D$61,MATCH(A612,'IR data'!$C$4:$C$61,0)),((INDEX('IR data'!$D$4:$D$61,MATCH(A612,'IR data'!$C$4:$C$61,1)))-((A612-(INDEX('IR data'!$C$4:$C$61,MATCH(A612,'IR data'!$C$4:$C$61,1))))/((INDEX('IR data'!$C$4:$C$61,MATCH(A612,'IR data'!$C$4:$C$61,1)+1)-INDEX('IR data'!$C$4:$C$61,MATCH(A612,'IR data'!$C$4:$C$61,1))))) * (INDEX('IR data'!$D$4:$D$61,MATCH(A612,'IR data'!$C$4:$C$61,1))-(INDEX('IR data'!$D$4:$D$61,MATCH(A612,'IR data'!$C$4:$C$61,1)+1)))))</f>
        <v>0.92748257043478255</v>
      </c>
      <c r="C612" s="30">
        <f t="shared" si="56"/>
        <v>1.9595071775488797E-2</v>
      </c>
      <c r="D612" s="45">
        <f t="shared" si="57"/>
        <v>45960</v>
      </c>
      <c r="E612" s="14" cm="1">
        <f t="array" ref="E612">_xlfn.IFNA(INDEX('IR data'!$I$4:$I$61,MATCH(D612,'IR data'!$H$4:$H$61,0)),((INDEX('IR data'!$I$4:$I$61,MATCH(D612,'IR data'!$H$4:$H$61,1)))-((D612-(INDEX('IR data'!$H$4:$H$61,MATCH(D612,'IR data'!$H$4:$H$61,1))))/((INDEX('IR data'!$H$4:$H$61,MATCH(D612,'IR data'!$H$4:$H$61,1)+1)-INDEX('IR data'!$H$4:$H$61,MATCH(D612,'IR data'!$H$4:$H$61,1))))) * (INDEX('IR data'!$I$4:$I$61,MATCH(D612,'IR data'!$H$4:$H$61,1))-(INDEX('IR data'!$I$4:$I$61,MATCH(D612,'IR data'!$H$4:$H$61,1)+1)))))</f>
        <v>0.92169318230769226</v>
      </c>
      <c r="F612" s="30">
        <f t="shared" si="58"/>
        <v>2.1224914783712849E-2</v>
      </c>
      <c r="G612" s="45">
        <f t="shared" si="54"/>
        <v>45994</v>
      </c>
      <c r="H612" s="14" cm="1">
        <f t="array" ref="H612">_xlfn.IFNA(INDEX('IR data'!$N$4:$N$61,MATCH(G612,'IR data'!$M$4:$M$61,0)),((INDEX('IR data'!$N$4:$N$61,MATCH(G612,'IR data'!$M$4:$M$61,1)))-((G612-(INDEX('IR data'!$M$4:$M$61,MATCH(G612,'IR data'!$M$4:$M$61,1))))/((INDEX('IR data'!$M$4:$M$61,MATCH(G612,'IR data'!$M$4:$M$61,1)+1)-INDEX('IR data'!$M$4:$M$61,MATCH(G612,'IR data'!$M$4:$M$61,1))))) * (INDEX('IR data'!$N$4:$N$61,MATCH(G612,'IR data'!$M$4:$M$61,1))-(INDEX('IR data'!$N$4:$N$61,MATCH(G612,'IR data'!$M$4:$M$61,1)+1)))))</f>
        <v>0.92103452685714282</v>
      </c>
      <c r="I612" s="44">
        <f t="shared" si="59"/>
        <v>2.1410989352390213E-2</v>
      </c>
    </row>
    <row r="613" spans="1:9" x14ac:dyDescent="0.25">
      <c r="A613" s="45">
        <f t="shared" si="55"/>
        <v>45901</v>
      </c>
      <c r="B613" s="14" cm="1">
        <f t="array" ref="B613">_xlfn.IFNA(INDEX('IR data'!$D$4:$D$61,MATCH(A613,'IR data'!$C$4:$C$61,0)),((INDEX('IR data'!$D$4:$D$61,MATCH(A613,'IR data'!$C$4:$C$61,1)))-((A613-(INDEX('IR data'!$C$4:$C$61,MATCH(A613,'IR data'!$C$4:$C$61,1))))/((INDEX('IR data'!$C$4:$C$61,MATCH(A613,'IR data'!$C$4:$C$61,1)+1)-INDEX('IR data'!$C$4:$C$61,MATCH(A613,'IR data'!$C$4:$C$61,1))))) * (INDEX('IR data'!$D$4:$D$61,MATCH(A613,'IR data'!$C$4:$C$61,1))-(INDEX('IR data'!$D$4:$D$61,MATCH(A613,'IR data'!$C$4:$C$61,1)+1)))))</f>
        <v>0.92739448939130431</v>
      </c>
      <c r="C613" s="30">
        <f t="shared" si="56"/>
        <v>1.958762867871832E-2</v>
      </c>
      <c r="D613" s="45">
        <f t="shared" si="57"/>
        <v>45961</v>
      </c>
      <c r="E613" s="14" cm="1">
        <f t="array" ref="E613">_xlfn.IFNA(INDEX('IR data'!$I$4:$I$61,MATCH(D613,'IR data'!$H$4:$H$61,0)),((INDEX('IR data'!$I$4:$I$61,MATCH(D613,'IR data'!$H$4:$H$61,1)))-((D613-(INDEX('IR data'!$H$4:$H$61,MATCH(D613,'IR data'!$H$4:$H$61,1))))/((INDEX('IR data'!$H$4:$H$61,MATCH(D613,'IR data'!$H$4:$H$61,1)+1)-INDEX('IR data'!$H$4:$H$61,MATCH(D613,'IR data'!$H$4:$H$61,1))))) * (INDEX('IR data'!$I$4:$I$61,MATCH(D613,'IR data'!$H$4:$H$61,1))-(INDEX('IR data'!$I$4:$I$61,MATCH(D613,'IR data'!$H$4:$H$61,1)+1)))))</f>
        <v>0.92159003367032966</v>
      </c>
      <c r="F613" s="30">
        <f t="shared" si="58"/>
        <v>2.1219203481651558E-2</v>
      </c>
      <c r="G613" s="45">
        <f t="shared" si="54"/>
        <v>45995</v>
      </c>
      <c r="H613" s="14" cm="1">
        <f t="array" ref="H613">_xlfn.IFNA(INDEX('IR data'!$N$4:$N$61,MATCH(G613,'IR data'!$M$4:$M$61,0)),((INDEX('IR data'!$N$4:$N$61,MATCH(G613,'IR data'!$M$4:$M$61,1)))-((G613-(INDEX('IR data'!$M$4:$M$61,MATCH(G613,'IR data'!$M$4:$M$61,1))))/((INDEX('IR data'!$M$4:$M$61,MATCH(G613,'IR data'!$M$4:$M$61,1)+1)-INDEX('IR data'!$M$4:$M$61,MATCH(G613,'IR data'!$M$4:$M$61,1))))) * (INDEX('IR data'!$N$4:$N$61,MATCH(G613,'IR data'!$M$4:$M$61,1))-(INDEX('IR data'!$N$4:$N$61,MATCH(G613,'IR data'!$M$4:$M$61,1)+1)))))</f>
        <v>0.92092768628571431</v>
      </c>
      <c r="I613" s="44">
        <f t="shared" si="59"/>
        <v>2.1406035586944126E-2</v>
      </c>
    </row>
    <row r="614" spans="1:9" x14ac:dyDescent="0.25">
      <c r="A614" s="45">
        <f t="shared" si="55"/>
        <v>45902</v>
      </c>
      <c r="B614" s="14" cm="1">
        <f t="array" ref="B614">_xlfn.IFNA(INDEX('IR data'!$D$4:$D$61,MATCH(A614,'IR data'!$C$4:$C$61,0)),((INDEX('IR data'!$D$4:$D$61,MATCH(A614,'IR data'!$C$4:$C$61,1)))-((A614-(INDEX('IR data'!$C$4:$C$61,MATCH(A614,'IR data'!$C$4:$C$61,1))))/((INDEX('IR data'!$C$4:$C$61,MATCH(A614,'IR data'!$C$4:$C$61,1)+1)-INDEX('IR data'!$C$4:$C$61,MATCH(A614,'IR data'!$C$4:$C$61,1))))) * (INDEX('IR data'!$D$4:$D$61,MATCH(A614,'IR data'!$C$4:$C$61,1))-(INDEX('IR data'!$D$4:$D$61,MATCH(A614,'IR data'!$C$4:$C$61,1)+1)))))</f>
        <v>0.92730640834782607</v>
      </c>
      <c r="C614" s="30">
        <f t="shared" si="56"/>
        <v>1.9580212285905094E-2</v>
      </c>
      <c r="D614" s="45">
        <f t="shared" si="57"/>
        <v>45962</v>
      </c>
      <c r="E614" s="14" cm="1">
        <f t="array" ref="E614">_xlfn.IFNA(INDEX('IR data'!$I$4:$I$61,MATCH(D614,'IR data'!$H$4:$H$61,0)),((INDEX('IR data'!$I$4:$I$61,MATCH(D614,'IR data'!$H$4:$H$61,1)))-((D614-(INDEX('IR data'!$H$4:$H$61,MATCH(D614,'IR data'!$H$4:$H$61,1))))/((INDEX('IR data'!$H$4:$H$61,MATCH(D614,'IR data'!$H$4:$H$61,1)+1)-INDEX('IR data'!$H$4:$H$61,MATCH(D614,'IR data'!$H$4:$H$61,1))))) * (INDEX('IR data'!$I$4:$I$61,MATCH(D614,'IR data'!$H$4:$H$61,1))-(INDEX('IR data'!$I$4:$I$61,MATCH(D614,'IR data'!$H$4:$H$61,1)+1)))))</f>
        <v>0.92148688503296705</v>
      </c>
      <c r="F614" s="30">
        <f t="shared" si="58"/>
        <v>2.1213514124553742E-2</v>
      </c>
      <c r="G614" s="45">
        <f t="shared" si="54"/>
        <v>45996</v>
      </c>
      <c r="H614" s="14" cm="1">
        <f t="array" ref="H614">_xlfn.IFNA(INDEX('IR data'!$N$4:$N$61,MATCH(G614,'IR data'!$M$4:$M$61,0)),((INDEX('IR data'!$N$4:$N$61,MATCH(G614,'IR data'!$M$4:$M$61,1)))-((G614-(INDEX('IR data'!$M$4:$M$61,MATCH(G614,'IR data'!$M$4:$M$61,1))))/((INDEX('IR data'!$M$4:$M$61,MATCH(G614,'IR data'!$M$4:$M$61,1)+1)-INDEX('IR data'!$M$4:$M$61,MATCH(G614,'IR data'!$M$4:$M$61,1))))) * (INDEX('IR data'!$N$4:$N$61,MATCH(G614,'IR data'!$M$4:$M$61,1))-(INDEX('IR data'!$N$4:$N$61,MATCH(G614,'IR data'!$M$4:$M$61,1)+1)))))</f>
        <v>0.92082084571428569</v>
      </c>
      <c r="I614" s="44">
        <f t="shared" si="59"/>
        <v>2.1401101528633528E-2</v>
      </c>
    </row>
    <row r="615" spans="1:9" x14ac:dyDescent="0.25">
      <c r="A615" s="45">
        <f t="shared" si="55"/>
        <v>45903</v>
      </c>
      <c r="B615" s="14" cm="1">
        <f t="array" ref="B615">_xlfn.IFNA(INDEX('IR data'!$D$4:$D$61,MATCH(A615,'IR data'!$C$4:$C$61,0)),((INDEX('IR data'!$D$4:$D$61,MATCH(A615,'IR data'!$C$4:$C$61,1)))-((A615-(INDEX('IR data'!$C$4:$C$61,MATCH(A615,'IR data'!$C$4:$C$61,1))))/((INDEX('IR data'!$C$4:$C$61,MATCH(A615,'IR data'!$C$4:$C$61,1)+1)-INDEX('IR data'!$C$4:$C$61,MATCH(A615,'IR data'!$C$4:$C$61,1))))) * (INDEX('IR data'!$D$4:$D$61,MATCH(A615,'IR data'!$C$4:$C$61,1))-(INDEX('IR data'!$D$4:$D$61,MATCH(A615,'IR data'!$C$4:$C$61,1)+1)))))</f>
        <v>0.92721832730434783</v>
      </c>
      <c r="C615" s="30">
        <f t="shared" si="56"/>
        <v>1.9572822466591245E-2</v>
      </c>
      <c r="D615" s="45">
        <f t="shared" si="57"/>
        <v>45963</v>
      </c>
      <c r="E615" s="14" cm="1">
        <f t="array" ref="E615">_xlfn.IFNA(INDEX('IR data'!$I$4:$I$61,MATCH(D615,'IR data'!$H$4:$H$61,0)),((INDEX('IR data'!$I$4:$I$61,MATCH(D615,'IR data'!$H$4:$H$61,1)))-((D615-(INDEX('IR data'!$H$4:$H$61,MATCH(D615,'IR data'!$H$4:$H$61,1))))/((INDEX('IR data'!$H$4:$H$61,MATCH(D615,'IR data'!$H$4:$H$61,1)+1)-INDEX('IR data'!$H$4:$H$61,MATCH(D615,'IR data'!$H$4:$H$61,1))))) * (INDEX('IR data'!$I$4:$I$61,MATCH(D615,'IR data'!$H$4:$H$61,1))-(INDEX('IR data'!$I$4:$I$61,MATCH(D615,'IR data'!$H$4:$H$61,1)+1)))))</f>
        <v>0.92138373639560434</v>
      </c>
      <c r="F615" s="30">
        <f t="shared" si="58"/>
        <v>2.1207846605572522E-2</v>
      </c>
      <c r="G615" s="45">
        <f t="shared" si="54"/>
        <v>45997</v>
      </c>
      <c r="H615" s="14" cm="1">
        <f t="array" ref="H615">_xlfn.IFNA(INDEX('IR data'!$N$4:$N$61,MATCH(G615,'IR data'!$M$4:$M$61,0)),((INDEX('IR data'!$N$4:$N$61,MATCH(G615,'IR data'!$M$4:$M$61,1)))-((G615-(INDEX('IR data'!$M$4:$M$61,MATCH(G615,'IR data'!$M$4:$M$61,1))))/((INDEX('IR data'!$M$4:$M$61,MATCH(G615,'IR data'!$M$4:$M$61,1)+1)-INDEX('IR data'!$M$4:$M$61,MATCH(G615,'IR data'!$M$4:$M$61,1))))) * (INDEX('IR data'!$N$4:$N$61,MATCH(G615,'IR data'!$M$4:$M$61,1))-(INDEX('IR data'!$N$4:$N$61,MATCH(G615,'IR data'!$M$4:$M$61,1)+1)))))</f>
        <v>0.92071400514285717</v>
      </c>
      <c r="I615" s="44">
        <f t="shared" si="59"/>
        <v>2.139618708166377E-2</v>
      </c>
    </row>
    <row r="616" spans="1:9" x14ac:dyDescent="0.25">
      <c r="A616" s="45">
        <f t="shared" si="55"/>
        <v>45904</v>
      </c>
      <c r="B616" s="14" cm="1">
        <f t="array" ref="B616">_xlfn.IFNA(INDEX('IR data'!$D$4:$D$61,MATCH(A616,'IR data'!$C$4:$C$61,0)),((INDEX('IR data'!$D$4:$D$61,MATCH(A616,'IR data'!$C$4:$C$61,1)))-((A616-(INDEX('IR data'!$C$4:$C$61,MATCH(A616,'IR data'!$C$4:$C$61,1))))/((INDEX('IR data'!$C$4:$C$61,MATCH(A616,'IR data'!$C$4:$C$61,1)+1)-INDEX('IR data'!$C$4:$C$61,MATCH(A616,'IR data'!$C$4:$C$61,1))))) * (INDEX('IR data'!$D$4:$D$61,MATCH(A616,'IR data'!$C$4:$C$61,1))-(INDEX('IR data'!$D$4:$D$61,MATCH(A616,'IR data'!$C$4:$C$61,1)+1)))))</f>
        <v>0.92713024626086959</v>
      </c>
      <c r="C616" s="30">
        <f t="shared" si="56"/>
        <v>1.9565459091170315E-2</v>
      </c>
      <c r="D616" s="45">
        <f t="shared" si="57"/>
        <v>45964</v>
      </c>
      <c r="E616" s="14" cm="1">
        <f t="array" ref="E616">_xlfn.IFNA(INDEX('IR data'!$I$4:$I$61,MATCH(D616,'IR data'!$H$4:$H$61,0)),((INDEX('IR data'!$I$4:$I$61,MATCH(D616,'IR data'!$H$4:$H$61,1)))-((D616-(INDEX('IR data'!$H$4:$H$61,MATCH(D616,'IR data'!$H$4:$H$61,1))))/((INDEX('IR data'!$H$4:$H$61,MATCH(D616,'IR data'!$H$4:$H$61,1)+1)-INDEX('IR data'!$H$4:$H$61,MATCH(D616,'IR data'!$H$4:$H$61,1))))) * (INDEX('IR data'!$I$4:$I$61,MATCH(D616,'IR data'!$H$4:$H$61,1))-(INDEX('IR data'!$I$4:$I$61,MATCH(D616,'IR data'!$H$4:$H$61,1)+1)))))</f>
        <v>0.92128058775824173</v>
      </c>
      <c r="F616" s="30">
        <f t="shared" si="58"/>
        <v>2.1202200818558385E-2</v>
      </c>
      <c r="G616" s="45">
        <f t="shared" si="54"/>
        <v>45998</v>
      </c>
      <c r="H616" s="14" cm="1">
        <f t="array" ref="H616">_xlfn.IFNA(INDEX('IR data'!$N$4:$N$61,MATCH(G616,'IR data'!$M$4:$M$61,0)),((INDEX('IR data'!$N$4:$N$61,MATCH(G616,'IR data'!$M$4:$M$61,1)))-((G616-(INDEX('IR data'!$M$4:$M$61,MATCH(G616,'IR data'!$M$4:$M$61,1))))/((INDEX('IR data'!$M$4:$M$61,MATCH(G616,'IR data'!$M$4:$M$61,1)+1)-INDEX('IR data'!$M$4:$M$61,MATCH(G616,'IR data'!$M$4:$M$61,1))))) * (INDEX('IR data'!$N$4:$N$61,MATCH(G616,'IR data'!$M$4:$M$61,1))-(INDEX('IR data'!$N$4:$N$61,MATCH(G616,'IR data'!$M$4:$M$61,1)+1)))))</f>
        <v>0.92060716457142855</v>
      </c>
      <c r="I616" s="44">
        <f t="shared" si="59"/>
        <v>2.1391292150865712E-2</v>
      </c>
    </row>
    <row r="617" spans="1:9" x14ac:dyDescent="0.25">
      <c r="A617" s="45">
        <f t="shared" si="55"/>
        <v>45905</v>
      </c>
      <c r="B617" s="14" cm="1">
        <f t="array" ref="B617">_xlfn.IFNA(INDEX('IR data'!$D$4:$D$61,MATCH(A617,'IR data'!$C$4:$C$61,0)),((INDEX('IR data'!$D$4:$D$61,MATCH(A617,'IR data'!$C$4:$C$61,1)))-((A617-(INDEX('IR data'!$C$4:$C$61,MATCH(A617,'IR data'!$C$4:$C$61,1))))/((INDEX('IR data'!$C$4:$C$61,MATCH(A617,'IR data'!$C$4:$C$61,1)+1)-INDEX('IR data'!$C$4:$C$61,MATCH(A617,'IR data'!$C$4:$C$61,1))))) * (INDEX('IR data'!$D$4:$D$61,MATCH(A617,'IR data'!$C$4:$C$61,1))-(INDEX('IR data'!$D$4:$D$61,MATCH(A617,'IR data'!$C$4:$C$61,1)+1)))))</f>
        <v>0.92704216521739125</v>
      </c>
      <c r="C617" s="30">
        <f t="shared" si="56"/>
        <v>1.9558122030880337E-2</v>
      </c>
      <c r="D617" s="45">
        <f t="shared" si="57"/>
        <v>45965</v>
      </c>
      <c r="E617" s="14" cm="1">
        <f t="array" ref="E617">_xlfn.IFNA(INDEX('IR data'!$I$4:$I$61,MATCH(D617,'IR data'!$H$4:$H$61,0)),((INDEX('IR data'!$I$4:$I$61,MATCH(D617,'IR data'!$H$4:$H$61,1)))-((D617-(INDEX('IR data'!$H$4:$H$61,MATCH(D617,'IR data'!$H$4:$H$61,1))))/((INDEX('IR data'!$H$4:$H$61,MATCH(D617,'IR data'!$H$4:$H$61,1)+1)-INDEX('IR data'!$H$4:$H$61,MATCH(D617,'IR data'!$H$4:$H$61,1))))) * (INDEX('IR data'!$I$4:$I$61,MATCH(D617,'IR data'!$H$4:$H$61,1))-(INDEX('IR data'!$I$4:$I$61,MATCH(D617,'IR data'!$H$4:$H$61,1)+1)))))</f>
        <v>0.92117743912087913</v>
      </c>
      <c r="F617" s="30">
        <f t="shared" si="58"/>
        <v>2.1196576658053697E-2</v>
      </c>
      <c r="G617" s="45">
        <f t="shared" si="54"/>
        <v>45999</v>
      </c>
      <c r="H617" s="14" cm="1">
        <f t="array" ref="H617">_xlfn.IFNA(INDEX('IR data'!$N$4:$N$61,MATCH(G617,'IR data'!$M$4:$M$61,0)),((INDEX('IR data'!$N$4:$N$61,MATCH(G617,'IR data'!$M$4:$M$61,1)))-((G617-(INDEX('IR data'!$M$4:$M$61,MATCH(G617,'IR data'!$M$4:$M$61,1))))/((INDEX('IR data'!$M$4:$M$61,MATCH(G617,'IR data'!$M$4:$M$61,1)+1)-INDEX('IR data'!$M$4:$M$61,MATCH(G617,'IR data'!$M$4:$M$61,1))))) * (INDEX('IR data'!$N$4:$N$61,MATCH(G617,'IR data'!$M$4:$M$61,1))-(INDEX('IR data'!$N$4:$N$61,MATCH(G617,'IR data'!$M$4:$M$61,1)+1)))))</f>
        <v>0.92050032400000004</v>
      </c>
      <c r="I617" s="44">
        <f t="shared" si="59"/>
        <v>2.1386416641690355E-2</v>
      </c>
    </row>
    <row r="618" spans="1:9" x14ac:dyDescent="0.25">
      <c r="A618" s="45">
        <f t="shared" si="55"/>
        <v>45906</v>
      </c>
      <c r="B618" s="14" cm="1">
        <f t="array" ref="B618">_xlfn.IFNA(INDEX('IR data'!$D$4:$D$61,MATCH(A618,'IR data'!$C$4:$C$61,0)),((INDEX('IR data'!$D$4:$D$61,MATCH(A618,'IR data'!$C$4:$C$61,1)))-((A618-(INDEX('IR data'!$C$4:$C$61,MATCH(A618,'IR data'!$C$4:$C$61,1))))/((INDEX('IR data'!$C$4:$C$61,MATCH(A618,'IR data'!$C$4:$C$61,1)+1)-INDEX('IR data'!$C$4:$C$61,MATCH(A618,'IR data'!$C$4:$C$61,1))))) * (INDEX('IR data'!$D$4:$D$61,MATCH(A618,'IR data'!$C$4:$C$61,1))-(INDEX('IR data'!$D$4:$D$61,MATCH(A618,'IR data'!$C$4:$C$61,1)+1)))))</f>
        <v>0.92695408417391301</v>
      </c>
      <c r="C618" s="30">
        <f t="shared" si="56"/>
        <v>1.9550811157796857E-2</v>
      </c>
      <c r="D618" s="45">
        <f t="shared" si="57"/>
        <v>45966</v>
      </c>
      <c r="E618" s="14" cm="1">
        <f t="array" ref="E618">_xlfn.IFNA(INDEX('IR data'!$I$4:$I$61,MATCH(D618,'IR data'!$H$4:$H$61,0)),((INDEX('IR data'!$I$4:$I$61,MATCH(D618,'IR data'!$H$4:$H$61,1)))-((D618-(INDEX('IR data'!$H$4:$H$61,MATCH(D618,'IR data'!$H$4:$H$61,1))))/((INDEX('IR data'!$H$4:$H$61,MATCH(D618,'IR data'!$H$4:$H$61,1)+1)-INDEX('IR data'!$H$4:$H$61,MATCH(D618,'IR data'!$H$4:$H$61,1))))) * (INDEX('IR data'!$I$4:$I$61,MATCH(D618,'IR data'!$H$4:$H$61,1))-(INDEX('IR data'!$I$4:$I$61,MATCH(D618,'IR data'!$H$4:$H$61,1)+1)))))</f>
        <v>0.92107429048351652</v>
      </c>
      <c r="F618" s="30">
        <f t="shared" si="58"/>
        <v>2.119097401928691E-2</v>
      </c>
      <c r="G618" s="45">
        <f t="shared" si="54"/>
        <v>46000</v>
      </c>
      <c r="H618" s="14" cm="1">
        <f t="array" ref="H618">_xlfn.IFNA(INDEX('IR data'!$N$4:$N$61,MATCH(G618,'IR data'!$M$4:$M$61,0)),((INDEX('IR data'!$N$4:$N$61,MATCH(G618,'IR data'!$M$4:$M$61,1)))-((G618-(INDEX('IR data'!$M$4:$M$61,MATCH(G618,'IR data'!$M$4:$M$61,1))))/((INDEX('IR data'!$M$4:$M$61,MATCH(G618,'IR data'!$M$4:$M$61,1)+1)-INDEX('IR data'!$M$4:$M$61,MATCH(G618,'IR data'!$M$4:$M$61,1))))) * (INDEX('IR data'!$N$4:$N$61,MATCH(G618,'IR data'!$M$4:$M$61,1))-(INDEX('IR data'!$N$4:$N$61,MATCH(G618,'IR data'!$M$4:$M$61,1)+1)))))</f>
        <v>0.92039348342857141</v>
      </c>
      <c r="I618" s="44">
        <f t="shared" si="59"/>
        <v>2.1381560460204056E-2</v>
      </c>
    </row>
    <row r="619" spans="1:9" x14ac:dyDescent="0.25">
      <c r="A619" s="45">
        <f t="shared" si="55"/>
        <v>45907</v>
      </c>
      <c r="B619" s="14" cm="1">
        <f t="array" ref="B619">_xlfn.IFNA(INDEX('IR data'!$D$4:$D$61,MATCH(A619,'IR data'!$C$4:$C$61,0)),((INDEX('IR data'!$D$4:$D$61,MATCH(A619,'IR data'!$C$4:$C$61,1)))-((A619-(INDEX('IR data'!$C$4:$C$61,MATCH(A619,'IR data'!$C$4:$C$61,1))))/((INDEX('IR data'!$C$4:$C$61,MATCH(A619,'IR data'!$C$4:$C$61,1)+1)-INDEX('IR data'!$C$4:$C$61,MATCH(A619,'IR data'!$C$4:$C$61,1))))) * (INDEX('IR data'!$D$4:$D$61,MATCH(A619,'IR data'!$C$4:$C$61,1))-(INDEX('IR data'!$D$4:$D$61,MATCH(A619,'IR data'!$C$4:$C$61,1)+1)))))</f>
        <v>0.92686600313043477</v>
      </c>
      <c r="C619" s="30">
        <f t="shared" si="56"/>
        <v>1.9543526344826312E-2</v>
      </c>
      <c r="D619" s="45">
        <f t="shared" si="57"/>
        <v>45967</v>
      </c>
      <c r="E619" s="14" cm="1">
        <f t="array" ref="E619">_xlfn.IFNA(INDEX('IR data'!$I$4:$I$61,MATCH(D619,'IR data'!$H$4:$H$61,0)),((INDEX('IR data'!$I$4:$I$61,MATCH(D619,'IR data'!$H$4:$H$61,1)))-((D619-(INDEX('IR data'!$H$4:$H$61,MATCH(D619,'IR data'!$H$4:$H$61,1))))/((INDEX('IR data'!$H$4:$H$61,MATCH(D619,'IR data'!$H$4:$H$61,1)+1)-INDEX('IR data'!$H$4:$H$61,MATCH(D619,'IR data'!$H$4:$H$61,1))))) * (INDEX('IR data'!$I$4:$I$61,MATCH(D619,'IR data'!$H$4:$H$61,1))-(INDEX('IR data'!$I$4:$I$61,MATCH(D619,'IR data'!$H$4:$H$61,1)+1)))))</f>
        <v>0.92097114184615381</v>
      </c>
      <c r="F619" s="30">
        <f t="shared" si="58"/>
        <v>2.118539279816711E-2</v>
      </c>
      <c r="G619" s="45">
        <f t="shared" si="54"/>
        <v>46001</v>
      </c>
      <c r="H619" s="14" cm="1">
        <f t="array" ref="H619">_xlfn.IFNA(INDEX('IR data'!$N$4:$N$61,MATCH(G619,'IR data'!$M$4:$M$61,0)),((INDEX('IR data'!$N$4:$N$61,MATCH(G619,'IR data'!$M$4:$M$61,1)))-((G619-(INDEX('IR data'!$M$4:$M$61,MATCH(G619,'IR data'!$M$4:$M$61,1))))/((INDEX('IR data'!$M$4:$M$61,MATCH(G619,'IR data'!$M$4:$M$61,1)+1)-INDEX('IR data'!$M$4:$M$61,MATCH(G619,'IR data'!$M$4:$M$61,1))))) * (INDEX('IR data'!$N$4:$N$61,MATCH(G619,'IR data'!$M$4:$M$61,1))-(INDEX('IR data'!$N$4:$N$61,MATCH(G619,'IR data'!$M$4:$M$61,1)+1)))))</f>
        <v>0.9202866428571429</v>
      </c>
      <c r="I619" s="44">
        <f t="shared" si="59"/>
        <v>2.1376723513083305E-2</v>
      </c>
    </row>
    <row r="620" spans="1:9" x14ac:dyDescent="0.25">
      <c r="A620" s="45">
        <f t="shared" si="55"/>
        <v>45908</v>
      </c>
      <c r="B620" s="14" cm="1">
        <f t="array" ref="B620">_xlfn.IFNA(INDEX('IR data'!$D$4:$D$61,MATCH(A620,'IR data'!$C$4:$C$61,0)),((INDEX('IR data'!$D$4:$D$61,MATCH(A620,'IR data'!$C$4:$C$61,1)))-((A620-(INDEX('IR data'!$C$4:$C$61,MATCH(A620,'IR data'!$C$4:$C$61,1))))/((INDEX('IR data'!$C$4:$C$61,MATCH(A620,'IR data'!$C$4:$C$61,1)+1)-INDEX('IR data'!$C$4:$C$61,MATCH(A620,'IR data'!$C$4:$C$61,1))))) * (INDEX('IR data'!$D$4:$D$61,MATCH(A620,'IR data'!$C$4:$C$61,1))-(INDEX('IR data'!$D$4:$D$61,MATCH(A620,'IR data'!$C$4:$C$61,1)+1)))))</f>
        <v>0.92677792208695653</v>
      </c>
      <c r="C620" s="30">
        <f t="shared" si="56"/>
        <v>1.9536267465699187E-2</v>
      </c>
      <c r="D620" s="45">
        <f t="shared" si="57"/>
        <v>45968</v>
      </c>
      <c r="E620" s="14" cm="1">
        <f t="array" ref="E620">_xlfn.IFNA(INDEX('IR data'!$I$4:$I$61,MATCH(D620,'IR data'!$H$4:$H$61,0)),((INDEX('IR data'!$I$4:$I$61,MATCH(D620,'IR data'!$H$4:$H$61,1)))-((D620-(INDEX('IR data'!$H$4:$H$61,MATCH(D620,'IR data'!$H$4:$H$61,1))))/((INDEX('IR data'!$H$4:$H$61,MATCH(D620,'IR data'!$H$4:$H$61,1)+1)-INDEX('IR data'!$H$4:$H$61,MATCH(D620,'IR data'!$H$4:$H$61,1))))) * (INDEX('IR data'!$I$4:$I$61,MATCH(D620,'IR data'!$H$4:$H$61,1))-(INDEX('IR data'!$I$4:$I$61,MATCH(D620,'IR data'!$H$4:$H$61,1)+1)))))</f>
        <v>0.9208679932087912</v>
      </c>
      <c r="F620" s="30">
        <f t="shared" si="58"/>
        <v>2.1179832891278328E-2</v>
      </c>
      <c r="G620" s="45">
        <f t="shared" si="54"/>
        <v>46002</v>
      </c>
      <c r="H620" s="14" cm="1">
        <f t="array" ref="H620">_xlfn.IFNA(INDEX('IR data'!$N$4:$N$61,MATCH(G620,'IR data'!$M$4:$M$61,0)),((INDEX('IR data'!$N$4:$N$61,MATCH(G620,'IR data'!$M$4:$M$61,1)))-((G620-(INDEX('IR data'!$M$4:$M$61,MATCH(G620,'IR data'!$M$4:$M$61,1))))/((INDEX('IR data'!$M$4:$M$61,MATCH(G620,'IR data'!$M$4:$M$61,1)+1)-INDEX('IR data'!$M$4:$M$61,MATCH(G620,'IR data'!$M$4:$M$61,1))))) * (INDEX('IR data'!$N$4:$N$61,MATCH(G620,'IR data'!$M$4:$M$61,1))-(INDEX('IR data'!$N$4:$N$61,MATCH(G620,'IR data'!$M$4:$M$61,1)+1)))))</f>
        <v>0.92017980228571428</v>
      </c>
      <c r="I620" s="44">
        <f t="shared" si="59"/>
        <v>2.1371905707609981E-2</v>
      </c>
    </row>
    <row r="621" spans="1:9" x14ac:dyDescent="0.25">
      <c r="A621" s="45">
        <f t="shared" si="55"/>
        <v>45909</v>
      </c>
      <c r="B621" s="14" cm="1">
        <f t="array" ref="B621">_xlfn.IFNA(INDEX('IR data'!$D$4:$D$61,MATCH(A621,'IR data'!$C$4:$C$61,0)),((INDEX('IR data'!$D$4:$D$61,MATCH(A621,'IR data'!$C$4:$C$61,1)))-((A621-(INDEX('IR data'!$C$4:$C$61,MATCH(A621,'IR data'!$C$4:$C$61,1))))/((INDEX('IR data'!$C$4:$C$61,MATCH(A621,'IR data'!$C$4:$C$61,1)+1)-INDEX('IR data'!$C$4:$C$61,MATCH(A621,'IR data'!$C$4:$C$61,1))))) * (INDEX('IR data'!$D$4:$D$61,MATCH(A621,'IR data'!$C$4:$C$61,1))-(INDEX('IR data'!$D$4:$D$61,MATCH(A621,'IR data'!$C$4:$C$61,1)+1)))))</f>
        <v>0.92668984104347829</v>
      </c>
      <c r="C621" s="30">
        <f t="shared" si="56"/>
        <v>1.9529034394963368E-2</v>
      </c>
      <c r="D621" s="45">
        <f t="shared" si="57"/>
        <v>45969</v>
      </c>
      <c r="E621" s="14" cm="1">
        <f t="array" ref="E621">_xlfn.IFNA(INDEX('IR data'!$I$4:$I$61,MATCH(D621,'IR data'!$H$4:$H$61,0)),((INDEX('IR data'!$I$4:$I$61,MATCH(D621,'IR data'!$H$4:$H$61,1)))-((D621-(INDEX('IR data'!$H$4:$H$61,MATCH(D621,'IR data'!$H$4:$H$61,1))))/((INDEX('IR data'!$H$4:$H$61,MATCH(D621,'IR data'!$H$4:$H$61,1)+1)-INDEX('IR data'!$H$4:$H$61,MATCH(D621,'IR data'!$H$4:$H$61,1))))) * (INDEX('IR data'!$I$4:$I$61,MATCH(D621,'IR data'!$H$4:$H$61,1))-(INDEX('IR data'!$I$4:$I$61,MATCH(D621,'IR data'!$H$4:$H$61,1)+1)))))</f>
        <v>0.9207648445714286</v>
      </c>
      <c r="F621" s="30">
        <f t="shared" si="58"/>
        <v>2.1174294195874317E-2</v>
      </c>
      <c r="G621" s="45">
        <f t="shared" si="54"/>
        <v>46003</v>
      </c>
      <c r="H621" s="14" cm="1">
        <f t="array" ref="H621">_xlfn.IFNA(INDEX('IR data'!$N$4:$N$61,MATCH(G621,'IR data'!$M$4:$M$61,0)),((INDEX('IR data'!$N$4:$N$61,MATCH(G621,'IR data'!$M$4:$M$61,1)))-((G621-(INDEX('IR data'!$M$4:$M$61,MATCH(G621,'IR data'!$M$4:$M$61,1))))/((INDEX('IR data'!$M$4:$M$61,MATCH(G621,'IR data'!$M$4:$M$61,1)+1)-INDEX('IR data'!$M$4:$M$61,MATCH(G621,'IR data'!$M$4:$M$61,1))))) * (INDEX('IR data'!$N$4:$N$61,MATCH(G621,'IR data'!$M$4:$M$61,1))-(INDEX('IR data'!$N$4:$N$61,MATCH(G621,'IR data'!$M$4:$M$61,1)+1)))))</f>
        <v>0.92007296171428576</v>
      </c>
      <c r="I621" s="44">
        <f t="shared" si="59"/>
        <v>2.136710695166626E-2</v>
      </c>
    </row>
    <row r="622" spans="1:9" x14ac:dyDescent="0.25">
      <c r="A622" s="45">
        <f t="shared" si="55"/>
        <v>45910</v>
      </c>
      <c r="B622" s="14" cm="1">
        <f t="array" ref="B622">_xlfn.IFNA(INDEX('IR data'!$D$4:$D$61,MATCH(A622,'IR data'!$C$4:$C$61,0)),((INDEX('IR data'!$D$4:$D$61,MATCH(A622,'IR data'!$C$4:$C$61,1)))-((A622-(INDEX('IR data'!$C$4:$C$61,MATCH(A622,'IR data'!$C$4:$C$61,1))))/((INDEX('IR data'!$C$4:$C$61,MATCH(A622,'IR data'!$C$4:$C$61,1)+1)-INDEX('IR data'!$C$4:$C$61,MATCH(A622,'IR data'!$C$4:$C$61,1))))) * (INDEX('IR data'!$D$4:$D$61,MATCH(A622,'IR data'!$C$4:$C$61,1))-(INDEX('IR data'!$D$4:$D$61,MATCH(A622,'IR data'!$C$4:$C$61,1)+1)))))</f>
        <v>0.92660176000000005</v>
      </c>
      <c r="C622" s="30">
        <f t="shared" si="56"/>
        <v>1.9521827007977534E-2</v>
      </c>
      <c r="D622" s="45">
        <f t="shared" si="57"/>
        <v>45970</v>
      </c>
      <c r="E622" s="14" cm="1">
        <f t="array" ref="E622">_xlfn.IFNA(INDEX('IR data'!$I$4:$I$61,MATCH(D622,'IR data'!$H$4:$H$61,0)),((INDEX('IR data'!$I$4:$I$61,MATCH(D622,'IR data'!$H$4:$H$61,1)))-((D622-(INDEX('IR data'!$H$4:$H$61,MATCH(D622,'IR data'!$H$4:$H$61,1))))/((INDEX('IR data'!$H$4:$H$61,MATCH(D622,'IR data'!$H$4:$H$61,1)+1)-INDEX('IR data'!$H$4:$H$61,MATCH(D622,'IR data'!$H$4:$H$61,1))))) * (INDEX('IR data'!$I$4:$I$61,MATCH(D622,'IR data'!$H$4:$H$61,1))-(INDEX('IR data'!$I$4:$I$61,MATCH(D622,'IR data'!$H$4:$H$61,1)+1)))))</f>
        <v>0.92066169593406588</v>
      </c>
      <c r="F622" s="30">
        <f t="shared" si="58"/>
        <v>2.1168776609873003E-2</v>
      </c>
      <c r="G622" s="45">
        <f t="shared" si="54"/>
        <v>46004</v>
      </c>
      <c r="H622" s="14" cm="1">
        <f t="array" ref="H622">_xlfn.IFNA(INDEX('IR data'!$N$4:$N$61,MATCH(G622,'IR data'!$M$4:$M$61,0)),((INDEX('IR data'!$N$4:$N$61,MATCH(G622,'IR data'!$M$4:$M$61,1)))-((G622-(INDEX('IR data'!$M$4:$M$61,MATCH(G622,'IR data'!$M$4:$M$61,1))))/((INDEX('IR data'!$M$4:$M$61,MATCH(G622,'IR data'!$M$4:$M$61,1)+1)-INDEX('IR data'!$M$4:$M$61,MATCH(G622,'IR data'!$M$4:$M$61,1))))) * (INDEX('IR data'!$N$4:$N$61,MATCH(G622,'IR data'!$M$4:$M$61,1))-(INDEX('IR data'!$N$4:$N$61,MATCH(G622,'IR data'!$M$4:$M$61,1)+1)))))</f>
        <v>0.91996612114285714</v>
      </c>
      <c r="I622" s="44">
        <f t="shared" si="59"/>
        <v>2.1362327153729984E-2</v>
      </c>
    </row>
    <row r="623" spans="1:9" x14ac:dyDescent="0.25">
      <c r="A623" s="45">
        <f t="shared" si="55"/>
        <v>45911</v>
      </c>
      <c r="B623" s="14" cm="1">
        <f t="array" ref="B623">_xlfn.IFNA(INDEX('IR data'!$D$4:$D$61,MATCH(A623,'IR data'!$C$4:$C$61,0)),((INDEX('IR data'!$D$4:$D$61,MATCH(A623,'IR data'!$C$4:$C$61,1)))-((A623-(INDEX('IR data'!$C$4:$C$61,MATCH(A623,'IR data'!$C$4:$C$61,1))))/((INDEX('IR data'!$C$4:$C$61,MATCH(A623,'IR data'!$C$4:$C$61,1)+1)-INDEX('IR data'!$C$4:$C$61,MATCH(A623,'IR data'!$C$4:$C$61,1))))) * (INDEX('IR data'!$D$4:$D$61,MATCH(A623,'IR data'!$C$4:$C$61,1))-(INDEX('IR data'!$D$4:$D$61,MATCH(A623,'IR data'!$C$4:$C$61,1)+1)))))</f>
        <v>0.9265136789565217</v>
      </c>
      <c r="C623" s="30">
        <f t="shared" si="56"/>
        <v>1.9514645180904674E-2</v>
      </c>
      <c r="D623" s="45">
        <f t="shared" si="57"/>
        <v>45971</v>
      </c>
      <c r="E623" s="14" cm="1">
        <f t="array" ref="E623">_xlfn.IFNA(INDEX('IR data'!$I$4:$I$61,MATCH(D623,'IR data'!$H$4:$H$61,0)),((INDEX('IR data'!$I$4:$I$61,MATCH(D623,'IR data'!$H$4:$H$61,1)))-((D623-(INDEX('IR data'!$H$4:$H$61,MATCH(D623,'IR data'!$H$4:$H$61,1))))/((INDEX('IR data'!$H$4:$H$61,MATCH(D623,'IR data'!$H$4:$H$61,1)+1)-INDEX('IR data'!$H$4:$H$61,MATCH(D623,'IR data'!$H$4:$H$61,1))))) * (INDEX('IR data'!$I$4:$I$61,MATCH(D623,'IR data'!$H$4:$H$61,1))-(INDEX('IR data'!$I$4:$I$61,MATCH(D623,'IR data'!$H$4:$H$61,1)+1)))))</f>
        <v>0.92055854729670328</v>
      </c>
      <c r="F623" s="30">
        <f t="shared" si="58"/>
        <v>2.116328003185106E-2</v>
      </c>
      <c r="G623" s="45">
        <f t="shared" si="54"/>
        <v>46005</v>
      </c>
      <c r="H623" s="14" cm="1">
        <f t="array" ref="H623">_xlfn.IFNA(INDEX('IR data'!$N$4:$N$61,MATCH(G623,'IR data'!$M$4:$M$61,0)),((INDEX('IR data'!$N$4:$N$61,MATCH(G623,'IR data'!$M$4:$M$61,1)))-((G623-(INDEX('IR data'!$M$4:$M$61,MATCH(G623,'IR data'!$M$4:$M$61,1))))/((INDEX('IR data'!$M$4:$M$61,MATCH(G623,'IR data'!$M$4:$M$61,1)+1)-INDEX('IR data'!$M$4:$M$61,MATCH(G623,'IR data'!$M$4:$M$61,1))))) * (INDEX('IR data'!$N$4:$N$61,MATCH(G623,'IR data'!$M$4:$M$61,1))-(INDEX('IR data'!$N$4:$N$61,MATCH(G623,'IR data'!$M$4:$M$61,1)+1)))))</f>
        <v>0.91985928057142863</v>
      </c>
      <c r="I623" s="44">
        <f t="shared" si="59"/>
        <v>2.135756622286961E-2</v>
      </c>
    </row>
    <row r="624" spans="1:9" x14ac:dyDescent="0.25">
      <c r="A624" s="45">
        <f t="shared" si="55"/>
        <v>45912</v>
      </c>
      <c r="B624" s="14" cm="1">
        <f t="array" ref="B624">_xlfn.IFNA(INDEX('IR data'!$D$4:$D$61,MATCH(A624,'IR data'!$C$4:$C$61,0)),((INDEX('IR data'!$D$4:$D$61,MATCH(A624,'IR data'!$C$4:$C$61,1)))-((A624-(INDEX('IR data'!$C$4:$C$61,MATCH(A624,'IR data'!$C$4:$C$61,1))))/((INDEX('IR data'!$C$4:$C$61,MATCH(A624,'IR data'!$C$4:$C$61,1)+1)-INDEX('IR data'!$C$4:$C$61,MATCH(A624,'IR data'!$C$4:$C$61,1))))) * (INDEX('IR data'!$D$4:$D$61,MATCH(A624,'IR data'!$C$4:$C$61,1))-(INDEX('IR data'!$D$4:$D$61,MATCH(A624,'IR data'!$C$4:$C$61,1)+1)))))</f>
        <v>0.92642559791304346</v>
      </c>
      <c r="C624" s="30">
        <f t="shared" si="56"/>
        <v>1.9507488790705452E-2</v>
      </c>
      <c r="D624" s="45">
        <f t="shared" si="57"/>
        <v>45972</v>
      </c>
      <c r="E624" s="14" cm="1">
        <f t="array" ref="E624">_xlfn.IFNA(INDEX('IR data'!$I$4:$I$61,MATCH(D624,'IR data'!$H$4:$H$61,0)),((INDEX('IR data'!$I$4:$I$61,MATCH(D624,'IR data'!$H$4:$H$61,1)))-((D624-(INDEX('IR data'!$H$4:$H$61,MATCH(D624,'IR data'!$H$4:$H$61,1))))/((INDEX('IR data'!$H$4:$H$61,MATCH(D624,'IR data'!$H$4:$H$61,1)+1)-INDEX('IR data'!$H$4:$H$61,MATCH(D624,'IR data'!$H$4:$H$61,1))))) * (INDEX('IR data'!$I$4:$I$61,MATCH(D624,'IR data'!$H$4:$H$61,1))-(INDEX('IR data'!$I$4:$I$61,MATCH(D624,'IR data'!$H$4:$H$61,1)+1)))))</f>
        <v>0.92045539865934067</v>
      </c>
      <c r="F624" s="30">
        <f t="shared" si="58"/>
        <v>2.1157804361038781E-2</v>
      </c>
      <c r="G624" s="45">
        <f t="shared" si="54"/>
        <v>46006</v>
      </c>
      <c r="H624" s="14" cm="1">
        <f t="array" ref="H624">_xlfn.IFNA(INDEX('IR data'!$N$4:$N$61,MATCH(G624,'IR data'!$M$4:$M$61,0)),((INDEX('IR data'!$N$4:$N$61,MATCH(G624,'IR data'!$M$4:$M$61,1)))-((G624-(INDEX('IR data'!$M$4:$M$61,MATCH(G624,'IR data'!$M$4:$M$61,1))))/((INDEX('IR data'!$M$4:$M$61,MATCH(G624,'IR data'!$M$4:$M$61,1)+1)-INDEX('IR data'!$M$4:$M$61,MATCH(G624,'IR data'!$M$4:$M$61,1))))) * (INDEX('IR data'!$N$4:$N$61,MATCH(G624,'IR data'!$M$4:$M$61,1))-(INDEX('IR data'!$N$4:$N$61,MATCH(G624,'IR data'!$M$4:$M$61,1)+1)))))</f>
        <v>0.91975244</v>
      </c>
      <c r="I624" s="44">
        <f t="shared" si="59"/>
        <v>2.1352824068739708E-2</v>
      </c>
    </row>
    <row r="625" spans="1:9" x14ac:dyDescent="0.25">
      <c r="A625" s="45">
        <f t="shared" si="55"/>
        <v>45913</v>
      </c>
      <c r="B625" s="14" cm="1">
        <f t="array" ref="B625">_xlfn.IFNA(INDEX('IR data'!$D$4:$D$61,MATCH(A625,'IR data'!$C$4:$C$61,0)),((INDEX('IR data'!$D$4:$D$61,MATCH(A625,'IR data'!$C$4:$C$61,1)))-((A625-(INDEX('IR data'!$C$4:$C$61,MATCH(A625,'IR data'!$C$4:$C$61,1))))/((INDEX('IR data'!$C$4:$C$61,MATCH(A625,'IR data'!$C$4:$C$61,1)+1)-INDEX('IR data'!$C$4:$C$61,MATCH(A625,'IR data'!$C$4:$C$61,1))))) * (INDEX('IR data'!$D$4:$D$61,MATCH(A625,'IR data'!$C$4:$C$61,1))-(INDEX('IR data'!$D$4:$D$61,MATCH(A625,'IR data'!$C$4:$C$61,1)+1)))))</f>
        <v>0.92633751686956523</v>
      </c>
      <c r="C625" s="30">
        <f t="shared" si="56"/>
        <v>1.9500357715132022E-2</v>
      </c>
      <c r="D625" s="45">
        <f t="shared" si="57"/>
        <v>45973</v>
      </c>
      <c r="E625" s="14" cm="1">
        <f t="array" ref="E625">_xlfn.IFNA(INDEX('IR data'!$I$4:$I$61,MATCH(D625,'IR data'!$H$4:$H$61,0)),((INDEX('IR data'!$I$4:$I$61,MATCH(D625,'IR data'!$H$4:$H$61,1)))-((D625-(INDEX('IR data'!$H$4:$H$61,MATCH(D625,'IR data'!$H$4:$H$61,1))))/((INDEX('IR data'!$H$4:$H$61,MATCH(D625,'IR data'!$H$4:$H$61,1)+1)-INDEX('IR data'!$H$4:$H$61,MATCH(D625,'IR data'!$H$4:$H$61,1))))) * (INDEX('IR data'!$I$4:$I$61,MATCH(D625,'IR data'!$H$4:$H$61,1))-(INDEX('IR data'!$I$4:$I$61,MATCH(D625,'IR data'!$H$4:$H$61,1)+1)))))</f>
        <v>0.92035225002197807</v>
      </c>
      <c r="F625" s="30">
        <f t="shared" si="58"/>
        <v>2.1152349497314711E-2</v>
      </c>
      <c r="G625" s="45">
        <f t="shared" si="54"/>
        <v>46007</v>
      </c>
      <c r="H625" s="14" cm="1">
        <f t="array" ref="H625">_xlfn.IFNA(INDEX('IR data'!$N$4:$N$61,MATCH(G625,'IR data'!$M$4:$M$61,0)),((INDEX('IR data'!$N$4:$N$61,MATCH(G625,'IR data'!$M$4:$M$61,1)))-((G625-(INDEX('IR data'!$M$4:$M$61,MATCH(G625,'IR data'!$M$4:$M$61,1))))/((INDEX('IR data'!$M$4:$M$61,MATCH(G625,'IR data'!$M$4:$M$61,1)+1)-INDEX('IR data'!$M$4:$M$61,MATCH(G625,'IR data'!$M$4:$M$61,1))))) * (INDEX('IR data'!$N$4:$N$61,MATCH(G625,'IR data'!$M$4:$M$61,1))-(INDEX('IR data'!$N$4:$N$61,MATCH(G625,'IR data'!$M$4:$M$61,1)+1)))))</f>
        <v>0.91964559942857149</v>
      </c>
      <c r="I625" s="44">
        <f t="shared" si="59"/>
        <v>2.134810060157601E-2</v>
      </c>
    </row>
    <row r="626" spans="1:9" x14ac:dyDescent="0.25">
      <c r="A626" s="45">
        <f t="shared" si="55"/>
        <v>45914</v>
      </c>
      <c r="B626" s="14" cm="1">
        <f t="array" ref="B626">_xlfn.IFNA(INDEX('IR data'!$D$4:$D$61,MATCH(A626,'IR data'!$C$4:$C$61,0)),((INDEX('IR data'!$D$4:$D$61,MATCH(A626,'IR data'!$C$4:$C$61,1)))-((A626-(INDEX('IR data'!$C$4:$C$61,MATCH(A626,'IR data'!$C$4:$C$61,1))))/((INDEX('IR data'!$C$4:$C$61,MATCH(A626,'IR data'!$C$4:$C$61,1)+1)-INDEX('IR data'!$C$4:$C$61,MATCH(A626,'IR data'!$C$4:$C$61,1))))) * (INDEX('IR data'!$D$4:$D$61,MATCH(A626,'IR data'!$C$4:$C$61,1))-(INDEX('IR data'!$D$4:$D$61,MATCH(A626,'IR data'!$C$4:$C$61,1)+1)))))</f>
        <v>0.92624943582608699</v>
      </c>
      <c r="C626" s="30">
        <f t="shared" si="56"/>
        <v>1.9493251832721513E-2</v>
      </c>
      <c r="D626" s="45">
        <f t="shared" si="57"/>
        <v>45974</v>
      </c>
      <c r="E626" s="14" cm="1">
        <f t="array" ref="E626">_xlfn.IFNA(INDEX('IR data'!$I$4:$I$61,MATCH(D626,'IR data'!$H$4:$H$61,0)),((INDEX('IR data'!$I$4:$I$61,MATCH(D626,'IR data'!$H$4:$H$61,1)))-((D626-(INDEX('IR data'!$H$4:$H$61,MATCH(D626,'IR data'!$H$4:$H$61,1))))/((INDEX('IR data'!$H$4:$H$61,MATCH(D626,'IR data'!$H$4:$H$61,1)+1)-INDEX('IR data'!$H$4:$H$61,MATCH(D626,'IR data'!$H$4:$H$61,1))))) * (INDEX('IR data'!$I$4:$I$61,MATCH(D626,'IR data'!$H$4:$H$61,1))-(INDEX('IR data'!$I$4:$I$61,MATCH(D626,'IR data'!$H$4:$H$61,1)+1)))))</f>
        <v>0.92024910138461535</v>
      </c>
      <c r="F626" s="30">
        <f t="shared" si="58"/>
        <v>2.1146915341200515E-2</v>
      </c>
      <c r="G626" s="45">
        <f t="shared" si="54"/>
        <v>46008</v>
      </c>
      <c r="H626" s="14" cm="1">
        <f t="array" ref="H626">_xlfn.IFNA(INDEX('IR data'!$N$4:$N$61,MATCH(G626,'IR data'!$M$4:$M$61,0)),((INDEX('IR data'!$N$4:$N$61,MATCH(G626,'IR data'!$M$4:$M$61,1)))-((G626-(INDEX('IR data'!$M$4:$M$61,MATCH(G626,'IR data'!$M$4:$M$61,1))))/((INDEX('IR data'!$M$4:$M$61,MATCH(G626,'IR data'!$M$4:$M$61,1)+1)-INDEX('IR data'!$M$4:$M$61,MATCH(G626,'IR data'!$M$4:$M$61,1))))) * (INDEX('IR data'!$N$4:$N$61,MATCH(G626,'IR data'!$M$4:$M$61,1))-(INDEX('IR data'!$N$4:$N$61,MATCH(G626,'IR data'!$M$4:$M$61,1)+1)))))</f>
        <v>0.91953875885714287</v>
      </c>
      <c r="I626" s="44">
        <f t="shared" si="59"/>
        <v>2.1343395732190979E-2</v>
      </c>
    </row>
    <row r="627" spans="1:9" x14ac:dyDescent="0.25">
      <c r="A627" s="45">
        <f t="shared" si="55"/>
        <v>45915</v>
      </c>
      <c r="B627" s="14" cm="1">
        <f t="array" ref="B627">_xlfn.IFNA(INDEX('IR data'!$D$4:$D$61,MATCH(A627,'IR data'!$C$4:$C$61,0)),((INDEX('IR data'!$D$4:$D$61,MATCH(A627,'IR data'!$C$4:$C$61,1)))-((A627-(INDEX('IR data'!$C$4:$C$61,MATCH(A627,'IR data'!$C$4:$C$61,1))))/((INDEX('IR data'!$C$4:$C$61,MATCH(A627,'IR data'!$C$4:$C$61,1)+1)-INDEX('IR data'!$C$4:$C$61,MATCH(A627,'IR data'!$C$4:$C$61,1))))) * (INDEX('IR data'!$D$4:$D$61,MATCH(A627,'IR data'!$C$4:$C$61,1))-(INDEX('IR data'!$D$4:$D$61,MATCH(A627,'IR data'!$C$4:$C$61,1)+1)))))</f>
        <v>0.92616135478260875</v>
      </c>
      <c r="C627" s="30">
        <f t="shared" si="56"/>
        <v>1.9486171022789781E-2</v>
      </c>
      <c r="D627" s="45">
        <f t="shared" si="57"/>
        <v>45975</v>
      </c>
      <c r="E627" s="14" cm="1">
        <f t="array" ref="E627">_xlfn.IFNA(INDEX('IR data'!$I$4:$I$61,MATCH(D627,'IR data'!$H$4:$H$61,0)),((INDEX('IR data'!$I$4:$I$61,MATCH(D627,'IR data'!$H$4:$H$61,1)))-((D627-(INDEX('IR data'!$H$4:$H$61,MATCH(D627,'IR data'!$H$4:$H$61,1))))/((INDEX('IR data'!$H$4:$H$61,MATCH(D627,'IR data'!$H$4:$H$61,1)+1)-INDEX('IR data'!$H$4:$H$61,MATCH(D627,'IR data'!$H$4:$H$61,1))))) * (INDEX('IR data'!$I$4:$I$61,MATCH(D627,'IR data'!$H$4:$H$61,1))-(INDEX('IR data'!$I$4:$I$61,MATCH(D627,'IR data'!$H$4:$H$61,1)+1)))))</f>
        <v>0.92014595274725275</v>
      </c>
      <c r="F627" s="30">
        <f t="shared" si="58"/>
        <v>2.1141501793855651E-2</v>
      </c>
      <c r="G627" s="45">
        <f t="shared" si="54"/>
        <v>46009</v>
      </c>
      <c r="H627" s="14" cm="1">
        <f t="array" ref="H627">_xlfn.IFNA(INDEX('IR data'!$N$4:$N$61,MATCH(G627,'IR data'!$M$4:$M$61,0)),((INDEX('IR data'!$N$4:$N$61,MATCH(G627,'IR data'!$M$4:$M$61,1)))-((G627-(INDEX('IR data'!$M$4:$M$61,MATCH(G627,'IR data'!$M$4:$M$61,1))))/((INDEX('IR data'!$M$4:$M$61,MATCH(G627,'IR data'!$M$4:$M$61,1)+1)-INDEX('IR data'!$M$4:$M$61,MATCH(G627,'IR data'!$M$4:$M$61,1))))) * (INDEX('IR data'!$N$4:$N$61,MATCH(G627,'IR data'!$M$4:$M$61,1))-(INDEX('IR data'!$N$4:$N$61,MATCH(G627,'IR data'!$M$4:$M$61,1)+1)))))</f>
        <v>0.91943191828571424</v>
      </c>
      <c r="I627" s="44">
        <f t="shared" si="59"/>
        <v>2.1338709371968977E-2</v>
      </c>
    </row>
    <row r="628" spans="1:9" x14ac:dyDescent="0.25">
      <c r="A628" s="45">
        <f t="shared" si="55"/>
        <v>45916</v>
      </c>
      <c r="B628" s="14" cm="1">
        <f t="array" ref="B628">_xlfn.IFNA(INDEX('IR data'!$D$4:$D$61,MATCH(A628,'IR data'!$C$4:$C$61,0)),((INDEX('IR data'!$D$4:$D$61,MATCH(A628,'IR data'!$C$4:$C$61,1)))-((A628-(INDEX('IR data'!$C$4:$C$61,MATCH(A628,'IR data'!$C$4:$C$61,1))))/((INDEX('IR data'!$C$4:$C$61,MATCH(A628,'IR data'!$C$4:$C$61,1)+1)-INDEX('IR data'!$C$4:$C$61,MATCH(A628,'IR data'!$C$4:$C$61,1))))) * (INDEX('IR data'!$D$4:$D$61,MATCH(A628,'IR data'!$C$4:$C$61,1))-(INDEX('IR data'!$D$4:$D$61,MATCH(A628,'IR data'!$C$4:$C$61,1)+1)))))</f>
        <v>0.9260732737391304</v>
      </c>
      <c r="C628" s="30">
        <f t="shared" si="56"/>
        <v>1.9479115165425245E-2</v>
      </c>
      <c r="D628" s="45">
        <f t="shared" si="57"/>
        <v>45976</v>
      </c>
      <c r="E628" s="14" cm="1">
        <f t="array" ref="E628">_xlfn.IFNA(INDEX('IR data'!$I$4:$I$61,MATCH(D628,'IR data'!$H$4:$H$61,0)),((INDEX('IR data'!$I$4:$I$61,MATCH(D628,'IR data'!$H$4:$H$61,1)))-((D628-(INDEX('IR data'!$H$4:$H$61,MATCH(D628,'IR data'!$H$4:$H$61,1))))/((INDEX('IR data'!$H$4:$H$61,MATCH(D628,'IR data'!$H$4:$H$61,1)+1)-INDEX('IR data'!$H$4:$H$61,MATCH(D628,'IR data'!$H$4:$H$61,1))))) * (INDEX('IR data'!$I$4:$I$61,MATCH(D628,'IR data'!$H$4:$H$61,1))-(INDEX('IR data'!$I$4:$I$61,MATCH(D628,'IR data'!$H$4:$H$61,1)+1)))))</f>
        <v>0.92004280410989014</v>
      </c>
      <c r="F628" s="30">
        <f t="shared" si="58"/>
        <v>2.1136108757072527E-2</v>
      </c>
      <c r="G628" s="45">
        <f t="shared" si="54"/>
        <v>46010</v>
      </c>
      <c r="H628" s="14" cm="1">
        <f t="array" ref="H628">_xlfn.IFNA(INDEX('IR data'!$N$4:$N$61,MATCH(G628,'IR data'!$M$4:$M$61,0)),((INDEX('IR data'!$N$4:$N$61,MATCH(G628,'IR data'!$M$4:$M$61,1)))-((G628-(INDEX('IR data'!$M$4:$M$61,MATCH(G628,'IR data'!$M$4:$M$61,1))))/((INDEX('IR data'!$M$4:$M$61,MATCH(G628,'IR data'!$M$4:$M$61,1)+1)-INDEX('IR data'!$M$4:$M$61,MATCH(G628,'IR data'!$M$4:$M$61,1))))) * (INDEX('IR data'!$N$4:$N$61,MATCH(G628,'IR data'!$M$4:$M$61,1))-(INDEX('IR data'!$N$4:$N$61,MATCH(G628,'IR data'!$M$4:$M$61,1)+1)))))</f>
        <v>0.91932507771428573</v>
      </c>
      <c r="I628" s="44">
        <f t="shared" si="59"/>
        <v>2.1334041432861793E-2</v>
      </c>
    </row>
    <row r="629" spans="1:9" x14ac:dyDescent="0.25">
      <c r="A629" s="45">
        <f t="shared" si="55"/>
        <v>45917</v>
      </c>
      <c r="B629" s="14" cm="1">
        <f t="array" ref="B629">_xlfn.IFNA(INDEX('IR data'!$D$4:$D$61,MATCH(A629,'IR data'!$C$4:$C$61,0)),((INDEX('IR data'!$D$4:$D$61,MATCH(A629,'IR data'!$C$4:$C$61,1)))-((A629-(INDEX('IR data'!$C$4:$C$61,MATCH(A629,'IR data'!$C$4:$C$61,1))))/((INDEX('IR data'!$C$4:$C$61,MATCH(A629,'IR data'!$C$4:$C$61,1)+1)-INDEX('IR data'!$C$4:$C$61,MATCH(A629,'IR data'!$C$4:$C$61,1))))) * (INDEX('IR data'!$D$4:$D$61,MATCH(A629,'IR data'!$C$4:$C$61,1))-(INDEX('IR data'!$D$4:$D$61,MATCH(A629,'IR data'!$C$4:$C$61,1)+1)))))</f>
        <v>0.92598519269565216</v>
      </c>
      <c r="C629" s="30">
        <f t="shared" si="56"/>
        <v>1.9472084141482524E-2</v>
      </c>
      <c r="D629" s="45">
        <f t="shared" si="57"/>
        <v>45977</v>
      </c>
      <c r="E629" s="14" cm="1">
        <f t="array" ref="E629">_xlfn.IFNA(INDEX('IR data'!$I$4:$I$61,MATCH(D629,'IR data'!$H$4:$H$61,0)),((INDEX('IR data'!$I$4:$I$61,MATCH(D629,'IR data'!$H$4:$H$61,1)))-((D629-(INDEX('IR data'!$H$4:$H$61,MATCH(D629,'IR data'!$H$4:$H$61,1))))/((INDEX('IR data'!$H$4:$H$61,MATCH(D629,'IR data'!$H$4:$H$61,1)+1)-INDEX('IR data'!$H$4:$H$61,MATCH(D629,'IR data'!$H$4:$H$61,1))))) * (INDEX('IR data'!$I$4:$I$61,MATCH(D629,'IR data'!$H$4:$H$61,1))-(INDEX('IR data'!$I$4:$I$61,MATCH(D629,'IR data'!$H$4:$H$61,1)+1)))))</f>
        <v>0.91993965547252743</v>
      </c>
      <c r="F629" s="30">
        <f t="shared" si="58"/>
        <v>2.1130736133271297E-2</v>
      </c>
      <c r="G629" s="45">
        <f t="shared" si="54"/>
        <v>46011</v>
      </c>
      <c r="H629" s="14" cm="1">
        <f t="array" ref="H629">_xlfn.IFNA(INDEX('IR data'!$N$4:$N$61,MATCH(G629,'IR data'!$M$4:$M$61,0)),((INDEX('IR data'!$N$4:$N$61,MATCH(G629,'IR data'!$M$4:$M$61,1)))-((G629-(INDEX('IR data'!$M$4:$M$61,MATCH(G629,'IR data'!$M$4:$M$61,1))))/((INDEX('IR data'!$M$4:$M$61,MATCH(G629,'IR data'!$M$4:$M$61,1)+1)-INDEX('IR data'!$M$4:$M$61,MATCH(G629,'IR data'!$M$4:$M$61,1))))) * (INDEX('IR data'!$N$4:$N$61,MATCH(G629,'IR data'!$M$4:$M$61,1))-(INDEX('IR data'!$N$4:$N$61,MATCH(G629,'IR data'!$M$4:$M$61,1)+1)))))</f>
        <v>0.91921823714285711</v>
      </c>
      <c r="I629" s="44">
        <f t="shared" si="59"/>
        <v>2.1329391827384182E-2</v>
      </c>
    </row>
    <row r="630" spans="1:9" x14ac:dyDescent="0.25">
      <c r="A630" s="45">
        <f t="shared" si="55"/>
        <v>45918</v>
      </c>
      <c r="B630" s="14" cm="1">
        <f t="array" ref="B630">_xlfn.IFNA(INDEX('IR data'!$D$4:$D$61,MATCH(A630,'IR data'!$C$4:$C$61,0)),((INDEX('IR data'!$D$4:$D$61,MATCH(A630,'IR data'!$C$4:$C$61,1)))-((A630-(INDEX('IR data'!$C$4:$C$61,MATCH(A630,'IR data'!$C$4:$C$61,1))))/((INDEX('IR data'!$C$4:$C$61,MATCH(A630,'IR data'!$C$4:$C$61,1)+1)-INDEX('IR data'!$C$4:$C$61,MATCH(A630,'IR data'!$C$4:$C$61,1))))) * (INDEX('IR data'!$D$4:$D$61,MATCH(A630,'IR data'!$C$4:$C$61,1))-(INDEX('IR data'!$D$4:$D$61,MATCH(A630,'IR data'!$C$4:$C$61,1)+1)))))</f>
        <v>0.92589711165217392</v>
      </c>
      <c r="C630" s="30">
        <f t="shared" si="56"/>
        <v>1.9465077832576592E-2</v>
      </c>
      <c r="D630" s="45">
        <f t="shared" si="57"/>
        <v>45978</v>
      </c>
      <c r="E630" s="14" cm="1">
        <f t="array" ref="E630">_xlfn.IFNA(INDEX('IR data'!$I$4:$I$61,MATCH(D630,'IR data'!$H$4:$H$61,0)),((INDEX('IR data'!$I$4:$I$61,MATCH(D630,'IR data'!$H$4:$H$61,1)))-((D630-(INDEX('IR data'!$H$4:$H$61,MATCH(D630,'IR data'!$H$4:$H$61,1))))/((INDEX('IR data'!$H$4:$H$61,MATCH(D630,'IR data'!$H$4:$H$61,1)+1)-INDEX('IR data'!$H$4:$H$61,MATCH(D630,'IR data'!$H$4:$H$61,1))))) * (INDEX('IR data'!$I$4:$I$61,MATCH(D630,'IR data'!$H$4:$H$61,1))-(INDEX('IR data'!$I$4:$I$61,MATCH(D630,'IR data'!$H$4:$H$61,1)+1)))))</f>
        <v>0.91983650683516482</v>
      </c>
      <c r="F630" s="30">
        <f t="shared" si="58"/>
        <v>2.1125383825494785E-2</v>
      </c>
      <c r="G630" s="45">
        <f t="shared" si="54"/>
        <v>46012</v>
      </c>
      <c r="H630" s="14" cm="1">
        <f t="array" ref="H630">_xlfn.IFNA(INDEX('IR data'!$N$4:$N$61,MATCH(G630,'IR data'!$M$4:$M$61,0)),((INDEX('IR data'!$N$4:$N$61,MATCH(G630,'IR data'!$M$4:$M$61,1)))-((G630-(INDEX('IR data'!$M$4:$M$61,MATCH(G630,'IR data'!$M$4:$M$61,1))))/((INDEX('IR data'!$M$4:$M$61,MATCH(G630,'IR data'!$M$4:$M$61,1)+1)-INDEX('IR data'!$M$4:$M$61,MATCH(G630,'IR data'!$M$4:$M$61,1))))) * (INDEX('IR data'!$N$4:$N$61,MATCH(G630,'IR data'!$M$4:$M$61,1))-(INDEX('IR data'!$N$4:$N$61,MATCH(G630,'IR data'!$M$4:$M$61,1)+1)))))</f>
        <v>0.9191113965714286</v>
      </c>
      <c r="I630" s="44">
        <f t="shared" si="59"/>
        <v>2.1324760468609174E-2</v>
      </c>
    </row>
    <row r="631" spans="1:9" x14ac:dyDescent="0.25">
      <c r="A631" s="45">
        <f t="shared" si="55"/>
        <v>45919</v>
      </c>
      <c r="B631" s="14" cm="1">
        <f t="array" ref="B631">_xlfn.IFNA(INDEX('IR data'!$D$4:$D$61,MATCH(A631,'IR data'!$C$4:$C$61,0)),((INDEX('IR data'!$D$4:$D$61,MATCH(A631,'IR data'!$C$4:$C$61,1)))-((A631-(INDEX('IR data'!$C$4:$C$61,MATCH(A631,'IR data'!$C$4:$C$61,1))))/((INDEX('IR data'!$C$4:$C$61,MATCH(A631,'IR data'!$C$4:$C$61,1)+1)-INDEX('IR data'!$C$4:$C$61,MATCH(A631,'IR data'!$C$4:$C$61,1))))) * (INDEX('IR data'!$D$4:$D$61,MATCH(A631,'IR data'!$C$4:$C$61,1))-(INDEX('IR data'!$D$4:$D$61,MATCH(A631,'IR data'!$C$4:$C$61,1)+1)))))</f>
        <v>0.92580903060869568</v>
      </c>
      <c r="C631" s="30">
        <f t="shared" si="56"/>
        <v>1.9458096121076525E-2</v>
      </c>
      <c r="D631" s="45">
        <f t="shared" si="57"/>
        <v>45979</v>
      </c>
      <c r="E631" s="14" cm="1">
        <f t="array" ref="E631">_xlfn.IFNA(INDEX('IR data'!$I$4:$I$61,MATCH(D631,'IR data'!$H$4:$H$61,0)),((INDEX('IR data'!$I$4:$I$61,MATCH(D631,'IR data'!$H$4:$H$61,1)))-((D631-(INDEX('IR data'!$H$4:$H$61,MATCH(D631,'IR data'!$H$4:$H$61,1))))/((INDEX('IR data'!$H$4:$H$61,MATCH(D631,'IR data'!$H$4:$H$61,1)+1)-INDEX('IR data'!$H$4:$H$61,MATCH(D631,'IR data'!$H$4:$H$61,1))))) * (INDEX('IR data'!$I$4:$I$61,MATCH(D631,'IR data'!$H$4:$H$61,1))-(INDEX('IR data'!$I$4:$I$61,MATCH(D631,'IR data'!$H$4:$H$61,1)+1)))))</f>
        <v>0.91973335819780222</v>
      </c>
      <c r="F631" s="30">
        <f t="shared" si="58"/>
        <v>2.1120051737403698E-2</v>
      </c>
      <c r="G631" s="45">
        <f t="shared" si="54"/>
        <v>46013</v>
      </c>
      <c r="H631" s="14" cm="1">
        <f t="array" ref="H631">_xlfn.IFNA(INDEX('IR data'!$N$4:$N$61,MATCH(G631,'IR data'!$M$4:$M$61,0)),((INDEX('IR data'!$N$4:$N$61,MATCH(G631,'IR data'!$M$4:$M$61,1)))-((G631-(INDEX('IR data'!$M$4:$M$61,MATCH(G631,'IR data'!$M$4:$M$61,1))))/((INDEX('IR data'!$M$4:$M$61,MATCH(G631,'IR data'!$M$4:$M$61,1)+1)-INDEX('IR data'!$M$4:$M$61,MATCH(G631,'IR data'!$M$4:$M$61,1))))) * (INDEX('IR data'!$N$4:$N$61,MATCH(G631,'IR data'!$M$4:$M$61,1))-(INDEX('IR data'!$N$4:$N$61,MATCH(G631,'IR data'!$M$4:$M$61,1)+1)))))</f>
        <v>0.91900455599999997</v>
      </c>
      <c r="I631" s="44">
        <f t="shared" si="59"/>
        <v>2.1320147270163878E-2</v>
      </c>
    </row>
    <row r="632" spans="1:9" x14ac:dyDescent="0.25">
      <c r="A632" s="45">
        <f t="shared" si="55"/>
        <v>45920</v>
      </c>
      <c r="B632" s="14" cm="1">
        <f t="array" ref="B632">_xlfn.IFNA(INDEX('IR data'!$D$4:$D$61,MATCH(A632,'IR data'!$C$4:$C$61,0)),((INDEX('IR data'!$D$4:$D$61,MATCH(A632,'IR data'!$C$4:$C$61,1)))-((A632-(INDEX('IR data'!$C$4:$C$61,MATCH(A632,'IR data'!$C$4:$C$61,1))))/((INDEX('IR data'!$C$4:$C$61,MATCH(A632,'IR data'!$C$4:$C$61,1)+1)-INDEX('IR data'!$C$4:$C$61,MATCH(A632,'IR data'!$C$4:$C$61,1))))) * (INDEX('IR data'!$D$4:$D$61,MATCH(A632,'IR data'!$C$4:$C$61,1))-(INDEX('IR data'!$D$4:$D$61,MATCH(A632,'IR data'!$C$4:$C$61,1)+1)))))</f>
        <v>0.92572094956521744</v>
      </c>
      <c r="C632" s="30">
        <f t="shared" si="56"/>
        <v>1.9451138890099605E-2</v>
      </c>
      <c r="D632" s="45">
        <f t="shared" si="57"/>
        <v>45980</v>
      </c>
      <c r="E632" s="14" cm="1">
        <f t="array" ref="E632">_xlfn.IFNA(INDEX('IR data'!$I$4:$I$61,MATCH(D632,'IR data'!$H$4:$H$61,0)),((INDEX('IR data'!$I$4:$I$61,MATCH(D632,'IR data'!$H$4:$H$61,1)))-((D632-(INDEX('IR data'!$H$4:$H$61,MATCH(D632,'IR data'!$H$4:$H$61,1))))/((INDEX('IR data'!$H$4:$H$61,MATCH(D632,'IR data'!$H$4:$H$61,1)+1)-INDEX('IR data'!$H$4:$H$61,MATCH(D632,'IR data'!$H$4:$H$61,1))))) * (INDEX('IR data'!$I$4:$I$61,MATCH(D632,'IR data'!$H$4:$H$61,1))-(INDEX('IR data'!$I$4:$I$61,MATCH(D632,'IR data'!$H$4:$H$61,1)+1)))))</f>
        <v>0.9196302095604395</v>
      </c>
      <c r="F632" s="30">
        <f t="shared" si="58"/>
        <v>2.1114739773271652E-2</v>
      </c>
      <c r="G632" s="45">
        <f t="shared" si="54"/>
        <v>46014</v>
      </c>
      <c r="H632" s="14" cm="1">
        <f t="array" ref="H632">_xlfn.IFNA(INDEX('IR data'!$N$4:$N$61,MATCH(G632,'IR data'!$M$4:$M$61,0)),((INDEX('IR data'!$N$4:$N$61,MATCH(G632,'IR data'!$M$4:$M$61,1)))-((G632-(INDEX('IR data'!$M$4:$M$61,MATCH(G632,'IR data'!$M$4:$M$61,1))))/((INDEX('IR data'!$M$4:$M$61,MATCH(G632,'IR data'!$M$4:$M$61,1)+1)-INDEX('IR data'!$M$4:$M$61,MATCH(G632,'IR data'!$M$4:$M$61,1))))) * (INDEX('IR data'!$N$4:$N$61,MATCH(G632,'IR data'!$M$4:$M$61,1))-(INDEX('IR data'!$N$4:$N$61,MATCH(G632,'IR data'!$M$4:$M$61,1)+1)))))</f>
        <v>0.91889771542857146</v>
      </c>
      <c r="I632" s="44">
        <f t="shared" si="59"/>
        <v>2.1315552146224829E-2</v>
      </c>
    </row>
    <row r="633" spans="1:9" x14ac:dyDescent="0.25">
      <c r="A633" s="45">
        <f t="shared" si="55"/>
        <v>45921</v>
      </c>
      <c r="B633" s="14" cm="1">
        <f t="array" ref="B633">_xlfn.IFNA(INDEX('IR data'!$D$4:$D$61,MATCH(A633,'IR data'!$C$4:$C$61,0)),((INDEX('IR data'!$D$4:$D$61,MATCH(A633,'IR data'!$C$4:$C$61,1)))-((A633-(INDEX('IR data'!$C$4:$C$61,MATCH(A633,'IR data'!$C$4:$C$61,1))))/((INDEX('IR data'!$C$4:$C$61,MATCH(A633,'IR data'!$C$4:$C$61,1)+1)-INDEX('IR data'!$C$4:$C$61,MATCH(A633,'IR data'!$C$4:$C$61,1))))) * (INDEX('IR data'!$D$4:$D$61,MATCH(A633,'IR data'!$C$4:$C$61,1))-(INDEX('IR data'!$D$4:$D$61,MATCH(A633,'IR data'!$C$4:$C$61,1)+1)))))</f>
        <v>0.92563286852173909</v>
      </c>
      <c r="C633" s="30">
        <f t="shared" si="56"/>
        <v>1.9444206023505353E-2</v>
      </c>
      <c r="D633" s="45">
        <f t="shared" si="57"/>
        <v>45981</v>
      </c>
      <c r="E633" s="14" cm="1">
        <f t="array" ref="E633">_xlfn.IFNA(INDEX('IR data'!$I$4:$I$61,MATCH(D633,'IR data'!$H$4:$H$61,0)),((INDEX('IR data'!$I$4:$I$61,MATCH(D633,'IR data'!$H$4:$H$61,1)))-((D633-(INDEX('IR data'!$H$4:$H$61,MATCH(D633,'IR data'!$H$4:$H$61,1))))/((INDEX('IR data'!$H$4:$H$61,MATCH(D633,'IR data'!$H$4:$H$61,1)+1)-INDEX('IR data'!$H$4:$H$61,MATCH(D633,'IR data'!$H$4:$H$61,1))))) * (INDEX('IR data'!$I$4:$I$61,MATCH(D633,'IR data'!$H$4:$H$61,1))-(INDEX('IR data'!$I$4:$I$61,MATCH(D633,'IR data'!$H$4:$H$61,1)+1)))))</f>
        <v>0.9195270609230769</v>
      </c>
      <c r="F633" s="30">
        <f t="shared" si="58"/>
        <v>2.1109447837980185E-2</v>
      </c>
      <c r="G633" s="45">
        <f t="shared" si="54"/>
        <v>46015</v>
      </c>
      <c r="H633" s="14" cm="1">
        <f t="array" ref="H633">_xlfn.IFNA(INDEX('IR data'!$N$4:$N$61,MATCH(G633,'IR data'!$M$4:$M$61,0)),((INDEX('IR data'!$N$4:$N$61,MATCH(G633,'IR data'!$M$4:$M$61,1)))-((G633-(INDEX('IR data'!$M$4:$M$61,MATCH(G633,'IR data'!$M$4:$M$61,1))))/((INDEX('IR data'!$M$4:$M$61,MATCH(G633,'IR data'!$M$4:$M$61,1)+1)-INDEX('IR data'!$M$4:$M$61,MATCH(G633,'IR data'!$M$4:$M$61,1))))) * (INDEX('IR data'!$N$4:$N$61,MATCH(G633,'IR data'!$M$4:$M$61,1))-(INDEX('IR data'!$N$4:$N$61,MATCH(G633,'IR data'!$M$4:$M$61,1)+1)))))</f>
        <v>0.91879087485714284</v>
      </c>
      <c r="I633" s="44">
        <f t="shared" si="59"/>
        <v>2.1310975011513866E-2</v>
      </c>
    </row>
    <row r="634" spans="1:9" x14ac:dyDescent="0.25">
      <c r="A634" s="45">
        <f t="shared" si="55"/>
        <v>45922</v>
      </c>
      <c r="B634" s="14" cm="1">
        <f t="array" ref="B634">_xlfn.IFNA(INDEX('IR data'!$D$4:$D$61,MATCH(A634,'IR data'!$C$4:$C$61,0)),((INDEX('IR data'!$D$4:$D$61,MATCH(A634,'IR data'!$C$4:$C$61,1)))-((A634-(INDEX('IR data'!$C$4:$C$61,MATCH(A634,'IR data'!$C$4:$C$61,1))))/((INDEX('IR data'!$C$4:$C$61,MATCH(A634,'IR data'!$C$4:$C$61,1)+1)-INDEX('IR data'!$C$4:$C$61,MATCH(A634,'IR data'!$C$4:$C$61,1))))) * (INDEX('IR data'!$D$4:$D$61,MATCH(A634,'IR data'!$C$4:$C$61,1))-(INDEX('IR data'!$D$4:$D$61,MATCH(A634,'IR data'!$C$4:$C$61,1)+1)))))</f>
        <v>0.92554478747826086</v>
      </c>
      <c r="C634" s="30">
        <f t="shared" si="56"/>
        <v>1.9437297405889575E-2</v>
      </c>
      <c r="D634" s="45">
        <f t="shared" si="57"/>
        <v>45982</v>
      </c>
      <c r="E634" s="14" cm="1">
        <f t="array" ref="E634">_xlfn.IFNA(INDEX('IR data'!$I$4:$I$61,MATCH(D634,'IR data'!$H$4:$H$61,0)),((INDEX('IR data'!$I$4:$I$61,MATCH(D634,'IR data'!$H$4:$H$61,1)))-((D634-(INDEX('IR data'!$H$4:$H$61,MATCH(D634,'IR data'!$H$4:$H$61,1))))/((INDEX('IR data'!$H$4:$H$61,MATCH(D634,'IR data'!$H$4:$H$61,1)+1)-INDEX('IR data'!$H$4:$H$61,MATCH(D634,'IR data'!$H$4:$H$61,1))))) * (INDEX('IR data'!$I$4:$I$61,MATCH(D634,'IR data'!$H$4:$H$61,1))-(INDEX('IR data'!$I$4:$I$61,MATCH(D634,'IR data'!$H$4:$H$61,1)+1)))))</f>
        <v>0.9194239122857143</v>
      </c>
      <c r="F634" s="30">
        <f t="shared" si="58"/>
        <v>2.1104175837014134E-2</v>
      </c>
      <c r="G634" s="45">
        <f t="shared" si="54"/>
        <v>46016</v>
      </c>
      <c r="H634" s="14" cm="1">
        <f t="array" ref="H634">_xlfn.IFNA(INDEX('IR data'!$N$4:$N$61,MATCH(G634,'IR data'!$M$4:$M$61,0)),((INDEX('IR data'!$N$4:$N$61,MATCH(G634,'IR data'!$M$4:$M$61,1)))-((G634-(INDEX('IR data'!$M$4:$M$61,MATCH(G634,'IR data'!$M$4:$M$61,1))))/((INDEX('IR data'!$M$4:$M$61,MATCH(G634,'IR data'!$M$4:$M$61,1)+1)-INDEX('IR data'!$M$4:$M$61,MATCH(G634,'IR data'!$M$4:$M$61,1))))) * (INDEX('IR data'!$N$4:$N$61,MATCH(G634,'IR data'!$M$4:$M$61,1))-(INDEX('IR data'!$N$4:$N$61,MATCH(G634,'IR data'!$M$4:$M$61,1)+1)))))</f>
        <v>0.91868403428571432</v>
      </c>
      <c r="I634" s="44">
        <f t="shared" si="59"/>
        <v>2.1306415781293574E-2</v>
      </c>
    </row>
    <row r="635" spans="1:9" x14ac:dyDescent="0.25">
      <c r="A635" s="45">
        <f t="shared" si="55"/>
        <v>45923</v>
      </c>
      <c r="B635" s="14" cm="1">
        <f t="array" ref="B635">_xlfn.IFNA(INDEX('IR data'!$D$4:$D$61,MATCH(A635,'IR data'!$C$4:$C$61,0)),((INDEX('IR data'!$D$4:$D$61,MATCH(A635,'IR data'!$C$4:$C$61,1)))-((A635-(INDEX('IR data'!$C$4:$C$61,MATCH(A635,'IR data'!$C$4:$C$61,1))))/((INDEX('IR data'!$C$4:$C$61,MATCH(A635,'IR data'!$C$4:$C$61,1)+1)-INDEX('IR data'!$C$4:$C$61,MATCH(A635,'IR data'!$C$4:$C$61,1))))) * (INDEX('IR data'!$D$4:$D$61,MATCH(A635,'IR data'!$C$4:$C$61,1))-(INDEX('IR data'!$D$4:$D$61,MATCH(A635,'IR data'!$C$4:$C$61,1)+1)))))</f>
        <v>0.92545670643478262</v>
      </c>
      <c r="C635" s="30">
        <f t="shared" si="56"/>
        <v>1.9430412922578681E-2</v>
      </c>
      <c r="D635" s="45">
        <f t="shared" si="57"/>
        <v>45983</v>
      </c>
      <c r="E635" s="14" cm="1">
        <f t="array" ref="E635">_xlfn.IFNA(INDEX('IR data'!$I$4:$I$61,MATCH(D635,'IR data'!$H$4:$H$61,0)),((INDEX('IR data'!$I$4:$I$61,MATCH(D635,'IR data'!$H$4:$H$61,1)))-((D635-(INDEX('IR data'!$H$4:$H$61,MATCH(D635,'IR data'!$H$4:$H$61,1))))/((INDEX('IR data'!$H$4:$H$61,MATCH(D635,'IR data'!$H$4:$H$61,1)+1)-INDEX('IR data'!$H$4:$H$61,MATCH(D635,'IR data'!$H$4:$H$61,1))))) * (INDEX('IR data'!$I$4:$I$61,MATCH(D635,'IR data'!$H$4:$H$61,1))-(INDEX('IR data'!$I$4:$I$61,MATCH(D635,'IR data'!$H$4:$H$61,1)+1)))))</f>
        <v>0.91932076364835169</v>
      </c>
      <c r="F635" s="30">
        <f t="shared" si="58"/>
        <v>2.109892367645674E-2</v>
      </c>
      <c r="G635" s="45">
        <f t="shared" si="54"/>
        <v>46017</v>
      </c>
      <c r="H635" s="14" cm="1">
        <f t="array" ref="H635">_xlfn.IFNA(INDEX('IR data'!$N$4:$N$61,MATCH(G635,'IR data'!$M$4:$M$61,0)),((INDEX('IR data'!$N$4:$N$61,MATCH(G635,'IR data'!$M$4:$M$61,1)))-((G635-(INDEX('IR data'!$M$4:$M$61,MATCH(G635,'IR data'!$M$4:$M$61,1))))/((INDEX('IR data'!$M$4:$M$61,MATCH(G635,'IR data'!$M$4:$M$61,1)+1)-INDEX('IR data'!$M$4:$M$61,MATCH(G635,'IR data'!$M$4:$M$61,1))))) * (INDEX('IR data'!$N$4:$N$61,MATCH(G635,'IR data'!$M$4:$M$61,1))-(INDEX('IR data'!$N$4:$N$61,MATCH(G635,'IR data'!$M$4:$M$61,1)+1)))))</f>
        <v>0.9185771937142857</v>
      </c>
      <c r="I635" s="44">
        <f t="shared" si="59"/>
        <v>2.1301874371363244E-2</v>
      </c>
    </row>
    <row r="636" spans="1:9" x14ac:dyDescent="0.25">
      <c r="A636" s="45">
        <f t="shared" si="55"/>
        <v>45924</v>
      </c>
      <c r="B636" s="14" cm="1">
        <f t="array" ref="B636">_xlfn.IFNA(INDEX('IR data'!$D$4:$D$61,MATCH(A636,'IR data'!$C$4:$C$61,0)),((INDEX('IR data'!$D$4:$D$61,MATCH(A636,'IR data'!$C$4:$C$61,1)))-((A636-(INDEX('IR data'!$C$4:$C$61,MATCH(A636,'IR data'!$C$4:$C$61,1))))/((INDEX('IR data'!$C$4:$C$61,MATCH(A636,'IR data'!$C$4:$C$61,1)+1)-INDEX('IR data'!$C$4:$C$61,MATCH(A636,'IR data'!$C$4:$C$61,1))))) * (INDEX('IR data'!$D$4:$D$61,MATCH(A636,'IR data'!$C$4:$C$61,1))-(INDEX('IR data'!$D$4:$D$61,MATCH(A636,'IR data'!$C$4:$C$61,1)+1)))))</f>
        <v>0.92536862539130438</v>
      </c>
      <c r="C636" s="30">
        <f t="shared" si="56"/>
        <v>1.9423552459623818E-2</v>
      </c>
      <c r="D636" s="45">
        <f t="shared" si="57"/>
        <v>45984</v>
      </c>
      <c r="E636" s="14" cm="1">
        <f t="array" ref="E636">_xlfn.IFNA(INDEX('IR data'!$I$4:$I$61,MATCH(D636,'IR data'!$H$4:$H$61,0)),((INDEX('IR data'!$I$4:$I$61,MATCH(D636,'IR data'!$H$4:$H$61,1)))-((D636-(INDEX('IR data'!$H$4:$H$61,MATCH(D636,'IR data'!$H$4:$H$61,1))))/((INDEX('IR data'!$H$4:$H$61,MATCH(D636,'IR data'!$H$4:$H$61,1)+1)-INDEX('IR data'!$H$4:$H$61,MATCH(D636,'IR data'!$H$4:$H$61,1))))) * (INDEX('IR data'!$I$4:$I$61,MATCH(D636,'IR data'!$H$4:$H$61,1))-(INDEX('IR data'!$I$4:$I$61,MATCH(D636,'IR data'!$H$4:$H$61,1)+1)))))</f>
        <v>0.91921761501098898</v>
      </c>
      <c r="F636" s="30">
        <f t="shared" si="58"/>
        <v>2.1093691262984993E-2</v>
      </c>
      <c r="G636" s="45">
        <f t="shared" si="54"/>
        <v>46018</v>
      </c>
      <c r="H636" s="14" cm="1">
        <f t="array" ref="H636">_xlfn.IFNA(INDEX('IR data'!$N$4:$N$61,MATCH(G636,'IR data'!$M$4:$M$61,0)),((INDEX('IR data'!$N$4:$N$61,MATCH(G636,'IR data'!$M$4:$M$61,1)))-((G636-(INDEX('IR data'!$M$4:$M$61,MATCH(G636,'IR data'!$M$4:$M$61,1))))/((INDEX('IR data'!$M$4:$M$61,MATCH(G636,'IR data'!$M$4:$M$61,1)+1)-INDEX('IR data'!$M$4:$M$61,MATCH(G636,'IR data'!$M$4:$M$61,1))))) * (INDEX('IR data'!$N$4:$N$61,MATCH(G636,'IR data'!$M$4:$M$61,1))-(INDEX('IR data'!$N$4:$N$61,MATCH(G636,'IR data'!$M$4:$M$61,1)+1)))))</f>
        <v>0.91847035314285719</v>
      </c>
      <c r="I636" s="44">
        <f t="shared" si="59"/>
        <v>2.1297350698054402E-2</v>
      </c>
    </row>
    <row r="637" spans="1:9" x14ac:dyDescent="0.25">
      <c r="A637" s="45">
        <f t="shared" si="55"/>
        <v>45925</v>
      </c>
      <c r="B637" s="14" cm="1">
        <f t="array" ref="B637">_xlfn.IFNA(INDEX('IR data'!$D$4:$D$61,MATCH(A637,'IR data'!$C$4:$C$61,0)),((INDEX('IR data'!$D$4:$D$61,MATCH(A637,'IR data'!$C$4:$C$61,1)))-((A637-(INDEX('IR data'!$C$4:$C$61,MATCH(A637,'IR data'!$C$4:$C$61,1))))/((INDEX('IR data'!$C$4:$C$61,MATCH(A637,'IR data'!$C$4:$C$61,1)+1)-INDEX('IR data'!$C$4:$C$61,MATCH(A637,'IR data'!$C$4:$C$61,1))))) * (INDEX('IR data'!$D$4:$D$61,MATCH(A637,'IR data'!$C$4:$C$61,1))-(INDEX('IR data'!$D$4:$D$61,MATCH(A637,'IR data'!$C$4:$C$61,1)+1)))))</f>
        <v>0.92528054434782614</v>
      </c>
      <c r="C637" s="30">
        <f t="shared" si="56"/>
        <v>1.9416715903795186E-2</v>
      </c>
      <c r="D637" s="45">
        <f t="shared" si="57"/>
        <v>45985</v>
      </c>
      <c r="E637" s="14" cm="1">
        <f t="array" ref="E637">_xlfn.IFNA(INDEX('IR data'!$I$4:$I$61,MATCH(D637,'IR data'!$H$4:$H$61,0)),((INDEX('IR data'!$I$4:$I$61,MATCH(D637,'IR data'!$H$4:$H$61,1)))-((D637-(INDEX('IR data'!$H$4:$H$61,MATCH(D637,'IR data'!$H$4:$H$61,1))))/((INDEX('IR data'!$H$4:$H$61,MATCH(D637,'IR data'!$H$4:$H$61,1)+1)-INDEX('IR data'!$H$4:$H$61,MATCH(D637,'IR data'!$H$4:$H$61,1))))) * (INDEX('IR data'!$I$4:$I$61,MATCH(D637,'IR data'!$H$4:$H$61,1))-(INDEX('IR data'!$I$4:$I$61,MATCH(D637,'IR data'!$H$4:$H$61,1)+1)))))</f>
        <v>0.91911446637362637</v>
      </c>
      <c r="F637" s="30">
        <f t="shared" si="58"/>
        <v>2.1088478503864815E-2</v>
      </c>
      <c r="G637" s="45">
        <f t="shared" si="54"/>
        <v>46019</v>
      </c>
      <c r="H637" s="14" cm="1">
        <f t="array" ref="H637">_xlfn.IFNA(INDEX('IR data'!$N$4:$N$61,MATCH(G637,'IR data'!$M$4:$M$61,0)),((INDEX('IR data'!$N$4:$N$61,MATCH(G637,'IR data'!$M$4:$M$61,1)))-((G637-(INDEX('IR data'!$M$4:$M$61,MATCH(G637,'IR data'!$M$4:$M$61,1))))/((INDEX('IR data'!$M$4:$M$61,MATCH(G637,'IR data'!$M$4:$M$61,1)+1)-INDEX('IR data'!$M$4:$M$61,MATCH(G637,'IR data'!$M$4:$M$61,1))))) * (INDEX('IR data'!$N$4:$N$61,MATCH(G637,'IR data'!$M$4:$M$61,1))-(INDEX('IR data'!$N$4:$N$61,MATCH(G637,'IR data'!$M$4:$M$61,1)+1)))))</f>
        <v>0.91836351257142856</v>
      </c>
      <c r="I637" s="44">
        <f t="shared" si="59"/>
        <v>2.1292844678226841E-2</v>
      </c>
    </row>
    <row r="638" spans="1:9" x14ac:dyDescent="0.25">
      <c r="A638" s="45">
        <f t="shared" si="55"/>
        <v>45926</v>
      </c>
      <c r="B638" s="14" cm="1">
        <f t="array" ref="B638">_xlfn.IFNA(INDEX('IR data'!$D$4:$D$61,MATCH(A638,'IR data'!$C$4:$C$61,0)),((INDEX('IR data'!$D$4:$D$61,MATCH(A638,'IR data'!$C$4:$C$61,1)))-((A638-(INDEX('IR data'!$C$4:$C$61,MATCH(A638,'IR data'!$C$4:$C$61,1))))/((INDEX('IR data'!$C$4:$C$61,MATCH(A638,'IR data'!$C$4:$C$61,1)+1)-INDEX('IR data'!$C$4:$C$61,MATCH(A638,'IR data'!$C$4:$C$61,1))))) * (INDEX('IR data'!$D$4:$D$61,MATCH(A638,'IR data'!$C$4:$C$61,1))-(INDEX('IR data'!$D$4:$D$61,MATCH(A638,'IR data'!$C$4:$C$61,1)+1)))))</f>
        <v>0.92519246330434779</v>
      </c>
      <c r="C638" s="30">
        <f t="shared" si="56"/>
        <v>1.9409903142576374E-2</v>
      </c>
      <c r="D638" s="45">
        <f t="shared" si="57"/>
        <v>45986</v>
      </c>
      <c r="E638" s="14" cm="1">
        <f t="array" ref="E638">_xlfn.IFNA(INDEX('IR data'!$I$4:$I$61,MATCH(D638,'IR data'!$H$4:$H$61,0)),((INDEX('IR data'!$I$4:$I$61,MATCH(D638,'IR data'!$H$4:$H$61,1)))-((D638-(INDEX('IR data'!$H$4:$H$61,MATCH(D638,'IR data'!$H$4:$H$61,1))))/((INDEX('IR data'!$H$4:$H$61,MATCH(D638,'IR data'!$H$4:$H$61,1)+1)-INDEX('IR data'!$H$4:$H$61,MATCH(D638,'IR data'!$H$4:$H$61,1))))) * (INDEX('IR data'!$I$4:$I$61,MATCH(D638,'IR data'!$H$4:$H$61,1))-(INDEX('IR data'!$I$4:$I$61,MATCH(D638,'IR data'!$H$4:$H$61,1)+1)))))</f>
        <v>0.91901131773626377</v>
      </c>
      <c r="F638" s="30">
        <f t="shared" si="58"/>
        <v>2.1083285306946597E-2</v>
      </c>
      <c r="G638" s="45">
        <f t="shared" si="54"/>
        <v>46020</v>
      </c>
      <c r="H638" s="14" cm="1">
        <f t="array" ref="H638">_xlfn.IFNA(INDEX('IR data'!$N$4:$N$61,MATCH(G638,'IR data'!$M$4:$M$61,0)),((INDEX('IR data'!$N$4:$N$61,MATCH(G638,'IR data'!$M$4:$M$61,1)))-((G638-(INDEX('IR data'!$M$4:$M$61,MATCH(G638,'IR data'!$M$4:$M$61,1))))/((INDEX('IR data'!$M$4:$M$61,MATCH(G638,'IR data'!$M$4:$M$61,1)+1)-INDEX('IR data'!$M$4:$M$61,MATCH(G638,'IR data'!$M$4:$M$61,1))))) * (INDEX('IR data'!$N$4:$N$61,MATCH(G638,'IR data'!$M$4:$M$61,1))-(INDEX('IR data'!$N$4:$N$61,MATCH(G638,'IR data'!$M$4:$M$61,1)+1)))))</f>
        <v>0.91825667200000005</v>
      </c>
      <c r="I638" s="44">
        <f t="shared" si="59"/>
        <v>2.1288356229264227E-2</v>
      </c>
    </row>
    <row r="639" spans="1:9" x14ac:dyDescent="0.25">
      <c r="A639" s="45">
        <f t="shared" si="55"/>
        <v>45927</v>
      </c>
      <c r="B639" s="14" cm="1">
        <f t="array" ref="B639">_xlfn.IFNA(INDEX('IR data'!$D$4:$D$61,MATCH(A639,'IR data'!$C$4:$C$61,0)),((INDEX('IR data'!$D$4:$D$61,MATCH(A639,'IR data'!$C$4:$C$61,1)))-((A639-(INDEX('IR data'!$C$4:$C$61,MATCH(A639,'IR data'!$C$4:$C$61,1))))/((INDEX('IR data'!$C$4:$C$61,MATCH(A639,'IR data'!$C$4:$C$61,1)+1)-INDEX('IR data'!$C$4:$C$61,MATCH(A639,'IR data'!$C$4:$C$61,1))))) * (INDEX('IR data'!$D$4:$D$61,MATCH(A639,'IR data'!$C$4:$C$61,1))-(INDEX('IR data'!$D$4:$D$61,MATCH(A639,'IR data'!$C$4:$C$61,1)+1)))))</f>
        <v>0.92510438226086955</v>
      </c>
      <c r="C639" s="30">
        <f t="shared" si="56"/>
        <v>1.9403114064158677E-2</v>
      </c>
      <c r="D639" s="45">
        <f t="shared" si="57"/>
        <v>45987</v>
      </c>
      <c r="E639" s="14" cm="1">
        <f t="array" ref="E639">_xlfn.IFNA(INDEX('IR data'!$I$4:$I$61,MATCH(D639,'IR data'!$H$4:$H$61,0)),((INDEX('IR data'!$I$4:$I$61,MATCH(D639,'IR data'!$H$4:$H$61,1)))-((D639-(INDEX('IR data'!$H$4:$H$61,MATCH(D639,'IR data'!$H$4:$H$61,1))))/((INDEX('IR data'!$H$4:$H$61,MATCH(D639,'IR data'!$H$4:$H$61,1)+1)-INDEX('IR data'!$H$4:$H$61,MATCH(D639,'IR data'!$H$4:$H$61,1))))) * (INDEX('IR data'!$I$4:$I$61,MATCH(D639,'IR data'!$H$4:$H$61,1))-(INDEX('IR data'!$I$4:$I$61,MATCH(D639,'IR data'!$H$4:$H$61,1)+1)))))</f>
        <v>0.91890816909890105</v>
      </c>
      <c r="F639" s="30">
        <f t="shared" si="58"/>
        <v>2.1078111580660537E-2</v>
      </c>
      <c r="G639" s="45">
        <f t="shared" si="54"/>
        <v>46021</v>
      </c>
      <c r="H639" s="14" cm="1">
        <f t="array" ref="H639">_xlfn.IFNA(INDEX('IR data'!$N$4:$N$61,MATCH(G639,'IR data'!$M$4:$M$61,0)),((INDEX('IR data'!$N$4:$N$61,MATCH(G639,'IR data'!$M$4:$M$61,1)))-((G639-(INDEX('IR data'!$M$4:$M$61,MATCH(G639,'IR data'!$M$4:$M$61,1))))/((INDEX('IR data'!$M$4:$M$61,MATCH(G639,'IR data'!$M$4:$M$61,1)+1)-INDEX('IR data'!$M$4:$M$61,MATCH(G639,'IR data'!$M$4:$M$61,1))))) * (INDEX('IR data'!$N$4:$N$61,MATCH(G639,'IR data'!$M$4:$M$61,1))-(INDEX('IR data'!$N$4:$N$61,MATCH(G639,'IR data'!$M$4:$M$61,1)+1)))))</f>
        <v>0.91814983142857143</v>
      </c>
      <c r="I639" s="44">
        <f t="shared" si="59"/>
        <v>2.1283885269070223E-2</v>
      </c>
    </row>
    <row r="640" spans="1:9" x14ac:dyDescent="0.25">
      <c r="A640" s="45">
        <f t="shared" si="55"/>
        <v>45928</v>
      </c>
      <c r="B640" s="14" cm="1">
        <f t="array" ref="B640">_xlfn.IFNA(INDEX('IR data'!$D$4:$D$61,MATCH(A640,'IR data'!$C$4:$C$61,0)),((INDEX('IR data'!$D$4:$D$61,MATCH(A640,'IR data'!$C$4:$C$61,1)))-((A640-(INDEX('IR data'!$C$4:$C$61,MATCH(A640,'IR data'!$C$4:$C$61,1))))/((INDEX('IR data'!$C$4:$C$61,MATCH(A640,'IR data'!$C$4:$C$61,1)+1)-INDEX('IR data'!$C$4:$C$61,MATCH(A640,'IR data'!$C$4:$C$61,1))))) * (INDEX('IR data'!$D$4:$D$61,MATCH(A640,'IR data'!$C$4:$C$61,1))-(INDEX('IR data'!$D$4:$D$61,MATCH(A640,'IR data'!$C$4:$C$61,1)+1)))))</f>
        <v>0.92501630121739131</v>
      </c>
      <c r="C640" s="30">
        <f t="shared" si="56"/>
        <v>1.9396348557435675E-2</v>
      </c>
      <c r="D640" s="45">
        <f t="shared" si="57"/>
        <v>45988</v>
      </c>
      <c r="E640" s="14" cm="1">
        <f t="array" ref="E640">_xlfn.IFNA(INDEX('IR data'!$I$4:$I$61,MATCH(D640,'IR data'!$H$4:$H$61,0)),((INDEX('IR data'!$I$4:$I$61,MATCH(D640,'IR data'!$H$4:$H$61,1)))-((D640-(INDEX('IR data'!$H$4:$H$61,MATCH(D640,'IR data'!$H$4:$H$61,1))))/((INDEX('IR data'!$H$4:$H$61,MATCH(D640,'IR data'!$H$4:$H$61,1)+1)-INDEX('IR data'!$H$4:$H$61,MATCH(D640,'IR data'!$H$4:$H$61,1))))) * (INDEX('IR data'!$I$4:$I$61,MATCH(D640,'IR data'!$H$4:$H$61,1))-(INDEX('IR data'!$I$4:$I$61,MATCH(D640,'IR data'!$H$4:$H$61,1)+1)))))</f>
        <v>0.91880502046153845</v>
      </c>
      <c r="F640" s="30">
        <f t="shared" si="58"/>
        <v>2.1072957234011973E-2</v>
      </c>
      <c r="G640" s="45">
        <f t="shared" si="54"/>
        <v>46022</v>
      </c>
      <c r="H640" s="14" cm="1">
        <f t="array" ref="H640">_xlfn.IFNA(INDEX('IR data'!$N$4:$N$61,MATCH(G640,'IR data'!$M$4:$M$61,0)),((INDEX('IR data'!$N$4:$N$61,MATCH(G640,'IR data'!$M$4:$M$61,1)))-((G640-(INDEX('IR data'!$M$4:$M$61,MATCH(G640,'IR data'!$M$4:$M$61,1))))/((INDEX('IR data'!$M$4:$M$61,MATCH(G640,'IR data'!$M$4:$M$61,1)+1)-INDEX('IR data'!$M$4:$M$61,MATCH(G640,'IR data'!$M$4:$M$61,1))))) * (INDEX('IR data'!$N$4:$N$61,MATCH(G640,'IR data'!$M$4:$M$61,1))-(INDEX('IR data'!$N$4:$N$61,MATCH(G640,'IR data'!$M$4:$M$61,1)+1)))))</f>
        <v>0.91804299085714292</v>
      </c>
      <c r="I640" s="44">
        <f t="shared" si="59"/>
        <v>2.1279431716064154E-2</v>
      </c>
    </row>
    <row r="641" spans="1:9" x14ac:dyDescent="0.25">
      <c r="A641" s="45">
        <f t="shared" si="55"/>
        <v>45929</v>
      </c>
      <c r="B641" s="14" cm="1">
        <f t="array" ref="B641">_xlfn.IFNA(INDEX('IR data'!$D$4:$D$61,MATCH(A641,'IR data'!$C$4:$C$61,0)),((INDEX('IR data'!$D$4:$D$61,MATCH(A641,'IR data'!$C$4:$C$61,1)))-((A641-(INDEX('IR data'!$C$4:$C$61,MATCH(A641,'IR data'!$C$4:$C$61,1))))/((INDEX('IR data'!$C$4:$C$61,MATCH(A641,'IR data'!$C$4:$C$61,1)+1)-INDEX('IR data'!$C$4:$C$61,MATCH(A641,'IR data'!$C$4:$C$61,1))))) * (INDEX('IR data'!$D$4:$D$61,MATCH(A641,'IR data'!$C$4:$C$61,1))-(INDEX('IR data'!$D$4:$D$61,MATCH(A641,'IR data'!$C$4:$C$61,1)+1)))))</f>
        <v>0.92492822017391307</v>
      </c>
      <c r="C641" s="30">
        <f t="shared" si="56"/>
        <v>1.938960651199766E-2</v>
      </c>
      <c r="D641" s="45">
        <f t="shared" si="57"/>
        <v>45989</v>
      </c>
      <c r="E641" s="14" cm="1">
        <f t="array" ref="E641">_xlfn.IFNA(INDEX('IR data'!$I$4:$I$61,MATCH(D641,'IR data'!$H$4:$H$61,0)),((INDEX('IR data'!$I$4:$I$61,MATCH(D641,'IR data'!$H$4:$H$61,1)))-((D641-(INDEX('IR data'!$H$4:$H$61,MATCH(D641,'IR data'!$H$4:$H$61,1))))/((INDEX('IR data'!$H$4:$H$61,MATCH(D641,'IR data'!$H$4:$H$61,1)+1)-INDEX('IR data'!$H$4:$H$61,MATCH(D641,'IR data'!$H$4:$H$61,1))))) * (INDEX('IR data'!$I$4:$I$61,MATCH(D641,'IR data'!$H$4:$H$61,1))-(INDEX('IR data'!$I$4:$I$61,MATCH(D641,'IR data'!$H$4:$H$61,1)+1)))))</f>
        <v>0.91870187182417584</v>
      </c>
      <c r="F641" s="30">
        <f t="shared" si="58"/>
        <v>2.1067822176577093E-2</v>
      </c>
      <c r="G641" s="45">
        <f t="shared" si="54"/>
        <v>46023</v>
      </c>
      <c r="H641" s="14" cm="1">
        <f t="array" ref="H641">_xlfn.IFNA(INDEX('IR data'!$N$4:$N$61,MATCH(G641,'IR data'!$M$4:$M$61,0)),((INDEX('IR data'!$N$4:$N$61,MATCH(G641,'IR data'!$M$4:$M$61,1)))-((G641-(INDEX('IR data'!$M$4:$M$61,MATCH(G641,'IR data'!$M$4:$M$61,1))))/((INDEX('IR data'!$M$4:$M$61,MATCH(G641,'IR data'!$M$4:$M$61,1)+1)-INDEX('IR data'!$M$4:$M$61,MATCH(G641,'IR data'!$M$4:$M$61,1))))) * (INDEX('IR data'!$N$4:$N$61,MATCH(G641,'IR data'!$M$4:$M$61,1))-(INDEX('IR data'!$N$4:$N$61,MATCH(G641,'IR data'!$M$4:$M$61,1)+1)))))</f>
        <v>0.91793615028571429</v>
      </c>
      <c r="I641" s="44">
        <f t="shared" si="59"/>
        <v>2.1274995489177224E-2</v>
      </c>
    </row>
    <row r="642" spans="1:9" x14ac:dyDescent="0.25">
      <c r="A642" s="45">
        <f t="shared" si="55"/>
        <v>45930</v>
      </c>
      <c r="B642" s="14" cm="1">
        <f t="array" ref="B642">_xlfn.IFNA(INDEX('IR data'!$D$4:$D$61,MATCH(A642,'IR data'!$C$4:$C$61,0)),((INDEX('IR data'!$D$4:$D$61,MATCH(A642,'IR data'!$C$4:$C$61,1)))-((A642-(INDEX('IR data'!$C$4:$C$61,MATCH(A642,'IR data'!$C$4:$C$61,1))))/((INDEX('IR data'!$C$4:$C$61,MATCH(A642,'IR data'!$C$4:$C$61,1)+1)-INDEX('IR data'!$C$4:$C$61,MATCH(A642,'IR data'!$C$4:$C$61,1))))) * (INDEX('IR data'!$D$4:$D$61,MATCH(A642,'IR data'!$C$4:$C$61,1))-(INDEX('IR data'!$D$4:$D$61,MATCH(A642,'IR data'!$C$4:$C$61,1)+1)))))</f>
        <v>0.92484013913043484</v>
      </c>
      <c r="C642" s="30">
        <f t="shared" si="56"/>
        <v>1.9382887818126159E-2</v>
      </c>
      <c r="D642" s="45">
        <f t="shared" si="57"/>
        <v>45990</v>
      </c>
      <c r="E642" s="14" cm="1">
        <f t="array" ref="E642">_xlfn.IFNA(INDEX('IR data'!$I$4:$I$61,MATCH(D642,'IR data'!$H$4:$H$61,0)),((INDEX('IR data'!$I$4:$I$61,MATCH(D642,'IR data'!$H$4:$H$61,1)))-((D642-(INDEX('IR data'!$H$4:$H$61,MATCH(D642,'IR data'!$H$4:$H$61,1))))/((INDEX('IR data'!$H$4:$H$61,MATCH(D642,'IR data'!$H$4:$H$61,1)+1)-INDEX('IR data'!$H$4:$H$61,MATCH(D642,'IR data'!$H$4:$H$61,1))))) * (INDEX('IR data'!$I$4:$I$61,MATCH(D642,'IR data'!$H$4:$H$61,1))-(INDEX('IR data'!$I$4:$I$61,MATCH(D642,'IR data'!$H$4:$H$61,1)+1)))))</f>
        <v>0.91859872318681313</v>
      </c>
      <c r="F642" s="30">
        <f t="shared" si="58"/>
        <v>2.1062706318498332E-2</v>
      </c>
      <c r="G642" s="45">
        <f t="shared" si="54"/>
        <v>46024</v>
      </c>
      <c r="H642" s="14" cm="1">
        <f t="array" ref="H642">_xlfn.IFNA(INDEX('IR data'!$N$4:$N$61,MATCH(G642,'IR data'!$M$4:$M$61,0)),((INDEX('IR data'!$N$4:$N$61,MATCH(G642,'IR data'!$M$4:$M$61,1)))-((G642-(INDEX('IR data'!$M$4:$M$61,MATCH(G642,'IR data'!$M$4:$M$61,1))))/((INDEX('IR data'!$M$4:$M$61,MATCH(G642,'IR data'!$M$4:$M$61,1)+1)-INDEX('IR data'!$M$4:$M$61,MATCH(G642,'IR data'!$M$4:$M$61,1))))) * (INDEX('IR data'!$N$4:$N$61,MATCH(G642,'IR data'!$M$4:$M$61,1))-(INDEX('IR data'!$N$4:$N$61,MATCH(G642,'IR data'!$M$4:$M$61,1)+1)))))</f>
        <v>0.91782930971428578</v>
      </c>
      <c r="I642" s="44">
        <f t="shared" si="59"/>
        <v>2.1270576507848266E-2</v>
      </c>
    </row>
    <row r="643" spans="1:9" x14ac:dyDescent="0.25">
      <c r="A643" s="45">
        <f t="shared" si="55"/>
        <v>45931</v>
      </c>
      <c r="B643" s="14" cm="1">
        <f t="array" ref="B643">_xlfn.IFNA(INDEX('IR data'!$D$4:$D$61,MATCH(A643,'IR data'!$C$4:$C$61,0)),((INDEX('IR data'!$D$4:$D$61,MATCH(A643,'IR data'!$C$4:$C$61,1)))-((A643-(INDEX('IR data'!$C$4:$C$61,MATCH(A643,'IR data'!$C$4:$C$61,1))))/((INDEX('IR data'!$C$4:$C$61,MATCH(A643,'IR data'!$C$4:$C$61,1)+1)-INDEX('IR data'!$C$4:$C$61,MATCH(A643,'IR data'!$C$4:$C$61,1))))) * (INDEX('IR data'!$D$4:$D$61,MATCH(A643,'IR data'!$C$4:$C$61,1))-(INDEX('IR data'!$D$4:$D$61,MATCH(A643,'IR data'!$C$4:$C$61,1)+1)))))</f>
        <v>0.92475205808695649</v>
      </c>
      <c r="C643" s="30">
        <f t="shared" si="56"/>
        <v>1.9376192366788607E-2</v>
      </c>
      <c r="D643" s="45">
        <f t="shared" si="57"/>
        <v>45991</v>
      </c>
      <c r="E643" s="14" cm="1">
        <f t="array" ref="E643">_xlfn.IFNA(INDEX('IR data'!$I$4:$I$61,MATCH(D643,'IR data'!$H$4:$H$61,0)),((INDEX('IR data'!$I$4:$I$61,MATCH(D643,'IR data'!$H$4:$H$61,1)))-((D643-(INDEX('IR data'!$H$4:$H$61,MATCH(D643,'IR data'!$H$4:$H$61,1))))/((INDEX('IR data'!$H$4:$H$61,MATCH(D643,'IR data'!$H$4:$H$61,1)+1)-INDEX('IR data'!$H$4:$H$61,MATCH(D643,'IR data'!$H$4:$H$61,1))))) * (INDEX('IR data'!$I$4:$I$61,MATCH(D643,'IR data'!$H$4:$H$61,1))-(INDEX('IR data'!$I$4:$I$61,MATCH(D643,'IR data'!$H$4:$H$61,1)+1)))))</f>
        <v>0.91849557454945052</v>
      </c>
      <c r="F643" s="30">
        <f t="shared" si="58"/>
        <v>2.105760957047989E-2</v>
      </c>
      <c r="G643" s="45">
        <f t="shared" ref="G643:G706" si="60">G642+1</f>
        <v>46025</v>
      </c>
      <c r="H643" s="14" cm="1">
        <f t="array" ref="H643">_xlfn.IFNA(INDEX('IR data'!$N$4:$N$61,MATCH(G643,'IR data'!$M$4:$M$61,0)),((INDEX('IR data'!$N$4:$N$61,MATCH(G643,'IR data'!$M$4:$M$61,1)))-((G643-(INDEX('IR data'!$M$4:$M$61,MATCH(G643,'IR data'!$M$4:$M$61,1))))/((INDEX('IR data'!$M$4:$M$61,MATCH(G643,'IR data'!$M$4:$M$61,1)+1)-INDEX('IR data'!$M$4:$M$61,MATCH(G643,'IR data'!$M$4:$M$61,1))))) * (INDEX('IR data'!$N$4:$N$61,MATCH(G643,'IR data'!$M$4:$M$61,1))-(INDEX('IR data'!$N$4:$N$61,MATCH(G643,'IR data'!$M$4:$M$61,1)+1)))))</f>
        <v>0.91772246914285716</v>
      </c>
      <c r="I643" s="44">
        <f t="shared" si="59"/>
        <v>2.1266174692020006E-2</v>
      </c>
    </row>
    <row r="644" spans="1:9" x14ac:dyDescent="0.25">
      <c r="A644" s="45">
        <f t="shared" si="55"/>
        <v>45932</v>
      </c>
      <c r="B644" s="14" cm="1">
        <f t="array" ref="B644">_xlfn.IFNA(INDEX('IR data'!$D$4:$D$61,MATCH(A644,'IR data'!$C$4:$C$61,0)),((INDEX('IR data'!$D$4:$D$61,MATCH(A644,'IR data'!$C$4:$C$61,1)))-((A644-(INDEX('IR data'!$C$4:$C$61,MATCH(A644,'IR data'!$C$4:$C$61,1))))/((INDEX('IR data'!$C$4:$C$61,MATCH(A644,'IR data'!$C$4:$C$61,1)+1)-INDEX('IR data'!$C$4:$C$61,MATCH(A644,'IR data'!$C$4:$C$61,1))))) * (INDEX('IR data'!$D$4:$D$61,MATCH(A644,'IR data'!$C$4:$C$61,1))-(INDEX('IR data'!$D$4:$D$61,MATCH(A644,'IR data'!$C$4:$C$61,1)+1)))))</f>
        <v>0.92466397704347825</v>
      </c>
      <c r="C644" s="30">
        <f t="shared" si="56"/>
        <v>1.9369520049632865E-2</v>
      </c>
      <c r="D644" s="45">
        <f t="shared" si="57"/>
        <v>45992</v>
      </c>
      <c r="E644" s="14" cm="1">
        <f t="array" ref="E644">_xlfn.IFNA(INDEX('IR data'!$I$4:$I$61,MATCH(D644,'IR data'!$H$4:$H$61,0)),((INDEX('IR data'!$I$4:$I$61,MATCH(D644,'IR data'!$H$4:$H$61,1)))-((D644-(INDEX('IR data'!$H$4:$H$61,MATCH(D644,'IR data'!$H$4:$H$61,1))))/((INDEX('IR data'!$H$4:$H$61,MATCH(D644,'IR data'!$H$4:$H$61,1)+1)-INDEX('IR data'!$H$4:$H$61,MATCH(D644,'IR data'!$H$4:$H$61,1))))) * (INDEX('IR data'!$I$4:$I$61,MATCH(D644,'IR data'!$H$4:$H$61,1))-(INDEX('IR data'!$I$4:$I$61,MATCH(D644,'IR data'!$H$4:$H$61,1)+1)))))</f>
        <v>0.91839242591208792</v>
      </c>
      <c r="F644" s="30">
        <f t="shared" si="58"/>
        <v>2.1052531843783515E-2</v>
      </c>
      <c r="G644" s="45">
        <f t="shared" si="60"/>
        <v>46026</v>
      </c>
      <c r="H644" s="14" cm="1">
        <f t="array" ref="H644">_xlfn.IFNA(INDEX('IR data'!$N$4:$N$61,MATCH(G644,'IR data'!$M$4:$M$61,0)),((INDEX('IR data'!$N$4:$N$61,MATCH(G644,'IR data'!$M$4:$M$61,1)))-((G644-(INDEX('IR data'!$M$4:$M$61,MATCH(G644,'IR data'!$M$4:$M$61,1))))/((INDEX('IR data'!$M$4:$M$61,MATCH(G644,'IR data'!$M$4:$M$61,1)+1)-INDEX('IR data'!$M$4:$M$61,MATCH(G644,'IR data'!$M$4:$M$61,1))))) * (INDEX('IR data'!$N$4:$N$61,MATCH(G644,'IR data'!$M$4:$M$61,1))-(INDEX('IR data'!$N$4:$N$61,MATCH(G644,'IR data'!$M$4:$M$61,1)+1)))))</f>
        <v>0.91761562857142864</v>
      </c>
      <c r="I644" s="44">
        <f t="shared" si="59"/>
        <v>2.1261789962134899E-2</v>
      </c>
    </row>
    <row r="645" spans="1:9" x14ac:dyDescent="0.25">
      <c r="A645" s="45">
        <f t="shared" ref="A645:A708" si="61">A644+1</f>
        <v>45933</v>
      </c>
      <c r="B645" s="14" cm="1">
        <f t="array" ref="B645">_xlfn.IFNA(INDEX('IR data'!$D$4:$D$61,MATCH(A645,'IR data'!$C$4:$C$61,0)),((INDEX('IR data'!$D$4:$D$61,MATCH(A645,'IR data'!$C$4:$C$61,1)))-((A645-(INDEX('IR data'!$C$4:$C$61,MATCH(A645,'IR data'!$C$4:$C$61,1))))/((INDEX('IR data'!$C$4:$C$61,MATCH(A645,'IR data'!$C$4:$C$61,1)+1)-INDEX('IR data'!$C$4:$C$61,MATCH(A645,'IR data'!$C$4:$C$61,1))))) * (INDEX('IR data'!$D$4:$D$61,MATCH(A645,'IR data'!$C$4:$C$61,1))-(INDEX('IR data'!$D$4:$D$61,MATCH(A645,'IR data'!$C$4:$C$61,1)+1)))))</f>
        <v>0.92457589600000001</v>
      </c>
      <c r="C645" s="30">
        <f t="shared" ref="C645:C708" si="62">-LOG(B645)/YEARFRAC($B$1, A645, 3)</f>
        <v>1.9362870758982086E-2</v>
      </c>
      <c r="D645" s="45">
        <f t="shared" ref="D645:D708" si="63">D644+1</f>
        <v>45993</v>
      </c>
      <c r="E645" s="14" cm="1">
        <f t="array" ref="E645">_xlfn.IFNA(INDEX('IR data'!$I$4:$I$61,MATCH(D645,'IR data'!$H$4:$H$61,0)),((INDEX('IR data'!$I$4:$I$61,MATCH(D645,'IR data'!$H$4:$H$61,1)))-((D645-(INDEX('IR data'!$H$4:$H$61,MATCH(D645,'IR data'!$H$4:$H$61,1))))/((INDEX('IR data'!$H$4:$H$61,MATCH(D645,'IR data'!$H$4:$H$61,1)+1)-INDEX('IR data'!$H$4:$H$61,MATCH(D645,'IR data'!$H$4:$H$61,1))))) * (INDEX('IR data'!$I$4:$I$61,MATCH(D645,'IR data'!$H$4:$H$61,1))-(INDEX('IR data'!$I$4:$I$61,MATCH(D645,'IR data'!$H$4:$H$61,1)+1)))))</f>
        <v>0.91828927727472531</v>
      </c>
      <c r="F645" s="30">
        <f t="shared" ref="F645:F708" si="64">-LOG(E645)/YEARFRAC($E$1, D645, 3)</f>
        <v>2.1047473050224055E-2</v>
      </c>
      <c r="G645" s="45">
        <f t="shared" si="60"/>
        <v>46027</v>
      </c>
      <c r="H645" s="14" cm="1">
        <f t="array" ref="H645">_xlfn.IFNA(INDEX('IR data'!$N$4:$N$61,MATCH(G645,'IR data'!$M$4:$M$61,0)),((INDEX('IR data'!$N$4:$N$61,MATCH(G645,'IR data'!$M$4:$M$61,1)))-((G645-(INDEX('IR data'!$M$4:$M$61,MATCH(G645,'IR data'!$M$4:$M$61,1))))/((INDEX('IR data'!$M$4:$M$61,MATCH(G645,'IR data'!$M$4:$M$61,1)+1)-INDEX('IR data'!$M$4:$M$61,MATCH(G645,'IR data'!$M$4:$M$61,1))))) * (INDEX('IR data'!$N$4:$N$61,MATCH(G645,'IR data'!$M$4:$M$61,1))-(INDEX('IR data'!$N$4:$N$61,MATCH(G645,'IR data'!$M$4:$M$61,1)+1)))))</f>
        <v>0.91750878800000002</v>
      </c>
      <c r="I645" s="44">
        <f t="shared" ref="I645:I708" si="65">-LOG(H645)/YEARFRAC($H$1, G645, 3)</f>
        <v>2.1257422239131483E-2</v>
      </c>
    </row>
    <row r="646" spans="1:9" x14ac:dyDescent="0.25">
      <c r="A646" s="45">
        <f t="shared" si="61"/>
        <v>45934</v>
      </c>
      <c r="B646" s="14" cm="1">
        <f t="array" ref="B646">_xlfn.IFNA(INDEX('IR data'!$D$4:$D$61,MATCH(A646,'IR data'!$C$4:$C$61,0)),((INDEX('IR data'!$D$4:$D$61,MATCH(A646,'IR data'!$C$4:$C$61,1)))-((A646-(INDEX('IR data'!$C$4:$C$61,MATCH(A646,'IR data'!$C$4:$C$61,1))))/((INDEX('IR data'!$C$4:$C$61,MATCH(A646,'IR data'!$C$4:$C$61,1)+1)-INDEX('IR data'!$C$4:$C$61,MATCH(A646,'IR data'!$C$4:$C$61,1))))) * (INDEX('IR data'!$D$4:$D$61,MATCH(A646,'IR data'!$C$4:$C$61,1))-(INDEX('IR data'!$D$4:$D$61,MATCH(A646,'IR data'!$C$4:$C$61,1)+1)))))</f>
        <v>0.9244918085425532</v>
      </c>
      <c r="C646" s="30">
        <f t="shared" si="62"/>
        <v>1.9355179442978494E-2</v>
      </c>
      <c r="D646" s="45">
        <f t="shared" si="63"/>
        <v>45994</v>
      </c>
      <c r="E646" s="14" cm="1">
        <f t="array" ref="E646">_xlfn.IFNA(INDEX('IR data'!$I$4:$I$61,MATCH(D646,'IR data'!$H$4:$H$61,0)),((INDEX('IR data'!$I$4:$I$61,MATCH(D646,'IR data'!$H$4:$H$61,1)))-((D646-(INDEX('IR data'!$H$4:$H$61,MATCH(D646,'IR data'!$H$4:$H$61,1))))/((INDEX('IR data'!$H$4:$H$61,MATCH(D646,'IR data'!$H$4:$H$61,1)+1)-INDEX('IR data'!$H$4:$H$61,MATCH(D646,'IR data'!$H$4:$H$61,1))))) * (INDEX('IR data'!$I$4:$I$61,MATCH(D646,'IR data'!$H$4:$H$61,1))-(INDEX('IR data'!$I$4:$I$61,MATCH(D646,'IR data'!$H$4:$H$61,1)+1)))))</f>
        <v>0.9181861286373626</v>
      </c>
      <c r="F646" s="30">
        <f t="shared" si="64"/>
        <v>2.104243310216521E-2</v>
      </c>
      <c r="G646" s="45">
        <f t="shared" si="60"/>
        <v>46028</v>
      </c>
      <c r="H646" s="14" cm="1">
        <f t="array" ref="H646">_xlfn.IFNA(INDEX('IR data'!$N$4:$N$61,MATCH(G646,'IR data'!$M$4:$M$61,0)),((INDEX('IR data'!$N$4:$N$61,MATCH(G646,'IR data'!$M$4:$M$61,1)))-((G646-(INDEX('IR data'!$M$4:$M$61,MATCH(G646,'IR data'!$M$4:$M$61,1))))/((INDEX('IR data'!$M$4:$M$61,MATCH(G646,'IR data'!$M$4:$M$61,1)+1)-INDEX('IR data'!$M$4:$M$61,MATCH(G646,'IR data'!$M$4:$M$61,1))))) * (INDEX('IR data'!$N$4:$N$61,MATCH(G646,'IR data'!$M$4:$M$61,1))-(INDEX('IR data'!$N$4:$N$61,MATCH(G646,'IR data'!$M$4:$M$61,1)+1)))))</f>
        <v>0.91740380430769231</v>
      </c>
      <c r="I646" s="44">
        <f t="shared" si="65"/>
        <v>2.1252572456857344E-2</v>
      </c>
    </row>
    <row r="647" spans="1:9" x14ac:dyDescent="0.25">
      <c r="A647" s="45">
        <f t="shared" si="61"/>
        <v>45935</v>
      </c>
      <c r="B647" s="14" cm="1">
        <f t="array" ref="B647">_xlfn.IFNA(INDEX('IR data'!$D$4:$D$61,MATCH(A647,'IR data'!$C$4:$C$61,0)),((INDEX('IR data'!$D$4:$D$61,MATCH(A647,'IR data'!$C$4:$C$61,1)))-((A647-(INDEX('IR data'!$C$4:$C$61,MATCH(A647,'IR data'!$C$4:$C$61,1))))/((INDEX('IR data'!$C$4:$C$61,MATCH(A647,'IR data'!$C$4:$C$61,1)+1)-INDEX('IR data'!$C$4:$C$61,MATCH(A647,'IR data'!$C$4:$C$61,1))))) * (INDEX('IR data'!$D$4:$D$61,MATCH(A647,'IR data'!$C$4:$C$61,1))-(INDEX('IR data'!$D$4:$D$61,MATCH(A647,'IR data'!$C$4:$C$61,1)+1)))))</f>
        <v>0.92440772108510638</v>
      </c>
      <c r="C647" s="30">
        <f t="shared" si="62"/>
        <v>1.9347514049376902E-2</v>
      </c>
      <c r="D647" s="45">
        <f t="shared" si="63"/>
        <v>45995</v>
      </c>
      <c r="E647" s="14" cm="1">
        <f t="array" ref="E647">_xlfn.IFNA(INDEX('IR data'!$I$4:$I$61,MATCH(D647,'IR data'!$H$4:$H$61,0)),((INDEX('IR data'!$I$4:$I$61,MATCH(D647,'IR data'!$H$4:$H$61,1)))-((D647-(INDEX('IR data'!$H$4:$H$61,MATCH(D647,'IR data'!$H$4:$H$61,1))))/((INDEX('IR data'!$H$4:$H$61,MATCH(D647,'IR data'!$H$4:$H$61,1)+1)-INDEX('IR data'!$H$4:$H$61,MATCH(D647,'IR data'!$H$4:$H$61,1))))) * (INDEX('IR data'!$I$4:$I$61,MATCH(D647,'IR data'!$H$4:$H$61,1))-(INDEX('IR data'!$I$4:$I$61,MATCH(D647,'IR data'!$H$4:$H$61,1)+1)))))</f>
        <v>0.91808297999999999</v>
      </c>
      <c r="F647" s="30">
        <f t="shared" si="64"/>
        <v>2.1037411912515142E-2</v>
      </c>
      <c r="G647" s="45">
        <f t="shared" si="60"/>
        <v>46029</v>
      </c>
      <c r="H647" s="14" cm="1">
        <f t="array" ref="H647">_xlfn.IFNA(INDEX('IR data'!$N$4:$N$61,MATCH(G647,'IR data'!$M$4:$M$61,0)),((INDEX('IR data'!$N$4:$N$61,MATCH(G647,'IR data'!$M$4:$M$61,1)))-((G647-(INDEX('IR data'!$M$4:$M$61,MATCH(G647,'IR data'!$M$4:$M$61,1))))/((INDEX('IR data'!$M$4:$M$61,MATCH(G647,'IR data'!$M$4:$M$61,1)+1)-INDEX('IR data'!$M$4:$M$61,MATCH(G647,'IR data'!$M$4:$M$61,1))))) * (INDEX('IR data'!$N$4:$N$61,MATCH(G647,'IR data'!$M$4:$M$61,1))-(INDEX('IR data'!$N$4:$N$61,MATCH(G647,'IR data'!$M$4:$M$61,1)+1)))))</f>
        <v>0.91729882061538459</v>
      </c>
      <c r="I647" s="44">
        <f t="shared" si="65"/>
        <v>2.1247740959416776E-2</v>
      </c>
    </row>
    <row r="648" spans="1:9" x14ac:dyDescent="0.25">
      <c r="A648" s="45">
        <f t="shared" si="61"/>
        <v>45936</v>
      </c>
      <c r="B648" s="14" cm="1">
        <f t="array" ref="B648">_xlfn.IFNA(INDEX('IR data'!$D$4:$D$61,MATCH(A648,'IR data'!$C$4:$C$61,0)),((INDEX('IR data'!$D$4:$D$61,MATCH(A648,'IR data'!$C$4:$C$61,1)))-((A648-(INDEX('IR data'!$C$4:$C$61,MATCH(A648,'IR data'!$C$4:$C$61,1))))/((INDEX('IR data'!$C$4:$C$61,MATCH(A648,'IR data'!$C$4:$C$61,1)+1)-INDEX('IR data'!$C$4:$C$61,MATCH(A648,'IR data'!$C$4:$C$61,1))))) * (INDEX('IR data'!$D$4:$D$61,MATCH(A648,'IR data'!$C$4:$C$61,1))-(INDEX('IR data'!$D$4:$D$61,MATCH(A648,'IR data'!$C$4:$C$61,1)+1)))))</f>
        <v>0.92432363362765957</v>
      </c>
      <c r="C648" s="30">
        <f t="shared" si="62"/>
        <v>1.9339874457977902E-2</v>
      </c>
      <c r="D648" s="45">
        <f t="shared" si="63"/>
        <v>45996</v>
      </c>
      <c r="E648" s="14" cm="1">
        <f t="array" ref="E648">_xlfn.IFNA(INDEX('IR data'!$I$4:$I$61,MATCH(D648,'IR data'!$H$4:$H$61,0)),((INDEX('IR data'!$I$4:$I$61,MATCH(D648,'IR data'!$H$4:$H$61,1)))-((D648-(INDEX('IR data'!$H$4:$H$61,MATCH(D648,'IR data'!$H$4:$H$61,1))))/((INDEX('IR data'!$H$4:$H$61,MATCH(D648,'IR data'!$H$4:$H$61,1)+1)-INDEX('IR data'!$H$4:$H$61,MATCH(D648,'IR data'!$H$4:$H$61,1))))) * (INDEX('IR data'!$I$4:$I$61,MATCH(D648,'IR data'!$H$4:$H$61,1))-(INDEX('IR data'!$I$4:$I$61,MATCH(D648,'IR data'!$H$4:$H$61,1)+1)))))</f>
        <v>0.9179831152222222</v>
      </c>
      <c r="F648" s="30">
        <f t="shared" si="64"/>
        <v>2.1031530234311129E-2</v>
      </c>
      <c r="G648" s="45">
        <f t="shared" si="60"/>
        <v>46030</v>
      </c>
      <c r="H648" s="14" cm="1">
        <f t="array" ref="H648">_xlfn.IFNA(INDEX('IR data'!$N$4:$N$61,MATCH(G648,'IR data'!$M$4:$M$61,0)),((INDEX('IR data'!$N$4:$N$61,MATCH(G648,'IR data'!$M$4:$M$61,1)))-((G648-(INDEX('IR data'!$M$4:$M$61,MATCH(G648,'IR data'!$M$4:$M$61,1))))/((INDEX('IR data'!$M$4:$M$61,MATCH(G648,'IR data'!$M$4:$M$61,1)+1)-INDEX('IR data'!$M$4:$M$61,MATCH(G648,'IR data'!$M$4:$M$61,1))))) * (INDEX('IR data'!$N$4:$N$61,MATCH(G648,'IR data'!$M$4:$M$61,1))-(INDEX('IR data'!$N$4:$N$61,MATCH(G648,'IR data'!$M$4:$M$61,1)+1)))))</f>
        <v>0.91719383692307699</v>
      </c>
      <c r="I648" s="44">
        <f t="shared" si="65"/>
        <v>2.124292766250074E-2</v>
      </c>
    </row>
    <row r="649" spans="1:9" x14ac:dyDescent="0.25">
      <c r="A649" s="45">
        <f t="shared" si="61"/>
        <v>45937</v>
      </c>
      <c r="B649" s="14" cm="1">
        <f t="array" ref="B649">_xlfn.IFNA(INDEX('IR data'!$D$4:$D$61,MATCH(A649,'IR data'!$C$4:$C$61,0)),((INDEX('IR data'!$D$4:$D$61,MATCH(A649,'IR data'!$C$4:$C$61,1)))-((A649-(INDEX('IR data'!$C$4:$C$61,MATCH(A649,'IR data'!$C$4:$C$61,1))))/((INDEX('IR data'!$C$4:$C$61,MATCH(A649,'IR data'!$C$4:$C$61,1)+1)-INDEX('IR data'!$C$4:$C$61,MATCH(A649,'IR data'!$C$4:$C$61,1))))) * (INDEX('IR data'!$D$4:$D$61,MATCH(A649,'IR data'!$C$4:$C$61,1))-(INDEX('IR data'!$D$4:$D$61,MATCH(A649,'IR data'!$C$4:$C$61,1)+1)))))</f>
        <v>0.92423954617021276</v>
      </c>
      <c r="C649" s="30">
        <f t="shared" si="62"/>
        <v>1.9332260549326467E-2</v>
      </c>
      <c r="D649" s="45">
        <f t="shared" si="63"/>
        <v>45997</v>
      </c>
      <c r="E649" s="14" cm="1">
        <f t="array" ref="E649">_xlfn.IFNA(INDEX('IR data'!$I$4:$I$61,MATCH(D649,'IR data'!$H$4:$H$61,0)),((INDEX('IR data'!$I$4:$I$61,MATCH(D649,'IR data'!$H$4:$H$61,1)))-((D649-(INDEX('IR data'!$H$4:$H$61,MATCH(D649,'IR data'!$H$4:$H$61,1))))/((INDEX('IR data'!$H$4:$H$61,MATCH(D649,'IR data'!$H$4:$H$61,1)+1)-INDEX('IR data'!$H$4:$H$61,MATCH(D649,'IR data'!$H$4:$H$61,1))))) * (INDEX('IR data'!$I$4:$I$61,MATCH(D649,'IR data'!$H$4:$H$61,1))-(INDEX('IR data'!$I$4:$I$61,MATCH(D649,'IR data'!$H$4:$H$61,1)+1)))))</f>
        <v>0.91788325044444441</v>
      </c>
      <c r="F649" s="30">
        <f t="shared" si="64"/>
        <v>2.1025669669659505E-2</v>
      </c>
      <c r="G649" s="45">
        <f t="shared" si="60"/>
        <v>46031</v>
      </c>
      <c r="H649" s="14" cm="1">
        <f t="array" ref="H649">_xlfn.IFNA(INDEX('IR data'!$N$4:$N$61,MATCH(G649,'IR data'!$M$4:$M$61,0)),((INDEX('IR data'!$N$4:$N$61,MATCH(G649,'IR data'!$M$4:$M$61,1)))-((G649-(INDEX('IR data'!$M$4:$M$61,MATCH(G649,'IR data'!$M$4:$M$61,1))))/((INDEX('IR data'!$M$4:$M$61,MATCH(G649,'IR data'!$M$4:$M$61,1)+1)-INDEX('IR data'!$M$4:$M$61,MATCH(G649,'IR data'!$M$4:$M$61,1))))) * (INDEX('IR data'!$N$4:$N$61,MATCH(G649,'IR data'!$M$4:$M$61,1))-(INDEX('IR data'!$N$4:$N$61,MATCH(G649,'IR data'!$M$4:$M$61,1)+1)))))</f>
        <v>0.91708885323076927</v>
      </c>
      <c r="I649" s="44">
        <f t="shared" si="65"/>
        <v>2.1238132482322571E-2</v>
      </c>
    </row>
    <row r="650" spans="1:9" x14ac:dyDescent="0.25">
      <c r="A650" s="45">
        <f t="shared" si="61"/>
        <v>45938</v>
      </c>
      <c r="B650" s="14" cm="1">
        <f t="array" ref="B650">_xlfn.IFNA(INDEX('IR data'!$D$4:$D$61,MATCH(A650,'IR data'!$C$4:$C$61,0)),((INDEX('IR data'!$D$4:$D$61,MATCH(A650,'IR data'!$C$4:$C$61,1)))-((A650-(INDEX('IR data'!$C$4:$C$61,MATCH(A650,'IR data'!$C$4:$C$61,1))))/((INDEX('IR data'!$C$4:$C$61,MATCH(A650,'IR data'!$C$4:$C$61,1)+1)-INDEX('IR data'!$C$4:$C$61,MATCH(A650,'IR data'!$C$4:$C$61,1))))) * (INDEX('IR data'!$D$4:$D$61,MATCH(A650,'IR data'!$C$4:$C$61,1))-(INDEX('IR data'!$D$4:$D$61,MATCH(A650,'IR data'!$C$4:$C$61,1)+1)))))</f>
        <v>0.92415545871276594</v>
      </c>
      <c r="C650" s="30">
        <f t="shared" si="62"/>
        <v>1.9324672204706173E-2</v>
      </c>
      <c r="D650" s="45">
        <f t="shared" si="63"/>
        <v>45998</v>
      </c>
      <c r="E650" s="14" cm="1">
        <f t="array" ref="E650">_xlfn.IFNA(INDEX('IR data'!$I$4:$I$61,MATCH(D650,'IR data'!$H$4:$H$61,0)),((INDEX('IR data'!$I$4:$I$61,MATCH(D650,'IR data'!$H$4:$H$61,1)))-((D650-(INDEX('IR data'!$H$4:$H$61,MATCH(D650,'IR data'!$H$4:$H$61,1))))/((INDEX('IR data'!$H$4:$H$61,MATCH(D650,'IR data'!$H$4:$H$61,1)+1)-INDEX('IR data'!$H$4:$H$61,MATCH(D650,'IR data'!$H$4:$H$61,1))))) * (INDEX('IR data'!$I$4:$I$61,MATCH(D650,'IR data'!$H$4:$H$61,1))-(INDEX('IR data'!$I$4:$I$61,MATCH(D650,'IR data'!$H$4:$H$61,1)+1)))))</f>
        <v>0.91778338566666662</v>
      </c>
      <c r="F650" s="30">
        <f t="shared" si="64"/>
        <v>2.101983012129224E-2</v>
      </c>
      <c r="G650" s="45">
        <f t="shared" si="60"/>
        <v>46032</v>
      </c>
      <c r="H650" s="14" cm="1">
        <f t="array" ref="H650">_xlfn.IFNA(INDEX('IR data'!$N$4:$N$61,MATCH(G650,'IR data'!$M$4:$M$61,0)),((INDEX('IR data'!$N$4:$N$61,MATCH(G650,'IR data'!$M$4:$M$61,1)))-((G650-(INDEX('IR data'!$M$4:$M$61,MATCH(G650,'IR data'!$M$4:$M$61,1))))/((INDEX('IR data'!$M$4:$M$61,MATCH(G650,'IR data'!$M$4:$M$61,1)+1)-INDEX('IR data'!$M$4:$M$61,MATCH(G650,'IR data'!$M$4:$M$61,1))))) * (INDEX('IR data'!$N$4:$N$61,MATCH(G650,'IR data'!$M$4:$M$61,1))-(INDEX('IR data'!$N$4:$N$61,MATCH(G650,'IR data'!$M$4:$M$61,1)+1)))))</f>
        <v>0.91698386953846156</v>
      </c>
      <c r="I650" s="44">
        <f t="shared" si="65"/>
        <v>2.1233355335613772E-2</v>
      </c>
    </row>
    <row r="651" spans="1:9" x14ac:dyDescent="0.25">
      <c r="A651" s="45">
        <f t="shared" si="61"/>
        <v>45939</v>
      </c>
      <c r="B651" s="14" cm="1">
        <f t="array" ref="B651">_xlfn.IFNA(INDEX('IR data'!$D$4:$D$61,MATCH(A651,'IR data'!$C$4:$C$61,0)),((INDEX('IR data'!$D$4:$D$61,MATCH(A651,'IR data'!$C$4:$C$61,1)))-((A651-(INDEX('IR data'!$C$4:$C$61,MATCH(A651,'IR data'!$C$4:$C$61,1))))/((INDEX('IR data'!$C$4:$C$61,MATCH(A651,'IR data'!$C$4:$C$61,1)+1)-INDEX('IR data'!$C$4:$C$61,MATCH(A651,'IR data'!$C$4:$C$61,1))))) * (INDEX('IR data'!$D$4:$D$61,MATCH(A651,'IR data'!$C$4:$C$61,1))-(INDEX('IR data'!$D$4:$D$61,MATCH(A651,'IR data'!$C$4:$C$61,1)+1)))))</f>
        <v>0.92407137125531913</v>
      </c>
      <c r="C651" s="30">
        <f t="shared" si="62"/>
        <v>1.9317109306133517E-2</v>
      </c>
      <c r="D651" s="45">
        <f t="shared" si="63"/>
        <v>45999</v>
      </c>
      <c r="E651" s="14" cm="1">
        <f t="array" ref="E651">_xlfn.IFNA(INDEX('IR data'!$I$4:$I$61,MATCH(D651,'IR data'!$H$4:$H$61,0)),((INDEX('IR data'!$I$4:$I$61,MATCH(D651,'IR data'!$H$4:$H$61,1)))-((D651-(INDEX('IR data'!$H$4:$H$61,MATCH(D651,'IR data'!$H$4:$H$61,1))))/((INDEX('IR data'!$H$4:$H$61,MATCH(D651,'IR data'!$H$4:$H$61,1)+1)-INDEX('IR data'!$H$4:$H$61,MATCH(D651,'IR data'!$H$4:$H$61,1))))) * (INDEX('IR data'!$I$4:$I$61,MATCH(D651,'IR data'!$H$4:$H$61,1))-(INDEX('IR data'!$I$4:$I$61,MATCH(D651,'IR data'!$H$4:$H$61,1)+1)))))</f>
        <v>0.91768352088888883</v>
      </c>
      <c r="F651" s="30">
        <f t="shared" si="64"/>
        <v>2.1014011492541902E-2</v>
      </c>
      <c r="G651" s="45">
        <f t="shared" si="60"/>
        <v>46033</v>
      </c>
      <c r="H651" s="14" cm="1">
        <f t="array" ref="H651">_xlfn.IFNA(INDEX('IR data'!$N$4:$N$61,MATCH(G651,'IR data'!$M$4:$M$61,0)),((INDEX('IR data'!$N$4:$N$61,MATCH(G651,'IR data'!$M$4:$M$61,1)))-((G651-(INDEX('IR data'!$M$4:$M$61,MATCH(G651,'IR data'!$M$4:$M$61,1))))/((INDEX('IR data'!$M$4:$M$61,MATCH(G651,'IR data'!$M$4:$M$61,1)+1)-INDEX('IR data'!$M$4:$M$61,MATCH(G651,'IR data'!$M$4:$M$61,1))))) * (INDEX('IR data'!$N$4:$N$61,MATCH(G651,'IR data'!$M$4:$M$61,1))-(INDEX('IR data'!$N$4:$N$61,MATCH(G651,'IR data'!$M$4:$M$61,1)+1)))))</f>
        <v>0.91687888584615385</v>
      </c>
      <c r="I651" s="44">
        <f t="shared" si="65"/>
        <v>2.1228596139620127E-2</v>
      </c>
    </row>
    <row r="652" spans="1:9" x14ac:dyDescent="0.25">
      <c r="A652" s="45">
        <f t="shared" si="61"/>
        <v>45940</v>
      </c>
      <c r="B652" s="14" cm="1">
        <f t="array" ref="B652">_xlfn.IFNA(INDEX('IR data'!$D$4:$D$61,MATCH(A652,'IR data'!$C$4:$C$61,0)),((INDEX('IR data'!$D$4:$D$61,MATCH(A652,'IR data'!$C$4:$C$61,1)))-((A652-(INDEX('IR data'!$C$4:$C$61,MATCH(A652,'IR data'!$C$4:$C$61,1))))/((INDEX('IR data'!$C$4:$C$61,MATCH(A652,'IR data'!$C$4:$C$61,1)+1)-INDEX('IR data'!$C$4:$C$61,MATCH(A652,'IR data'!$C$4:$C$61,1))))) * (INDEX('IR data'!$D$4:$D$61,MATCH(A652,'IR data'!$C$4:$C$61,1))-(INDEX('IR data'!$D$4:$D$61,MATCH(A652,'IR data'!$C$4:$C$61,1)+1)))))</f>
        <v>0.92398728379787232</v>
      </c>
      <c r="C652" s="30">
        <f t="shared" si="62"/>
        <v>1.9309571736352275E-2</v>
      </c>
      <c r="D652" s="45">
        <f t="shared" si="63"/>
        <v>46000</v>
      </c>
      <c r="E652" s="14" cm="1">
        <f t="array" ref="E652">_xlfn.IFNA(INDEX('IR data'!$I$4:$I$61,MATCH(D652,'IR data'!$H$4:$H$61,0)),((INDEX('IR data'!$I$4:$I$61,MATCH(D652,'IR data'!$H$4:$H$61,1)))-((D652-(INDEX('IR data'!$H$4:$H$61,MATCH(D652,'IR data'!$H$4:$H$61,1))))/((INDEX('IR data'!$H$4:$H$61,MATCH(D652,'IR data'!$H$4:$H$61,1)+1)-INDEX('IR data'!$H$4:$H$61,MATCH(D652,'IR data'!$H$4:$H$61,1))))) * (INDEX('IR data'!$I$4:$I$61,MATCH(D652,'IR data'!$H$4:$H$61,1))-(INDEX('IR data'!$I$4:$I$61,MATCH(D652,'IR data'!$H$4:$H$61,1)+1)))))</f>
        <v>0.91758365611111115</v>
      </c>
      <c r="F652" s="30">
        <f t="shared" si="64"/>
        <v>2.1008213687337064E-2</v>
      </c>
      <c r="G652" s="45">
        <f t="shared" si="60"/>
        <v>46034</v>
      </c>
      <c r="H652" s="14" cm="1">
        <f t="array" ref="H652">_xlfn.IFNA(INDEX('IR data'!$N$4:$N$61,MATCH(G652,'IR data'!$M$4:$M$61,0)),((INDEX('IR data'!$N$4:$N$61,MATCH(G652,'IR data'!$M$4:$M$61,1)))-((G652-(INDEX('IR data'!$M$4:$M$61,MATCH(G652,'IR data'!$M$4:$M$61,1))))/((INDEX('IR data'!$M$4:$M$61,MATCH(G652,'IR data'!$M$4:$M$61,1)+1)-INDEX('IR data'!$M$4:$M$61,MATCH(G652,'IR data'!$M$4:$M$61,1))))) * (INDEX('IR data'!$N$4:$N$61,MATCH(G652,'IR data'!$M$4:$M$61,1))-(INDEX('IR data'!$N$4:$N$61,MATCH(G652,'IR data'!$M$4:$M$61,1)+1)))))</f>
        <v>0.91677390215384613</v>
      </c>
      <c r="I652" s="44">
        <f t="shared" si="65"/>
        <v>2.1223854812097726E-2</v>
      </c>
    </row>
    <row r="653" spans="1:9" x14ac:dyDescent="0.25">
      <c r="A653" s="45">
        <f t="shared" si="61"/>
        <v>45941</v>
      </c>
      <c r="B653" s="14" cm="1">
        <f t="array" ref="B653">_xlfn.IFNA(INDEX('IR data'!$D$4:$D$61,MATCH(A653,'IR data'!$C$4:$C$61,0)),((INDEX('IR data'!$D$4:$D$61,MATCH(A653,'IR data'!$C$4:$C$61,1)))-((A653-(INDEX('IR data'!$C$4:$C$61,MATCH(A653,'IR data'!$C$4:$C$61,1))))/((INDEX('IR data'!$C$4:$C$61,MATCH(A653,'IR data'!$C$4:$C$61,1)+1)-INDEX('IR data'!$C$4:$C$61,MATCH(A653,'IR data'!$C$4:$C$61,1))))) * (INDEX('IR data'!$D$4:$D$61,MATCH(A653,'IR data'!$C$4:$C$61,1))-(INDEX('IR data'!$D$4:$D$61,MATCH(A653,'IR data'!$C$4:$C$61,1)+1)))))</f>
        <v>0.9239031963404255</v>
      </c>
      <c r="C653" s="30">
        <f t="shared" si="62"/>
        <v>1.9302059378827886E-2</v>
      </c>
      <c r="D653" s="45">
        <f t="shared" si="63"/>
        <v>46001</v>
      </c>
      <c r="E653" s="14" cm="1">
        <f t="array" ref="E653">_xlfn.IFNA(INDEX('IR data'!$I$4:$I$61,MATCH(D653,'IR data'!$H$4:$H$61,0)),((INDEX('IR data'!$I$4:$I$61,MATCH(D653,'IR data'!$H$4:$H$61,1)))-((D653-(INDEX('IR data'!$H$4:$H$61,MATCH(D653,'IR data'!$H$4:$H$61,1))))/((INDEX('IR data'!$H$4:$H$61,MATCH(D653,'IR data'!$H$4:$H$61,1)+1)-INDEX('IR data'!$H$4:$H$61,MATCH(D653,'IR data'!$H$4:$H$61,1))))) * (INDEX('IR data'!$I$4:$I$61,MATCH(D653,'IR data'!$H$4:$H$61,1))-(INDEX('IR data'!$I$4:$I$61,MATCH(D653,'IR data'!$H$4:$H$61,1)+1)))))</f>
        <v>0.91748379133333335</v>
      </c>
      <c r="F653" s="30">
        <f t="shared" si="64"/>
        <v>2.1002436610197767E-2</v>
      </c>
      <c r="G653" s="45">
        <f t="shared" si="60"/>
        <v>46035</v>
      </c>
      <c r="H653" s="14" cm="1">
        <f t="array" ref="H653">_xlfn.IFNA(INDEX('IR data'!$N$4:$N$61,MATCH(G653,'IR data'!$M$4:$M$61,0)),((INDEX('IR data'!$N$4:$N$61,MATCH(G653,'IR data'!$M$4:$M$61,1)))-((G653-(INDEX('IR data'!$M$4:$M$61,MATCH(G653,'IR data'!$M$4:$M$61,1))))/((INDEX('IR data'!$M$4:$M$61,MATCH(G653,'IR data'!$M$4:$M$61,1)+1)-INDEX('IR data'!$M$4:$M$61,MATCH(G653,'IR data'!$M$4:$M$61,1))))) * (INDEX('IR data'!$N$4:$N$61,MATCH(G653,'IR data'!$M$4:$M$61,1))-(INDEX('IR data'!$N$4:$N$61,MATCH(G653,'IR data'!$M$4:$M$61,1)+1)))))</f>
        <v>0.91666891846153853</v>
      </c>
      <c r="I653" s="44">
        <f t="shared" si="65"/>
        <v>2.1219131271308974E-2</v>
      </c>
    </row>
    <row r="654" spans="1:9" x14ac:dyDescent="0.25">
      <c r="A654" s="45">
        <f t="shared" si="61"/>
        <v>45942</v>
      </c>
      <c r="B654" s="14" cm="1">
        <f t="array" ref="B654">_xlfn.IFNA(INDEX('IR data'!$D$4:$D$61,MATCH(A654,'IR data'!$C$4:$C$61,0)),((INDEX('IR data'!$D$4:$D$61,MATCH(A654,'IR data'!$C$4:$C$61,1)))-((A654-(INDEX('IR data'!$C$4:$C$61,MATCH(A654,'IR data'!$C$4:$C$61,1))))/((INDEX('IR data'!$C$4:$C$61,MATCH(A654,'IR data'!$C$4:$C$61,1)+1)-INDEX('IR data'!$C$4:$C$61,MATCH(A654,'IR data'!$C$4:$C$61,1))))) * (INDEX('IR data'!$D$4:$D$61,MATCH(A654,'IR data'!$C$4:$C$61,1))-(INDEX('IR data'!$D$4:$D$61,MATCH(A654,'IR data'!$C$4:$C$61,1)+1)))))</f>
        <v>0.92381910888297869</v>
      </c>
      <c r="C654" s="30">
        <f t="shared" si="62"/>
        <v>1.9294572117741937E-2</v>
      </c>
      <c r="D654" s="45">
        <f t="shared" si="63"/>
        <v>46002</v>
      </c>
      <c r="E654" s="14" cm="1">
        <f t="array" ref="E654">_xlfn.IFNA(INDEX('IR data'!$I$4:$I$61,MATCH(D654,'IR data'!$H$4:$H$61,0)),((INDEX('IR data'!$I$4:$I$61,MATCH(D654,'IR data'!$H$4:$H$61,1)))-((D654-(INDEX('IR data'!$H$4:$H$61,MATCH(D654,'IR data'!$H$4:$H$61,1))))/((INDEX('IR data'!$H$4:$H$61,MATCH(D654,'IR data'!$H$4:$H$61,1)+1)-INDEX('IR data'!$H$4:$H$61,MATCH(D654,'IR data'!$H$4:$H$61,1))))) * (INDEX('IR data'!$I$4:$I$61,MATCH(D654,'IR data'!$H$4:$H$61,1))-(INDEX('IR data'!$I$4:$I$61,MATCH(D654,'IR data'!$H$4:$H$61,1)+1)))))</f>
        <v>0.91738392655555556</v>
      </c>
      <c r="F654" s="30">
        <f t="shared" si="64"/>
        <v>2.0996680166230866E-2</v>
      </c>
      <c r="G654" s="45">
        <f t="shared" si="60"/>
        <v>46036</v>
      </c>
      <c r="H654" s="14" cm="1">
        <f t="array" ref="H654">_xlfn.IFNA(INDEX('IR data'!$N$4:$N$61,MATCH(G654,'IR data'!$M$4:$M$61,0)),((INDEX('IR data'!$N$4:$N$61,MATCH(G654,'IR data'!$M$4:$M$61,1)))-((G654-(INDEX('IR data'!$M$4:$M$61,MATCH(G654,'IR data'!$M$4:$M$61,1))))/((INDEX('IR data'!$M$4:$M$61,MATCH(G654,'IR data'!$M$4:$M$61,1)+1)-INDEX('IR data'!$M$4:$M$61,MATCH(G654,'IR data'!$M$4:$M$61,1))))) * (INDEX('IR data'!$N$4:$N$61,MATCH(G654,'IR data'!$M$4:$M$61,1))-(INDEX('IR data'!$N$4:$N$61,MATCH(G654,'IR data'!$M$4:$M$61,1)+1)))))</f>
        <v>0.91656393476923081</v>
      </c>
      <c r="I654" s="44">
        <f t="shared" si="65"/>
        <v>2.1214425436018865E-2</v>
      </c>
    </row>
    <row r="655" spans="1:9" x14ac:dyDescent="0.25">
      <c r="A655" s="45">
        <f t="shared" si="61"/>
        <v>45943</v>
      </c>
      <c r="B655" s="14" cm="1">
        <f t="array" ref="B655">_xlfn.IFNA(INDEX('IR data'!$D$4:$D$61,MATCH(A655,'IR data'!$C$4:$C$61,0)),((INDEX('IR data'!$D$4:$D$61,MATCH(A655,'IR data'!$C$4:$C$61,1)))-((A655-(INDEX('IR data'!$C$4:$C$61,MATCH(A655,'IR data'!$C$4:$C$61,1))))/((INDEX('IR data'!$C$4:$C$61,MATCH(A655,'IR data'!$C$4:$C$61,1)+1)-INDEX('IR data'!$C$4:$C$61,MATCH(A655,'IR data'!$C$4:$C$61,1))))) * (INDEX('IR data'!$D$4:$D$61,MATCH(A655,'IR data'!$C$4:$C$61,1))-(INDEX('IR data'!$D$4:$D$61,MATCH(A655,'IR data'!$C$4:$C$61,1)+1)))))</f>
        <v>0.92373502142553188</v>
      </c>
      <c r="C655" s="30">
        <f t="shared" si="62"/>
        <v>1.9287109837986652E-2</v>
      </c>
      <c r="D655" s="45">
        <f t="shared" si="63"/>
        <v>46003</v>
      </c>
      <c r="E655" s="14" cm="1">
        <f t="array" ref="E655">_xlfn.IFNA(INDEX('IR data'!$I$4:$I$61,MATCH(D655,'IR data'!$H$4:$H$61,0)),((INDEX('IR data'!$I$4:$I$61,MATCH(D655,'IR data'!$H$4:$H$61,1)))-((D655-(INDEX('IR data'!$H$4:$H$61,MATCH(D655,'IR data'!$H$4:$H$61,1))))/((INDEX('IR data'!$H$4:$H$61,MATCH(D655,'IR data'!$H$4:$H$61,1)+1)-INDEX('IR data'!$H$4:$H$61,MATCH(D655,'IR data'!$H$4:$H$61,1))))) * (INDEX('IR data'!$I$4:$I$61,MATCH(D655,'IR data'!$H$4:$H$61,1))-(INDEX('IR data'!$I$4:$I$61,MATCH(D655,'IR data'!$H$4:$H$61,1)+1)))))</f>
        <v>0.91728406177777777</v>
      </c>
      <c r="F655" s="30">
        <f t="shared" si="64"/>
        <v>2.0990944261125594E-2</v>
      </c>
      <c r="G655" s="45">
        <f t="shared" si="60"/>
        <v>46037</v>
      </c>
      <c r="H655" s="14" cm="1">
        <f t="array" ref="H655">_xlfn.IFNA(INDEX('IR data'!$N$4:$N$61,MATCH(G655,'IR data'!$M$4:$M$61,0)),((INDEX('IR data'!$N$4:$N$61,MATCH(G655,'IR data'!$M$4:$M$61,1)))-((G655-(INDEX('IR data'!$M$4:$M$61,MATCH(G655,'IR data'!$M$4:$M$61,1))))/((INDEX('IR data'!$M$4:$M$61,MATCH(G655,'IR data'!$M$4:$M$61,1)+1)-INDEX('IR data'!$M$4:$M$61,MATCH(G655,'IR data'!$M$4:$M$61,1))))) * (INDEX('IR data'!$N$4:$N$61,MATCH(G655,'IR data'!$M$4:$M$61,1))-(INDEX('IR data'!$N$4:$N$61,MATCH(G655,'IR data'!$M$4:$M$61,1)+1)))))</f>
        <v>0.9164589510769231</v>
      </c>
      <c r="I655" s="44">
        <f t="shared" si="65"/>
        <v>2.1209737225490917E-2</v>
      </c>
    </row>
    <row r="656" spans="1:9" x14ac:dyDescent="0.25">
      <c r="A656" s="45">
        <f t="shared" si="61"/>
        <v>45944</v>
      </c>
      <c r="B656" s="14" cm="1">
        <f t="array" ref="B656">_xlfn.IFNA(INDEX('IR data'!$D$4:$D$61,MATCH(A656,'IR data'!$C$4:$C$61,0)),((INDEX('IR data'!$D$4:$D$61,MATCH(A656,'IR data'!$C$4:$C$61,1)))-((A656-(INDEX('IR data'!$C$4:$C$61,MATCH(A656,'IR data'!$C$4:$C$61,1))))/((INDEX('IR data'!$C$4:$C$61,MATCH(A656,'IR data'!$C$4:$C$61,1)+1)-INDEX('IR data'!$C$4:$C$61,MATCH(A656,'IR data'!$C$4:$C$61,1))))) * (INDEX('IR data'!$D$4:$D$61,MATCH(A656,'IR data'!$C$4:$C$61,1))-(INDEX('IR data'!$D$4:$D$61,MATCH(A656,'IR data'!$C$4:$C$61,1)+1)))))</f>
        <v>0.92365093396808506</v>
      </c>
      <c r="C656" s="30">
        <f t="shared" si="62"/>
        <v>1.9279672425159457E-2</v>
      </c>
      <c r="D656" s="45">
        <f t="shared" si="63"/>
        <v>46004</v>
      </c>
      <c r="E656" s="14" cm="1">
        <f t="array" ref="E656">_xlfn.IFNA(INDEX('IR data'!$I$4:$I$61,MATCH(D656,'IR data'!$H$4:$H$61,0)),((INDEX('IR data'!$I$4:$I$61,MATCH(D656,'IR data'!$H$4:$H$61,1)))-((D656-(INDEX('IR data'!$H$4:$H$61,MATCH(D656,'IR data'!$H$4:$H$61,1))))/((INDEX('IR data'!$H$4:$H$61,MATCH(D656,'IR data'!$H$4:$H$61,1)+1)-INDEX('IR data'!$H$4:$H$61,MATCH(D656,'IR data'!$H$4:$H$61,1))))) * (INDEX('IR data'!$I$4:$I$61,MATCH(D656,'IR data'!$H$4:$H$61,1))-(INDEX('IR data'!$I$4:$I$61,MATCH(D656,'IR data'!$H$4:$H$61,1)+1)))))</f>
        <v>0.91718419699999998</v>
      </c>
      <c r="F656" s="30">
        <f t="shared" si="64"/>
        <v>2.0985228801149107E-2</v>
      </c>
      <c r="G656" s="45">
        <f t="shared" si="60"/>
        <v>46038</v>
      </c>
      <c r="H656" s="14" cm="1">
        <f t="array" ref="H656">_xlfn.IFNA(INDEX('IR data'!$N$4:$N$61,MATCH(G656,'IR data'!$M$4:$M$61,0)),((INDEX('IR data'!$N$4:$N$61,MATCH(G656,'IR data'!$M$4:$M$61,1)))-((G656-(INDEX('IR data'!$M$4:$M$61,MATCH(G656,'IR data'!$M$4:$M$61,1))))/((INDEX('IR data'!$M$4:$M$61,MATCH(G656,'IR data'!$M$4:$M$61,1)+1)-INDEX('IR data'!$M$4:$M$61,MATCH(G656,'IR data'!$M$4:$M$61,1))))) * (INDEX('IR data'!$N$4:$N$61,MATCH(G656,'IR data'!$M$4:$M$61,1))-(INDEX('IR data'!$N$4:$N$61,MATCH(G656,'IR data'!$M$4:$M$61,1)+1)))))</f>
        <v>0.91635396738461539</v>
      </c>
      <c r="I656" s="44">
        <f t="shared" si="65"/>
        <v>2.1205066559483492E-2</v>
      </c>
    </row>
    <row r="657" spans="1:9" x14ac:dyDescent="0.25">
      <c r="A657" s="45">
        <f t="shared" si="61"/>
        <v>45945</v>
      </c>
      <c r="B657" s="14" cm="1">
        <f t="array" ref="B657">_xlfn.IFNA(INDEX('IR data'!$D$4:$D$61,MATCH(A657,'IR data'!$C$4:$C$61,0)),((INDEX('IR data'!$D$4:$D$61,MATCH(A657,'IR data'!$C$4:$C$61,1)))-((A657-(INDEX('IR data'!$C$4:$C$61,MATCH(A657,'IR data'!$C$4:$C$61,1))))/((INDEX('IR data'!$C$4:$C$61,MATCH(A657,'IR data'!$C$4:$C$61,1)+1)-INDEX('IR data'!$C$4:$C$61,MATCH(A657,'IR data'!$C$4:$C$61,1))))) * (INDEX('IR data'!$D$4:$D$61,MATCH(A657,'IR data'!$C$4:$C$61,1))-(INDEX('IR data'!$D$4:$D$61,MATCH(A657,'IR data'!$C$4:$C$61,1)+1)))))</f>
        <v>0.92356684651063836</v>
      </c>
      <c r="C657" s="30">
        <f t="shared" si="62"/>
        <v>1.9272259765557562E-2</v>
      </c>
      <c r="D657" s="45">
        <f t="shared" si="63"/>
        <v>46005</v>
      </c>
      <c r="E657" s="14" cm="1">
        <f t="array" ref="E657">_xlfn.IFNA(INDEX('IR data'!$I$4:$I$61,MATCH(D657,'IR data'!$H$4:$H$61,0)),((INDEX('IR data'!$I$4:$I$61,MATCH(D657,'IR data'!$H$4:$H$61,1)))-((D657-(INDEX('IR data'!$H$4:$H$61,MATCH(D657,'IR data'!$H$4:$H$61,1))))/((INDEX('IR data'!$H$4:$H$61,MATCH(D657,'IR data'!$H$4:$H$61,1)+1)-INDEX('IR data'!$H$4:$H$61,MATCH(D657,'IR data'!$H$4:$H$61,1))))) * (INDEX('IR data'!$I$4:$I$61,MATCH(D657,'IR data'!$H$4:$H$61,1))-(INDEX('IR data'!$I$4:$I$61,MATCH(D657,'IR data'!$H$4:$H$61,1)+1)))))</f>
        <v>0.91708433222222219</v>
      </c>
      <c r="F657" s="30">
        <f t="shared" si="64"/>
        <v>2.0979533693142056E-2</v>
      </c>
      <c r="G657" s="45">
        <f t="shared" si="60"/>
        <v>46039</v>
      </c>
      <c r="H657" s="14" cm="1">
        <f t="array" ref="H657">_xlfn.IFNA(INDEX('IR data'!$N$4:$N$61,MATCH(G657,'IR data'!$M$4:$M$61,0)),((INDEX('IR data'!$N$4:$N$61,MATCH(G657,'IR data'!$M$4:$M$61,1)))-((G657-(INDEX('IR data'!$M$4:$M$61,MATCH(G657,'IR data'!$M$4:$M$61,1))))/((INDEX('IR data'!$M$4:$M$61,MATCH(G657,'IR data'!$M$4:$M$61,1)+1)-INDEX('IR data'!$M$4:$M$61,MATCH(G657,'IR data'!$M$4:$M$61,1))))) * (INDEX('IR data'!$N$4:$N$61,MATCH(G657,'IR data'!$M$4:$M$61,1))-(INDEX('IR data'!$N$4:$N$61,MATCH(G657,'IR data'!$M$4:$M$61,1)+1)))))</f>
        <v>0.91624898369230767</v>
      </c>
      <c r="I657" s="44">
        <f t="shared" si="65"/>
        <v>2.1200413358245983E-2</v>
      </c>
    </row>
    <row r="658" spans="1:9" x14ac:dyDescent="0.25">
      <c r="A658" s="45">
        <f t="shared" si="61"/>
        <v>45946</v>
      </c>
      <c r="B658" s="14" cm="1">
        <f t="array" ref="B658">_xlfn.IFNA(INDEX('IR data'!$D$4:$D$61,MATCH(A658,'IR data'!$C$4:$C$61,0)),((INDEX('IR data'!$D$4:$D$61,MATCH(A658,'IR data'!$C$4:$C$61,1)))-((A658-(INDEX('IR data'!$C$4:$C$61,MATCH(A658,'IR data'!$C$4:$C$61,1))))/((INDEX('IR data'!$C$4:$C$61,MATCH(A658,'IR data'!$C$4:$C$61,1)+1)-INDEX('IR data'!$C$4:$C$61,MATCH(A658,'IR data'!$C$4:$C$61,1))))) * (INDEX('IR data'!$D$4:$D$61,MATCH(A658,'IR data'!$C$4:$C$61,1))-(INDEX('IR data'!$D$4:$D$61,MATCH(A658,'IR data'!$C$4:$C$61,1)+1)))))</f>
        <v>0.92348275905319155</v>
      </c>
      <c r="C658" s="30">
        <f t="shared" si="62"/>
        <v>1.9264871746172717E-2</v>
      </c>
      <c r="D658" s="45">
        <f t="shared" si="63"/>
        <v>46006</v>
      </c>
      <c r="E658" s="14" cm="1">
        <f t="array" ref="E658">_xlfn.IFNA(INDEX('IR data'!$I$4:$I$61,MATCH(D658,'IR data'!$H$4:$H$61,0)),((INDEX('IR data'!$I$4:$I$61,MATCH(D658,'IR data'!$H$4:$H$61,1)))-((D658-(INDEX('IR data'!$H$4:$H$61,MATCH(D658,'IR data'!$H$4:$H$61,1))))/((INDEX('IR data'!$H$4:$H$61,MATCH(D658,'IR data'!$H$4:$H$61,1)+1)-INDEX('IR data'!$H$4:$H$61,MATCH(D658,'IR data'!$H$4:$H$61,1))))) * (INDEX('IR data'!$I$4:$I$61,MATCH(D658,'IR data'!$H$4:$H$61,1))-(INDEX('IR data'!$I$4:$I$61,MATCH(D658,'IR data'!$H$4:$H$61,1)+1)))))</f>
        <v>0.9169844674444444</v>
      </c>
      <c r="F658" s="30">
        <f t="shared" si="64"/>
        <v>2.0973858844514196E-2</v>
      </c>
      <c r="G658" s="45">
        <f t="shared" si="60"/>
        <v>46040</v>
      </c>
      <c r="H658" s="14" cm="1">
        <f t="array" ref="H658">_xlfn.IFNA(INDEX('IR data'!$N$4:$N$61,MATCH(G658,'IR data'!$M$4:$M$61,0)),((INDEX('IR data'!$N$4:$N$61,MATCH(G658,'IR data'!$M$4:$M$61,1)))-((G658-(INDEX('IR data'!$M$4:$M$61,MATCH(G658,'IR data'!$M$4:$M$61,1))))/((INDEX('IR data'!$M$4:$M$61,MATCH(G658,'IR data'!$M$4:$M$61,1)+1)-INDEX('IR data'!$M$4:$M$61,MATCH(G658,'IR data'!$M$4:$M$61,1))))) * (INDEX('IR data'!$N$4:$N$61,MATCH(G658,'IR data'!$M$4:$M$61,1))-(INDEX('IR data'!$N$4:$N$61,MATCH(G658,'IR data'!$M$4:$M$61,1)+1)))))</f>
        <v>0.91614400000000007</v>
      </c>
      <c r="I658" s="44">
        <f t="shared" si="65"/>
        <v>2.1195777542515011E-2</v>
      </c>
    </row>
    <row r="659" spans="1:9" x14ac:dyDescent="0.25">
      <c r="A659" s="45">
        <f t="shared" si="61"/>
        <v>45947</v>
      </c>
      <c r="B659" s="14" cm="1">
        <f t="array" ref="B659">_xlfn.IFNA(INDEX('IR data'!$D$4:$D$61,MATCH(A659,'IR data'!$C$4:$C$61,0)),((INDEX('IR data'!$D$4:$D$61,MATCH(A659,'IR data'!$C$4:$C$61,1)))-((A659-(INDEX('IR data'!$C$4:$C$61,MATCH(A659,'IR data'!$C$4:$C$61,1))))/((INDEX('IR data'!$C$4:$C$61,MATCH(A659,'IR data'!$C$4:$C$61,1)+1)-INDEX('IR data'!$C$4:$C$61,MATCH(A659,'IR data'!$C$4:$C$61,1))))) * (INDEX('IR data'!$D$4:$D$61,MATCH(A659,'IR data'!$C$4:$C$61,1))-(INDEX('IR data'!$D$4:$D$61,MATCH(A659,'IR data'!$C$4:$C$61,1)+1)))))</f>
        <v>0.92339867159574474</v>
      </c>
      <c r="C659" s="30">
        <f t="shared" si="62"/>
        <v>1.9257508254685779E-2</v>
      </c>
      <c r="D659" s="45">
        <f t="shared" si="63"/>
        <v>46007</v>
      </c>
      <c r="E659" s="14" cm="1">
        <f t="array" ref="E659">_xlfn.IFNA(INDEX('IR data'!$I$4:$I$61,MATCH(D659,'IR data'!$H$4:$H$61,0)),((INDEX('IR data'!$I$4:$I$61,MATCH(D659,'IR data'!$H$4:$H$61,1)))-((D659-(INDEX('IR data'!$H$4:$H$61,MATCH(D659,'IR data'!$H$4:$H$61,1))))/((INDEX('IR data'!$H$4:$H$61,MATCH(D659,'IR data'!$H$4:$H$61,1)+1)-INDEX('IR data'!$H$4:$H$61,MATCH(D659,'IR data'!$H$4:$H$61,1))))) * (INDEX('IR data'!$I$4:$I$61,MATCH(D659,'IR data'!$H$4:$H$61,1))-(INDEX('IR data'!$I$4:$I$61,MATCH(D659,'IR data'!$H$4:$H$61,1)+1)))))</f>
        <v>0.9168846026666666</v>
      </c>
      <c r="F659" s="30">
        <f t="shared" si="64"/>
        <v>2.0968204163240082E-2</v>
      </c>
      <c r="G659" s="45">
        <f t="shared" si="60"/>
        <v>46041</v>
      </c>
      <c r="H659" s="14" cm="1">
        <f t="array" ref="H659">_xlfn.IFNA(INDEX('IR data'!$N$4:$N$61,MATCH(G659,'IR data'!$M$4:$M$61,0)),((INDEX('IR data'!$N$4:$N$61,MATCH(G659,'IR data'!$M$4:$M$61,1)))-((G659-(INDEX('IR data'!$M$4:$M$61,MATCH(G659,'IR data'!$M$4:$M$61,1))))/((INDEX('IR data'!$M$4:$M$61,MATCH(G659,'IR data'!$M$4:$M$61,1)+1)-INDEX('IR data'!$M$4:$M$61,MATCH(G659,'IR data'!$M$4:$M$61,1))))) * (INDEX('IR data'!$N$4:$N$61,MATCH(G659,'IR data'!$M$4:$M$61,1))-(INDEX('IR data'!$N$4:$N$61,MATCH(G659,'IR data'!$M$4:$M$61,1)+1)))))</f>
        <v>0.91603901630769236</v>
      </c>
      <c r="I659" s="44">
        <f t="shared" si="65"/>
        <v>2.1191159033510869E-2</v>
      </c>
    </row>
    <row r="660" spans="1:9" x14ac:dyDescent="0.25">
      <c r="A660" s="45">
        <f t="shared" si="61"/>
        <v>45948</v>
      </c>
      <c r="B660" s="14" cm="1">
        <f t="array" ref="B660">_xlfn.IFNA(INDEX('IR data'!$D$4:$D$61,MATCH(A660,'IR data'!$C$4:$C$61,0)),((INDEX('IR data'!$D$4:$D$61,MATCH(A660,'IR data'!$C$4:$C$61,1)))-((A660-(INDEX('IR data'!$C$4:$C$61,MATCH(A660,'IR data'!$C$4:$C$61,1))))/((INDEX('IR data'!$C$4:$C$61,MATCH(A660,'IR data'!$C$4:$C$61,1)+1)-INDEX('IR data'!$C$4:$C$61,MATCH(A660,'IR data'!$C$4:$C$61,1))))) * (INDEX('IR data'!$D$4:$D$61,MATCH(A660,'IR data'!$C$4:$C$61,1))-(INDEX('IR data'!$D$4:$D$61,MATCH(A660,'IR data'!$C$4:$C$61,1)+1)))))</f>
        <v>0.92331458413829792</v>
      </c>
      <c r="C660" s="30">
        <f t="shared" si="62"/>
        <v>1.9250169179461558E-2</v>
      </c>
      <c r="D660" s="45">
        <f t="shared" si="63"/>
        <v>46008</v>
      </c>
      <c r="E660" s="14" cm="1">
        <f t="array" ref="E660">_xlfn.IFNA(INDEX('IR data'!$I$4:$I$61,MATCH(D660,'IR data'!$H$4:$H$61,0)),((INDEX('IR data'!$I$4:$I$61,MATCH(D660,'IR data'!$H$4:$H$61,1)))-((D660-(INDEX('IR data'!$H$4:$H$61,MATCH(D660,'IR data'!$H$4:$H$61,1))))/((INDEX('IR data'!$H$4:$H$61,MATCH(D660,'IR data'!$H$4:$H$61,1)+1)-INDEX('IR data'!$H$4:$H$61,MATCH(D660,'IR data'!$H$4:$H$61,1))))) * (INDEX('IR data'!$I$4:$I$61,MATCH(D660,'IR data'!$H$4:$H$61,1))-(INDEX('IR data'!$I$4:$I$61,MATCH(D660,'IR data'!$H$4:$H$61,1)+1)))))</f>
        <v>0.91678473788888892</v>
      </c>
      <c r="F660" s="30">
        <f t="shared" si="64"/>
        <v>2.0962569557854697E-2</v>
      </c>
      <c r="G660" s="45">
        <f t="shared" si="60"/>
        <v>46042</v>
      </c>
      <c r="H660" s="14" cm="1">
        <f t="array" ref="H660">_xlfn.IFNA(INDEX('IR data'!$N$4:$N$61,MATCH(G660,'IR data'!$M$4:$M$61,0)),((INDEX('IR data'!$N$4:$N$61,MATCH(G660,'IR data'!$M$4:$M$61,1)))-((G660-(INDEX('IR data'!$M$4:$M$61,MATCH(G660,'IR data'!$M$4:$M$61,1))))/((INDEX('IR data'!$M$4:$M$61,MATCH(G660,'IR data'!$M$4:$M$61,1)+1)-INDEX('IR data'!$M$4:$M$61,MATCH(G660,'IR data'!$M$4:$M$61,1))))) * (INDEX('IR data'!$N$4:$N$61,MATCH(G660,'IR data'!$M$4:$M$61,1))-(INDEX('IR data'!$N$4:$N$61,MATCH(G660,'IR data'!$M$4:$M$61,1)+1)))))</f>
        <v>0.91593403261538464</v>
      </c>
      <c r="I660" s="44">
        <f t="shared" si="65"/>
        <v>2.1186557752933627E-2</v>
      </c>
    </row>
    <row r="661" spans="1:9" x14ac:dyDescent="0.25">
      <c r="A661" s="45">
        <f t="shared" si="61"/>
        <v>45949</v>
      </c>
      <c r="B661" s="14" cm="1">
        <f t="array" ref="B661">_xlfn.IFNA(INDEX('IR data'!$D$4:$D$61,MATCH(A661,'IR data'!$C$4:$C$61,0)),((INDEX('IR data'!$D$4:$D$61,MATCH(A661,'IR data'!$C$4:$C$61,1)))-((A661-(INDEX('IR data'!$C$4:$C$61,MATCH(A661,'IR data'!$C$4:$C$61,1))))/((INDEX('IR data'!$C$4:$C$61,MATCH(A661,'IR data'!$C$4:$C$61,1)+1)-INDEX('IR data'!$C$4:$C$61,MATCH(A661,'IR data'!$C$4:$C$61,1))))) * (INDEX('IR data'!$D$4:$D$61,MATCH(A661,'IR data'!$C$4:$C$61,1))-(INDEX('IR data'!$D$4:$D$61,MATCH(A661,'IR data'!$C$4:$C$61,1)+1)))))</f>
        <v>0.92323049668085111</v>
      </c>
      <c r="C661" s="30">
        <f t="shared" si="62"/>
        <v>1.924285440954359E-2</v>
      </c>
      <c r="D661" s="45">
        <f t="shared" si="63"/>
        <v>46009</v>
      </c>
      <c r="E661" s="14" cm="1">
        <f t="array" ref="E661">_xlfn.IFNA(INDEX('IR data'!$I$4:$I$61,MATCH(D661,'IR data'!$H$4:$H$61,0)),((INDEX('IR data'!$I$4:$I$61,MATCH(D661,'IR data'!$H$4:$H$61,1)))-((D661-(INDEX('IR data'!$H$4:$H$61,MATCH(D661,'IR data'!$H$4:$H$61,1))))/((INDEX('IR data'!$H$4:$H$61,MATCH(D661,'IR data'!$H$4:$H$61,1)+1)-INDEX('IR data'!$H$4:$H$61,MATCH(D661,'IR data'!$H$4:$H$61,1))))) * (INDEX('IR data'!$I$4:$I$61,MATCH(D661,'IR data'!$H$4:$H$61,1))-(INDEX('IR data'!$I$4:$I$61,MATCH(D661,'IR data'!$H$4:$H$61,1)+1)))))</f>
        <v>0.91668487311111113</v>
      </c>
      <c r="F661" s="30">
        <f t="shared" si="64"/>
        <v>2.0956954937449347E-2</v>
      </c>
      <c r="G661" s="45">
        <f t="shared" si="60"/>
        <v>46043</v>
      </c>
      <c r="H661" s="14" cm="1">
        <f t="array" ref="H661">_xlfn.IFNA(INDEX('IR data'!$N$4:$N$61,MATCH(G661,'IR data'!$M$4:$M$61,0)),((INDEX('IR data'!$N$4:$N$61,MATCH(G661,'IR data'!$M$4:$M$61,1)))-((G661-(INDEX('IR data'!$M$4:$M$61,MATCH(G661,'IR data'!$M$4:$M$61,1))))/((INDEX('IR data'!$M$4:$M$61,MATCH(G661,'IR data'!$M$4:$M$61,1)+1)-INDEX('IR data'!$M$4:$M$61,MATCH(G661,'IR data'!$M$4:$M$61,1))))) * (INDEX('IR data'!$N$4:$N$61,MATCH(G661,'IR data'!$M$4:$M$61,1))-(INDEX('IR data'!$N$4:$N$61,MATCH(G661,'IR data'!$M$4:$M$61,1)+1)))))</f>
        <v>0.91582904892307693</v>
      </c>
      <c r="I661" s="44">
        <f t="shared" si="65"/>
        <v>2.1181973622959639E-2</v>
      </c>
    </row>
    <row r="662" spans="1:9" x14ac:dyDescent="0.25">
      <c r="A662" s="45">
        <f t="shared" si="61"/>
        <v>45950</v>
      </c>
      <c r="B662" s="14" cm="1">
        <f t="array" ref="B662">_xlfn.IFNA(INDEX('IR data'!$D$4:$D$61,MATCH(A662,'IR data'!$C$4:$C$61,0)),((INDEX('IR data'!$D$4:$D$61,MATCH(A662,'IR data'!$C$4:$C$61,1)))-((A662-(INDEX('IR data'!$C$4:$C$61,MATCH(A662,'IR data'!$C$4:$C$61,1))))/((INDEX('IR data'!$C$4:$C$61,MATCH(A662,'IR data'!$C$4:$C$61,1)+1)-INDEX('IR data'!$C$4:$C$61,MATCH(A662,'IR data'!$C$4:$C$61,1))))) * (INDEX('IR data'!$D$4:$D$61,MATCH(A662,'IR data'!$C$4:$C$61,1))-(INDEX('IR data'!$D$4:$D$61,MATCH(A662,'IR data'!$C$4:$C$61,1)+1)))))</f>
        <v>0.9231464092234043</v>
      </c>
      <c r="C662" s="30">
        <f t="shared" si="62"/>
        <v>1.9235563834648993E-2</v>
      </c>
      <c r="D662" s="45">
        <f t="shared" si="63"/>
        <v>46010</v>
      </c>
      <c r="E662" s="14" cm="1">
        <f t="array" ref="E662">_xlfn.IFNA(INDEX('IR data'!$I$4:$I$61,MATCH(D662,'IR data'!$H$4:$H$61,0)),((INDEX('IR data'!$I$4:$I$61,MATCH(D662,'IR data'!$H$4:$H$61,1)))-((D662-(INDEX('IR data'!$H$4:$H$61,MATCH(D662,'IR data'!$H$4:$H$61,1))))/((INDEX('IR data'!$H$4:$H$61,MATCH(D662,'IR data'!$H$4:$H$61,1)+1)-INDEX('IR data'!$H$4:$H$61,MATCH(D662,'IR data'!$H$4:$H$61,1))))) * (INDEX('IR data'!$I$4:$I$61,MATCH(D662,'IR data'!$H$4:$H$61,1))-(INDEX('IR data'!$I$4:$I$61,MATCH(D662,'IR data'!$H$4:$H$61,1)+1)))))</f>
        <v>0.91658500833333334</v>
      </c>
      <c r="F662" s="30">
        <f t="shared" si="64"/>
        <v>2.0951360211667245E-2</v>
      </c>
      <c r="G662" s="45">
        <f t="shared" si="60"/>
        <v>46044</v>
      </c>
      <c r="H662" s="14" cm="1">
        <f t="array" ref="H662">_xlfn.IFNA(INDEX('IR data'!$N$4:$N$61,MATCH(G662,'IR data'!$M$4:$M$61,0)),((INDEX('IR data'!$N$4:$N$61,MATCH(G662,'IR data'!$M$4:$M$61,1)))-((G662-(INDEX('IR data'!$M$4:$M$61,MATCH(G662,'IR data'!$M$4:$M$61,1))))/((INDEX('IR data'!$M$4:$M$61,MATCH(G662,'IR data'!$M$4:$M$61,1)+1)-INDEX('IR data'!$M$4:$M$61,MATCH(G662,'IR data'!$M$4:$M$61,1))))) * (INDEX('IR data'!$N$4:$N$61,MATCH(G662,'IR data'!$M$4:$M$61,1))-(INDEX('IR data'!$N$4:$N$61,MATCH(G662,'IR data'!$M$4:$M$61,1)+1)))))</f>
        <v>0.91572406523076921</v>
      </c>
      <c r="I662" s="44">
        <f t="shared" si="65"/>
        <v>2.1177406566237865E-2</v>
      </c>
    </row>
    <row r="663" spans="1:9" x14ac:dyDescent="0.25">
      <c r="A663" s="45">
        <f t="shared" si="61"/>
        <v>45951</v>
      </c>
      <c r="B663" s="14" cm="1">
        <f t="array" ref="B663">_xlfn.IFNA(INDEX('IR data'!$D$4:$D$61,MATCH(A663,'IR data'!$C$4:$C$61,0)),((INDEX('IR data'!$D$4:$D$61,MATCH(A663,'IR data'!$C$4:$C$61,1)))-((A663-(INDEX('IR data'!$C$4:$C$61,MATCH(A663,'IR data'!$C$4:$C$61,1))))/((INDEX('IR data'!$C$4:$C$61,MATCH(A663,'IR data'!$C$4:$C$61,1)+1)-INDEX('IR data'!$C$4:$C$61,MATCH(A663,'IR data'!$C$4:$C$61,1))))) * (INDEX('IR data'!$D$4:$D$61,MATCH(A663,'IR data'!$C$4:$C$61,1))-(INDEX('IR data'!$D$4:$D$61,MATCH(A663,'IR data'!$C$4:$C$61,1)+1)))))</f>
        <v>0.92306232176595748</v>
      </c>
      <c r="C663" s="30">
        <f t="shared" si="62"/>
        <v>1.9228297345163382E-2</v>
      </c>
      <c r="D663" s="45">
        <f t="shared" si="63"/>
        <v>46011</v>
      </c>
      <c r="E663" s="14" cm="1">
        <f t="array" ref="E663">_xlfn.IFNA(INDEX('IR data'!$I$4:$I$61,MATCH(D663,'IR data'!$H$4:$H$61,0)),((INDEX('IR data'!$I$4:$I$61,MATCH(D663,'IR data'!$H$4:$H$61,1)))-((D663-(INDEX('IR data'!$H$4:$H$61,MATCH(D663,'IR data'!$H$4:$H$61,1))))/((INDEX('IR data'!$H$4:$H$61,MATCH(D663,'IR data'!$H$4:$H$61,1)+1)-INDEX('IR data'!$H$4:$H$61,MATCH(D663,'IR data'!$H$4:$H$61,1))))) * (INDEX('IR data'!$I$4:$I$61,MATCH(D663,'IR data'!$H$4:$H$61,1))-(INDEX('IR data'!$I$4:$I$61,MATCH(D663,'IR data'!$H$4:$H$61,1)+1)))))</f>
        <v>0.91648514355555555</v>
      </c>
      <c r="F663" s="30">
        <f t="shared" si="64"/>
        <v>2.0945785290699463E-2</v>
      </c>
      <c r="G663" s="45">
        <f t="shared" si="60"/>
        <v>46045</v>
      </c>
      <c r="H663" s="14" cm="1">
        <f t="array" ref="H663">_xlfn.IFNA(INDEX('IR data'!$N$4:$N$61,MATCH(G663,'IR data'!$M$4:$M$61,0)),((INDEX('IR data'!$N$4:$N$61,MATCH(G663,'IR data'!$M$4:$M$61,1)))-((G663-(INDEX('IR data'!$M$4:$M$61,MATCH(G663,'IR data'!$M$4:$M$61,1))))/((INDEX('IR data'!$M$4:$M$61,MATCH(G663,'IR data'!$M$4:$M$61,1)+1)-INDEX('IR data'!$M$4:$M$61,MATCH(G663,'IR data'!$M$4:$M$61,1))))) * (INDEX('IR data'!$N$4:$N$61,MATCH(G663,'IR data'!$M$4:$M$61,1))-(INDEX('IR data'!$N$4:$N$61,MATCH(G663,'IR data'!$M$4:$M$61,1)+1)))))</f>
        <v>0.91561908153846161</v>
      </c>
      <c r="I663" s="44">
        <f t="shared" si="65"/>
        <v>2.1172856505886292E-2</v>
      </c>
    </row>
    <row r="664" spans="1:9" x14ac:dyDescent="0.25">
      <c r="A664" s="45">
        <f t="shared" si="61"/>
        <v>45952</v>
      </c>
      <c r="B664" s="14" cm="1">
        <f t="array" ref="B664">_xlfn.IFNA(INDEX('IR data'!$D$4:$D$61,MATCH(A664,'IR data'!$C$4:$C$61,0)),((INDEX('IR data'!$D$4:$D$61,MATCH(A664,'IR data'!$C$4:$C$61,1)))-((A664-(INDEX('IR data'!$C$4:$C$61,MATCH(A664,'IR data'!$C$4:$C$61,1))))/((INDEX('IR data'!$C$4:$C$61,MATCH(A664,'IR data'!$C$4:$C$61,1)+1)-INDEX('IR data'!$C$4:$C$61,MATCH(A664,'IR data'!$C$4:$C$61,1))))) * (INDEX('IR data'!$D$4:$D$61,MATCH(A664,'IR data'!$C$4:$C$61,1))-(INDEX('IR data'!$D$4:$D$61,MATCH(A664,'IR data'!$C$4:$C$61,1)+1)))))</f>
        <v>0.92297823430851067</v>
      </c>
      <c r="C664" s="30">
        <f t="shared" si="62"/>
        <v>1.9221054832135778E-2</v>
      </c>
      <c r="D664" s="45">
        <f t="shared" si="63"/>
        <v>46012</v>
      </c>
      <c r="E664" s="14" cm="1">
        <f t="array" ref="E664">_xlfn.IFNA(INDEX('IR data'!$I$4:$I$61,MATCH(D664,'IR data'!$H$4:$H$61,0)),((INDEX('IR data'!$I$4:$I$61,MATCH(D664,'IR data'!$H$4:$H$61,1)))-((D664-(INDEX('IR data'!$H$4:$H$61,MATCH(D664,'IR data'!$H$4:$H$61,1))))/((INDEX('IR data'!$H$4:$H$61,MATCH(D664,'IR data'!$H$4:$H$61,1)+1)-INDEX('IR data'!$H$4:$H$61,MATCH(D664,'IR data'!$H$4:$H$61,1))))) * (INDEX('IR data'!$I$4:$I$61,MATCH(D664,'IR data'!$H$4:$H$61,1))-(INDEX('IR data'!$I$4:$I$61,MATCH(D664,'IR data'!$H$4:$H$61,1)+1)))))</f>
        <v>0.91638527877777776</v>
      </c>
      <c r="F664" s="30">
        <f t="shared" si="64"/>
        <v>2.0940230085280735E-2</v>
      </c>
      <c r="G664" s="45">
        <f t="shared" si="60"/>
        <v>46046</v>
      </c>
      <c r="H664" s="14" cm="1">
        <f t="array" ref="H664">_xlfn.IFNA(INDEX('IR data'!$N$4:$N$61,MATCH(G664,'IR data'!$M$4:$M$61,0)),((INDEX('IR data'!$N$4:$N$61,MATCH(G664,'IR data'!$M$4:$M$61,1)))-((G664-(INDEX('IR data'!$M$4:$M$61,MATCH(G664,'IR data'!$M$4:$M$61,1))))/((INDEX('IR data'!$M$4:$M$61,MATCH(G664,'IR data'!$M$4:$M$61,1)+1)-INDEX('IR data'!$M$4:$M$61,MATCH(G664,'IR data'!$M$4:$M$61,1))))) * (INDEX('IR data'!$N$4:$N$61,MATCH(G664,'IR data'!$M$4:$M$61,1))-(INDEX('IR data'!$N$4:$N$61,MATCH(G664,'IR data'!$M$4:$M$61,1)+1)))))</f>
        <v>0.9155140978461539</v>
      </c>
      <c r="I664" s="44">
        <f t="shared" si="65"/>
        <v>2.1168323365488479E-2</v>
      </c>
    </row>
    <row r="665" spans="1:9" x14ac:dyDescent="0.25">
      <c r="A665" s="45">
        <f t="shared" si="61"/>
        <v>45953</v>
      </c>
      <c r="B665" s="14" cm="1">
        <f t="array" ref="B665">_xlfn.IFNA(INDEX('IR data'!$D$4:$D$61,MATCH(A665,'IR data'!$C$4:$C$61,0)),((INDEX('IR data'!$D$4:$D$61,MATCH(A665,'IR data'!$C$4:$C$61,1)))-((A665-(INDEX('IR data'!$C$4:$C$61,MATCH(A665,'IR data'!$C$4:$C$61,1))))/((INDEX('IR data'!$C$4:$C$61,MATCH(A665,'IR data'!$C$4:$C$61,1)+1)-INDEX('IR data'!$C$4:$C$61,MATCH(A665,'IR data'!$C$4:$C$61,1))))) * (INDEX('IR data'!$D$4:$D$61,MATCH(A665,'IR data'!$C$4:$C$61,1))-(INDEX('IR data'!$D$4:$D$61,MATCH(A665,'IR data'!$C$4:$C$61,1)+1)))))</f>
        <v>0.92289414685106386</v>
      </c>
      <c r="C665" s="30">
        <f t="shared" si="62"/>
        <v>1.9213836187273618E-2</v>
      </c>
      <c r="D665" s="45">
        <f t="shared" si="63"/>
        <v>46013</v>
      </c>
      <c r="E665" s="14" cm="1">
        <f t="array" ref="E665">_xlfn.IFNA(INDEX('IR data'!$I$4:$I$61,MATCH(D665,'IR data'!$H$4:$H$61,0)),((INDEX('IR data'!$I$4:$I$61,MATCH(D665,'IR data'!$H$4:$H$61,1)))-((D665-(INDEX('IR data'!$H$4:$H$61,MATCH(D665,'IR data'!$H$4:$H$61,1))))/((INDEX('IR data'!$H$4:$H$61,MATCH(D665,'IR data'!$H$4:$H$61,1)+1)-INDEX('IR data'!$H$4:$H$61,MATCH(D665,'IR data'!$H$4:$H$61,1))))) * (INDEX('IR data'!$I$4:$I$61,MATCH(D665,'IR data'!$H$4:$H$61,1))-(INDEX('IR data'!$I$4:$I$61,MATCH(D665,'IR data'!$H$4:$H$61,1)+1)))))</f>
        <v>0.91628541399999996</v>
      </c>
      <c r="F665" s="30">
        <f t="shared" si="64"/>
        <v>2.0934694506685371E-2</v>
      </c>
      <c r="G665" s="45">
        <f t="shared" si="60"/>
        <v>46047</v>
      </c>
      <c r="H665" s="14" cm="1">
        <f t="array" ref="H665">_xlfn.IFNA(INDEX('IR data'!$N$4:$N$61,MATCH(G665,'IR data'!$M$4:$M$61,0)),((INDEX('IR data'!$N$4:$N$61,MATCH(G665,'IR data'!$M$4:$M$61,1)))-((G665-(INDEX('IR data'!$M$4:$M$61,MATCH(G665,'IR data'!$M$4:$M$61,1))))/((INDEX('IR data'!$M$4:$M$61,MATCH(G665,'IR data'!$M$4:$M$61,1)+1)-INDEX('IR data'!$M$4:$M$61,MATCH(G665,'IR data'!$M$4:$M$61,1))))) * (INDEX('IR data'!$N$4:$N$61,MATCH(G665,'IR data'!$M$4:$M$61,1))-(INDEX('IR data'!$N$4:$N$61,MATCH(G665,'IR data'!$M$4:$M$61,1)+1)))))</f>
        <v>0.91540911415384618</v>
      </c>
      <c r="I665" s="44">
        <f t="shared" si="65"/>
        <v>2.1163807069089883E-2</v>
      </c>
    </row>
    <row r="666" spans="1:9" x14ac:dyDescent="0.25">
      <c r="A666" s="45">
        <f t="shared" si="61"/>
        <v>45954</v>
      </c>
      <c r="B666" s="14" cm="1">
        <f t="array" ref="B666">_xlfn.IFNA(INDEX('IR data'!$D$4:$D$61,MATCH(A666,'IR data'!$C$4:$C$61,0)),((INDEX('IR data'!$D$4:$D$61,MATCH(A666,'IR data'!$C$4:$C$61,1)))-((A666-(INDEX('IR data'!$C$4:$C$61,MATCH(A666,'IR data'!$C$4:$C$61,1))))/((INDEX('IR data'!$C$4:$C$61,MATCH(A666,'IR data'!$C$4:$C$61,1)+1)-INDEX('IR data'!$C$4:$C$61,MATCH(A666,'IR data'!$C$4:$C$61,1))))) * (INDEX('IR data'!$D$4:$D$61,MATCH(A666,'IR data'!$C$4:$C$61,1))-(INDEX('IR data'!$D$4:$D$61,MATCH(A666,'IR data'!$C$4:$C$61,1)+1)))))</f>
        <v>0.92281005939361704</v>
      </c>
      <c r="C666" s="30">
        <f t="shared" si="62"/>
        <v>1.9206641302937796E-2</v>
      </c>
      <c r="D666" s="45">
        <f t="shared" si="63"/>
        <v>46014</v>
      </c>
      <c r="E666" s="14" cm="1">
        <f t="array" ref="E666">_xlfn.IFNA(INDEX('IR data'!$I$4:$I$61,MATCH(D666,'IR data'!$H$4:$H$61,0)),((INDEX('IR data'!$I$4:$I$61,MATCH(D666,'IR data'!$H$4:$H$61,1)))-((D666-(INDEX('IR data'!$H$4:$H$61,MATCH(D666,'IR data'!$H$4:$H$61,1))))/((INDEX('IR data'!$H$4:$H$61,MATCH(D666,'IR data'!$H$4:$H$61,1)+1)-INDEX('IR data'!$H$4:$H$61,MATCH(D666,'IR data'!$H$4:$H$61,1))))) * (INDEX('IR data'!$I$4:$I$61,MATCH(D666,'IR data'!$H$4:$H$61,1))-(INDEX('IR data'!$I$4:$I$61,MATCH(D666,'IR data'!$H$4:$H$61,1)+1)))))</f>
        <v>0.91618554922222217</v>
      </c>
      <c r="F666" s="30">
        <f t="shared" si="64"/>
        <v>2.0929178466723191E-2</v>
      </c>
      <c r="G666" s="45">
        <f t="shared" si="60"/>
        <v>46048</v>
      </c>
      <c r="H666" s="14" cm="1">
        <f t="array" ref="H666">_xlfn.IFNA(INDEX('IR data'!$N$4:$N$61,MATCH(G666,'IR data'!$M$4:$M$61,0)),((INDEX('IR data'!$N$4:$N$61,MATCH(G666,'IR data'!$M$4:$M$61,1)))-((G666-(INDEX('IR data'!$M$4:$M$61,MATCH(G666,'IR data'!$M$4:$M$61,1))))/((INDEX('IR data'!$M$4:$M$61,MATCH(G666,'IR data'!$M$4:$M$61,1)+1)-INDEX('IR data'!$M$4:$M$61,MATCH(G666,'IR data'!$M$4:$M$61,1))))) * (INDEX('IR data'!$N$4:$N$61,MATCH(G666,'IR data'!$M$4:$M$61,1))-(INDEX('IR data'!$N$4:$N$61,MATCH(G666,'IR data'!$M$4:$M$61,1)+1)))))</f>
        <v>0.91530413046153847</v>
      </c>
      <c r="I666" s="44">
        <f t="shared" si="65"/>
        <v>2.1159307541194491E-2</v>
      </c>
    </row>
    <row r="667" spans="1:9" x14ac:dyDescent="0.25">
      <c r="A667" s="45">
        <f t="shared" si="61"/>
        <v>45955</v>
      </c>
      <c r="B667" s="14" cm="1">
        <f t="array" ref="B667">_xlfn.IFNA(INDEX('IR data'!$D$4:$D$61,MATCH(A667,'IR data'!$C$4:$C$61,0)),((INDEX('IR data'!$D$4:$D$61,MATCH(A667,'IR data'!$C$4:$C$61,1)))-((A667-(INDEX('IR data'!$C$4:$C$61,MATCH(A667,'IR data'!$C$4:$C$61,1))))/((INDEX('IR data'!$C$4:$C$61,MATCH(A667,'IR data'!$C$4:$C$61,1)+1)-INDEX('IR data'!$C$4:$C$61,MATCH(A667,'IR data'!$C$4:$C$61,1))))) * (INDEX('IR data'!$D$4:$D$61,MATCH(A667,'IR data'!$C$4:$C$61,1))-(INDEX('IR data'!$D$4:$D$61,MATCH(A667,'IR data'!$C$4:$C$61,1)+1)))))</f>
        <v>0.92272597193617023</v>
      </c>
      <c r="C667" s="30">
        <f t="shared" si="62"/>
        <v>1.9199470072137723E-2</v>
      </c>
      <c r="D667" s="45">
        <f t="shared" si="63"/>
        <v>46015</v>
      </c>
      <c r="E667" s="14" cm="1">
        <f t="array" ref="E667">_xlfn.IFNA(INDEX('IR data'!$I$4:$I$61,MATCH(D667,'IR data'!$H$4:$H$61,0)),((INDEX('IR data'!$I$4:$I$61,MATCH(D667,'IR data'!$H$4:$H$61,1)))-((D667-(INDEX('IR data'!$H$4:$H$61,MATCH(D667,'IR data'!$H$4:$H$61,1))))/((INDEX('IR data'!$H$4:$H$61,MATCH(D667,'IR data'!$H$4:$H$61,1)+1)-INDEX('IR data'!$H$4:$H$61,MATCH(D667,'IR data'!$H$4:$H$61,1))))) * (INDEX('IR data'!$I$4:$I$61,MATCH(D667,'IR data'!$H$4:$H$61,1))-(INDEX('IR data'!$I$4:$I$61,MATCH(D667,'IR data'!$H$4:$H$61,1)+1)))))</f>
        <v>0.91608568444444438</v>
      </c>
      <c r="F667" s="30">
        <f t="shared" si="64"/>
        <v>2.0923681877735467E-2</v>
      </c>
      <c r="G667" s="45">
        <f t="shared" si="60"/>
        <v>46049</v>
      </c>
      <c r="H667" s="14" cm="1">
        <f t="array" ref="H667">_xlfn.IFNA(INDEX('IR data'!$N$4:$N$61,MATCH(G667,'IR data'!$M$4:$M$61,0)),((INDEX('IR data'!$N$4:$N$61,MATCH(G667,'IR data'!$M$4:$M$61,1)))-((G667-(INDEX('IR data'!$M$4:$M$61,MATCH(G667,'IR data'!$M$4:$M$61,1))))/((INDEX('IR data'!$M$4:$M$61,MATCH(G667,'IR data'!$M$4:$M$61,1)+1)-INDEX('IR data'!$M$4:$M$61,MATCH(G667,'IR data'!$M$4:$M$61,1))))) * (INDEX('IR data'!$N$4:$N$61,MATCH(G667,'IR data'!$M$4:$M$61,1))-(INDEX('IR data'!$N$4:$N$61,MATCH(G667,'IR data'!$M$4:$M$61,1)+1)))))</f>
        <v>0.91519914676923075</v>
      </c>
      <c r="I667" s="44">
        <f t="shared" si="65"/>
        <v>2.1154824706761319E-2</v>
      </c>
    </row>
    <row r="668" spans="1:9" x14ac:dyDescent="0.25">
      <c r="A668" s="45">
        <f t="shared" si="61"/>
        <v>45956</v>
      </c>
      <c r="B668" s="14" cm="1">
        <f t="array" ref="B668">_xlfn.IFNA(INDEX('IR data'!$D$4:$D$61,MATCH(A668,'IR data'!$C$4:$C$61,0)),((INDEX('IR data'!$D$4:$D$61,MATCH(A668,'IR data'!$C$4:$C$61,1)))-((A668-(INDEX('IR data'!$C$4:$C$61,MATCH(A668,'IR data'!$C$4:$C$61,1))))/((INDEX('IR data'!$C$4:$C$61,MATCH(A668,'IR data'!$C$4:$C$61,1)+1)-INDEX('IR data'!$C$4:$C$61,MATCH(A668,'IR data'!$C$4:$C$61,1))))) * (INDEX('IR data'!$D$4:$D$61,MATCH(A668,'IR data'!$C$4:$C$61,1))-(INDEX('IR data'!$D$4:$D$61,MATCH(A668,'IR data'!$C$4:$C$61,1)+1)))))</f>
        <v>0.92264188447872342</v>
      </c>
      <c r="C668" s="30">
        <f t="shared" si="62"/>
        <v>1.9192322388526473E-2</v>
      </c>
      <c r="D668" s="45">
        <f t="shared" si="63"/>
        <v>46016</v>
      </c>
      <c r="E668" s="14" cm="1">
        <f t="array" ref="E668">_xlfn.IFNA(INDEX('IR data'!$I$4:$I$61,MATCH(D668,'IR data'!$H$4:$H$61,0)),((INDEX('IR data'!$I$4:$I$61,MATCH(D668,'IR data'!$H$4:$H$61,1)))-((D668-(INDEX('IR data'!$H$4:$H$61,MATCH(D668,'IR data'!$H$4:$H$61,1))))/((INDEX('IR data'!$H$4:$H$61,MATCH(D668,'IR data'!$H$4:$H$61,1)+1)-INDEX('IR data'!$H$4:$H$61,MATCH(D668,'IR data'!$H$4:$H$61,1))))) * (INDEX('IR data'!$I$4:$I$61,MATCH(D668,'IR data'!$H$4:$H$61,1))-(INDEX('IR data'!$I$4:$I$61,MATCH(D668,'IR data'!$H$4:$H$61,1)+1)))))</f>
        <v>0.9159858196666667</v>
      </c>
      <c r="F668" s="30">
        <f t="shared" si="64"/>
        <v>2.0918204652590928E-2</v>
      </c>
      <c r="G668" s="45">
        <f t="shared" si="60"/>
        <v>46050</v>
      </c>
      <c r="H668" s="14" cm="1">
        <f t="array" ref="H668">_xlfn.IFNA(INDEX('IR data'!$N$4:$N$61,MATCH(G668,'IR data'!$M$4:$M$61,0)),((INDEX('IR data'!$N$4:$N$61,MATCH(G668,'IR data'!$M$4:$M$61,1)))-((G668-(INDEX('IR data'!$M$4:$M$61,MATCH(G668,'IR data'!$M$4:$M$61,1))))/((INDEX('IR data'!$M$4:$M$61,MATCH(G668,'IR data'!$M$4:$M$61,1)+1)-INDEX('IR data'!$M$4:$M$61,MATCH(G668,'IR data'!$M$4:$M$61,1))))) * (INDEX('IR data'!$N$4:$N$61,MATCH(G668,'IR data'!$M$4:$M$61,1))-(INDEX('IR data'!$N$4:$N$61,MATCH(G668,'IR data'!$M$4:$M$61,1)+1)))))</f>
        <v>0.91509416307692315</v>
      </c>
      <c r="I668" s="44">
        <f t="shared" si="65"/>
        <v>2.1150358491200994E-2</v>
      </c>
    </row>
    <row r="669" spans="1:9" x14ac:dyDescent="0.25">
      <c r="A669" s="45">
        <f t="shared" si="61"/>
        <v>45957</v>
      </c>
      <c r="B669" s="14" cm="1">
        <f t="array" ref="B669">_xlfn.IFNA(INDEX('IR data'!$D$4:$D$61,MATCH(A669,'IR data'!$C$4:$C$61,0)),((INDEX('IR data'!$D$4:$D$61,MATCH(A669,'IR data'!$C$4:$C$61,1)))-((A669-(INDEX('IR data'!$C$4:$C$61,MATCH(A669,'IR data'!$C$4:$C$61,1))))/((INDEX('IR data'!$C$4:$C$61,MATCH(A669,'IR data'!$C$4:$C$61,1)+1)-INDEX('IR data'!$C$4:$C$61,MATCH(A669,'IR data'!$C$4:$C$61,1))))) * (INDEX('IR data'!$D$4:$D$61,MATCH(A669,'IR data'!$C$4:$C$61,1))-(INDEX('IR data'!$D$4:$D$61,MATCH(A669,'IR data'!$C$4:$C$61,1)+1)))))</f>
        <v>0.9225577970212766</v>
      </c>
      <c r="C669" s="30">
        <f t="shared" si="62"/>
        <v>1.9185198146395917E-2</v>
      </c>
      <c r="D669" s="45">
        <f t="shared" si="63"/>
        <v>46017</v>
      </c>
      <c r="E669" s="14" cm="1">
        <f t="array" ref="E669">_xlfn.IFNA(INDEX('IR data'!$I$4:$I$61,MATCH(D669,'IR data'!$H$4:$H$61,0)),((INDEX('IR data'!$I$4:$I$61,MATCH(D669,'IR data'!$H$4:$H$61,1)))-((D669-(INDEX('IR data'!$H$4:$H$61,MATCH(D669,'IR data'!$H$4:$H$61,1))))/((INDEX('IR data'!$H$4:$H$61,MATCH(D669,'IR data'!$H$4:$H$61,1)+1)-INDEX('IR data'!$H$4:$H$61,MATCH(D669,'IR data'!$H$4:$H$61,1))))) * (INDEX('IR data'!$I$4:$I$61,MATCH(D669,'IR data'!$H$4:$H$61,1))-(INDEX('IR data'!$I$4:$I$61,MATCH(D669,'IR data'!$H$4:$H$61,1)+1)))))</f>
        <v>0.91588595488888891</v>
      </c>
      <c r="F669" s="30">
        <f t="shared" si="64"/>
        <v>2.0912746704681885E-2</v>
      </c>
      <c r="G669" s="45">
        <f t="shared" si="60"/>
        <v>46051</v>
      </c>
      <c r="H669" s="14" cm="1">
        <f t="array" ref="H669">_xlfn.IFNA(INDEX('IR data'!$N$4:$N$61,MATCH(G669,'IR data'!$M$4:$M$61,0)),((INDEX('IR data'!$N$4:$N$61,MATCH(G669,'IR data'!$M$4:$M$61,1)))-((G669-(INDEX('IR data'!$M$4:$M$61,MATCH(G669,'IR data'!$M$4:$M$61,1))))/((INDEX('IR data'!$M$4:$M$61,MATCH(G669,'IR data'!$M$4:$M$61,1)+1)-INDEX('IR data'!$M$4:$M$61,MATCH(G669,'IR data'!$M$4:$M$61,1))))) * (INDEX('IR data'!$N$4:$N$61,MATCH(G669,'IR data'!$M$4:$M$61,1))-(INDEX('IR data'!$N$4:$N$61,MATCH(G669,'IR data'!$M$4:$M$61,1)+1)))))</f>
        <v>0.91498917938461544</v>
      </c>
      <c r="I669" s="44">
        <f t="shared" si="65"/>
        <v>2.1145908820372438E-2</v>
      </c>
    </row>
    <row r="670" spans="1:9" x14ac:dyDescent="0.25">
      <c r="A670" s="45">
        <f t="shared" si="61"/>
        <v>45958</v>
      </c>
      <c r="B670" s="14" cm="1">
        <f t="array" ref="B670">_xlfn.IFNA(INDEX('IR data'!$D$4:$D$61,MATCH(A670,'IR data'!$C$4:$C$61,0)),((INDEX('IR data'!$D$4:$D$61,MATCH(A670,'IR data'!$C$4:$C$61,1)))-((A670-(INDEX('IR data'!$C$4:$C$61,MATCH(A670,'IR data'!$C$4:$C$61,1))))/((INDEX('IR data'!$C$4:$C$61,MATCH(A670,'IR data'!$C$4:$C$61,1)+1)-INDEX('IR data'!$C$4:$C$61,MATCH(A670,'IR data'!$C$4:$C$61,1))))) * (INDEX('IR data'!$D$4:$D$61,MATCH(A670,'IR data'!$C$4:$C$61,1))-(INDEX('IR data'!$D$4:$D$61,MATCH(A670,'IR data'!$C$4:$C$61,1)+1)))))</f>
        <v>0.92247370956382979</v>
      </c>
      <c r="C670" s="30">
        <f t="shared" si="62"/>
        <v>1.917809724067198E-2</v>
      </c>
      <c r="D670" s="45">
        <f t="shared" si="63"/>
        <v>46018</v>
      </c>
      <c r="E670" s="14" cm="1">
        <f t="array" ref="E670">_xlfn.IFNA(INDEX('IR data'!$I$4:$I$61,MATCH(D670,'IR data'!$H$4:$H$61,0)),((INDEX('IR data'!$I$4:$I$61,MATCH(D670,'IR data'!$H$4:$H$61,1)))-((D670-(INDEX('IR data'!$H$4:$H$61,MATCH(D670,'IR data'!$H$4:$H$61,1))))/((INDEX('IR data'!$H$4:$H$61,MATCH(D670,'IR data'!$H$4:$H$61,1)+1)-INDEX('IR data'!$H$4:$H$61,MATCH(D670,'IR data'!$H$4:$H$61,1))))) * (INDEX('IR data'!$I$4:$I$61,MATCH(D670,'IR data'!$H$4:$H$61,1))-(INDEX('IR data'!$I$4:$I$61,MATCH(D670,'IR data'!$H$4:$H$61,1)+1)))))</f>
        <v>0.91578609011111112</v>
      </c>
      <c r="F670" s="30">
        <f t="shared" si="64"/>
        <v>2.090730794792018E-2</v>
      </c>
      <c r="G670" s="45">
        <f t="shared" si="60"/>
        <v>46052</v>
      </c>
      <c r="H670" s="14" cm="1">
        <f t="array" ref="H670">_xlfn.IFNA(INDEX('IR data'!$N$4:$N$61,MATCH(G670,'IR data'!$M$4:$M$61,0)),((INDEX('IR data'!$N$4:$N$61,MATCH(G670,'IR data'!$M$4:$M$61,1)))-((G670-(INDEX('IR data'!$M$4:$M$61,MATCH(G670,'IR data'!$M$4:$M$61,1))))/((INDEX('IR data'!$M$4:$M$61,MATCH(G670,'IR data'!$M$4:$M$61,1)+1)-INDEX('IR data'!$M$4:$M$61,MATCH(G670,'IR data'!$M$4:$M$61,1))))) * (INDEX('IR data'!$N$4:$N$61,MATCH(G670,'IR data'!$M$4:$M$61,1))-(INDEX('IR data'!$N$4:$N$61,MATCH(G670,'IR data'!$M$4:$M$61,1)+1)))))</f>
        <v>0.91488419569230772</v>
      </c>
      <c r="I670" s="44">
        <f t="shared" si="65"/>
        <v>2.1141475620579383E-2</v>
      </c>
    </row>
    <row r="671" spans="1:9" x14ac:dyDescent="0.25">
      <c r="A671" s="45">
        <f t="shared" si="61"/>
        <v>45959</v>
      </c>
      <c r="B671" s="14" cm="1">
        <f t="array" ref="B671">_xlfn.IFNA(INDEX('IR data'!$D$4:$D$61,MATCH(A671,'IR data'!$C$4:$C$61,0)),((INDEX('IR data'!$D$4:$D$61,MATCH(A671,'IR data'!$C$4:$C$61,1)))-((A671-(INDEX('IR data'!$C$4:$C$61,MATCH(A671,'IR data'!$C$4:$C$61,1))))/((INDEX('IR data'!$C$4:$C$61,MATCH(A671,'IR data'!$C$4:$C$61,1)+1)-INDEX('IR data'!$C$4:$C$61,MATCH(A671,'IR data'!$C$4:$C$61,1))))) * (INDEX('IR data'!$D$4:$D$61,MATCH(A671,'IR data'!$C$4:$C$61,1))-(INDEX('IR data'!$D$4:$D$61,MATCH(A671,'IR data'!$C$4:$C$61,1)+1)))))</f>
        <v>0.92238962210638298</v>
      </c>
      <c r="C671" s="30">
        <f t="shared" si="62"/>
        <v>1.917101956690986E-2</v>
      </c>
      <c r="D671" s="45">
        <f t="shared" si="63"/>
        <v>46019</v>
      </c>
      <c r="E671" s="14" cm="1">
        <f t="array" ref="E671">_xlfn.IFNA(INDEX('IR data'!$I$4:$I$61,MATCH(D671,'IR data'!$H$4:$H$61,0)),((INDEX('IR data'!$I$4:$I$61,MATCH(D671,'IR data'!$H$4:$H$61,1)))-((D671-(INDEX('IR data'!$H$4:$H$61,MATCH(D671,'IR data'!$H$4:$H$61,1))))/((INDEX('IR data'!$H$4:$H$61,MATCH(D671,'IR data'!$H$4:$H$61,1)+1)-INDEX('IR data'!$H$4:$H$61,MATCH(D671,'IR data'!$H$4:$H$61,1))))) * (INDEX('IR data'!$I$4:$I$61,MATCH(D671,'IR data'!$H$4:$H$61,1))-(INDEX('IR data'!$I$4:$I$61,MATCH(D671,'IR data'!$H$4:$H$61,1)+1)))))</f>
        <v>0.91568622533333333</v>
      </c>
      <c r="F671" s="30">
        <f t="shared" si="64"/>
        <v>2.0901888296733347E-2</v>
      </c>
      <c r="G671" s="45">
        <f t="shared" si="60"/>
        <v>46053</v>
      </c>
      <c r="H671" s="14" cm="1">
        <f t="array" ref="H671">_xlfn.IFNA(INDEX('IR data'!$N$4:$N$61,MATCH(G671,'IR data'!$M$4:$M$61,0)),((INDEX('IR data'!$N$4:$N$61,MATCH(G671,'IR data'!$M$4:$M$61,1)))-((G671-(INDEX('IR data'!$M$4:$M$61,MATCH(G671,'IR data'!$M$4:$M$61,1))))/((INDEX('IR data'!$M$4:$M$61,MATCH(G671,'IR data'!$M$4:$M$61,1)+1)-INDEX('IR data'!$M$4:$M$61,MATCH(G671,'IR data'!$M$4:$M$61,1))))) * (INDEX('IR data'!$N$4:$N$61,MATCH(G671,'IR data'!$M$4:$M$61,1))-(INDEX('IR data'!$N$4:$N$61,MATCH(G671,'IR data'!$M$4:$M$61,1)+1)))))</f>
        <v>0.91477921200000001</v>
      </c>
      <c r="I671" s="44">
        <f t="shared" si="65"/>
        <v>2.1137058818567107E-2</v>
      </c>
    </row>
    <row r="672" spans="1:9" x14ac:dyDescent="0.25">
      <c r="A672" s="45">
        <f t="shared" si="61"/>
        <v>45960</v>
      </c>
      <c r="B672" s="14" cm="1">
        <f t="array" ref="B672">_xlfn.IFNA(INDEX('IR data'!$D$4:$D$61,MATCH(A672,'IR data'!$C$4:$C$61,0)),((INDEX('IR data'!$D$4:$D$61,MATCH(A672,'IR data'!$C$4:$C$61,1)))-((A672-(INDEX('IR data'!$C$4:$C$61,MATCH(A672,'IR data'!$C$4:$C$61,1))))/((INDEX('IR data'!$C$4:$C$61,MATCH(A672,'IR data'!$C$4:$C$61,1)+1)-INDEX('IR data'!$C$4:$C$61,MATCH(A672,'IR data'!$C$4:$C$61,1))))) * (INDEX('IR data'!$D$4:$D$61,MATCH(A672,'IR data'!$C$4:$C$61,1))-(INDEX('IR data'!$D$4:$D$61,MATCH(A672,'IR data'!$C$4:$C$61,1)+1)))))</f>
        <v>0.92230553464893616</v>
      </c>
      <c r="C672" s="30">
        <f t="shared" si="62"/>
        <v>1.9163965021289336E-2</v>
      </c>
      <c r="D672" s="45">
        <f t="shared" si="63"/>
        <v>46020</v>
      </c>
      <c r="E672" s="14" cm="1">
        <f t="array" ref="E672">_xlfn.IFNA(INDEX('IR data'!$I$4:$I$61,MATCH(D672,'IR data'!$H$4:$H$61,0)),((INDEX('IR data'!$I$4:$I$61,MATCH(D672,'IR data'!$H$4:$H$61,1)))-((D672-(INDEX('IR data'!$H$4:$H$61,MATCH(D672,'IR data'!$H$4:$H$61,1))))/((INDEX('IR data'!$H$4:$H$61,MATCH(D672,'IR data'!$H$4:$H$61,1)+1)-INDEX('IR data'!$H$4:$H$61,MATCH(D672,'IR data'!$H$4:$H$61,1))))) * (INDEX('IR data'!$I$4:$I$61,MATCH(D672,'IR data'!$H$4:$H$61,1))-(INDEX('IR data'!$I$4:$I$61,MATCH(D672,'IR data'!$H$4:$H$61,1)+1)))))</f>
        <v>0.91558636055555553</v>
      </c>
      <c r="F672" s="30">
        <f t="shared" si="64"/>
        <v>2.0896487666060792E-2</v>
      </c>
      <c r="G672" s="45">
        <f t="shared" si="60"/>
        <v>46054</v>
      </c>
      <c r="H672" s="14" cm="1">
        <f t="array" ref="H672">_xlfn.IFNA(INDEX('IR data'!$N$4:$N$61,MATCH(G672,'IR data'!$M$4:$M$61,0)),((INDEX('IR data'!$N$4:$N$61,MATCH(G672,'IR data'!$M$4:$M$61,1)))-((G672-(INDEX('IR data'!$M$4:$M$61,MATCH(G672,'IR data'!$M$4:$M$61,1))))/((INDEX('IR data'!$M$4:$M$61,MATCH(G672,'IR data'!$M$4:$M$61,1)+1)-INDEX('IR data'!$M$4:$M$61,MATCH(G672,'IR data'!$M$4:$M$61,1))))) * (INDEX('IR data'!$N$4:$N$61,MATCH(G672,'IR data'!$M$4:$M$61,1))-(INDEX('IR data'!$N$4:$N$61,MATCH(G672,'IR data'!$M$4:$M$61,1)+1)))))</f>
        <v>0.91467422830769229</v>
      </c>
      <c r="I672" s="44">
        <f t="shared" si="65"/>
        <v>2.1132658341519155E-2</v>
      </c>
    </row>
    <row r="673" spans="1:9" x14ac:dyDescent="0.25">
      <c r="A673" s="45">
        <f t="shared" si="61"/>
        <v>45961</v>
      </c>
      <c r="B673" s="14" cm="1">
        <f t="array" ref="B673">_xlfn.IFNA(INDEX('IR data'!$D$4:$D$61,MATCH(A673,'IR data'!$C$4:$C$61,0)),((INDEX('IR data'!$D$4:$D$61,MATCH(A673,'IR data'!$C$4:$C$61,1)))-((A673-(INDEX('IR data'!$C$4:$C$61,MATCH(A673,'IR data'!$C$4:$C$61,1))))/((INDEX('IR data'!$C$4:$C$61,MATCH(A673,'IR data'!$C$4:$C$61,1)+1)-INDEX('IR data'!$C$4:$C$61,MATCH(A673,'IR data'!$C$4:$C$61,1))))) * (INDEX('IR data'!$D$4:$D$61,MATCH(A673,'IR data'!$C$4:$C$61,1))-(INDEX('IR data'!$D$4:$D$61,MATCH(A673,'IR data'!$C$4:$C$61,1)+1)))))</f>
        <v>0.92222144719148935</v>
      </c>
      <c r="C673" s="30">
        <f t="shared" si="62"/>
        <v>1.915693350061011E-2</v>
      </c>
      <c r="D673" s="45">
        <f t="shared" si="63"/>
        <v>46021</v>
      </c>
      <c r="E673" s="14" cm="1">
        <f t="array" ref="E673">_xlfn.IFNA(INDEX('IR data'!$I$4:$I$61,MATCH(D673,'IR data'!$H$4:$H$61,0)),((INDEX('IR data'!$I$4:$I$61,MATCH(D673,'IR data'!$H$4:$H$61,1)))-((D673-(INDEX('IR data'!$H$4:$H$61,MATCH(D673,'IR data'!$H$4:$H$61,1))))/((INDEX('IR data'!$H$4:$H$61,MATCH(D673,'IR data'!$H$4:$H$61,1)+1)-INDEX('IR data'!$H$4:$H$61,MATCH(D673,'IR data'!$H$4:$H$61,1))))) * (INDEX('IR data'!$I$4:$I$61,MATCH(D673,'IR data'!$H$4:$H$61,1))-(INDEX('IR data'!$I$4:$I$61,MATCH(D673,'IR data'!$H$4:$H$61,1)+1)))))</f>
        <v>0.91548649577777774</v>
      </c>
      <c r="F673" s="30">
        <f t="shared" si="64"/>
        <v>2.0891105971349935E-2</v>
      </c>
      <c r="G673" s="45">
        <f t="shared" si="60"/>
        <v>46055</v>
      </c>
      <c r="H673" s="14" cm="1">
        <f t="array" ref="H673">_xlfn.IFNA(INDEX('IR data'!$N$4:$N$61,MATCH(G673,'IR data'!$M$4:$M$61,0)),((INDEX('IR data'!$N$4:$N$61,MATCH(G673,'IR data'!$M$4:$M$61,1)))-((G673-(INDEX('IR data'!$M$4:$M$61,MATCH(G673,'IR data'!$M$4:$M$61,1))))/((INDEX('IR data'!$M$4:$M$61,MATCH(G673,'IR data'!$M$4:$M$61,1)+1)-INDEX('IR data'!$M$4:$M$61,MATCH(G673,'IR data'!$M$4:$M$61,1))))) * (INDEX('IR data'!$N$4:$N$61,MATCH(G673,'IR data'!$M$4:$M$61,1))-(INDEX('IR data'!$N$4:$N$61,MATCH(G673,'IR data'!$M$4:$M$61,1)+1)))))</f>
        <v>0.91456924461538469</v>
      </c>
      <c r="I673" s="44">
        <f t="shared" si="65"/>
        <v>2.1128274117053987E-2</v>
      </c>
    </row>
    <row r="674" spans="1:9" x14ac:dyDescent="0.25">
      <c r="A674" s="45">
        <f t="shared" si="61"/>
        <v>45962</v>
      </c>
      <c r="B674" s="14" cm="1">
        <f t="array" ref="B674">_xlfn.IFNA(INDEX('IR data'!$D$4:$D$61,MATCH(A674,'IR data'!$C$4:$C$61,0)),((INDEX('IR data'!$D$4:$D$61,MATCH(A674,'IR data'!$C$4:$C$61,1)))-((A674-(INDEX('IR data'!$C$4:$C$61,MATCH(A674,'IR data'!$C$4:$C$61,1))))/((INDEX('IR data'!$C$4:$C$61,MATCH(A674,'IR data'!$C$4:$C$61,1)+1)-INDEX('IR data'!$C$4:$C$61,MATCH(A674,'IR data'!$C$4:$C$61,1))))) * (INDEX('IR data'!$D$4:$D$61,MATCH(A674,'IR data'!$C$4:$C$61,1))-(INDEX('IR data'!$D$4:$D$61,MATCH(A674,'IR data'!$C$4:$C$61,1)+1)))))</f>
        <v>0.92213735973404254</v>
      </c>
      <c r="C674" s="30">
        <f t="shared" si="62"/>
        <v>1.9149924902287181E-2</v>
      </c>
      <c r="D674" s="45">
        <f t="shared" si="63"/>
        <v>46022</v>
      </c>
      <c r="E674" s="14" cm="1">
        <f t="array" ref="E674">_xlfn.IFNA(INDEX('IR data'!$I$4:$I$61,MATCH(D674,'IR data'!$H$4:$H$61,0)),((INDEX('IR data'!$I$4:$I$61,MATCH(D674,'IR data'!$H$4:$H$61,1)))-((D674-(INDEX('IR data'!$H$4:$H$61,MATCH(D674,'IR data'!$H$4:$H$61,1))))/((INDEX('IR data'!$H$4:$H$61,MATCH(D674,'IR data'!$H$4:$H$61,1)+1)-INDEX('IR data'!$H$4:$H$61,MATCH(D674,'IR data'!$H$4:$H$61,1))))) * (INDEX('IR data'!$I$4:$I$61,MATCH(D674,'IR data'!$H$4:$H$61,1))-(INDEX('IR data'!$I$4:$I$61,MATCH(D674,'IR data'!$H$4:$H$61,1)+1)))))</f>
        <v>0.91538663099999995</v>
      </c>
      <c r="F674" s="30">
        <f t="shared" si="64"/>
        <v>2.0885743128552438E-2</v>
      </c>
      <c r="G674" s="45">
        <f t="shared" si="60"/>
        <v>46056</v>
      </c>
      <c r="H674" s="14" cm="1">
        <f t="array" ref="H674">_xlfn.IFNA(INDEX('IR data'!$N$4:$N$61,MATCH(G674,'IR data'!$M$4:$M$61,0)),((INDEX('IR data'!$N$4:$N$61,MATCH(G674,'IR data'!$M$4:$M$61,1)))-((G674-(INDEX('IR data'!$M$4:$M$61,MATCH(G674,'IR data'!$M$4:$M$61,1))))/((INDEX('IR data'!$M$4:$M$61,MATCH(G674,'IR data'!$M$4:$M$61,1)+1)-INDEX('IR data'!$M$4:$M$61,MATCH(G674,'IR data'!$M$4:$M$61,1))))) * (INDEX('IR data'!$N$4:$N$61,MATCH(G674,'IR data'!$M$4:$M$61,1))-(INDEX('IR data'!$N$4:$N$61,MATCH(G674,'IR data'!$M$4:$M$61,1)+1)))))</f>
        <v>0.91446426092307698</v>
      </c>
      <c r="I674" s="44">
        <f t="shared" si="65"/>
        <v>2.1123906073221909E-2</v>
      </c>
    </row>
    <row r="675" spans="1:9" x14ac:dyDescent="0.25">
      <c r="A675" s="45">
        <f t="shared" si="61"/>
        <v>45963</v>
      </c>
      <c r="B675" s="14" cm="1">
        <f t="array" ref="B675">_xlfn.IFNA(INDEX('IR data'!$D$4:$D$61,MATCH(A675,'IR data'!$C$4:$C$61,0)),((INDEX('IR data'!$D$4:$D$61,MATCH(A675,'IR data'!$C$4:$C$61,1)))-((A675-(INDEX('IR data'!$C$4:$C$61,MATCH(A675,'IR data'!$C$4:$C$61,1))))/((INDEX('IR data'!$C$4:$C$61,MATCH(A675,'IR data'!$C$4:$C$61,1)+1)-INDEX('IR data'!$C$4:$C$61,MATCH(A675,'IR data'!$C$4:$C$61,1))))) * (INDEX('IR data'!$D$4:$D$61,MATCH(A675,'IR data'!$C$4:$C$61,1))-(INDEX('IR data'!$D$4:$D$61,MATCH(A675,'IR data'!$C$4:$C$61,1)+1)))))</f>
        <v>0.92205327227659573</v>
      </c>
      <c r="C675" s="30">
        <f t="shared" si="62"/>
        <v>1.9142939124346278E-2</v>
      </c>
      <c r="D675" s="45">
        <f t="shared" si="63"/>
        <v>46023</v>
      </c>
      <c r="E675" s="14" cm="1">
        <f t="array" ref="E675">_xlfn.IFNA(INDEX('IR data'!$I$4:$I$61,MATCH(D675,'IR data'!$H$4:$H$61,0)),((INDEX('IR data'!$I$4:$I$61,MATCH(D675,'IR data'!$H$4:$H$61,1)))-((D675-(INDEX('IR data'!$H$4:$H$61,MATCH(D675,'IR data'!$H$4:$H$61,1))))/((INDEX('IR data'!$H$4:$H$61,MATCH(D675,'IR data'!$H$4:$H$61,1)+1)-INDEX('IR data'!$H$4:$H$61,MATCH(D675,'IR data'!$H$4:$H$61,1))))) * (INDEX('IR data'!$I$4:$I$61,MATCH(D675,'IR data'!$H$4:$H$61,1))-(INDEX('IR data'!$I$4:$I$61,MATCH(D675,'IR data'!$H$4:$H$61,1)+1)))))</f>
        <v>0.91528676622222216</v>
      </c>
      <c r="F675" s="30">
        <f t="shared" si="64"/>
        <v>2.0880399054120452E-2</v>
      </c>
      <c r="G675" s="45">
        <f t="shared" si="60"/>
        <v>46057</v>
      </c>
      <c r="H675" s="14" cm="1">
        <f t="array" ref="H675">_xlfn.IFNA(INDEX('IR data'!$N$4:$N$61,MATCH(G675,'IR data'!$M$4:$M$61,0)),((INDEX('IR data'!$N$4:$N$61,MATCH(G675,'IR data'!$M$4:$M$61,1)))-((G675-(INDEX('IR data'!$M$4:$M$61,MATCH(G675,'IR data'!$M$4:$M$61,1))))/((INDEX('IR data'!$M$4:$M$61,MATCH(G675,'IR data'!$M$4:$M$61,1)+1)-INDEX('IR data'!$M$4:$M$61,MATCH(G675,'IR data'!$M$4:$M$61,1))))) * (INDEX('IR data'!$N$4:$N$61,MATCH(G675,'IR data'!$M$4:$M$61,1))-(INDEX('IR data'!$N$4:$N$61,MATCH(G675,'IR data'!$M$4:$M$61,1)+1)))))</f>
        <v>0.91435927723076926</v>
      </c>
      <c r="I675" s="44">
        <f t="shared" si="65"/>
        <v>2.1119554138501639E-2</v>
      </c>
    </row>
    <row r="676" spans="1:9" x14ac:dyDescent="0.25">
      <c r="A676" s="45">
        <f t="shared" si="61"/>
        <v>45964</v>
      </c>
      <c r="B676" s="14" cm="1">
        <f t="array" ref="B676">_xlfn.IFNA(INDEX('IR data'!$D$4:$D$61,MATCH(A676,'IR data'!$C$4:$C$61,0)),((INDEX('IR data'!$D$4:$D$61,MATCH(A676,'IR data'!$C$4:$C$61,1)))-((A676-(INDEX('IR data'!$C$4:$C$61,MATCH(A676,'IR data'!$C$4:$C$61,1))))/((INDEX('IR data'!$C$4:$C$61,MATCH(A676,'IR data'!$C$4:$C$61,1)+1)-INDEX('IR data'!$C$4:$C$61,MATCH(A676,'IR data'!$C$4:$C$61,1))))) * (INDEX('IR data'!$D$4:$D$61,MATCH(A676,'IR data'!$C$4:$C$61,1))-(INDEX('IR data'!$D$4:$D$61,MATCH(A676,'IR data'!$C$4:$C$61,1)+1)))))</f>
        <v>0.92196918481914891</v>
      </c>
      <c r="C676" s="30">
        <f t="shared" si="62"/>
        <v>1.9135976065419304E-2</v>
      </c>
      <c r="D676" s="45">
        <f t="shared" si="63"/>
        <v>46024</v>
      </c>
      <c r="E676" s="14" cm="1">
        <f t="array" ref="E676">_xlfn.IFNA(INDEX('IR data'!$I$4:$I$61,MATCH(D676,'IR data'!$H$4:$H$61,0)),((INDEX('IR data'!$I$4:$I$61,MATCH(D676,'IR data'!$H$4:$H$61,1)))-((D676-(INDEX('IR data'!$H$4:$H$61,MATCH(D676,'IR data'!$H$4:$H$61,1))))/((INDEX('IR data'!$H$4:$H$61,MATCH(D676,'IR data'!$H$4:$H$61,1)+1)-INDEX('IR data'!$H$4:$H$61,MATCH(D676,'IR data'!$H$4:$H$61,1))))) * (INDEX('IR data'!$I$4:$I$61,MATCH(D676,'IR data'!$H$4:$H$61,1))-(INDEX('IR data'!$I$4:$I$61,MATCH(D676,'IR data'!$H$4:$H$61,1)+1)))))</f>
        <v>0.91518690144444448</v>
      </c>
      <c r="F676" s="30">
        <f t="shared" si="64"/>
        <v>2.0875073665002863E-2</v>
      </c>
      <c r="G676" s="45">
        <f t="shared" si="60"/>
        <v>46058</v>
      </c>
      <c r="H676" s="14" cm="1">
        <f t="array" ref="H676">_xlfn.IFNA(INDEX('IR data'!$N$4:$N$61,MATCH(G676,'IR data'!$M$4:$M$61,0)),((INDEX('IR data'!$N$4:$N$61,MATCH(G676,'IR data'!$M$4:$M$61,1)))-((G676-(INDEX('IR data'!$M$4:$M$61,MATCH(G676,'IR data'!$M$4:$M$61,1))))/((INDEX('IR data'!$M$4:$M$61,MATCH(G676,'IR data'!$M$4:$M$61,1)+1)-INDEX('IR data'!$M$4:$M$61,MATCH(G676,'IR data'!$M$4:$M$61,1))))) * (INDEX('IR data'!$N$4:$N$61,MATCH(G676,'IR data'!$M$4:$M$61,1))-(INDEX('IR data'!$N$4:$N$61,MATCH(G676,'IR data'!$M$4:$M$61,1)+1)))))</f>
        <v>0.91425429353846155</v>
      </c>
      <c r="I676" s="44">
        <f t="shared" si="65"/>
        <v>2.1115218241797254E-2</v>
      </c>
    </row>
    <row r="677" spans="1:9" x14ac:dyDescent="0.25">
      <c r="A677" s="45">
        <f t="shared" si="61"/>
        <v>45965</v>
      </c>
      <c r="B677" s="14" cm="1">
        <f t="array" ref="B677">_xlfn.IFNA(INDEX('IR data'!$D$4:$D$61,MATCH(A677,'IR data'!$C$4:$C$61,0)),((INDEX('IR data'!$D$4:$D$61,MATCH(A677,'IR data'!$C$4:$C$61,1)))-((A677-(INDEX('IR data'!$C$4:$C$61,MATCH(A677,'IR data'!$C$4:$C$61,1))))/((INDEX('IR data'!$C$4:$C$61,MATCH(A677,'IR data'!$C$4:$C$61,1)+1)-INDEX('IR data'!$C$4:$C$61,MATCH(A677,'IR data'!$C$4:$C$61,1))))) * (INDEX('IR data'!$D$4:$D$61,MATCH(A677,'IR data'!$C$4:$C$61,1))-(INDEX('IR data'!$D$4:$D$61,MATCH(A677,'IR data'!$C$4:$C$61,1)+1)))))</f>
        <v>0.9218850973617021</v>
      </c>
      <c r="C677" s="30">
        <f t="shared" si="62"/>
        <v>1.9129035624739867E-2</v>
      </c>
      <c r="D677" s="45">
        <f t="shared" si="63"/>
        <v>46025</v>
      </c>
      <c r="E677" s="14" cm="1">
        <f t="array" ref="E677">_xlfn.IFNA(INDEX('IR data'!$I$4:$I$61,MATCH(D677,'IR data'!$H$4:$H$61,0)),((INDEX('IR data'!$I$4:$I$61,MATCH(D677,'IR data'!$H$4:$H$61,1)))-((D677-(INDEX('IR data'!$H$4:$H$61,MATCH(D677,'IR data'!$H$4:$H$61,1))))/((INDEX('IR data'!$H$4:$H$61,MATCH(D677,'IR data'!$H$4:$H$61,1)+1)-INDEX('IR data'!$H$4:$H$61,MATCH(D677,'IR data'!$H$4:$H$61,1))))) * (INDEX('IR data'!$I$4:$I$61,MATCH(D677,'IR data'!$H$4:$H$61,1))-(INDEX('IR data'!$I$4:$I$61,MATCH(D677,'IR data'!$H$4:$H$61,1)+1)))))</f>
        <v>0.91508703666666669</v>
      </c>
      <c r="F677" s="30">
        <f t="shared" si="64"/>
        <v>2.0869766878641744E-2</v>
      </c>
      <c r="G677" s="45">
        <f t="shared" si="60"/>
        <v>46059</v>
      </c>
      <c r="H677" s="14" cm="1">
        <f t="array" ref="H677">_xlfn.IFNA(INDEX('IR data'!$N$4:$N$61,MATCH(G677,'IR data'!$M$4:$M$61,0)),((INDEX('IR data'!$N$4:$N$61,MATCH(G677,'IR data'!$M$4:$M$61,1)))-((G677-(INDEX('IR data'!$M$4:$M$61,MATCH(G677,'IR data'!$M$4:$M$61,1))))/((INDEX('IR data'!$M$4:$M$61,MATCH(G677,'IR data'!$M$4:$M$61,1)+1)-INDEX('IR data'!$M$4:$M$61,MATCH(G677,'IR data'!$M$4:$M$61,1))))) * (INDEX('IR data'!$N$4:$N$61,MATCH(G677,'IR data'!$M$4:$M$61,1))-(INDEX('IR data'!$N$4:$N$61,MATCH(G677,'IR data'!$M$4:$M$61,1)+1)))))</f>
        <v>0.91414930984615383</v>
      </c>
      <c r="I677" s="44">
        <f t="shared" si="65"/>
        <v>2.1110898312435036E-2</v>
      </c>
    </row>
    <row r="678" spans="1:9" x14ac:dyDescent="0.25">
      <c r="A678" s="45">
        <f t="shared" si="61"/>
        <v>45966</v>
      </c>
      <c r="B678" s="14" cm="1">
        <f t="array" ref="B678">_xlfn.IFNA(INDEX('IR data'!$D$4:$D$61,MATCH(A678,'IR data'!$C$4:$C$61,0)),((INDEX('IR data'!$D$4:$D$61,MATCH(A678,'IR data'!$C$4:$C$61,1)))-((A678-(INDEX('IR data'!$C$4:$C$61,MATCH(A678,'IR data'!$C$4:$C$61,1))))/((INDEX('IR data'!$C$4:$C$61,MATCH(A678,'IR data'!$C$4:$C$61,1)+1)-INDEX('IR data'!$C$4:$C$61,MATCH(A678,'IR data'!$C$4:$C$61,1))))) * (INDEX('IR data'!$D$4:$D$61,MATCH(A678,'IR data'!$C$4:$C$61,1))-(INDEX('IR data'!$D$4:$D$61,MATCH(A678,'IR data'!$C$4:$C$61,1)+1)))))</f>
        <v>0.92180100990425529</v>
      </c>
      <c r="C678" s="30">
        <f t="shared" si="62"/>
        <v>1.9122117702138789E-2</v>
      </c>
      <c r="D678" s="45">
        <f t="shared" si="63"/>
        <v>46026</v>
      </c>
      <c r="E678" s="14" cm="1">
        <f t="array" ref="E678">_xlfn.IFNA(INDEX('IR data'!$I$4:$I$61,MATCH(D678,'IR data'!$H$4:$H$61,0)),((INDEX('IR data'!$I$4:$I$61,MATCH(D678,'IR data'!$H$4:$H$61,1)))-((D678-(INDEX('IR data'!$H$4:$H$61,MATCH(D678,'IR data'!$H$4:$H$61,1))))/((INDEX('IR data'!$H$4:$H$61,MATCH(D678,'IR data'!$H$4:$H$61,1)+1)-INDEX('IR data'!$H$4:$H$61,MATCH(D678,'IR data'!$H$4:$H$61,1))))) * (INDEX('IR data'!$I$4:$I$61,MATCH(D678,'IR data'!$H$4:$H$61,1))-(INDEX('IR data'!$I$4:$I$61,MATCH(D678,'IR data'!$H$4:$H$61,1)+1)))))</f>
        <v>0.91498717188888889</v>
      </c>
      <c r="F678" s="30">
        <f t="shared" si="64"/>
        <v>2.0864478612968491E-2</v>
      </c>
      <c r="G678" s="45">
        <f t="shared" si="60"/>
        <v>46060</v>
      </c>
      <c r="H678" s="14" cm="1">
        <f t="array" ref="H678">_xlfn.IFNA(INDEX('IR data'!$N$4:$N$61,MATCH(G678,'IR data'!$M$4:$M$61,0)),((INDEX('IR data'!$N$4:$N$61,MATCH(G678,'IR data'!$M$4:$M$61,1)))-((G678-(INDEX('IR data'!$M$4:$M$61,MATCH(G678,'IR data'!$M$4:$M$61,1))))/((INDEX('IR data'!$M$4:$M$61,MATCH(G678,'IR data'!$M$4:$M$61,1)+1)-INDEX('IR data'!$M$4:$M$61,MATCH(G678,'IR data'!$M$4:$M$61,1))))) * (INDEX('IR data'!$N$4:$N$61,MATCH(G678,'IR data'!$M$4:$M$61,1))-(INDEX('IR data'!$N$4:$N$61,MATCH(G678,'IR data'!$M$4:$M$61,1)+1)))))</f>
        <v>0.91404432615384623</v>
      </c>
      <c r="I678" s="44">
        <f t="shared" si="65"/>
        <v>2.1106594280160262E-2</v>
      </c>
    </row>
    <row r="679" spans="1:9" x14ac:dyDescent="0.25">
      <c r="A679" s="45">
        <f t="shared" si="61"/>
        <v>45967</v>
      </c>
      <c r="B679" s="14" cm="1">
        <f t="array" ref="B679">_xlfn.IFNA(INDEX('IR data'!$D$4:$D$61,MATCH(A679,'IR data'!$C$4:$C$61,0)),((INDEX('IR data'!$D$4:$D$61,MATCH(A679,'IR data'!$C$4:$C$61,1)))-((A679-(INDEX('IR data'!$C$4:$C$61,MATCH(A679,'IR data'!$C$4:$C$61,1))))/((INDEX('IR data'!$C$4:$C$61,MATCH(A679,'IR data'!$C$4:$C$61,1)+1)-INDEX('IR data'!$C$4:$C$61,MATCH(A679,'IR data'!$C$4:$C$61,1))))) * (INDEX('IR data'!$D$4:$D$61,MATCH(A679,'IR data'!$C$4:$C$61,1))-(INDEX('IR data'!$D$4:$D$61,MATCH(A679,'IR data'!$C$4:$C$61,1)+1)))))</f>
        <v>0.92171692244680847</v>
      </c>
      <c r="C679" s="30">
        <f t="shared" si="62"/>
        <v>1.9115222198039721E-2</v>
      </c>
      <c r="D679" s="45">
        <f t="shared" si="63"/>
        <v>46027</v>
      </c>
      <c r="E679" s="14" cm="1">
        <f t="array" ref="E679">_xlfn.IFNA(INDEX('IR data'!$I$4:$I$61,MATCH(D679,'IR data'!$H$4:$H$61,0)),((INDEX('IR data'!$I$4:$I$61,MATCH(D679,'IR data'!$H$4:$H$61,1)))-((D679-(INDEX('IR data'!$H$4:$H$61,MATCH(D679,'IR data'!$H$4:$H$61,1))))/((INDEX('IR data'!$H$4:$H$61,MATCH(D679,'IR data'!$H$4:$H$61,1)+1)-INDEX('IR data'!$H$4:$H$61,MATCH(D679,'IR data'!$H$4:$H$61,1))))) * (INDEX('IR data'!$I$4:$I$61,MATCH(D679,'IR data'!$H$4:$H$61,1))-(INDEX('IR data'!$I$4:$I$61,MATCH(D679,'IR data'!$H$4:$H$61,1)+1)))))</f>
        <v>0.9148873071111111</v>
      </c>
      <c r="F679" s="30">
        <f t="shared" si="64"/>
        <v>2.0859208786400362E-2</v>
      </c>
      <c r="G679" s="45">
        <f t="shared" si="60"/>
        <v>46061</v>
      </c>
      <c r="H679" s="14" cm="1">
        <f t="array" ref="H679">_xlfn.IFNA(INDEX('IR data'!$N$4:$N$61,MATCH(G679,'IR data'!$M$4:$M$61,0)),((INDEX('IR data'!$N$4:$N$61,MATCH(G679,'IR data'!$M$4:$M$61,1)))-((G679-(INDEX('IR data'!$M$4:$M$61,MATCH(G679,'IR data'!$M$4:$M$61,1))))/((INDEX('IR data'!$M$4:$M$61,MATCH(G679,'IR data'!$M$4:$M$61,1)+1)-INDEX('IR data'!$M$4:$M$61,MATCH(G679,'IR data'!$M$4:$M$61,1))))) * (INDEX('IR data'!$N$4:$N$61,MATCH(G679,'IR data'!$M$4:$M$61,1))-(INDEX('IR data'!$N$4:$N$61,MATCH(G679,'IR data'!$M$4:$M$61,1)+1)))))</f>
        <v>0.91393934246153852</v>
      </c>
      <c r="I679" s="44">
        <f t="shared" si="65"/>
        <v>2.1102306075134272E-2</v>
      </c>
    </row>
    <row r="680" spans="1:9" x14ac:dyDescent="0.25">
      <c r="A680" s="45">
        <f t="shared" si="61"/>
        <v>45968</v>
      </c>
      <c r="B680" s="14" cm="1">
        <f t="array" ref="B680">_xlfn.IFNA(INDEX('IR data'!$D$4:$D$61,MATCH(A680,'IR data'!$C$4:$C$61,0)),((INDEX('IR data'!$D$4:$D$61,MATCH(A680,'IR data'!$C$4:$C$61,1)))-((A680-(INDEX('IR data'!$C$4:$C$61,MATCH(A680,'IR data'!$C$4:$C$61,1))))/((INDEX('IR data'!$C$4:$C$61,MATCH(A680,'IR data'!$C$4:$C$61,1)+1)-INDEX('IR data'!$C$4:$C$61,MATCH(A680,'IR data'!$C$4:$C$61,1))))) * (INDEX('IR data'!$D$4:$D$61,MATCH(A680,'IR data'!$C$4:$C$61,1))-(INDEX('IR data'!$D$4:$D$61,MATCH(A680,'IR data'!$C$4:$C$61,1)+1)))))</f>
        <v>0.92163283498936166</v>
      </c>
      <c r="C680" s="30">
        <f t="shared" si="62"/>
        <v>1.9108349013454737E-2</v>
      </c>
      <c r="D680" s="45">
        <f t="shared" si="63"/>
        <v>46028</v>
      </c>
      <c r="E680" s="14" cm="1">
        <f t="array" ref="E680">_xlfn.IFNA(INDEX('IR data'!$I$4:$I$61,MATCH(D680,'IR data'!$H$4:$H$61,0)),((INDEX('IR data'!$I$4:$I$61,MATCH(D680,'IR data'!$H$4:$H$61,1)))-((D680-(INDEX('IR data'!$H$4:$H$61,MATCH(D680,'IR data'!$H$4:$H$61,1))))/((INDEX('IR data'!$H$4:$H$61,MATCH(D680,'IR data'!$H$4:$H$61,1)+1)-INDEX('IR data'!$H$4:$H$61,MATCH(D680,'IR data'!$H$4:$H$61,1))))) * (INDEX('IR data'!$I$4:$I$61,MATCH(D680,'IR data'!$H$4:$H$61,1))-(INDEX('IR data'!$I$4:$I$61,MATCH(D680,'IR data'!$H$4:$H$61,1)+1)))))</f>
        <v>0.91478744233333331</v>
      </c>
      <c r="F680" s="30">
        <f t="shared" si="64"/>
        <v>2.0853957317836826E-2</v>
      </c>
      <c r="G680" s="45">
        <f t="shared" si="60"/>
        <v>46062</v>
      </c>
      <c r="H680" s="14" cm="1">
        <f t="array" ref="H680">_xlfn.IFNA(INDEX('IR data'!$N$4:$N$61,MATCH(G680,'IR data'!$M$4:$M$61,0)),((INDEX('IR data'!$N$4:$N$61,MATCH(G680,'IR data'!$M$4:$M$61,1)))-((G680-(INDEX('IR data'!$M$4:$M$61,MATCH(G680,'IR data'!$M$4:$M$61,1))))/((INDEX('IR data'!$M$4:$M$61,MATCH(G680,'IR data'!$M$4:$M$61,1)+1)-INDEX('IR data'!$M$4:$M$61,MATCH(G680,'IR data'!$M$4:$M$61,1))))) * (INDEX('IR data'!$N$4:$N$61,MATCH(G680,'IR data'!$M$4:$M$61,1))-(INDEX('IR data'!$N$4:$N$61,MATCH(G680,'IR data'!$M$4:$M$61,1)+1)))))</f>
        <v>0.9138343587692308</v>
      </c>
      <c r="I680" s="44">
        <f t="shared" si="65"/>
        <v>2.1098033627931178E-2</v>
      </c>
    </row>
    <row r="681" spans="1:9" x14ac:dyDescent="0.25">
      <c r="A681" s="45">
        <f t="shared" si="61"/>
        <v>45969</v>
      </c>
      <c r="B681" s="14" cm="1">
        <f t="array" ref="B681">_xlfn.IFNA(INDEX('IR data'!$D$4:$D$61,MATCH(A681,'IR data'!$C$4:$C$61,0)),((INDEX('IR data'!$D$4:$D$61,MATCH(A681,'IR data'!$C$4:$C$61,1)))-((A681-(INDEX('IR data'!$C$4:$C$61,MATCH(A681,'IR data'!$C$4:$C$61,1))))/((INDEX('IR data'!$C$4:$C$61,MATCH(A681,'IR data'!$C$4:$C$61,1)+1)-INDEX('IR data'!$C$4:$C$61,MATCH(A681,'IR data'!$C$4:$C$61,1))))) * (INDEX('IR data'!$D$4:$D$61,MATCH(A681,'IR data'!$C$4:$C$61,1))-(INDEX('IR data'!$D$4:$D$61,MATCH(A681,'IR data'!$C$4:$C$61,1)+1)))))</f>
        <v>0.92154874753191496</v>
      </c>
      <c r="C681" s="30">
        <f t="shared" si="62"/>
        <v>1.9101498049979997E-2</v>
      </c>
      <c r="D681" s="45">
        <f t="shared" si="63"/>
        <v>46029</v>
      </c>
      <c r="E681" s="14" cm="1">
        <f t="array" ref="E681">_xlfn.IFNA(INDEX('IR data'!$I$4:$I$61,MATCH(D681,'IR data'!$H$4:$H$61,0)),((INDEX('IR data'!$I$4:$I$61,MATCH(D681,'IR data'!$H$4:$H$61,1)))-((D681-(INDEX('IR data'!$H$4:$H$61,MATCH(D681,'IR data'!$H$4:$H$61,1))))/((INDEX('IR data'!$H$4:$H$61,MATCH(D681,'IR data'!$H$4:$H$61,1)+1)-INDEX('IR data'!$H$4:$H$61,MATCH(D681,'IR data'!$H$4:$H$61,1))))) * (INDEX('IR data'!$I$4:$I$61,MATCH(D681,'IR data'!$H$4:$H$61,1))-(INDEX('IR data'!$I$4:$I$61,MATCH(D681,'IR data'!$H$4:$H$61,1)+1)))))</f>
        <v>0.91468757755555552</v>
      </c>
      <c r="F681" s="30">
        <f t="shared" si="64"/>
        <v>2.0848724126656028E-2</v>
      </c>
      <c r="G681" s="45">
        <f t="shared" si="60"/>
        <v>46063</v>
      </c>
      <c r="H681" s="14" cm="1">
        <f t="array" ref="H681">_xlfn.IFNA(INDEX('IR data'!$N$4:$N$61,MATCH(G681,'IR data'!$M$4:$M$61,0)),((INDEX('IR data'!$N$4:$N$61,MATCH(G681,'IR data'!$M$4:$M$61,1)))-((G681-(INDEX('IR data'!$M$4:$M$61,MATCH(G681,'IR data'!$M$4:$M$61,1))))/((INDEX('IR data'!$M$4:$M$61,MATCH(G681,'IR data'!$M$4:$M$61,1)+1)-INDEX('IR data'!$M$4:$M$61,MATCH(G681,'IR data'!$M$4:$M$61,1))))) * (INDEX('IR data'!$N$4:$N$61,MATCH(G681,'IR data'!$M$4:$M$61,1))-(INDEX('IR data'!$N$4:$N$61,MATCH(G681,'IR data'!$M$4:$M$61,1)+1)))))</f>
        <v>0.91372937507692309</v>
      </c>
      <c r="I681" s="44">
        <f t="shared" si="65"/>
        <v>2.1093776869534973E-2</v>
      </c>
    </row>
    <row r="682" spans="1:9" x14ac:dyDescent="0.25">
      <c r="A682" s="45">
        <f t="shared" si="61"/>
        <v>45970</v>
      </c>
      <c r="B682" s="14" cm="1">
        <f t="array" ref="B682">_xlfn.IFNA(INDEX('IR data'!$D$4:$D$61,MATCH(A682,'IR data'!$C$4:$C$61,0)),((INDEX('IR data'!$D$4:$D$61,MATCH(A682,'IR data'!$C$4:$C$61,1)))-((A682-(INDEX('IR data'!$C$4:$C$61,MATCH(A682,'IR data'!$C$4:$C$61,1))))/((INDEX('IR data'!$C$4:$C$61,MATCH(A682,'IR data'!$C$4:$C$61,1)+1)-INDEX('IR data'!$C$4:$C$61,MATCH(A682,'IR data'!$C$4:$C$61,1))))) * (INDEX('IR data'!$D$4:$D$61,MATCH(A682,'IR data'!$C$4:$C$61,1))-(INDEX('IR data'!$D$4:$D$61,MATCH(A682,'IR data'!$C$4:$C$61,1)+1)))))</f>
        <v>0.92146466007446814</v>
      </c>
      <c r="C682" s="30">
        <f t="shared" si="62"/>
        <v>1.9094669209791523E-2</v>
      </c>
      <c r="D682" s="45">
        <f t="shared" si="63"/>
        <v>46030</v>
      </c>
      <c r="E682" s="14" cm="1">
        <f t="array" ref="E682">_xlfn.IFNA(INDEX('IR data'!$I$4:$I$61,MATCH(D682,'IR data'!$H$4:$H$61,0)),((INDEX('IR data'!$I$4:$I$61,MATCH(D682,'IR data'!$H$4:$H$61,1)))-((D682-(INDEX('IR data'!$H$4:$H$61,MATCH(D682,'IR data'!$H$4:$H$61,1))))/((INDEX('IR data'!$H$4:$H$61,MATCH(D682,'IR data'!$H$4:$H$61,1)+1)-INDEX('IR data'!$H$4:$H$61,MATCH(D682,'IR data'!$H$4:$H$61,1))))) * (INDEX('IR data'!$I$4:$I$61,MATCH(D682,'IR data'!$H$4:$H$61,1))-(INDEX('IR data'!$I$4:$I$61,MATCH(D682,'IR data'!$H$4:$H$61,1)+1)))))</f>
        <v>0.91458771277777773</v>
      </c>
      <c r="F682" s="30">
        <f t="shared" si="64"/>
        <v>2.0843509132711251E-2</v>
      </c>
      <c r="G682" s="45">
        <f t="shared" si="60"/>
        <v>46064</v>
      </c>
      <c r="H682" s="14" cm="1">
        <f t="array" ref="H682">_xlfn.IFNA(INDEX('IR data'!$N$4:$N$61,MATCH(G682,'IR data'!$M$4:$M$61,0)),((INDEX('IR data'!$N$4:$N$61,MATCH(G682,'IR data'!$M$4:$M$61,1)))-((G682-(INDEX('IR data'!$M$4:$M$61,MATCH(G682,'IR data'!$M$4:$M$61,1))))/((INDEX('IR data'!$M$4:$M$61,MATCH(G682,'IR data'!$M$4:$M$61,1)+1)-INDEX('IR data'!$M$4:$M$61,MATCH(G682,'IR data'!$M$4:$M$61,1))))) * (INDEX('IR data'!$N$4:$N$61,MATCH(G682,'IR data'!$M$4:$M$61,1))-(INDEX('IR data'!$N$4:$N$61,MATCH(G682,'IR data'!$M$4:$M$61,1)+1)))))</f>
        <v>0.91362439138461538</v>
      </c>
      <c r="I682" s="44">
        <f t="shared" si="65"/>
        <v>2.1089535731336467E-2</v>
      </c>
    </row>
    <row r="683" spans="1:9" x14ac:dyDescent="0.25">
      <c r="A683" s="45">
        <f t="shared" si="61"/>
        <v>45971</v>
      </c>
      <c r="B683" s="14" cm="1">
        <f t="array" ref="B683">_xlfn.IFNA(INDEX('IR data'!$D$4:$D$61,MATCH(A683,'IR data'!$C$4:$C$61,0)),((INDEX('IR data'!$D$4:$D$61,MATCH(A683,'IR data'!$C$4:$C$61,1)))-((A683-(INDEX('IR data'!$C$4:$C$61,MATCH(A683,'IR data'!$C$4:$C$61,1))))/((INDEX('IR data'!$C$4:$C$61,MATCH(A683,'IR data'!$C$4:$C$61,1)+1)-INDEX('IR data'!$C$4:$C$61,MATCH(A683,'IR data'!$C$4:$C$61,1))))) * (INDEX('IR data'!$D$4:$D$61,MATCH(A683,'IR data'!$C$4:$C$61,1))-(INDEX('IR data'!$D$4:$D$61,MATCH(A683,'IR data'!$C$4:$C$61,1)+1)))))</f>
        <v>0.92138057261702133</v>
      </c>
      <c r="C683" s="30">
        <f t="shared" si="62"/>
        <v>1.9087862395640792E-2</v>
      </c>
      <c r="D683" s="45">
        <f t="shared" si="63"/>
        <v>46031</v>
      </c>
      <c r="E683" s="14" cm="1">
        <f t="array" ref="E683">_xlfn.IFNA(INDEX('IR data'!$I$4:$I$61,MATCH(D683,'IR data'!$H$4:$H$61,0)),((INDEX('IR data'!$I$4:$I$61,MATCH(D683,'IR data'!$H$4:$H$61,1)))-((D683-(INDEX('IR data'!$H$4:$H$61,MATCH(D683,'IR data'!$H$4:$H$61,1))))/((INDEX('IR data'!$H$4:$H$61,MATCH(D683,'IR data'!$H$4:$H$61,1)+1)-INDEX('IR data'!$H$4:$H$61,MATCH(D683,'IR data'!$H$4:$H$61,1))))) * (INDEX('IR data'!$I$4:$I$61,MATCH(D683,'IR data'!$H$4:$H$61,1))-(INDEX('IR data'!$I$4:$I$61,MATCH(D683,'IR data'!$H$4:$H$61,1)+1)))))</f>
        <v>0.91448784799999994</v>
      </c>
      <c r="F683" s="30">
        <f t="shared" si="64"/>
        <v>2.0838312256327436E-2</v>
      </c>
      <c r="G683" s="45">
        <f t="shared" si="60"/>
        <v>46065</v>
      </c>
      <c r="H683" s="14" cm="1">
        <f t="array" ref="H683">_xlfn.IFNA(INDEX('IR data'!$N$4:$N$61,MATCH(G683,'IR data'!$M$4:$M$61,0)),((INDEX('IR data'!$N$4:$N$61,MATCH(G683,'IR data'!$M$4:$M$61,1)))-((G683-(INDEX('IR data'!$M$4:$M$61,MATCH(G683,'IR data'!$M$4:$M$61,1))))/((INDEX('IR data'!$M$4:$M$61,MATCH(G683,'IR data'!$M$4:$M$61,1)+1)-INDEX('IR data'!$M$4:$M$61,MATCH(G683,'IR data'!$M$4:$M$61,1))))) * (INDEX('IR data'!$N$4:$N$61,MATCH(G683,'IR data'!$M$4:$M$61,1))-(INDEX('IR data'!$N$4:$N$61,MATCH(G683,'IR data'!$M$4:$M$61,1)+1)))))</f>
        <v>0.91351940769230777</v>
      </c>
      <c r="I683" s="44">
        <f t="shared" si="65"/>
        <v>2.1085310145130261E-2</v>
      </c>
    </row>
    <row r="684" spans="1:9" x14ac:dyDescent="0.25">
      <c r="A684" s="45">
        <f t="shared" si="61"/>
        <v>45972</v>
      </c>
      <c r="B684" s="14" cm="1">
        <f t="array" ref="B684">_xlfn.IFNA(INDEX('IR data'!$D$4:$D$61,MATCH(A684,'IR data'!$C$4:$C$61,0)),((INDEX('IR data'!$D$4:$D$61,MATCH(A684,'IR data'!$C$4:$C$61,1)))-((A684-(INDEX('IR data'!$C$4:$C$61,MATCH(A684,'IR data'!$C$4:$C$61,1))))/((INDEX('IR data'!$C$4:$C$61,MATCH(A684,'IR data'!$C$4:$C$61,1)+1)-INDEX('IR data'!$C$4:$C$61,MATCH(A684,'IR data'!$C$4:$C$61,1))))) * (INDEX('IR data'!$D$4:$D$61,MATCH(A684,'IR data'!$C$4:$C$61,1))-(INDEX('IR data'!$D$4:$D$61,MATCH(A684,'IR data'!$C$4:$C$61,1)+1)))))</f>
        <v>0.92129648515957452</v>
      </c>
      <c r="C684" s="30">
        <f t="shared" si="62"/>
        <v>1.9081077510850617E-2</v>
      </c>
      <c r="D684" s="45">
        <f t="shared" si="63"/>
        <v>46032</v>
      </c>
      <c r="E684" s="14" cm="1">
        <f t="array" ref="E684">_xlfn.IFNA(INDEX('IR data'!$I$4:$I$61,MATCH(D684,'IR data'!$H$4:$H$61,0)),((INDEX('IR data'!$I$4:$I$61,MATCH(D684,'IR data'!$H$4:$H$61,1)))-((D684-(INDEX('IR data'!$H$4:$H$61,MATCH(D684,'IR data'!$H$4:$H$61,1))))/((INDEX('IR data'!$H$4:$H$61,MATCH(D684,'IR data'!$H$4:$H$61,1)+1)-INDEX('IR data'!$H$4:$H$61,MATCH(D684,'IR data'!$H$4:$H$61,1))))) * (INDEX('IR data'!$I$4:$I$61,MATCH(D684,'IR data'!$H$4:$H$61,1))-(INDEX('IR data'!$I$4:$I$61,MATCH(D684,'IR data'!$H$4:$H$61,1)+1)))))</f>
        <v>0.91438798322222226</v>
      </c>
      <c r="F684" s="30">
        <f t="shared" si="64"/>
        <v>2.0833133418297671E-2</v>
      </c>
      <c r="G684" s="45">
        <f t="shared" si="60"/>
        <v>46066</v>
      </c>
      <c r="H684" s="14" cm="1">
        <f t="array" ref="H684">_xlfn.IFNA(INDEX('IR data'!$N$4:$N$61,MATCH(G684,'IR data'!$M$4:$M$61,0)),((INDEX('IR data'!$N$4:$N$61,MATCH(G684,'IR data'!$M$4:$M$61,1)))-((G684-(INDEX('IR data'!$M$4:$M$61,MATCH(G684,'IR data'!$M$4:$M$61,1))))/((INDEX('IR data'!$M$4:$M$61,MATCH(G684,'IR data'!$M$4:$M$61,1)+1)-INDEX('IR data'!$M$4:$M$61,MATCH(G684,'IR data'!$M$4:$M$61,1))))) * (INDEX('IR data'!$N$4:$N$61,MATCH(G684,'IR data'!$M$4:$M$61,1))-(INDEX('IR data'!$N$4:$N$61,MATCH(G684,'IR data'!$M$4:$M$61,1)+1)))))</f>
        <v>0.91341442400000006</v>
      </c>
      <c r="I684" s="44">
        <f t="shared" si="65"/>
        <v>2.1081100043111912E-2</v>
      </c>
    </row>
    <row r="685" spans="1:9" x14ac:dyDescent="0.25">
      <c r="A685" s="45">
        <f t="shared" si="61"/>
        <v>45973</v>
      </c>
      <c r="B685" s="14" cm="1">
        <f t="array" ref="B685">_xlfn.IFNA(INDEX('IR data'!$D$4:$D$61,MATCH(A685,'IR data'!$C$4:$C$61,0)),((INDEX('IR data'!$D$4:$D$61,MATCH(A685,'IR data'!$C$4:$C$61,1)))-((A685-(INDEX('IR data'!$C$4:$C$61,MATCH(A685,'IR data'!$C$4:$C$61,1))))/((INDEX('IR data'!$C$4:$C$61,MATCH(A685,'IR data'!$C$4:$C$61,1)+1)-INDEX('IR data'!$C$4:$C$61,MATCH(A685,'IR data'!$C$4:$C$61,1))))) * (INDEX('IR data'!$D$4:$D$61,MATCH(A685,'IR data'!$C$4:$C$61,1))-(INDEX('IR data'!$D$4:$D$61,MATCH(A685,'IR data'!$C$4:$C$61,1)+1)))))</f>
        <v>0.92121239770212771</v>
      </c>
      <c r="C685" s="30">
        <f t="shared" si="62"/>
        <v>1.9074314459310932E-2</v>
      </c>
      <c r="D685" s="45">
        <f t="shared" si="63"/>
        <v>46033</v>
      </c>
      <c r="E685" s="14" cm="1">
        <f t="array" ref="E685">_xlfn.IFNA(INDEX('IR data'!$I$4:$I$61,MATCH(D685,'IR data'!$H$4:$H$61,0)),((INDEX('IR data'!$I$4:$I$61,MATCH(D685,'IR data'!$H$4:$H$61,1)))-((D685-(INDEX('IR data'!$H$4:$H$61,MATCH(D685,'IR data'!$H$4:$H$61,1))))/((INDEX('IR data'!$H$4:$H$61,MATCH(D685,'IR data'!$H$4:$H$61,1)+1)-INDEX('IR data'!$H$4:$H$61,MATCH(D685,'IR data'!$H$4:$H$61,1))))) * (INDEX('IR data'!$I$4:$I$61,MATCH(D685,'IR data'!$H$4:$H$61,1))-(INDEX('IR data'!$I$4:$I$61,MATCH(D685,'IR data'!$H$4:$H$61,1)+1)))))</f>
        <v>0.91428811844444446</v>
      </c>
      <c r="F685" s="30">
        <f t="shared" si="64"/>
        <v>2.0827972539879894E-2</v>
      </c>
      <c r="G685" s="45">
        <f t="shared" si="60"/>
        <v>46067</v>
      </c>
      <c r="H685" s="14" cm="1">
        <f t="array" ref="H685">_xlfn.IFNA(INDEX('IR data'!$N$4:$N$61,MATCH(G685,'IR data'!$M$4:$M$61,0)),((INDEX('IR data'!$N$4:$N$61,MATCH(G685,'IR data'!$M$4:$M$61,1)))-((G685-(INDEX('IR data'!$M$4:$M$61,MATCH(G685,'IR data'!$M$4:$M$61,1))))/((INDEX('IR data'!$M$4:$M$61,MATCH(G685,'IR data'!$M$4:$M$61,1)+1)-INDEX('IR data'!$M$4:$M$61,MATCH(G685,'IR data'!$M$4:$M$61,1))))) * (INDEX('IR data'!$N$4:$N$61,MATCH(G685,'IR data'!$M$4:$M$61,1))-(INDEX('IR data'!$N$4:$N$61,MATCH(G685,'IR data'!$M$4:$M$61,1)+1)))))</f>
        <v>0.91330944030769234</v>
      </c>
      <c r="I685" s="44">
        <f t="shared" si="65"/>
        <v>2.107690535787481E-2</v>
      </c>
    </row>
    <row r="686" spans="1:9" x14ac:dyDescent="0.25">
      <c r="A686" s="45">
        <f t="shared" si="61"/>
        <v>45974</v>
      </c>
      <c r="B686" s="14" cm="1">
        <f t="array" ref="B686">_xlfn.IFNA(INDEX('IR data'!$D$4:$D$61,MATCH(A686,'IR data'!$C$4:$C$61,0)),((INDEX('IR data'!$D$4:$D$61,MATCH(A686,'IR data'!$C$4:$C$61,1)))-((A686-(INDEX('IR data'!$C$4:$C$61,MATCH(A686,'IR data'!$C$4:$C$61,1))))/((INDEX('IR data'!$C$4:$C$61,MATCH(A686,'IR data'!$C$4:$C$61,1)+1)-INDEX('IR data'!$C$4:$C$61,MATCH(A686,'IR data'!$C$4:$C$61,1))))) * (INDEX('IR data'!$D$4:$D$61,MATCH(A686,'IR data'!$C$4:$C$61,1))-(INDEX('IR data'!$D$4:$D$61,MATCH(A686,'IR data'!$C$4:$C$61,1)+1)))))</f>
        <v>0.92112831024468089</v>
      </c>
      <c r="C686" s="30">
        <f t="shared" si="62"/>
        <v>1.9067573145474637E-2</v>
      </c>
      <c r="D686" s="45">
        <f t="shared" si="63"/>
        <v>46034</v>
      </c>
      <c r="E686" s="14" cm="1">
        <f t="array" ref="E686">_xlfn.IFNA(INDEX('IR data'!$I$4:$I$61,MATCH(D686,'IR data'!$H$4:$H$61,0)),((INDEX('IR data'!$I$4:$I$61,MATCH(D686,'IR data'!$H$4:$H$61,1)))-((D686-(INDEX('IR data'!$H$4:$H$61,MATCH(D686,'IR data'!$H$4:$H$61,1))))/((INDEX('IR data'!$H$4:$H$61,MATCH(D686,'IR data'!$H$4:$H$61,1)+1)-INDEX('IR data'!$H$4:$H$61,MATCH(D686,'IR data'!$H$4:$H$61,1))))) * (INDEX('IR data'!$I$4:$I$61,MATCH(D686,'IR data'!$H$4:$H$61,1))-(INDEX('IR data'!$I$4:$I$61,MATCH(D686,'IR data'!$H$4:$H$61,1)+1)))))</f>
        <v>0.91418825366666667</v>
      </c>
      <c r="F686" s="30">
        <f t="shared" si="64"/>
        <v>2.0822829542793304E-2</v>
      </c>
      <c r="G686" s="45">
        <f t="shared" si="60"/>
        <v>46068</v>
      </c>
      <c r="H686" s="14" cm="1">
        <f t="array" ref="H686">_xlfn.IFNA(INDEX('IR data'!$N$4:$N$61,MATCH(G686,'IR data'!$M$4:$M$61,0)),((INDEX('IR data'!$N$4:$N$61,MATCH(G686,'IR data'!$M$4:$M$61,1)))-((G686-(INDEX('IR data'!$M$4:$M$61,MATCH(G686,'IR data'!$M$4:$M$61,1))))/((INDEX('IR data'!$M$4:$M$61,MATCH(G686,'IR data'!$M$4:$M$61,1)+1)-INDEX('IR data'!$M$4:$M$61,MATCH(G686,'IR data'!$M$4:$M$61,1))))) * (INDEX('IR data'!$N$4:$N$61,MATCH(G686,'IR data'!$M$4:$M$61,1))-(INDEX('IR data'!$N$4:$N$61,MATCH(G686,'IR data'!$M$4:$M$61,1)+1)))))</f>
        <v>0.91320445661538463</v>
      </c>
      <c r="I686" s="44">
        <f t="shared" si="65"/>
        <v>2.1072726022407385E-2</v>
      </c>
    </row>
    <row r="687" spans="1:9" x14ac:dyDescent="0.25">
      <c r="A687" s="45">
        <f t="shared" si="61"/>
        <v>45975</v>
      </c>
      <c r="B687" s="14" cm="1">
        <f t="array" ref="B687">_xlfn.IFNA(INDEX('IR data'!$D$4:$D$61,MATCH(A687,'IR data'!$C$4:$C$61,0)),((INDEX('IR data'!$D$4:$D$61,MATCH(A687,'IR data'!$C$4:$C$61,1)))-((A687-(INDEX('IR data'!$C$4:$C$61,MATCH(A687,'IR data'!$C$4:$C$61,1))))/((INDEX('IR data'!$C$4:$C$61,MATCH(A687,'IR data'!$C$4:$C$61,1)+1)-INDEX('IR data'!$C$4:$C$61,MATCH(A687,'IR data'!$C$4:$C$61,1))))) * (INDEX('IR data'!$D$4:$D$61,MATCH(A687,'IR data'!$C$4:$C$61,1))-(INDEX('IR data'!$D$4:$D$61,MATCH(A687,'IR data'!$C$4:$C$61,1)+1)))))</f>
        <v>0.92104422278723408</v>
      </c>
      <c r="C687" s="30">
        <f t="shared" si="62"/>
        <v>1.9060853474353469E-2</v>
      </c>
      <c r="D687" s="45">
        <f t="shared" si="63"/>
        <v>46035</v>
      </c>
      <c r="E687" s="14" cm="1">
        <f t="array" ref="E687">_xlfn.IFNA(INDEX('IR data'!$I$4:$I$61,MATCH(D687,'IR data'!$H$4:$H$61,0)),((INDEX('IR data'!$I$4:$I$61,MATCH(D687,'IR data'!$H$4:$H$61,1)))-((D687-(INDEX('IR data'!$H$4:$H$61,MATCH(D687,'IR data'!$H$4:$H$61,1))))/((INDEX('IR data'!$H$4:$H$61,MATCH(D687,'IR data'!$H$4:$H$61,1)+1)-INDEX('IR data'!$H$4:$H$61,MATCH(D687,'IR data'!$H$4:$H$61,1))))) * (INDEX('IR data'!$I$4:$I$61,MATCH(D687,'IR data'!$H$4:$H$61,1))-(INDEX('IR data'!$I$4:$I$61,MATCH(D687,'IR data'!$H$4:$H$61,1)+1)))))</f>
        <v>0.91408838888888888</v>
      </c>
      <c r="F687" s="30">
        <f t="shared" si="64"/>
        <v>2.0817704349215115E-2</v>
      </c>
      <c r="G687" s="45">
        <f t="shared" si="60"/>
        <v>46069</v>
      </c>
      <c r="H687" s="14" cm="1">
        <f t="array" ref="H687">_xlfn.IFNA(INDEX('IR data'!$N$4:$N$61,MATCH(G687,'IR data'!$M$4:$M$61,0)),((INDEX('IR data'!$N$4:$N$61,MATCH(G687,'IR data'!$M$4:$M$61,1)))-((G687-(INDEX('IR data'!$M$4:$M$61,MATCH(G687,'IR data'!$M$4:$M$61,1))))/((INDEX('IR data'!$M$4:$M$61,MATCH(G687,'IR data'!$M$4:$M$61,1)+1)-INDEX('IR data'!$M$4:$M$61,MATCH(G687,'IR data'!$M$4:$M$61,1))))) * (INDEX('IR data'!$N$4:$N$61,MATCH(G687,'IR data'!$M$4:$M$61,1))-(INDEX('IR data'!$N$4:$N$61,MATCH(G687,'IR data'!$M$4:$M$61,1)+1)))))</f>
        <v>0.91309947292307692</v>
      </c>
      <c r="I687" s="44">
        <f t="shared" si="65"/>
        <v>2.1068561970090192E-2</v>
      </c>
    </row>
    <row r="688" spans="1:9" x14ac:dyDescent="0.25">
      <c r="A688" s="45">
        <f t="shared" si="61"/>
        <v>45976</v>
      </c>
      <c r="B688" s="14" cm="1">
        <f t="array" ref="B688">_xlfn.IFNA(INDEX('IR data'!$D$4:$D$61,MATCH(A688,'IR data'!$C$4:$C$61,0)),((INDEX('IR data'!$D$4:$D$61,MATCH(A688,'IR data'!$C$4:$C$61,1)))-((A688-(INDEX('IR data'!$C$4:$C$61,MATCH(A688,'IR data'!$C$4:$C$61,1))))/((INDEX('IR data'!$C$4:$C$61,MATCH(A688,'IR data'!$C$4:$C$61,1)+1)-INDEX('IR data'!$C$4:$C$61,MATCH(A688,'IR data'!$C$4:$C$61,1))))) * (INDEX('IR data'!$D$4:$D$61,MATCH(A688,'IR data'!$C$4:$C$61,1))-(INDEX('IR data'!$D$4:$D$61,MATCH(A688,'IR data'!$C$4:$C$61,1)+1)))))</f>
        <v>0.92096013532978727</v>
      </c>
      <c r="C688" s="30">
        <f t="shared" si="62"/>
        <v>1.9054155351513963E-2</v>
      </c>
      <c r="D688" s="45">
        <f t="shared" si="63"/>
        <v>46036</v>
      </c>
      <c r="E688" s="14" cm="1">
        <f t="array" ref="E688">_xlfn.IFNA(INDEX('IR data'!$I$4:$I$61,MATCH(D688,'IR data'!$H$4:$H$61,0)),((INDEX('IR data'!$I$4:$I$61,MATCH(D688,'IR data'!$H$4:$H$61,1)))-((D688-(INDEX('IR data'!$H$4:$H$61,MATCH(D688,'IR data'!$H$4:$H$61,1))))/((INDEX('IR data'!$H$4:$H$61,MATCH(D688,'IR data'!$H$4:$H$61,1)+1)-INDEX('IR data'!$H$4:$H$61,MATCH(D688,'IR data'!$H$4:$H$61,1))))) * (INDEX('IR data'!$I$4:$I$61,MATCH(D688,'IR data'!$H$4:$H$61,1))-(INDEX('IR data'!$I$4:$I$61,MATCH(D688,'IR data'!$H$4:$H$61,1)+1)))))</f>
        <v>0.91398852411111109</v>
      </c>
      <c r="F688" s="30">
        <f t="shared" si="64"/>
        <v>2.0812596881777175E-2</v>
      </c>
      <c r="G688" s="45">
        <f t="shared" si="60"/>
        <v>46070</v>
      </c>
      <c r="H688" s="14" cm="1">
        <f t="array" ref="H688">_xlfn.IFNA(INDEX('IR data'!$N$4:$N$61,MATCH(G688,'IR data'!$M$4:$M$61,0)),((INDEX('IR data'!$N$4:$N$61,MATCH(G688,'IR data'!$M$4:$M$61,1)))-((G688-(INDEX('IR data'!$M$4:$M$61,MATCH(G688,'IR data'!$M$4:$M$61,1))))/((INDEX('IR data'!$M$4:$M$61,MATCH(G688,'IR data'!$M$4:$M$61,1)+1)-INDEX('IR data'!$M$4:$M$61,MATCH(G688,'IR data'!$M$4:$M$61,1))))) * (INDEX('IR data'!$N$4:$N$61,MATCH(G688,'IR data'!$M$4:$M$61,1))-(INDEX('IR data'!$N$4:$N$61,MATCH(G688,'IR data'!$M$4:$M$61,1)+1)))))</f>
        <v>0.91299448923076931</v>
      </c>
      <c r="I688" s="44">
        <f t="shared" si="65"/>
        <v>2.1064413134693021E-2</v>
      </c>
    </row>
    <row r="689" spans="1:9" x14ac:dyDescent="0.25">
      <c r="A689" s="45">
        <f t="shared" si="61"/>
        <v>45977</v>
      </c>
      <c r="B689" s="14" cm="1">
        <f t="array" ref="B689">_xlfn.IFNA(INDEX('IR data'!$D$4:$D$61,MATCH(A689,'IR data'!$C$4:$C$61,0)),((INDEX('IR data'!$D$4:$D$61,MATCH(A689,'IR data'!$C$4:$C$61,1)))-((A689-(INDEX('IR data'!$C$4:$C$61,MATCH(A689,'IR data'!$C$4:$C$61,1))))/((INDEX('IR data'!$C$4:$C$61,MATCH(A689,'IR data'!$C$4:$C$61,1)+1)-INDEX('IR data'!$C$4:$C$61,MATCH(A689,'IR data'!$C$4:$C$61,1))))) * (INDEX('IR data'!$D$4:$D$61,MATCH(A689,'IR data'!$C$4:$C$61,1))-(INDEX('IR data'!$D$4:$D$61,MATCH(A689,'IR data'!$C$4:$C$61,1)+1)))))</f>
        <v>0.92087604787234045</v>
      </c>
      <c r="C689" s="30">
        <f t="shared" si="62"/>
        <v>1.9047478683073361E-2</v>
      </c>
      <c r="D689" s="45">
        <f t="shared" si="63"/>
        <v>46037</v>
      </c>
      <c r="E689" s="14" cm="1">
        <f t="array" ref="E689">_xlfn.IFNA(INDEX('IR data'!$I$4:$I$61,MATCH(D689,'IR data'!$H$4:$H$61,0)),((INDEX('IR data'!$I$4:$I$61,MATCH(D689,'IR data'!$H$4:$H$61,1)))-((D689-(INDEX('IR data'!$H$4:$H$61,MATCH(D689,'IR data'!$H$4:$H$61,1))))/((INDEX('IR data'!$H$4:$H$61,MATCH(D689,'IR data'!$H$4:$H$61,1)+1)-INDEX('IR data'!$H$4:$H$61,MATCH(D689,'IR data'!$H$4:$H$61,1))))) * (INDEX('IR data'!$I$4:$I$61,MATCH(D689,'IR data'!$H$4:$H$61,1))-(INDEX('IR data'!$I$4:$I$61,MATCH(D689,'IR data'!$H$4:$H$61,1)+1)))))</f>
        <v>0.9138886593333333</v>
      </c>
      <c r="F689" s="30">
        <f t="shared" si="64"/>
        <v>2.0807507063562651E-2</v>
      </c>
      <c r="G689" s="45">
        <f t="shared" si="60"/>
        <v>46071</v>
      </c>
      <c r="H689" s="14" cm="1">
        <f t="array" ref="H689">_xlfn.IFNA(INDEX('IR data'!$N$4:$N$61,MATCH(G689,'IR data'!$M$4:$M$61,0)),((INDEX('IR data'!$N$4:$N$61,MATCH(G689,'IR data'!$M$4:$M$61,1)))-((G689-(INDEX('IR data'!$M$4:$M$61,MATCH(G689,'IR data'!$M$4:$M$61,1))))/((INDEX('IR data'!$M$4:$M$61,MATCH(G689,'IR data'!$M$4:$M$61,1)+1)-INDEX('IR data'!$M$4:$M$61,MATCH(G689,'IR data'!$M$4:$M$61,1))))) * (INDEX('IR data'!$N$4:$N$61,MATCH(G689,'IR data'!$M$4:$M$61,1))-(INDEX('IR data'!$N$4:$N$61,MATCH(G689,'IR data'!$M$4:$M$61,1)+1)))))</f>
        <v>0.9128895055384616</v>
      </c>
      <c r="I689" s="44">
        <f t="shared" si="65"/>
        <v>2.1060279450372164E-2</v>
      </c>
    </row>
    <row r="690" spans="1:9" x14ac:dyDescent="0.25">
      <c r="A690" s="45">
        <f t="shared" si="61"/>
        <v>45978</v>
      </c>
      <c r="B690" s="14" cm="1">
        <f t="array" ref="B690">_xlfn.IFNA(INDEX('IR data'!$D$4:$D$61,MATCH(A690,'IR data'!$C$4:$C$61,0)),((INDEX('IR data'!$D$4:$D$61,MATCH(A690,'IR data'!$C$4:$C$61,1)))-((A690-(INDEX('IR data'!$C$4:$C$61,MATCH(A690,'IR data'!$C$4:$C$61,1))))/((INDEX('IR data'!$C$4:$C$61,MATCH(A690,'IR data'!$C$4:$C$61,1)+1)-INDEX('IR data'!$C$4:$C$61,MATCH(A690,'IR data'!$C$4:$C$61,1))))) * (INDEX('IR data'!$D$4:$D$61,MATCH(A690,'IR data'!$C$4:$C$61,1))-(INDEX('IR data'!$D$4:$D$61,MATCH(A690,'IR data'!$C$4:$C$61,1)+1)))))</f>
        <v>0.92079196041489364</v>
      </c>
      <c r="C690" s="30">
        <f t="shared" si="62"/>
        <v>1.9040823375695636E-2</v>
      </c>
      <c r="D690" s="45">
        <f t="shared" si="63"/>
        <v>46038</v>
      </c>
      <c r="E690" s="14" cm="1">
        <f t="array" ref="E690">_xlfn.IFNA(INDEX('IR data'!$I$4:$I$61,MATCH(D690,'IR data'!$H$4:$H$61,0)),((INDEX('IR data'!$I$4:$I$61,MATCH(D690,'IR data'!$H$4:$H$61,1)))-((D690-(INDEX('IR data'!$H$4:$H$61,MATCH(D690,'IR data'!$H$4:$H$61,1))))/((INDEX('IR data'!$H$4:$H$61,MATCH(D690,'IR data'!$H$4:$H$61,1)+1)-INDEX('IR data'!$H$4:$H$61,MATCH(D690,'IR data'!$H$4:$H$61,1))))) * (INDEX('IR data'!$I$4:$I$61,MATCH(D690,'IR data'!$H$4:$H$61,1))-(INDEX('IR data'!$I$4:$I$61,MATCH(D690,'IR data'!$H$4:$H$61,1)+1)))))</f>
        <v>0.91378879455555551</v>
      </c>
      <c r="F690" s="30">
        <f t="shared" si="64"/>
        <v>2.0802434818102764E-2</v>
      </c>
      <c r="G690" s="45">
        <f t="shared" si="60"/>
        <v>46072</v>
      </c>
      <c r="H690" s="14" cm="1">
        <f t="array" ref="H690">_xlfn.IFNA(INDEX('IR data'!$N$4:$N$61,MATCH(G690,'IR data'!$M$4:$M$61,0)),((INDEX('IR data'!$N$4:$N$61,MATCH(G690,'IR data'!$M$4:$M$61,1)))-((G690-(INDEX('IR data'!$M$4:$M$61,MATCH(G690,'IR data'!$M$4:$M$61,1))))/((INDEX('IR data'!$M$4:$M$61,MATCH(G690,'IR data'!$M$4:$M$61,1)+1)-INDEX('IR data'!$M$4:$M$61,MATCH(G690,'IR data'!$M$4:$M$61,1))))) * (INDEX('IR data'!$N$4:$N$61,MATCH(G690,'IR data'!$M$4:$M$61,1))-(INDEX('IR data'!$N$4:$N$61,MATCH(G690,'IR data'!$M$4:$M$61,1)+1)))))</f>
        <v>0.91278452184615388</v>
      </c>
      <c r="I690" s="44">
        <f t="shared" si="65"/>
        <v>2.1056160851667449E-2</v>
      </c>
    </row>
    <row r="691" spans="1:9" x14ac:dyDescent="0.25">
      <c r="A691" s="45">
        <f t="shared" si="61"/>
        <v>45979</v>
      </c>
      <c r="B691" s="14" cm="1">
        <f t="array" ref="B691">_xlfn.IFNA(INDEX('IR data'!$D$4:$D$61,MATCH(A691,'IR data'!$C$4:$C$61,0)),((INDEX('IR data'!$D$4:$D$61,MATCH(A691,'IR data'!$C$4:$C$61,1)))-((A691-(INDEX('IR data'!$C$4:$C$61,MATCH(A691,'IR data'!$C$4:$C$61,1))))/((INDEX('IR data'!$C$4:$C$61,MATCH(A691,'IR data'!$C$4:$C$61,1)+1)-INDEX('IR data'!$C$4:$C$61,MATCH(A691,'IR data'!$C$4:$C$61,1))))) * (INDEX('IR data'!$D$4:$D$61,MATCH(A691,'IR data'!$C$4:$C$61,1))-(INDEX('IR data'!$D$4:$D$61,MATCH(A691,'IR data'!$C$4:$C$61,1)+1)))))</f>
        <v>0.92070787295744683</v>
      </c>
      <c r="C691" s="30">
        <f t="shared" si="62"/>
        <v>1.9034189336587508E-2</v>
      </c>
      <c r="D691" s="45">
        <f t="shared" si="63"/>
        <v>46039</v>
      </c>
      <c r="E691" s="14" cm="1">
        <f t="array" ref="E691">_xlfn.IFNA(INDEX('IR data'!$I$4:$I$61,MATCH(D691,'IR data'!$H$4:$H$61,0)),((INDEX('IR data'!$I$4:$I$61,MATCH(D691,'IR data'!$H$4:$H$61,1)))-((D691-(INDEX('IR data'!$H$4:$H$61,MATCH(D691,'IR data'!$H$4:$H$61,1))))/((INDEX('IR data'!$H$4:$H$61,MATCH(D691,'IR data'!$H$4:$H$61,1)+1)-INDEX('IR data'!$H$4:$H$61,MATCH(D691,'IR data'!$H$4:$H$61,1))))) * (INDEX('IR data'!$I$4:$I$61,MATCH(D691,'IR data'!$H$4:$H$61,1))-(INDEX('IR data'!$I$4:$I$61,MATCH(D691,'IR data'!$H$4:$H$61,1)+1)))))</f>
        <v>0.91368892977777771</v>
      </c>
      <c r="F691" s="30">
        <f t="shared" si="64"/>
        <v>2.0797380069373494E-2</v>
      </c>
      <c r="G691" s="45">
        <f t="shared" si="60"/>
        <v>46073</v>
      </c>
      <c r="H691" s="14" cm="1">
        <f t="array" ref="H691">_xlfn.IFNA(INDEX('IR data'!$N$4:$N$61,MATCH(G691,'IR data'!$M$4:$M$61,0)),((INDEX('IR data'!$N$4:$N$61,MATCH(G691,'IR data'!$M$4:$M$61,1)))-((G691-(INDEX('IR data'!$M$4:$M$61,MATCH(G691,'IR data'!$M$4:$M$61,1))))/((INDEX('IR data'!$M$4:$M$61,MATCH(G691,'IR data'!$M$4:$M$61,1)+1)-INDEX('IR data'!$M$4:$M$61,MATCH(G691,'IR data'!$M$4:$M$61,1))))) * (INDEX('IR data'!$N$4:$N$61,MATCH(G691,'IR data'!$M$4:$M$61,1))-(INDEX('IR data'!$N$4:$N$61,MATCH(G691,'IR data'!$M$4:$M$61,1)+1)))))</f>
        <v>0.91267953815384617</v>
      </c>
      <c r="I691" s="44">
        <f t="shared" si="65"/>
        <v>2.1052057273499541E-2</v>
      </c>
    </row>
    <row r="692" spans="1:9" x14ac:dyDescent="0.25">
      <c r="A692" s="45">
        <f t="shared" si="61"/>
        <v>45980</v>
      </c>
      <c r="B692" s="14" cm="1">
        <f t="array" ref="B692">_xlfn.IFNA(INDEX('IR data'!$D$4:$D$61,MATCH(A692,'IR data'!$C$4:$C$61,0)),((INDEX('IR data'!$D$4:$D$61,MATCH(A692,'IR data'!$C$4:$C$61,1)))-((A692-(INDEX('IR data'!$C$4:$C$61,MATCH(A692,'IR data'!$C$4:$C$61,1))))/((INDEX('IR data'!$C$4:$C$61,MATCH(A692,'IR data'!$C$4:$C$61,1)+1)-INDEX('IR data'!$C$4:$C$61,MATCH(A692,'IR data'!$C$4:$C$61,1))))) * (INDEX('IR data'!$D$4:$D$61,MATCH(A692,'IR data'!$C$4:$C$61,1))-(INDEX('IR data'!$D$4:$D$61,MATCH(A692,'IR data'!$C$4:$C$61,1)+1)))))</f>
        <v>0.92062378550000001</v>
      </c>
      <c r="C692" s="30">
        <f t="shared" si="62"/>
        <v>1.9027576473494501E-2</v>
      </c>
      <c r="D692" s="45">
        <f t="shared" si="63"/>
        <v>46040</v>
      </c>
      <c r="E692" s="14" cm="1">
        <f t="array" ref="E692">_xlfn.IFNA(INDEX('IR data'!$I$4:$I$61,MATCH(D692,'IR data'!$H$4:$H$61,0)),((INDEX('IR data'!$I$4:$I$61,MATCH(D692,'IR data'!$H$4:$H$61,1)))-((D692-(INDEX('IR data'!$H$4:$H$61,MATCH(D692,'IR data'!$H$4:$H$61,1))))/((INDEX('IR data'!$H$4:$H$61,MATCH(D692,'IR data'!$H$4:$H$61,1)+1)-INDEX('IR data'!$H$4:$H$61,MATCH(D692,'IR data'!$H$4:$H$61,1))))) * (INDEX('IR data'!$I$4:$I$61,MATCH(D692,'IR data'!$H$4:$H$61,1))-(INDEX('IR data'!$I$4:$I$61,MATCH(D692,'IR data'!$H$4:$H$61,1)+1)))))</f>
        <v>0.91358906500000003</v>
      </c>
      <c r="F692" s="30">
        <f t="shared" si="64"/>
        <v>2.0792342741792372E-2</v>
      </c>
      <c r="G692" s="45">
        <f t="shared" si="60"/>
        <v>46074</v>
      </c>
      <c r="H692" s="14" cm="1">
        <f t="array" ref="H692">_xlfn.IFNA(INDEX('IR data'!$N$4:$N$61,MATCH(G692,'IR data'!$M$4:$M$61,0)),((INDEX('IR data'!$N$4:$N$61,MATCH(G692,'IR data'!$M$4:$M$61,1)))-((G692-(INDEX('IR data'!$M$4:$M$61,MATCH(G692,'IR data'!$M$4:$M$61,1))))/((INDEX('IR data'!$M$4:$M$61,MATCH(G692,'IR data'!$M$4:$M$61,1)+1)-INDEX('IR data'!$M$4:$M$61,MATCH(G692,'IR data'!$M$4:$M$61,1))))) * (INDEX('IR data'!$N$4:$N$61,MATCH(G692,'IR data'!$M$4:$M$61,1))-(INDEX('IR data'!$N$4:$N$61,MATCH(G692,'IR data'!$M$4:$M$61,1)+1)))))</f>
        <v>0.91257455446153846</v>
      </c>
      <c r="I692" s="44">
        <f t="shared" si="65"/>
        <v>2.104796865116719E-2</v>
      </c>
    </row>
    <row r="693" spans="1:9" x14ac:dyDescent="0.25">
      <c r="A693" s="45">
        <f t="shared" si="61"/>
        <v>45981</v>
      </c>
      <c r="B693" s="14" cm="1">
        <f t="array" ref="B693">_xlfn.IFNA(INDEX('IR data'!$D$4:$D$61,MATCH(A693,'IR data'!$C$4:$C$61,0)),((INDEX('IR data'!$D$4:$D$61,MATCH(A693,'IR data'!$C$4:$C$61,1)))-((A693-(INDEX('IR data'!$C$4:$C$61,MATCH(A693,'IR data'!$C$4:$C$61,1))))/((INDEX('IR data'!$C$4:$C$61,MATCH(A693,'IR data'!$C$4:$C$61,1)+1)-INDEX('IR data'!$C$4:$C$61,MATCH(A693,'IR data'!$C$4:$C$61,1))))) * (INDEX('IR data'!$D$4:$D$61,MATCH(A693,'IR data'!$C$4:$C$61,1))-(INDEX('IR data'!$D$4:$D$61,MATCH(A693,'IR data'!$C$4:$C$61,1)+1)))))</f>
        <v>0.9205396980425532</v>
      </c>
      <c r="C693" s="30">
        <f t="shared" si="62"/>
        <v>1.9020984694697051E-2</v>
      </c>
      <c r="D693" s="45">
        <f t="shared" si="63"/>
        <v>46041</v>
      </c>
      <c r="E693" s="14" cm="1">
        <f t="array" ref="E693">_xlfn.IFNA(INDEX('IR data'!$I$4:$I$61,MATCH(D693,'IR data'!$H$4:$H$61,0)),((INDEX('IR data'!$I$4:$I$61,MATCH(D693,'IR data'!$H$4:$H$61,1)))-((D693-(INDEX('IR data'!$H$4:$H$61,MATCH(D693,'IR data'!$H$4:$H$61,1))))/((INDEX('IR data'!$H$4:$H$61,MATCH(D693,'IR data'!$H$4:$H$61,1)+1)-INDEX('IR data'!$H$4:$H$61,MATCH(D693,'IR data'!$H$4:$H$61,1))))) * (INDEX('IR data'!$I$4:$I$61,MATCH(D693,'IR data'!$H$4:$H$61,1))-(INDEX('IR data'!$I$4:$I$61,MATCH(D693,'IR data'!$H$4:$H$61,1)+1)))))</f>
        <v>0.91348920022222224</v>
      </c>
      <c r="F693" s="30">
        <f t="shared" si="64"/>
        <v>2.0787322760215356E-2</v>
      </c>
      <c r="G693" s="45">
        <f t="shared" si="60"/>
        <v>46075</v>
      </c>
      <c r="H693" s="14" cm="1">
        <f t="array" ref="H693">_xlfn.IFNA(INDEX('IR data'!$N$4:$N$61,MATCH(G693,'IR data'!$M$4:$M$61,0)),((INDEX('IR data'!$N$4:$N$61,MATCH(G693,'IR data'!$M$4:$M$61,1)))-((G693-(INDEX('IR data'!$M$4:$M$61,MATCH(G693,'IR data'!$M$4:$M$61,1))))/((INDEX('IR data'!$M$4:$M$61,MATCH(G693,'IR data'!$M$4:$M$61,1)+1)-INDEX('IR data'!$M$4:$M$61,MATCH(G693,'IR data'!$M$4:$M$61,1))))) * (INDEX('IR data'!$N$4:$N$61,MATCH(G693,'IR data'!$M$4:$M$61,1))-(INDEX('IR data'!$N$4:$N$61,MATCH(G693,'IR data'!$M$4:$M$61,1)+1)))))</f>
        <v>0.91246957076923074</v>
      </c>
      <c r="I693" s="44">
        <f t="shared" si="65"/>
        <v>2.104389492034444E-2</v>
      </c>
    </row>
    <row r="694" spans="1:9" x14ac:dyDescent="0.25">
      <c r="A694" s="45">
        <f t="shared" si="61"/>
        <v>45982</v>
      </c>
      <c r="B694" s="14" cm="1">
        <f t="array" ref="B694">_xlfn.IFNA(INDEX('IR data'!$D$4:$D$61,MATCH(A694,'IR data'!$C$4:$C$61,0)),((INDEX('IR data'!$D$4:$D$61,MATCH(A694,'IR data'!$C$4:$C$61,1)))-((A694-(INDEX('IR data'!$C$4:$C$61,MATCH(A694,'IR data'!$C$4:$C$61,1))))/((INDEX('IR data'!$C$4:$C$61,MATCH(A694,'IR data'!$C$4:$C$61,1)+1)-INDEX('IR data'!$C$4:$C$61,MATCH(A694,'IR data'!$C$4:$C$61,1))))) * (INDEX('IR data'!$D$4:$D$61,MATCH(A694,'IR data'!$C$4:$C$61,1))-(INDEX('IR data'!$D$4:$D$61,MATCH(A694,'IR data'!$C$4:$C$61,1)+1)))))</f>
        <v>0.92045561058510639</v>
      </c>
      <c r="C694" s="30">
        <f t="shared" si="62"/>
        <v>1.9014413909006617E-2</v>
      </c>
      <c r="D694" s="45">
        <f t="shared" si="63"/>
        <v>46042</v>
      </c>
      <c r="E694" s="14" cm="1">
        <f t="array" ref="E694">_xlfn.IFNA(INDEX('IR data'!$I$4:$I$61,MATCH(D694,'IR data'!$H$4:$H$61,0)),((INDEX('IR data'!$I$4:$I$61,MATCH(D694,'IR data'!$H$4:$H$61,1)))-((D694-(INDEX('IR data'!$H$4:$H$61,MATCH(D694,'IR data'!$H$4:$H$61,1))))/((INDEX('IR data'!$H$4:$H$61,MATCH(D694,'IR data'!$H$4:$H$61,1)+1)-INDEX('IR data'!$H$4:$H$61,MATCH(D694,'IR data'!$H$4:$H$61,1))))) * (INDEX('IR data'!$I$4:$I$61,MATCH(D694,'IR data'!$H$4:$H$61,1))-(INDEX('IR data'!$I$4:$I$61,MATCH(D694,'IR data'!$H$4:$H$61,1)+1)))))</f>
        <v>0.91338933544444445</v>
      </c>
      <c r="F694" s="30">
        <f t="shared" si="64"/>
        <v>2.0782320049933505E-2</v>
      </c>
      <c r="G694" s="45">
        <f t="shared" si="60"/>
        <v>46076</v>
      </c>
      <c r="H694" s="14" cm="1">
        <f t="array" ref="H694">_xlfn.IFNA(INDEX('IR data'!$N$4:$N$61,MATCH(G694,'IR data'!$M$4:$M$61,0)),((INDEX('IR data'!$N$4:$N$61,MATCH(G694,'IR data'!$M$4:$M$61,1)))-((G694-(INDEX('IR data'!$M$4:$M$61,MATCH(G694,'IR data'!$M$4:$M$61,1))))/((INDEX('IR data'!$M$4:$M$61,MATCH(G694,'IR data'!$M$4:$M$61,1)+1)-INDEX('IR data'!$M$4:$M$61,MATCH(G694,'IR data'!$M$4:$M$61,1))))) * (INDEX('IR data'!$N$4:$N$61,MATCH(G694,'IR data'!$M$4:$M$61,1))-(INDEX('IR data'!$N$4:$N$61,MATCH(G694,'IR data'!$M$4:$M$61,1)+1)))))</f>
        <v>0.91236458707692314</v>
      </c>
      <c r="I694" s="44">
        <f t="shared" si="65"/>
        <v>2.1039836017077929E-2</v>
      </c>
    </row>
    <row r="695" spans="1:9" x14ac:dyDescent="0.25">
      <c r="A695" s="45">
        <f t="shared" si="61"/>
        <v>45983</v>
      </c>
      <c r="B695" s="14" cm="1">
        <f t="array" ref="B695">_xlfn.IFNA(INDEX('IR data'!$D$4:$D$61,MATCH(A695,'IR data'!$C$4:$C$61,0)),((INDEX('IR data'!$D$4:$D$61,MATCH(A695,'IR data'!$C$4:$C$61,1)))-((A695-(INDEX('IR data'!$C$4:$C$61,MATCH(A695,'IR data'!$C$4:$C$61,1))))/((INDEX('IR data'!$C$4:$C$61,MATCH(A695,'IR data'!$C$4:$C$61,1)+1)-INDEX('IR data'!$C$4:$C$61,MATCH(A695,'IR data'!$C$4:$C$61,1))))) * (INDEX('IR data'!$D$4:$D$61,MATCH(A695,'IR data'!$C$4:$C$61,1))-(INDEX('IR data'!$D$4:$D$61,MATCH(A695,'IR data'!$C$4:$C$61,1)+1)))))</f>
        <v>0.92037152312765957</v>
      </c>
      <c r="C695" s="30">
        <f t="shared" si="62"/>
        <v>1.9007864025761871E-2</v>
      </c>
      <c r="D695" s="45">
        <f t="shared" si="63"/>
        <v>46043</v>
      </c>
      <c r="E695" s="14" cm="1">
        <f t="array" ref="E695">_xlfn.IFNA(INDEX('IR data'!$I$4:$I$61,MATCH(D695,'IR data'!$H$4:$H$61,0)),((INDEX('IR data'!$I$4:$I$61,MATCH(D695,'IR data'!$H$4:$H$61,1)))-((D695-(INDEX('IR data'!$H$4:$H$61,MATCH(D695,'IR data'!$H$4:$H$61,1))))/((INDEX('IR data'!$H$4:$H$61,MATCH(D695,'IR data'!$H$4:$H$61,1)+1)-INDEX('IR data'!$H$4:$H$61,MATCH(D695,'IR data'!$H$4:$H$61,1))))) * (INDEX('IR data'!$I$4:$I$61,MATCH(D695,'IR data'!$H$4:$H$61,1))-(INDEX('IR data'!$I$4:$I$61,MATCH(D695,'IR data'!$H$4:$H$61,1)+1)))))</f>
        <v>0.91328947066666666</v>
      </c>
      <c r="F695" s="30">
        <f t="shared" si="64"/>
        <v>2.077733453666995E-2</v>
      </c>
      <c r="G695" s="45">
        <f t="shared" si="60"/>
        <v>46077</v>
      </c>
      <c r="H695" s="14" cm="1">
        <f t="array" ref="H695">_xlfn.IFNA(INDEX('IR data'!$N$4:$N$61,MATCH(G695,'IR data'!$M$4:$M$61,0)),((INDEX('IR data'!$N$4:$N$61,MATCH(G695,'IR data'!$M$4:$M$61,1)))-((G695-(INDEX('IR data'!$M$4:$M$61,MATCH(G695,'IR data'!$M$4:$M$61,1))))/((INDEX('IR data'!$M$4:$M$61,MATCH(G695,'IR data'!$M$4:$M$61,1)+1)-INDEX('IR data'!$M$4:$M$61,MATCH(G695,'IR data'!$M$4:$M$61,1))))) * (INDEX('IR data'!$N$4:$N$61,MATCH(G695,'IR data'!$M$4:$M$61,1))-(INDEX('IR data'!$N$4:$N$61,MATCH(G695,'IR data'!$M$4:$M$61,1)+1)))))</f>
        <v>0.91225960338461543</v>
      </c>
      <c r="I695" s="44">
        <f t="shared" si="65"/>
        <v>2.1035791877784298E-2</v>
      </c>
    </row>
    <row r="696" spans="1:9" x14ac:dyDescent="0.25">
      <c r="A696" s="45">
        <f t="shared" si="61"/>
        <v>45984</v>
      </c>
      <c r="B696" s="14" cm="1">
        <f t="array" ref="B696">_xlfn.IFNA(INDEX('IR data'!$D$4:$D$61,MATCH(A696,'IR data'!$C$4:$C$61,0)),((INDEX('IR data'!$D$4:$D$61,MATCH(A696,'IR data'!$C$4:$C$61,1)))-((A696-(INDEX('IR data'!$C$4:$C$61,MATCH(A696,'IR data'!$C$4:$C$61,1))))/((INDEX('IR data'!$C$4:$C$61,MATCH(A696,'IR data'!$C$4:$C$61,1)+1)-INDEX('IR data'!$C$4:$C$61,MATCH(A696,'IR data'!$C$4:$C$61,1))))) * (INDEX('IR data'!$D$4:$D$61,MATCH(A696,'IR data'!$C$4:$C$61,1))-(INDEX('IR data'!$D$4:$D$61,MATCH(A696,'IR data'!$C$4:$C$61,1)+1)))))</f>
        <v>0.92028743567021276</v>
      </c>
      <c r="C696" s="30">
        <f t="shared" si="62"/>
        <v>1.900133495482486E-2</v>
      </c>
      <c r="D696" s="45">
        <f t="shared" si="63"/>
        <v>46044</v>
      </c>
      <c r="E696" s="14" cm="1">
        <f t="array" ref="E696">_xlfn.IFNA(INDEX('IR data'!$I$4:$I$61,MATCH(D696,'IR data'!$H$4:$H$61,0)),((INDEX('IR data'!$I$4:$I$61,MATCH(D696,'IR data'!$H$4:$H$61,1)))-((D696-(INDEX('IR data'!$H$4:$H$61,MATCH(D696,'IR data'!$H$4:$H$61,1))))/((INDEX('IR data'!$H$4:$H$61,MATCH(D696,'IR data'!$H$4:$H$61,1)+1)-INDEX('IR data'!$H$4:$H$61,MATCH(D696,'IR data'!$H$4:$H$61,1))))) * (INDEX('IR data'!$I$4:$I$61,MATCH(D696,'IR data'!$H$4:$H$61,1))-(INDEX('IR data'!$I$4:$I$61,MATCH(D696,'IR data'!$H$4:$H$61,1)+1)))))</f>
        <v>0.91318960588888887</v>
      </c>
      <c r="F696" s="30">
        <f t="shared" si="64"/>
        <v>2.0772366146576744E-2</v>
      </c>
      <c r="G696" s="45">
        <f t="shared" si="60"/>
        <v>46078</v>
      </c>
      <c r="H696" s="14" cm="1">
        <f t="array" ref="H696">_xlfn.IFNA(INDEX('IR data'!$N$4:$N$61,MATCH(G696,'IR data'!$M$4:$M$61,0)),((INDEX('IR data'!$N$4:$N$61,MATCH(G696,'IR data'!$M$4:$M$61,1)))-((G696-(INDEX('IR data'!$M$4:$M$61,MATCH(G696,'IR data'!$M$4:$M$61,1))))/((INDEX('IR data'!$M$4:$M$61,MATCH(G696,'IR data'!$M$4:$M$61,1)+1)-INDEX('IR data'!$M$4:$M$61,MATCH(G696,'IR data'!$M$4:$M$61,1))))) * (INDEX('IR data'!$N$4:$N$61,MATCH(G696,'IR data'!$M$4:$M$61,1))-(INDEX('IR data'!$N$4:$N$61,MATCH(G696,'IR data'!$M$4:$M$61,1)+1)))))</f>
        <v>0.91215461969230771</v>
      </c>
      <c r="I696" s="44">
        <f t="shared" si="65"/>
        <v>2.1031762439247325E-2</v>
      </c>
    </row>
    <row r="697" spans="1:9" x14ac:dyDescent="0.25">
      <c r="A697" s="45">
        <f t="shared" si="61"/>
        <v>45985</v>
      </c>
      <c r="B697" s="14" cm="1">
        <f t="array" ref="B697">_xlfn.IFNA(INDEX('IR data'!$D$4:$D$61,MATCH(A697,'IR data'!$C$4:$C$61,0)),((INDEX('IR data'!$D$4:$D$61,MATCH(A697,'IR data'!$C$4:$C$61,1)))-((A697-(INDEX('IR data'!$C$4:$C$61,MATCH(A697,'IR data'!$C$4:$C$61,1))))/((INDEX('IR data'!$C$4:$C$61,MATCH(A697,'IR data'!$C$4:$C$61,1)+1)-INDEX('IR data'!$C$4:$C$61,MATCH(A697,'IR data'!$C$4:$C$61,1))))) * (INDEX('IR data'!$D$4:$D$61,MATCH(A697,'IR data'!$C$4:$C$61,1))-(INDEX('IR data'!$D$4:$D$61,MATCH(A697,'IR data'!$C$4:$C$61,1)+1)))))</f>
        <v>0.92020334821276595</v>
      </c>
      <c r="C697" s="30">
        <f t="shared" si="62"/>
        <v>1.899482660657727E-2</v>
      </c>
      <c r="D697" s="45">
        <f t="shared" si="63"/>
        <v>46045</v>
      </c>
      <c r="E697" s="14" cm="1">
        <f t="array" ref="E697">_xlfn.IFNA(INDEX('IR data'!$I$4:$I$61,MATCH(D697,'IR data'!$H$4:$H$61,0)),((INDEX('IR data'!$I$4:$I$61,MATCH(D697,'IR data'!$H$4:$H$61,1)))-((D697-(INDEX('IR data'!$H$4:$H$61,MATCH(D697,'IR data'!$H$4:$H$61,1))))/((INDEX('IR data'!$H$4:$H$61,MATCH(D697,'IR data'!$H$4:$H$61,1)+1)-INDEX('IR data'!$H$4:$H$61,MATCH(D697,'IR data'!$H$4:$H$61,1))))) * (INDEX('IR data'!$I$4:$I$61,MATCH(D697,'IR data'!$H$4:$H$61,1))-(INDEX('IR data'!$I$4:$I$61,MATCH(D697,'IR data'!$H$4:$H$61,1)+1)))))</f>
        <v>0.91308974111111108</v>
      </c>
      <c r="F697" s="30">
        <f t="shared" si="64"/>
        <v>2.076741480623177E-2</v>
      </c>
      <c r="G697" s="45">
        <f t="shared" si="60"/>
        <v>46079</v>
      </c>
      <c r="H697" s="14" cm="1">
        <f t="array" ref="H697">_xlfn.IFNA(INDEX('IR data'!$N$4:$N$61,MATCH(G697,'IR data'!$M$4:$M$61,0)),((INDEX('IR data'!$N$4:$N$61,MATCH(G697,'IR data'!$M$4:$M$61,1)))-((G697-(INDEX('IR data'!$M$4:$M$61,MATCH(G697,'IR data'!$M$4:$M$61,1))))/((INDEX('IR data'!$M$4:$M$61,MATCH(G697,'IR data'!$M$4:$M$61,1)+1)-INDEX('IR data'!$M$4:$M$61,MATCH(G697,'IR data'!$M$4:$M$61,1))))) * (INDEX('IR data'!$N$4:$N$61,MATCH(G697,'IR data'!$M$4:$M$61,1))-(INDEX('IR data'!$N$4:$N$61,MATCH(G697,'IR data'!$M$4:$M$61,1)+1)))))</f>
        <v>0.912049636</v>
      </c>
      <c r="I697" s="44">
        <f t="shared" si="65"/>
        <v>2.1027747638615441E-2</v>
      </c>
    </row>
    <row r="698" spans="1:9" x14ac:dyDescent="0.25">
      <c r="A698" s="45">
        <f t="shared" si="61"/>
        <v>45986</v>
      </c>
      <c r="B698" s="14" cm="1">
        <f t="array" ref="B698">_xlfn.IFNA(INDEX('IR data'!$D$4:$D$61,MATCH(A698,'IR data'!$C$4:$C$61,0)),((INDEX('IR data'!$D$4:$D$61,MATCH(A698,'IR data'!$C$4:$C$61,1)))-((A698-(INDEX('IR data'!$C$4:$C$61,MATCH(A698,'IR data'!$C$4:$C$61,1))))/((INDEX('IR data'!$C$4:$C$61,MATCH(A698,'IR data'!$C$4:$C$61,1)+1)-INDEX('IR data'!$C$4:$C$61,MATCH(A698,'IR data'!$C$4:$C$61,1))))) * (INDEX('IR data'!$D$4:$D$61,MATCH(A698,'IR data'!$C$4:$C$61,1))-(INDEX('IR data'!$D$4:$D$61,MATCH(A698,'IR data'!$C$4:$C$61,1)+1)))))</f>
        <v>0.92011926075531913</v>
      </c>
      <c r="C698" s="30">
        <f t="shared" si="62"/>
        <v>1.8988338891916652E-2</v>
      </c>
      <c r="D698" s="45">
        <f t="shared" si="63"/>
        <v>46046</v>
      </c>
      <c r="E698" s="14" cm="1">
        <f t="array" ref="E698">_xlfn.IFNA(INDEX('IR data'!$I$4:$I$61,MATCH(D698,'IR data'!$H$4:$H$61,0)),((INDEX('IR data'!$I$4:$I$61,MATCH(D698,'IR data'!$H$4:$H$61,1)))-((D698-(INDEX('IR data'!$H$4:$H$61,MATCH(D698,'IR data'!$H$4:$H$61,1))))/((INDEX('IR data'!$H$4:$H$61,MATCH(D698,'IR data'!$H$4:$H$61,1)+1)-INDEX('IR data'!$H$4:$H$61,MATCH(D698,'IR data'!$H$4:$H$61,1))))) * (INDEX('IR data'!$I$4:$I$61,MATCH(D698,'IR data'!$H$4:$H$61,1))-(INDEX('IR data'!$I$4:$I$61,MATCH(D698,'IR data'!$H$4:$H$61,1)+1)))))</f>
        <v>0.91298987633333328</v>
      </c>
      <c r="F698" s="30">
        <f t="shared" si="64"/>
        <v>2.0762480442635678E-2</v>
      </c>
      <c r="G698" s="45">
        <f t="shared" si="60"/>
        <v>46080</v>
      </c>
      <c r="H698" s="14" cm="1">
        <f t="array" ref="H698">_xlfn.IFNA(INDEX('IR data'!$N$4:$N$61,MATCH(G698,'IR data'!$M$4:$M$61,0)),((INDEX('IR data'!$N$4:$N$61,MATCH(G698,'IR data'!$M$4:$M$61,1)))-((G698-(INDEX('IR data'!$M$4:$M$61,MATCH(G698,'IR data'!$M$4:$M$61,1))))/((INDEX('IR data'!$M$4:$M$61,MATCH(G698,'IR data'!$M$4:$M$61,1)+1)-INDEX('IR data'!$M$4:$M$61,MATCH(G698,'IR data'!$M$4:$M$61,1))))) * (INDEX('IR data'!$N$4:$N$61,MATCH(G698,'IR data'!$M$4:$M$61,1))-(INDEX('IR data'!$N$4:$N$61,MATCH(G698,'IR data'!$M$4:$M$61,1)+1)))))</f>
        <v>0.91194465230769228</v>
      </c>
      <c r="I698" s="44">
        <f t="shared" si="65"/>
        <v>2.1023747413399036E-2</v>
      </c>
    </row>
    <row r="699" spans="1:9" x14ac:dyDescent="0.25">
      <c r="A699" s="45">
        <f t="shared" si="61"/>
        <v>45987</v>
      </c>
      <c r="B699" s="14" cm="1">
        <f t="array" ref="B699">_xlfn.IFNA(INDEX('IR data'!$D$4:$D$61,MATCH(A699,'IR data'!$C$4:$C$61,0)),((INDEX('IR data'!$D$4:$D$61,MATCH(A699,'IR data'!$C$4:$C$61,1)))-((A699-(INDEX('IR data'!$C$4:$C$61,MATCH(A699,'IR data'!$C$4:$C$61,1))))/((INDEX('IR data'!$C$4:$C$61,MATCH(A699,'IR data'!$C$4:$C$61,1)+1)-INDEX('IR data'!$C$4:$C$61,MATCH(A699,'IR data'!$C$4:$C$61,1))))) * (INDEX('IR data'!$D$4:$D$61,MATCH(A699,'IR data'!$C$4:$C$61,1))-(INDEX('IR data'!$D$4:$D$61,MATCH(A699,'IR data'!$C$4:$C$61,1)+1)))))</f>
        <v>0.92003517329787232</v>
      </c>
      <c r="C699" s="30">
        <f t="shared" si="62"/>
        <v>1.8981871722252762E-2</v>
      </c>
      <c r="D699" s="45">
        <f t="shared" si="63"/>
        <v>46047</v>
      </c>
      <c r="E699" s="14" cm="1">
        <f t="array" ref="E699">_xlfn.IFNA(INDEX('IR data'!$I$4:$I$61,MATCH(D699,'IR data'!$H$4:$H$61,0)),((INDEX('IR data'!$I$4:$I$61,MATCH(D699,'IR data'!$H$4:$H$61,1)))-((D699-(INDEX('IR data'!$H$4:$H$61,MATCH(D699,'IR data'!$H$4:$H$61,1))))/((INDEX('IR data'!$H$4:$H$61,MATCH(D699,'IR data'!$H$4:$H$61,1)+1)-INDEX('IR data'!$H$4:$H$61,MATCH(D699,'IR data'!$H$4:$H$61,1))))) * (INDEX('IR data'!$I$4:$I$61,MATCH(D699,'IR data'!$H$4:$H$61,1))-(INDEX('IR data'!$I$4:$I$61,MATCH(D699,'IR data'!$H$4:$H$61,1)+1)))))</f>
        <v>0.91289001155555549</v>
      </c>
      <c r="F699" s="30">
        <f t="shared" si="64"/>
        <v>2.0757562983208862E-2</v>
      </c>
      <c r="G699" s="45">
        <f t="shared" si="60"/>
        <v>46081</v>
      </c>
      <c r="H699" s="14" cm="1">
        <f t="array" ref="H699">_xlfn.IFNA(INDEX('IR data'!$N$4:$N$61,MATCH(G699,'IR data'!$M$4:$M$61,0)),((INDEX('IR data'!$N$4:$N$61,MATCH(G699,'IR data'!$M$4:$M$61,1)))-((G699-(INDEX('IR data'!$M$4:$M$61,MATCH(G699,'IR data'!$M$4:$M$61,1))))/((INDEX('IR data'!$M$4:$M$61,MATCH(G699,'IR data'!$M$4:$M$61,1)+1)-INDEX('IR data'!$M$4:$M$61,MATCH(G699,'IR data'!$M$4:$M$61,1))))) * (INDEX('IR data'!$N$4:$N$61,MATCH(G699,'IR data'!$M$4:$M$61,1))-(INDEX('IR data'!$N$4:$N$61,MATCH(G699,'IR data'!$M$4:$M$61,1)+1)))))</f>
        <v>0.91183966861538468</v>
      </c>
      <c r="I699" s="44">
        <f t="shared" si="65"/>
        <v>2.101976170146785E-2</v>
      </c>
    </row>
    <row r="700" spans="1:9" x14ac:dyDescent="0.25">
      <c r="A700" s="45">
        <f t="shared" si="61"/>
        <v>45988</v>
      </c>
      <c r="B700" s="14" cm="1">
        <f t="array" ref="B700">_xlfn.IFNA(INDEX('IR data'!$D$4:$D$61,MATCH(A700,'IR data'!$C$4:$C$61,0)),((INDEX('IR data'!$D$4:$D$61,MATCH(A700,'IR data'!$C$4:$C$61,1)))-((A700-(INDEX('IR data'!$C$4:$C$61,MATCH(A700,'IR data'!$C$4:$C$61,1))))/((INDEX('IR data'!$C$4:$C$61,MATCH(A700,'IR data'!$C$4:$C$61,1)+1)-INDEX('IR data'!$C$4:$C$61,MATCH(A700,'IR data'!$C$4:$C$61,1))))) * (INDEX('IR data'!$D$4:$D$61,MATCH(A700,'IR data'!$C$4:$C$61,1))-(INDEX('IR data'!$D$4:$D$61,MATCH(A700,'IR data'!$C$4:$C$61,1)+1)))))</f>
        <v>0.91995108584042551</v>
      </c>
      <c r="C700" s="30">
        <f t="shared" si="62"/>
        <v>1.8975425009503832E-2</v>
      </c>
      <c r="D700" s="45">
        <f t="shared" si="63"/>
        <v>46048</v>
      </c>
      <c r="E700" s="14" cm="1">
        <f t="array" ref="E700">_xlfn.IFNA(INDEX('IR data'!$I$4:$I$61,MATCH(D700,'IR data'!$H$4:$H$61,0)),((INDEX('IR data'!$I$4:$I$61,MATCH(D700,'IR data'!$H$4:$H$61,1)))-((D700-(INDEX('IR data'!$H$4:$H$61,MATCH(D700,'IR data'!$H$4:$H$61,1))))/((INDEX('IR data'!$H$4:$H$61,MATCH(D700,'IR data'!$H$4:$H$61,1)+1)-INDEX('IR data'!$H$4:$H$61,MATCH(D700,'IR data'!$H$4:$H$61,1))))) * (INDEX('IR data'!$I$4:$I$61,MATCH(D700,'IR data'!$H$4:$H$61,1))-(INDEX('IR data'!$I$4:$I$61,MATCH(D700,'IR data'!$H$4:$H$61,1)+1)))))</f>
        <v>0.9127901467777777</v>
      </c>
      <c r="F700" s="30">
        <f t="shared" si="64"/>
        <v>2.0752662355788414E-2</v>
      </c>
      <c r="G700" s="45">
        <f t="shared" si="60"/>
        <v>46082</v>
      </c>
      <c r="H700" s="14" cm="1">
        <f t="array" ref="H700">_xlfn.IFNA(INDEX('IR data'!$N$4:$N$61,MATCH(G700,'IR data'!$M$4:$M$61,0)),((INDEX('IR data'!$N$4:$N$61,MATCH(G700,'IR data'!$M$4:$M$61,1)))-((G700-(INDEX('IR data'!$M$4:$M$61,MATCH(G700,'IR data'!$M$4:$M$61,1))))/((INDEX('IR data'!$M$4:$M$61,MATCH(G700,'IR data'!$M$4:$M$61,1)+1)-INDEX('IR data'!$M$4:$M$61,MATCH(G700,'IR data'!$M$4:$M$61,1))))) * (INDEX('IR data'!$N$4:$N$61,MATCH(G700,'IR data'!$M$4:$M$61,1))-(INDEX('IR data'!$N$4:$N$61,MATCH(G700,'IR data'!$M$4:$M$61,1)+1)))))</f>
        <v>0.91173468492307697</v>
      </c>
      <c r="I700" s="44">
        <f t="shared" si="65"/>
        <v>2.101579044104851E-2</v>
      </c>
    </row>
    <row r="701" spans="1:9" x14ac:dyDescent="0.25">
      <c r="A701" s="45">
        <f t="shared" si="61"/>
        <v>45989</v>
      </c>
      <c r="B701" s="14" cm="1">
        <f t="array" ref="B701">_xlfn.IFNA(INDEX('IR data'!$D$4:$D$61,MATCH(A701,'IR data'!$C$4:$C$61,0)),((INDEX('IR data'!$D$4:$D$61,MATCH(A701,'IR data'!$C$4:$C$61,1)))-((A701-(INDEX('IR data'!$C$4:$C$61,MATCH(A701,'IR data'!$C$4:$C$61,1))))/((INDEX('IR data'!$C$4:$C$61,MATCH(A701,'IR data'!$C$4:$C$61,1)+1)-INDEX('IR data'!$C$4:$C$61,MATCH(A701,'IR data'!$C$4:$C$61,1))))) * (INDEX('IR data'!$D$4:$D$61,MATCH(A701,'IR data'!$C$4:$C$61,1))-(INDEX('IR data'!$D$4:$D$61,MATCH(A701,'IR data'!$C$4:$C$61,1)+1)))))</f>
        <v>0.9198669983829787</v>
      </c>
      <c r="C701" s="30">
        <f t="shared" si="62"/>
        <v>1.8968998666092984E-2</v>
      </c>
      <c r="D701" s="45">
        <f t="shared" si="63"/>
        <v>46049</v>
      </c>
      <c r="E701" s="14" cm="1">
        <f t="array" ref="E701">_xlfn.IFNA(INDEX('IR data'!$I$4:$I$61,MATCH(D701,'IR data'!$H$4:$H$61,0)),((INDEX('IR data'!$I$4:$I$61,MATCH(D701,'IR data'!$H$4:$H$61,1)))-((D701-(INDEX('IR data'!$H$4:$H$61,MATCH(D701,'IR data'!$H$4:$H$61,1))))/((INDEX('IR data'!$H$4:$H$61,MATCH(D701,'IR data'!$H$4:$H$61,1)+1)-INDEX('IR data'!$H$4:$H$61,MATCH(D701,'IR data'!$H$4:$H$61,1))))) * (INDEX('IR data'!$I$4:$I$61,MATCH(D701,'IR data'!$H$4:$H$61,1))-(INDEX('IR data'!$I$4:$I$61,MATCH(D701,'IR data'!$H$4:$H$61,1)+1)))))</f>
        <v>0.91269028200000002</v>
      </c>
      <c r="F701" s="30">
        <f t="shared" si="64"/>
        <v>2.0747778488625166E-2</v>
      </c>
      <c r="G701" s="45">
        <f t="shared" si="60"/>
        <v>46083</v>
      </c>
      <c r="H701" s="14" cm="1">
        <f t="array" ref="H701">_xlfn.IFNA(INDEX('IR data'!$N$4:$N$61,MATCH(G701,'IR data'!$M$4:$M$61,0)),((INDEX('IR data'!$N$4:$N$61,MATCH(G701,'IR data'!$M$4:$M$61,1)))-((G701-(INDEX('IR data'!$M$4:$M$61,MATCH(G701,'IR data'!$M$4:$M$61,1))))/((INDEX('IR data'!$M$4:$M$61,MATCH(G701,'IR data'!$M$4:$M$61,1)+1)-INDEX('IR data'!$M$4:$M$61,MATCH(G701,'IR data'!$M$4:$M$61,1))))) * (INDEX('IR data'!$N$4:$N$61,MATCH(G701,'IR data'!$M$4:$M$61,1))-(INDEX('IR data'!$N$4:$N$61,MATCH(G701,'IR data'!$M$4:$M$61,1)+1)))))</f>
        <v>0.91162970123076925</v>
      </c>
      <c r="I701" s="44">
        <f t="shared" si="65"/>
        <v>2.1011833570721797E-2</v>
      </c>
    </row>
    <row r="702" spans="1:9" x14ac:dyDescent="0.25">
      <c r="A702" s="45">
        <f t="shared" si="61"/>
        <v>45990</v>
      </c>
      <c r="B702" s="14" cm="1">
        <f t="array" ref="B702">_xlfn.IFNA(INDEX('IR data'!$D$4:$D$61,MATCH(A702,'IR data'!$C$4:$C$61,0)),((INDEX('IR data'!$D$4:$D$61,MATCH(A702,'IR data'!$C$4:$C$61,1)))-((A702-(INDEX('IR data'!$C$4:$C$61,MATCH(A702,'IR data'!$C$4:$C$61,1))))/((INDEX('IR data'!$C$4:$C$61,MATCH(A702,'IR data'!$C$4:$C$61,1)+1)-INDEX('IR data'!$C$4:$C$61,MATCH(A702,'IR data'!$C$4:$C$61,1))))) * (INDEX('IR data'!$D$4:$D$61,MATCH(A702,'IR data'!$C$4:$C$61,1))-(INDEX('IR data'!$D$4:$D$61,MATCH(A702,'IR data'!$C$4:$C$61,1)+1)))))</f>
        <v>0.91978291092553188</v>
      </c>
      <c r="C702" s="30">
        <f t="shared" si="62"/>
        <v>1.8962592604944557E-2</v>
      </c>
      <c r="D702" s="45">
        <f t="shared" si="63"/>
        <v>46050</v>
      </c>
      <c r="E702" s="14" cm="1">
        <f t="array" ref="E702">_xlfn.IFNA(INDEX('IR data'!$I$4:$I$61,MATCH(D702,'IR data'!$H$4:$H$61,0)),((INDEX('IR data'!$I$4:$I$61,MATCH(D702,'IR data'!$H$4:$H$61,1)))-((D702-(INDEX('IR data'!$H$4:$H$61,MATCH(D702,'IR data'!$H$4:$H$61,1))))/((INDEX('IR data'!$H$4:$H$61,MATCH(D702,'IR data'!$H$4:$H$61,1)+1)-INDEX('IR data'!$H$4:$H$61,MATCH(D702,'IR data'!$H$4:$H$61,1))))) * (INDEX('IR data'!$I$4:$I$61,MATCH(D702,'IR data'!$H$4:$H$61,1))-(INDEX('IR data'!$I$4:$I$61,MATCH(D702,'IR data'!$H$4:$H$61,1)+1)))))</f>
        <v>0.91259041722222223</v>
      </c>
      <c r="F702" s="30">
        <f t="shared" si="64"/>
        <v>2.0742911310380776E-2</v>
      </c>
      <c r="G702" s="45">
        <f t="shared" si="60"/>
        <v>46084</v>
      </c>
      <c r="H702" s="14" cm="1">
        <f t="array" ref="H702">_xlfn.IFNA(INDEX('IR data'!$N$4:$N$61,MATCH(G702,'IR data'!$M$4:$M$61,0)),((INDEX('IR data'!$N$4:$N$61,MATCH(G702,'IR data'!$M$4:$M$61,1)))-((G702-(INDEX('IR data'!$M$4:$M$61,MATCH(G702,'IR data'!$M$4:$M$61,1))))/((INDEX('IR data'!$M$4:$M$61,MATCH(G702,'IR data'!$M$4:$M$61,1)+1)-INDEX('IR data'!$M$4:$M$61,MATCH(G702,'IR data'!$M$4:$M$61,1))))) * (INDEX('IR data'!$N$4:$N$61,MATCH(G702,'IR data'!$M$4:$M$61,1))-(INDEX('IR data'!$N$4:$N$61,MATCH(G702,'IR data'!$M$4:$M$61,1)+1)))))</f>
        <v>0.91152471753846154</v>
      </c>
      <c r="I702" s="44">
        <f t="shared" si="65"/>
        <v>2.1007891029420231E-2</v>
      </c>
    </row>
    <row r="703" spans="1:9" x14ac:dyDescent="0.25">
      <c r="A703" s="45">
        <f t="shared" si="61"/>
        <v>45991</v>
      </c>
      <c r="B703" s="14" cm="1">
        <f t="array" ref="B703">_xlfn.IFNA(INDEX('IR data'!$D$4:$D$61,MATCH(A703,'IR data'!$C$4:$C$61,0)),((INDEX('IR data'!$D$4:$D$61,MATCH(A703,'IR data'!$C$4:$C$61,1)))-((A703-(INDEX('IR data'!$C$4:$C$61,MATCH(A703,'IR data'!$C$4:$C$61,1))))/((INDEX('IR data'!$C$4:$C$61,MATCH(A703,'IR data'!$C$4:$C$61,1)+1)-INDEX('IR data'!$C$4:$C$61,MATCH(A703,'IR data'!$C$4:$C$61,1))))) * (INDEX('IR data'!$D$4:$D$61,MATCH(A703,'IR data'!$C$4:$C$61,1))-(INDEX('IR data'!$D$4:$D$61,MATCH(A703,'IR data'!$C$4:$C$61,1)+1)))))</f>
        <v>0.91969882346808507</v>
      </c>
      <c r="C703" s="30">
        <f t="shared" si="62"/>
        <v>1.8956206739480595E-2</v>
      </c>
      <c r="D703" s="45">
        <f t="shared" si="63"/>
        <v>46051</v>
      </c>
      <c r="E703" s="14" cm="1">
        <f t="array" ref="E703">_xlfn.IFNA(INDEX('IR data'!$I$4:$I$61,MATCH(D703,'IR data'!$H$4:$H$61,0)),((INDEX('IR data'!$I$4:$I$61,MATCH(D703,'IR data'!$H$4:$H$61,1)))-((D703-(INDEX('IR data'!$H$4:$H$61,MATCH(D703,'IR data'!$H$4:$H$61,1))))/((INDEX('IR data'!$H$4:$H$61,MATCH(D703,'IR data'!$H$4:$H$61,1)+1)-INDEX('IR data'!$H$4:$H$61,MATCH(D703,'IR data'!$H$4:$H$61,1))))) * (INDEX('IR data'!$I$4:$I$61,MATCH(D703,'IR data'!$H$4:$H$61,1))-(INDEX('IR data'!$I$4:$I$61,MATCH(D703,'IR data'!$H$4:$H$61,1)+1)))))</f>
        <v>0.91249055244444444</v>
      </c>
      <c r="F703" s="30">
        <f t="shared" si="64"/>
        <v>2.0738060750124687E-2</v>
      </c>
      <c r="G703" s="45">
        <f t="shared" si="60"/>
        <v>46085</v>
      </c>
      <c r="H703" s="14" cm="1">
        <f t="array" ref="H703">_xlfn.IFNA(INDEX('IR data'!$N$4:$N$61,MATCH(G703,'IR data'!$M$4:$M$61,0)),((INDEX('IR data'!$N$4:$N$61,MATCH(G703,'IR data'!$M$4:$M$61,1)))-((G703-(INDEX('IR data'!$M$4:$M$61,MATCH(G703,'IR data'!$M$4:$M$61,1))))/((INDEX('IR data'!$M$4:$M$61,MATCH(G703,'IR data'!$M$4:$M$61,1)+1)-INDEX('IR data'!$M$4:$M$61,MATCH(G703,'IR data'!$M$4:$M$61,1))))) * (INDEX('IR data'!$N$4:$N$61,MATCH(G703,'IR data'!$M$4:$M$61,1))-(INDEX('IR data'!$N$4:$N$61,MATCH(G703,'IR data'!$M$4:$M$61,1)+1)))))</f>
        <v>0.91141973384615382</v>
      </c>
      <c r="I703" s="44">
        <f t="shared" si="65"/>
        <v>2.1003962756425524E-2</v>
      </c>
    </row>
    <row r="704" spans="1:9" x14ac:dyDescent="0.25">
      <c r="A704" s="45">
        <f t="shared" si="61"/>
        <v>45992</v>
      </c>
      <c r="B704" s="14" cm="1">
        <f t="array" ref="B704">_xlfn.IFNA(INDEX('IR data'!$D$4:$D$61,MATCH(A704,'IR data'!$C$4:$C$61,0)),((INDEX('IR data'!$D$4:$D$61,MATCH(A704,'IR data'!$C$4:$C$61,1)))-((A704-(INDEX('IR data'!$C$4:$C$61,MATCH(A704,'IR data'!$C$4:$C$61,1))))/((INDEX('IR data'!$C$4:$C$61,MATCH(A704,'IR data'!$C$4:$C$61,1)+1)-INDEX('IR data'!$C$4:$C$61,MATCH(A704,'IR data'!$C$4:$C$61,1))))) * (INDEX('IR data'!$D$4:$D$61,MATCH(A704,'IR data'!$C$4:$C$61,1))-(INDEX('IR data'!$D$4:$D$61,MATCH(A704,'IR data'!$C$4:$C$61,1)+1)))))</f>
        <v>0.91961473601063837</v>
      </c>
      <c r="C704" s="30">
        <f t="shared" si="62"/>
        <v>1.8949840983617197E-2</v>
      </c>
      <c r="D704" s="45">
        <f t="shared" si="63"/>
        <v>46052</v>
      </c>
      <c r="E704" s="14" cm="1">
        <f t="array" ref="E704">_xlfn.IFNA(INDEX('IR data'!$I$4:$I$61,MATCH(D704,'IR data'!$H$4:$H$61,0)),((INDEX('IR data'!$I$4:$I$61,MATCH(D704,'IR data'!$H$4:$H$61,1)))-((D704-(INDEX('IR data'!$H$4:$H$61,MATCH(D704,'IR data'!$H$4:$H$61,1))))/((INDEX('IR data'!$H$4:$H$61,MATCH(D704,'IR data'!$H$4:$H$61,1)+1)-INDEX('IR data'!$H$4:$H$61,MATCH(D704,'IR data'!$H$4:$H$61,1))))) * (INDEX('IR data'!$I$4:$I$61,MATCH(D704,'IR data'!$H$4:$H$61,1))-(INDEX('IR data'!$I$4:$I$61,MATCH(D704,'IR data'!$H$4:$H$61,1)+1)))))</f>
        <v>0.91239068766666664</v>
      </c>
      <c r="F704" s="30">
        <f t="shared" si="64"/>
        <v>2.073322673733129E-2</v>
      </c>
      <c r="G704" s="45">
        <f t="shared" si="60"/>
        <v>46086</v>
      </c>
      <c r="H704" s="14" cm="1">
        <f t="array" ref="H704">_xlfn.IFNA(INDEX('IR data'!$N$4:$N$61,MATCH(G704,'IR data'!$M$4:$M$61,0)),((INDEX('IR data'!$N$4:$N$61,MATCH(G704,'IR data'!$M$4:$M$61,1)))-((G704-(INDEX('IR data'!$M$4:$M$61,MATCH(G704,'IR data'!$M$4:$M$61,1))))/((INDEX('IR data'!$M$4:$M$61,MATCH(G704,'IR data'!$M$4:$M$61,1)+1)-INDEX('IR data'!$M$4:$M$61,MATCH(G704,'IR data'!$M$4:$M$61,1))))) * (INDEX('IR data'!$N$4:$N$61,MATCH(G704,'IR data'!$M$4:$M$61,1))-(INDEX('IR data'!$N$4:$N$61,MATCH(G704,'IR data'!$M$4:$M$61,1)+1)))))</f>
        <v>0.91131475015384622</v>
      </c>
      <c r="I704" s="44">
        <f t="shared" si="65"/>
        <v>2.1000048691366069E-2</v>
      </c>
    </row>
    <row r="705" spans="1:9" x14ac:dyDescent="0.25">
      <c r="A705" s="45">
        <f t="shared" si="61"/>
        <v>45993</v>
      </c>
      <c r="B705" s="14" cm="1">
        <f t="array" ref="B705">_xlfn.IFNA(INDEX('IR data'!$D$4:$D$61,MATCH(A705,'IR data'!$C$4:$C$61,0)),((INDEX('IR data'!$D$4:$D$61,MATCH(A705,'IR data'!$C$4:$C$61,1)))-((A705-(INDEX('IR data'!$C$4:$C$61,MATCH(A705,'IR data'!$C$4:$C$61,1))))/((INDEX('IR data'!$C$4:$C$61,MATCH(A705,'IR data'!$C$4:$C$61,1)+1)-INDEX('IR data'!$C$4:$C$61,MATCH(A705,'IR data'!$C$4:$C$61,1))))) * (INDEX('IR data'!$D$4:$D$61,MATCH(A705,'IR data'!$C$4:$C$61,1))-(INDEX('IR data'!$D$4:$D$61,MATCH(A705,'IR data'!$C$4:$C$61,1)+1)))))</f>
        <v>0.91953064855319155</v>
      </c>
      <c r="C705" s="30">
        <f t="shared" si="62"/>
        <v>1.8943495251761189E-2</v>
      </c>
      <c r="D705" s="45">
        <f t="shared" si="63"/>
        <v>46053</v>
      </c>
      <c r="E705" s="14" cm="1">
        <f t="array" ref="E705">_xlfn.IFNA(INDEX('IR data'!$I$4:$I$61,MATCH(D705,'IR data'!$H$4:$H$61,0)),((INDEX('IR data'!$I$4:$I$61,MATCH(D705,'IR data'!$H$4:$H$61,1)))-((D705-(INDEX('IR data'!$H$4:$H$61,MATCH(D705,'IR data'!$H$4:$H$61,1))))/((INDEX('IR data'!$H$4:$H$61,MATCH(D705,'IR data'!$H$4:$H$61,1)+1)-INDEX('IR data'!$H$4:$H$61,MATCH(D705,'IR data'!$H$4:$H$61,1))))) * (INDEX('IR data'!$I$4:$I$61,MATCH(D705,'IR data'!$H$4:$H$61,1))-(INDEX('IR data'!$I$4:$I$61,MATCH(D705,'IR data'!$H$4:$H$61,1)+1)))))</f>
        <v>0.91229082288888885</v>
      </c>
      <c r="F705" s="30">
        <f t="shared" si="64"/>
        <v>2.0728409201877032E-2</v>
      </c>
      <c r="G705" s="45">
        <f t="shared" si="60"/>
        <v>46087</v>
      </c>
      <c r="H705" s="14" cm="1">
        <f t="array" ref="H705">_xlfn.IFNA(INDEX('IR data'!$N$4:$N$61,MATCH(G705,'IR data'!$M$4:$M$61,0)),((INDEX('IR data'!$N$4:$N$61,MATCH(G705,'IR data'!$M$4:$M$61,1)))-((G705-(INDEX('IR data'!$M$4:$M$61,MATCH(G705,'IR data'!$M$4:$M$61,1))))/((INDEX('IR data'!$M$4:$M$61,MATCH(G705,'IR data'!$M$4:$M$61,1)+1)-INDEX('IR data'!$M$4:$M$61,MATCH(G705,'IR data'!$M$4:$M$61,1))))) * (INDEX('IR data'!$N$4:$N$61,MATCH(G705,'IR data'!$M$4:$M$61,1))-(INDEX('IR data'!$N$4:$N$61,MATCH(G705,'IR data'!$M$4:$M$61,1)+1)))))</f>
        <v>0.91120976646153851</v>
      </c>
      <c r="I705" s="44">
        <f t="shared" si="65"/>
        <v>2.0996148774214574E-2</v>
      </c>
    </row>
    <row r="706" spans="1:9" x14ac:dyDescent="0.25">
      <c r="A706" s="45">
        <f t="shared" si="61"/>
        <v>45994</v>
      </c>
      <c r="B706" s="14" cm="1">
        <f t="array" ref="B706">_xlfn.IFNA(INDEX('IR data'!$D$4:$D$61,MATCH(A706,'IR data'!$C$4:$C$61,0)),((INDEX('IR data'!$D$4:$D$61,MATCH(A706,'IR data'!$C$4:$C$61,1)))-((A706-(INDEX('IR data'!$C$4:$C$61,MATCH(A706,'IR data'!$C$4:$C$61,1))))/((INDEX('IR data'!$C$4:$C$61,MATCH(A706,'IR data'!$C$4:$C$61,1)+1)-INDEX('IR data'!$C$4:$C$61,MATCH(A706,'IR data'!$C$4:$C$61,1))))) * (INDEX('IR data'!$D$4:$D$61,MATCH(A706,'IR data'!$C$4:$C$61,1))-(INDEX('IR data'!$D$4:$D$61,MATCH(A706,'IR data'!$C$4:$C$61,1)+1)))))</f>
        <v>0.91944656109574474</v>
      </c>
      <c r="C706" s="30">
        <f t="shared" si="62"/>
        <v>1.8937169458806392E-2</v>
      </c>
      <c r="D706" s="45">
        <f t="shared" si="63"/>
        <v>46054</v>
      </c>
      <c r="E706" s="14" cm="1">
        <f t="array" ref="E706">_xlfn.IFNA(INDEX('IR data'!$I$4:$I$61,MATCH(D706,'IR data'!$H$4:$H$61,0)),((INDEX('IR data'!$I$4:$I$61,MATCH(D706,'IR data'!$H$4:$H$61,1)))-((D706-(INDEX('IR data'!$H$4:$H$61,MATCH(D706,'IR data'!$H$4:$H$61,1))))/((INDEX('IR data'!$H$4:$H$61,MATCH(D706,'IR data'!$H$4:$H$61,1)+1)-INDEX('IR data'!$H$4:$H$61,MATCH(D706,'IR data'!$H$4:$H$61,1))))) * (INDEX('IR data'!$I$4:$I$61,MATCH(D706,'IR data'!$H$4:$H$61,1))-(INDEX('IR data'!$I$4:$I$61,MATCH(D706,'IR data'!$H$4:$H$61,1)+1)))))</f>
        <v>0.91219095811111106</v>
      </c>
      <c r="F706" s="30">
        <f t="shared" si="64"/>
        <v>2.0723608074037551E-2</v>
      </c>
      <c r="G706" s="45">
        <f t="shared" si="60"/>
        <v>46088</v>
      </c>
      <c r="H706" s="14" cm="1">
        <f t="array" ref="H706">_xlfn.IFNA(INDEX('IR data'!$N$4:$N$61,MATCH(G706,'IR data'!$M$4:$M$61,0)),((INDEX('IR data'!$N$4:$N$61,MATCH(G706,'IR data'!$M$4:$M$61,1)))-((G706-(INDEX('IR data'!$M$4:$M$61,MATCH(G706,'IR data'!$M$4:$M$61,1))))/((INDEX('IR data'!$M$4:$M$61,MATCH(G706,'IR data'!$M$4:$M$61,1)+1)-INDEX('IR data'!$M$4:$M$61,MATCH(G706,'IR data'!$M$4:$M$61,1))))) * (INDEX('IR data'!$N$4:$N$61,MATCH(G706,'IR data'!$M$4:$M$61,1))-(INDEX('IR data'!$N$4:$N$61,MATCH(G706,'IR data'!$M$4:$M$61,1)+1)))))</f>
        <v>0.91110478276923079</v>
      </c>
      <c r="I706" s="44">
        <f t="shared" si="65"/>
        <v>2.0992262945285466E-2</v>
      </c>
    </row>
    <row r="707" spans="1:9" x14ac:dyDescent="0.25">
      <c r="A707" s="45">
        <f t="shared" si="61"/>
        <v>45995</v>
      </c>
      <c r="B707" s="14" cm="1">
        <f t="array" ref="B707">_xlfn.IFNA(INDEX('IR data'!$D$4:$D$61,MATCH(A707,'IR data'!$C$4:$C$61,0)),((INDEX('IR data'!$D$4:$D$61,MATCH(A707,'IR data'!$C$4:$C$61,1)))-((A707-(INDEX('IR data'!$C$4:$C$61,MATCH(A707,'IR data'!$C$4:$C$61,1))))/((INDEX('IR data'!$C$4:$C$61,MATCH(A707,'IR data'!$C$4:$C$61,1)+1)-INDEX('IR data'!$C$4:$C$61,MATCH(A707,'IR data'!$C$4:$C$61,1))))) * (INDEX('IR data'!$D$4:$D$61,MATCH(A707,'IR data'!$C$4:$C$61,1))-(INDEX('IR data'!$D$4:$D$61,MATCH(A707,'IR data'!$C$4:$C$61,1)+1)))))</f>
        <v>0.91936247363829793</v>
      </c>
      <c r="C707" s="30">
        <f t="shared" si="62"/>
        <v>1.893086352013032E-2</v>
      </c>
      <c r="D707" s="45">
        <f t="shared" si="63"/>
        <v>46055</v>
      </c>
      <c r="E707" s="14" cm="1">
        <f t="array" ref="E707">_xlfn.IFNA(INDEX('IR data'!$I$4:$I$61,MATCH(D707,'IR data'!$H$4:$H$61,0)),((INDEX('IR data'!$I$4:$I$61,MATCH(D707,'IR data'!$H$4:$H$61,1)))-((D707-(INDEX('IR data'!$H$4:$H$61,MATCH(D707,'IR data'!$H$4:$H$61,1))))/((INDEX('IR data'!$H$4:$H$61,MATCH(D707,'IR data'!$H$4:$H$61,1)+1)-INDEX('IR data'!$H$4:$H$61,MATCH(D707,'IR data'!$H$4:$H$61,1))))) * (INDEX('IR data'!$I$4:$I$61,MATCH(D707,'IR data'!$H$4:$H$61,1))-(INDEX('IR data'!$I$4:$I$61,MATCH(D707,'IR data'!$H$4:$H$61,1)+1)))))</f>
        <v>0.91209109333333327</v>
      </c>
      <c r="F707" s="30">
        <f t="shared" si="64"/>
        <v>2.0718823284484836E-2</v>
      </c>
      <c r="G707" s="45">
        <f t="shared" ref="G707:G740" si="66">G706+1</f>
        <v>46089</v>
      </c>
      <c r="H707" s="14" cm="1">
        <f t="array" ref="H707">_xlfn.IFNA(INDEX('IR data'!$N$4:$N$61,MATCH(G707,'IR data'!$M$4:$M$61,0)),((INDEX('IR data'!$N$4:$N$61,MATCH(G707,'IR data'!$M$4:$M$61,1)))-((G707-(INDEX('IR data'!$M$4:$M$61,MATCH(G707,'IR data'!$M$4:$M$61,1))))/((INDEX('IR data'!$M$4:$M$61,MATCH(G707,'IR data'!$M$4:$M$61,1)+1)-INDEX('IR data'!$M$4:$M$61,MATCH(G707,'IR data'!$M$4:$M$61,1))))) * (INDEX('IR data'!$N$4:$N$61,MATCH(G707,'IR data'!$M$4:$M$61,1))-(INDEX('IR data'!$N$4:$N$61,MATCH(G707,'IR data'!$M$4:$M$61,1)+1)))))</f>
        <v>0.91099979907692308</v>
      </c>
      <c r="I707" s="44">
        <f t="shared" si="65"/>
        <v>2.0988391145232529E-2</v>
      </c>
    </row>
    <row r="708" spans="1:9" x14ac:dyDescent="0.25">
      <c r="A708" s="45">
        <f t="shared" si="61"/>
        <v>45996</v>
      </c>
      <c r="B708" s="14" cm="1">
        <f t="array" ref="B708">_xlfn.IFNA(INDEX('IR data'!$D$4:$D$61,MATCH(A708,'IR data'!$C$4:$C$61,0)),((INDEX('IR data'!$D$4:$D$61,MATCH(A708,'IR data'!$C$4:$C$61,1)))-((A708-(INDEX('IR data'!$C$4:$C$61,MATCH(A708,'IR data'!$C$4:$C$61,1))))/((INDEX('IR data'!$C$4:$C$61,MATCH(A708,'IR data'!$C$4:$C$61,1)+1)-INDEX('IR data'!$C$4:$C$61,MATCH(A708,'IR data'!$C$4:$C$61,1))))) * (INDEX('IR data'!$D$4:$D$61,MATCH(A708,'IR data'!$C$4:$C$61,1))-(INDEX('IR data'!$D$4:$D$61,MATCH(A708,'IR data'!$C$4:$C$61,1)+1)))))</f>
        <v>0.91927838618085111</v>
      </c>
      <c r="C708" s="30">
        <f t="shared" si="62"/>
        <v>1.8924577351590706E-2</v>
      </c>
      <c r="D708" s="45">
        <f t="shared" si="63"/>
        <v>46056</v>
      </c>
      <c r="E708" s="14" cm="1">
        <f t="array" ref="E708">_xlfn.IFNA(INDEX('IR data'!$I$4:$I$61,MATCH(D708,'IR data'!$H$4:$H$61,0)),((INDEX('IR data'!$I$4:$I$61,MATCH(D708,'IR data'!$H$4:$H$61,1)))-((D708-(INDEX('IR data'!$H$4:$H$61,MATCH(D708,'IR data'!$H$4:$H$61,1))))/((INDEX('IR data'!$H$4:$H$61,MATCH(D708,'IR data'!$H$4:$H$61,1)+1)-INDEX('IR data'!$H$4:$H$61,MATCH(D708,'IR data'!$H$4:$H$61,1))))) * (INDEX('IR data'!$I$4:$I$61,MATCH(D708,'IR data'!$H$4:$H$61,1))-(INDEX('IR data'!$I$4:$I$61,MATCH(D708,'IR data'!$H$4:$H$61,1)+1)))))</f>
        <v>0.91199122855555548</v>
      </c>
      <c r="F708" s="30">
        <f t="shared" si="64"/>
        <v>2.071405476428442E-2</v>
      </c>
      <c r="G708" s="45">
        <f t="shared" si="66"/>
        <v>46090</v>
      </c>
      <c r="H708" s="14" cm="1">
        <f t="array" ref="H708">_xlfn.IFNA(INDEX('IR data'!$N$4:$N$61,MATCH(G708,'IR data'!$M$4:$M$61,0)),((INDEX('IR data'!$N$4:$N$61,MATCH(G708,'IR data'!$M$4:$M$61,1)))-((G708-(INDEX('IR data'!$M$4:$M$61,MATCH(G708,'IR data'!$M$4:$M$61,1))))/((INDEX('IR data'!$M$4:$M$61,MATCH(G708,'IR data'!$M$4:$M$61,1)+1)-INDEX('IR data'!$M$4:$M$61,MATCH(G708,'IR data'!$M$4:$M$61,1))))) * (INDEX('IR data'!$N$4:$N$61,MATCH(G708,'IR data'!$M$4:$M$61,1))-(INDEX('IR data'!$N$4:$N$61,MATCH(G708,'IR data'!$M$4:$M$61,1)+1)))))</f>
        <v>0.91089481538461536</v>
      </c>
      <c r="I708" s="44">
        <f t="shared" si="65"/>
        <v>2.0984533315046541E-2</v>
      </c>
    </row>
    <row r="709" spans="1:9" x14ac:dyDescent="0.25">
      <c r="A709" s="45">
        <f t="shared" ref="A709:A772" si="67">A708+1</f>
        <v>45997</v>
      </c>
      <c r="B709" s="14" cm="1">
        <f t="array" ref="B709">_xlfn.IFNA(INDEX('IR data'!$D$4:$D$61,MATCH(A709,'IR data'!$C$4:$C$61,0)),((INDEX('IR data'!$D$4:$D$61,MATCH(A709,'IR data'!$C$4:$C$61,1)))-((A709-(INDEX('IR data'!$C$4:$C$61,MATCH(A709,'IR data'!$C$4:$C$61,1))))/((INDEX('IR data'!$C$4:$C$61,MATCH(A709,'IR data'!$C$4:$C$61,1)+1)-INDEX('IR data'!$C$4:$C$61,MATCH(A709,'IR data'!$C$4:$C$61,1))))) * (INDEX('IR data'!$D$4:$D$61,MATCH(A709,'IR data'!$C$4:$C$61,1))-(INDEX('IR data'!$D$4:$D$61,MATCH(A709,'IR data'!$C$4:$C$61,1)+1)))))</f>
        <v>0.9191942987234043</v>
      </c>
      <c r="C709" s="30">
        <f t="shared" ref="C709:C772" si="68">-LOG(B709)/YEARFRAC($B$1, A709, 3)</f>
        <v>1.8918310869522101E-2</v>
      </c>
      <c r="D709" s="45">
        <f t="shared" ref="D709:D772" si="69">D708+1</f>
        <v>46057</v>
      </c>
      <c r="E709" s="14" cm="1">
        <f t="array" ref="E709">_xlfn.IFNA(INDEX('IR data'!$I$4:$I$61,MATCH(D709,'IR data'!$H$4:$H$61,0)),((INDEX('IR data'!$I$4:$I$61,MATCH(D709,'IR data'!$H$4:$H$61,1)))-((D709-(INDEX('IR data'!$H$4:$H$61,MATCH(D709,'IR data'!$H$4:$H$61,1))))/((INDEX('IR data'!$H$4:$H$61,MATCH(D709,'IR data'!$H$4:$H$61,1)+1)-INDEX('IR data'!$H$4:$H$61,MATCH(D709,'IR data'!$H$4:$H$61,1))))) * (INDEX('IR data'!$I$4:$I$61,MATCH(D709,'IR data'!$H$4:$H$61,1))-(INDEX('IR data'!$I$4:$I$61,MATCH(D709,'IR data'!$H$4:$H$61,1)+1)))))</f>
        <v>0.9118913637777778</v>
      </c>
      <c r="F709" s="30">
        <f t="shared" ref="F709:F772" si="70">-LOG(E709)/YEARFRAC($E$1, D709, 3)</f>
        <v>2.0709302444892566E-2</v>
      </c>
      <c r="G709" s="45">
        <f t="shared" si="66"/>
        <v>46091</v>
      </c>
      <c r="H709" s="14" cm="1">
        <f t="array" ref="H709">_xlfn.IFNA(INDEX('IR data'!$N$4:$N$61,MATCH(G709,'IR data'!$M$4:$M$61,0)),((INDEX('IR data'!$N$4:$N$61,MATCH(G709,'IR data'!$M$4:$M$61,1)))-((G709-(INDEX('IR data'!$M$4:$M$61,MATCH(G709,'IR data'!$M$4:$M$61,1))))/((INDEX('IR data'!$M$4:$M$61,MATCH(G709,'IR data'!$M$4:$M$61,1)+1)-INDEX('IR data'!$M$4:$M$61,MATCH(G709,'IR data'!$M$4:$M$61,1))))) * (INDEX('IR data'!$N$4:$N$61,MATCH(G709,'IR data'!$M$4:$M$61,1))-(INDEX('IR data'!$N$4:$N$61,MATCH(G709,'IR data'!$M$4:$M$61,1)+1)))))</f>
        <v>0.91078983169230776</v>
      </c>
      <c r="I709" s="44">
        <f t="shared" ref="I709:I740" si="71">-LOG(H709)/YEARFRAC($H$1, G709, 3)</f>
        <v>2.0980689396052785E-2</v>
      </c>
    </row>
    <row r="710" spans="1:9" x14ac:dyDescent="0.25">
      <c r="A710" s="45">
        <f t="shared" si="67"/>
        <v>45998</v>
      </c>
      <c r="B710" s="14" cm="1">
        <f t="array" ref="B710">_xlfn.IFNA(INDEX('IR data'!$D$4:$D$61,MATCH(A710,'IR data'!$C$4:$C$61,0)),((INDEX('IR data'!$D$4:$D$61,MATCH(A710,'IR data'!$C$4:$C$61,1)))-((A710-(INDEX('IR data'!$C$4:$C$61,MATCH(A710,'IR data'!$C$4:$C$61,1))))/((INDEX('IR data'!$C$4:$C$61,MATCH(A710,'IR data'!$C$4:$C$61,1)+1)-INDEX('IR data'!$C$4:$C$61,MATCH(A710,'IR data'!$C$4:$C$61,1))))) * (INDEX('IR data'!$D$4:$D$61,MATCH(A710,'IR data'!$C$4:$C$61,1))-(INDEX('IR data'!$D$4:$D$61,MATCH(A710,'IR data'!$C$4:$C$61,1)+1)))))</f>
        <v>0.91911021126595749</v>
      </c>
      <c r="C710" s="30">
        <f t="shared" si="68"/>
        <v>1.891206399073252E-2</v>
      </c>
      <c r="D710" s="45">
        <f t="shared" si="69"/>
        <v>46058</v>
      </c>
      <c r="E710" s="14" cm="1">
        <f t="array" ref="E710">_xlfn.IFNA(INDEX('IR data'!$I$4:$I$61,MATCH(D710,'IR data'!$H$4:$H$61,0)),((INDEX('IR data'!$I$4:$I$61,MATCH(D710,'IR data'!$H$4:$H$61,1)))-((D710-(INDEX('IR data'!$H$4:$H$61,MATCH(D710,'IR data'!$H$4:$H$61,1))))/((INDEX('IR data'!$H$4:$H$61,MATCH(D710,'IR data'!$H$4:$H$61,1)+1)-INDEX('IR data'!$H$4:$H$61,MATCH(D710,'IR data'!$H$4:$H$61,1))))) * (INDEX('IR data'!$I$4:$I$61,MATCH(D710,'IR data'!$H$4:$H$61,1))-(INDEX('IR data'!$I$4:$I$61,MATCH(D710,'IR data'!$H$4:$H$61,1)+1)))))</f>
        <v>0.91179149900000001</v>
      </c>
      <c r="F710" s="30">
        <f t="shared" si="70"/>
        <v>2.0704566258153614E-2</v>
      </c>
      <c r="G710" s="45">
        <f t="shared" si="66"/>
        <v>46092</v>
      </c>
      <c r="H710" s="14" cm="1">
        <f t="array" ref="H710">_xlfn.IFNA(INDEX('IR data'!$N$4:$N$61,MATCH(G710,'IR data'!$M$4:$M$61,0)),((INDEX('IR data'!$N$4:$N$61,MATCH(G710,'IR data'!$M$4:$M$61,1)))-((G710-(INDEX('IR data'!$M$4:$M$61,MATCH(G710,'IR data'!$M$4:$M$61,1))))/((INDEX('IR data'!$M$4:$M$61,MATCH(G710,'IR data'!$M$4:$M$61,1)+1)-INDEX('IR data'!$M$4:$M$61,MATCH(G710,'IR data'!$M$4:$M$61,1))))) * (INDEX('IR data'!$N$4:$N$61,MATCH(G710,'IR data'!$M$4:$M$61,1))-(INDEX('IR data'!$N$4:$N$61,MATCH(G710,'IR data'!$M$4:$M$61,1)+1)))))</f>
        <v>0.91068484800000005</v>
      </c>
      <c r="I710" s="44">
        <f t="shared" si="71"/>
        <v>2.0976859329908854E-2</v>
      </c>
    </row>
    <row r="711" spans="1:9" x14ac:dyDescent="0.25">
      <c r="A711" s="45">
        <f t="shared" si="67"/>
        <v>45999</v>
      </c>
      <c r="B711" s="14" cm="1">
        <f t="array" ref="B711">_xlfn.IFNA(INDEX('IR data'!$D$4:$D$61,MATCH(A711,'IR data'!$C$4:$C$61,0)),((INDEX('IR data'!$D$4:$D$61,MATCH(A711,'IR data'!$C$4:$C$61,1)))-((A711-(INDEX('IR data'!$C$4:$C$61,MATCH(A711,'IR data'!$C$4:$C$61,1))))/((INDEX('IR data'!$C$4:$C$61,MATCH(A711,'IR data'!$C$4:$C$61,1)+1)-INDEX('IR data'!$C$4:$C$61,MATCH(A711,'IR data'!$C$4:$C$61,1))))) * (INDEX('IR data'!$D$4:$D$61,MATCH(A711,'IR data'!$C$4:$C$61,1))-(INDEX('IR data'!$D$4:$D$61,MATCH(A711,'IR data'!$C$4:$C$61,1)+1)))))</f>
        <v>0.91902612380851068</v>
      </c>
      <c r="C711" s="30">
        <f t="shared" si="68"/>
        <v>1.8905836632500065E-2</v>
      </c>
      <c r="D711" s="45">
        <f t="shared" si="69"/>
        <v>46059</v>
      </c>
      <c r="E711" s="14" cm="1">
        <f t="array" ref="E711">_xlfn.IFNA(INDEX('IR data'!$I$4:$I$61,MATCH(D711,'IR data'!$H$4:$H$61,0)),((INDEX('IR data'!$I$4:$I$61,MATCH(D711,'IR data'!$H$4:$H$61,1)))-((D711-(INDEX('IR data'!$H$4:$H$61,MATCH(D711,'IR data'!$H$4:$H$61,1))))/((INDEX('IR data'!$H$4:$H$61,MATCH(D711,'IR data'!$H$4:$H$61,1)+1)-INDEX('IR data'!$H$4:$H$61,MATCH(D711,'IR data'!$H$4:$H$61,1))))) * (INDEX('IR data'!$I$4:$I$61,MATCH(D711,'IR data'!$H$4:$H$61,1))-(INDEX('IR data'!$I$4:$I$61,MATCH(D711,'IR data'!$H$4:$H$61,1)+1)))))</f>
        <v>0.91169163422222221</v>
      </c>
      <c r="F711" s="30">
        <f t="shared" si="70"/>
        <v>2.0699846136297079E-2</v>
      </c>
      <c r="G711" s="45">
        <f t="shared" si="66"/>
        <v>46093</v>
      </c>
      <c r="H711" s="14" cm="1">
        <f t="array" ref="H711">_xlfn.IFNA(INDEX('IR data'!$N$4:$N$61,MATCH(G711,'IR data'!$M$4:$M$61,0)),((INDEX('IR data'!$N$4:$N$61,MATCH(G711,'IR data'!$M$4:$M$61,1)))-((G711-(INDEX('IR data'!$M$4:$M$61,MATCH(G711,'IR data'!$M$4:$M$61,1))))/((INDEX('IR data'!$M$4:$M$61,MATCH(G711,'IR data'!$M$4:$M$61,1)+1)-INDEX('IR data'!$M$4:$M$61,MATCH(G711,'IR data'!$M$4:$M$61,1))))) * (INDEX('IR data'!$N$4:$N$61,MATCH(G711,'IR data'!$M$4:$M$61,1))-(INDEX('IR data'!$N$4:$N$61,MATCH(G711,'IR data'!$M$4:$M$61,1)+1)))))</f>
        <v>0.91057986430769233</v>
      </c>
      <c r="I711" s="44">
        <f t="shared" si="71"/>
        <v>2.0973043058602096E-2</v>
      </c>
    </row>
    <row r="712" spans="1:9" x14ac:dyDescent="0.25">
      <c r="A712" s="45">
        <f t="shared" si="67"/>
        <v>46000</v>
      </c>
      <c r="B712" s="14" cm="1">
        <f t="array" ref="B712">_xlfn.IFNA(INDEX('IR data'!$D$4:$D$61,MATCH(A712,'IR data'!$C$4:$C$61,0)),((INDEX('IR data'!$D$4:$D$61,MATCH(A712,'IR data'!$C$4:$C$61,1)))-((A712-(INDEX('IR data'!$C$4:$C$61,MATCH(A712,'IR data'!$C$4:$C$61,1))))/((INDEX('IR data'!$C$4:$C$61,MATCH(A712,'IR data'!$C$4:$C$61,1)+1)-INDEX('IR data'!$C$4:$C$61,MATCH(A712,'IR data'!$C$4:$C$61,1))))) * (INDEX('IR data'!$D$4:$D$61,MATCH(A712,'IR data'!$C$4:$C$61,1))-(INDEX('IR data'!$D$4:$D$61,MATCH(A712,'IR data'!$C$4:$C$61,1)+1)))))</f>
        <v>0.91894203635106386</v>
      </c>
      <c r="C712" s="30">
        <f t="shared" si="68"/>
        <v>1.889962871256963E-2</v>
      </c>
      <c r="D712" s="45">
        <f t="shared" si="69"/>
        <v>46060</v>
      </c>
      <c r="E712" s="14" cm="1">
        <f t="array" ref="E712">_xlfn.IFNA(INDEX('IR data'!$I$4:$I$61,MATCH(D712,'IR data'!$H$4:$H$61,0)),((INDEX('IR data'!$I$4:$I$61,MATCH(D712,'IR data'!$H$4:$H$61,1)))-((D712-(INDEX('IR data'!$H$4:$H$61,MATCH(D712,'IR data'!$H$4:$H$61,1))))/((INDEX('IR data'!$H$4:$H$61,MATCH(D712,'IR data'!$H$4:$H$61,1)+1)-INDEX('IR data'!$H$4:$H$61,MATCH(D712,'IR data'!$H$4:$H$61,1))))) * (INDEX('IR data'!$I$4:$I$61,MATCH(D712,'IR data'!$H$4:$H$61,1))-(INDEX('IR data'!$I$4:$I$61,MATCH(D712,'IR data'!$H$4:$H$61,1)+1)))))</f>
        <v>0.91159176944444442</v>
      </c>
      <c r="F712" s="30">
        <f t="shared" si="70"/>
        <v>2.0695142011935039E-2</v>
      </c>
      <c r="G712" s="45">
        <f t="shared" si="66"/>
        <v>46094</v>
      </c>
      <c r="H712" s="14" cm="1">
        <f t="array" ref="H712">_xlfn.IFNA(INDEX('IR data'!$N$4:$N$61,MATCH(G712,'IR data'!$M$4:$M$61,0)),((INDEX('IR data'!$N$4:$N$61,MATCH(G712,'IR data'!$M$4:$M$61,1)))-((G712-(INDEX('IR data'!$M$4:$M$61,MATCH(G712,'IR data'!$M$4:$M$61,1))))/((INDEX('IR data'!$M$4:$M$61,MATCH(G712,'IR data'!$M$4:$M$61,1)+1)-INDEX('IR data'!$M$4:$M$61,MATCH(G712,'IR data'!$M$4:$M$61,1))))) * (INDEX('IR data'!$N$4:$N$61,MATCH(G712,'IR data'!$M$4:$M$61,1))-(INDEX('IR data'!$N$4:$N$61,MATCH(G712,'IR data'!$M$4:$M$61,1)+1)))))</f>
        <v>0.91047488061538462</v>
      </c>
      <c r="I712" s="44">
        <f t="shared" si="71"/>
        <v>2.096924052444743E-2</v>
      </c>
    </row>
    <row r="713" spans="1:9" x14ac:dyDescent="0.25">
      <c r="A713" s="45">
        <f t="shared" si="67"/>
        <v>46001</v>
      </c>
      <c r="B713" s="14" cm="1">
        <f t="array" ref="B713">_xlfn.IFNA(INDEX('IR data'!$D$4:$D$61,MATCH(A713,'IR data'!$C$4:$C$61,0)),((INDEX('IR data'!$D$4:$D$61,MATCH(A713,'IR data'!$C$4:$C$61,1)))-((A713-(INDEX('IR data'!$C$4:$C$61,MATCH(A713,'IR data'!$C$4:$C$61,1))))/((INDEX('IR data'!$C$4:$C$61,MATCH(A713,'IR data'!$C$4:$C$61,1)+1)-INDEX('IR data'!$C$4:$C$61,MATCH(A713,'IR data'!$C$4:$C$61,1))))) * (INDEX('IR data'!$D$4:$D$61,MATCH(A713,'IR data'!$C$4:$C$61,1))-(INDEX('IR data'!$D$4:$D$61,MATCH(A713,'IR data'!$C$4:$C$61,1)+1)))))</f>
        <v>0.91885794889361705</v>
      </c>
      <c r="C713" s="30">
        <f t="shared" si="68"/>
        <v>1.8893440149149628E-2</v>
      </c>
      <c r="D713" s="45">
        <f t="shared" si="69"/>
        <v>46061</v>
      </c>
      <c r="E713" s="14" cm="1">
        <f t="array" ref="E713">_xlfn.IFNA(INDEX('IR data'!$I$4:$I$61,MATCH(D713,'IR data'!$H$4:$H$61,0)),((INDEX('IR data'!$I$4:$I$61,MATCH(D713,'IR data'!$H$4:$H$61,1)))-((D713-(INDEX('IR data'!$H$4:$H$61,MATCH(D713,'IR data'!$H$4:$H$61,1))))/((INDEX('IR data'!$H$4:$H$61,MATCH(D713,'IR data'!$H$4:$H$61,1)+1)-INDEX('IR data'!$H$4:$H$61,MATCH(D713,'IR data'!$H$4:$H$61,1))))) * (INDEX('IR data'!$I$4:$I$61,MATCH(D713,'IR data'!$H$4:$H$61,1))-(INDEX('IR data'!$I$4:$I$61,MATCH(D713,'IR data'!$H$4:$H$61,1)+1)))))</f>
        <v>0.91149190466666663</v>
      </c>
      <c r="F713" s="30">
        <f t="shared" si="70"/>
        <v>2.0690453818059409E-2</v>
      </c>
      <c r="G713" s="45">
        <f t="shared" si="66"/>
        <v>46095</v>
      </c>
      <c r="H713" s="14" cm="1">
        <f t="array" ref="H713">_xlfn.IFNA(INDEX('IR data'!$N$4:$N$61,MATCH(G713,'IR data'!$M$4:$M$61,0)),((INDEX('IR data'!$N$4:$N$61,MATCH(G713,'IR data'!$M$4:$M$61,1)))-((G713-(INDEX('IR data'!$M$4:$M$61,MATCH(G713,'IR data'!$M$4:$M$61,1))))/((INDEX('IR data'!$M$4:$M$61,MATCH(G713,'IR data'!$M$4:$M$61,1)+1)-INDEX('IR data'!$M$4:$M$61,MATCH(G713,'IR data'!$M$4:$M$61,1))))) * (INDEX('IR data'!$N$4:$N$61,MATCH(G713,'IR data'!$M$4:$M$61,1))-(INDEX('IR data'!$N$4:$N$61,MATCH(G713,'IR data'!$M$4:$M$61,1)+1)))))</f>
        <v>0.9103698969230769</v>
      </c>
      <c r="I713" s="44">
        <f t="shared" si="71"/>
        <v>2.0965451670084984E-2</v>
      </c>
    </row>
    <row r="714" spans="1:9" x14ac:dyDescent="0.25">
      <c r="A714" s="45">
        <f t="shared" si="67"/>
        <v>46002</v>
      </c>
      <c r="B714" s="14" cm="1">
        <f t="array" ref="B714">_xlfn.IFNA(INDEX('IR data'!$D$4:$D$61,MATCH(A714,'IR data'!$C$4:$C$61,0)),((INDEX('IR data'!$D$4:$D$61,MATCH(A714,'IR data'!$C$4:$C$61,1)))-((A714-(INDEX('IR data'!$C$4:$C$61,MATCH(A714,'IR data'!$C$4:$C$61,1))))/((INDEX('IR data'!$C$4:$C$61,MATCH(A714,'IR data'!$C$4:$C$61,1)+1)-INDEX('IR data'!$C$4:$C$61,MATCH(A714,'IR data'!$C$4:$C$61,1))))) * (INDEX('IR data'!$D$4:$D$61,MATCH(A714,'IR data'!$C$4:$C$61,1))-(INDEX('IR data'!$D$4:$D$61,MATCH(A714,'IR data'!$C$4:$C$61,1)+1)))))</f>
        <v>0.91877386143617024</v>
      </c>
      <c r="C714" s="30">
        <f t="shared" si="68"/>
        <v>1.88872708609087E-2</v>
      </c>
      <c r="D714" s="45">
        <f t="shared" si="69"/>
        <v>46062</v>
      </c>
      <c r="E714" s="14" cm="1">
        <f t="array" ref="E714">_xlfn.IFNA(INDEX('IR data'!$I$4:$I$61,MATCH(D714,'IR data'!$H$4:$H$61,0)),((INDEX('IR data'!$I$4:$I$61,MATCH(D714,'IR data'!$H$4:$H$61,1)))-((D714-(INDEX('IR data'!$H$4:$H$61,MATCH(D714,'IR data'!$H$4:$H$61,1))))/((INDEX('IR data'!$H$4:$H$61,MATCH(D714,'IR data'!$H$4:$H$61,1)+1)-INDEX('IR data'!$H$4:$H$61,MATCH(D714,'IR data'!$H$4:$H$61,1))))) * (INDEX('IR data'!$I$4:$I$61,MATCH(D714,'IR data'!$H$4:$H$61,1))-(INDEX('IR data'!$I$4:$I$61,MATCH(D714,'IR data'!$H$4:$H$61,1)+1)))))</f>
        <v>0.91139203988888884</v>
      </c>
      <c r="F714" s="30">
        <f t="shared" si="70"/>
        <v>2.0685781488039279E-2</v>
      </c>
      <c r="G714" s="45">
        <f t="shared" si="66"/>
        <v>46096</v>
      </c>
      <c r="H714" s="14" cm="1">
        <f t="array" ref="H714">_xlfn.IFNA(INDEX('IR data'!$N$4:$N$61,MATCH(G714,'IR data'!$M$4:$M$61,0)),((INDEX('IR data'!$N$4:$N$61,MATCH(G714,'IR data'!$M$4:$M$61,1)))-((G714-(INDEX('IR data'!$M$4:$M$61,MATCH(G714,'IR data'!$M$4:$M$61,1))))/((INDEX('IR data'!$M$4:$M$61,MATCH(G714,'IR data'!$M$4:$M$61,1)+1)-INDEX('IR data'!$M$4:$M$61,MATCH(G714,'IR data'!$M$4:$M$61,1))))) * (INDEX('IR data'!$N$4:$N$61,MATCH(G714,'IR data'!$M$4:$M$61,1))-(INDEX('IR data'!$N$4:$N$61,MATCH(G714,'IR data'!$M$4:$M$61,1)+1)))))</f>
        <v>0.9102649132307693</v>
      </c>
      <c r="I714" s="44">
        <f t="shared" si="71"/>
        <v>2.0961676438477801E-2</v>
      </c>
    </row>
    <row r="715" spans="1:9" x14ac:dyDescent="0.25">
      <c r="A715" s="45">
        <f t="shared" si="67"/>
        <v>46003</v>
      </c>
      <c r="B715" s="14" cm="1">
        <f t="array" ref="B715">_xlfn.IFNA(INDEX('IR data'!$D$4:$D$61,MATCH(A715,'IR data'!$C$4:$C$61,0)),((INDEX('IR data'!$D$4:$D$61,MATCH(A715,'IR data'!$C$4:$C$61,1)))-((A715-(INDEX('IR data'!$C$4:$C$61,MATCH(A715,'IR data'!$C$4:$C$61,1))))/((INDEX('IR data'!$C$4:$C$61,MATCH(A715,'IR data'!$C$4:$C$61,1)+1)-INDEX('IR data'!$C$4:$C$61,MATCH(A715,'IR data'!$C$4:$C$61,1))))) * (INDEX('IR data'!$D$4:$D$61,MATCH(A715,'IR data'!$C$4:$C$61,1))-(INDEX('IR data'!$D$4:$D$61,MATCH(A715,'IR data'!$C$4:$C$61,1)+1)))))</f>
        <v>0.91868977397872342</v>
      </c>
      <c r="C715" s="30">
        <f t="shared" si="68"/>
        <v>1.8881120766972501E-2</v>
      </c>
      <c r="D715" s="45">
        <f t="shared" si="69"/>
        <v>46063</v>
      </c>
      <c r="E715" s="14" cm="1">
        <f t="array" ref="E715">_xlfn.IFNA(INDEX('IR data'!$I$4:$I$61,MATCH(D715,'IR data'!$H$4:$H$61,0)),((INDEX('IR data'!$I$4:$I$61,MATCH(D715,'IR data'!$H$4:$H$61,1)))-((D715-(INDEX('IR data'!$H$4:$H$61,MATCH(D715,'IR data'!$H$4:$H$61,1))))/((INDEX('IR data'!$H$4:$H$61,MATCH(D715,'IR data'!$H$4:$H$61,1)+1)-INDEX('IR data'!$H$4:$H$61,MATCH(D715,'IR data'!$H$4:$H$61,1))))) * (INDEX('IR data'!$I$4:$I$61,MATCH(D715,'IR data'!$H$4:$H$61,1))-(INDEX('IR data'!$I$4:$I$61,MATCH(D715,'IR data'!$H$4:$H$61,1)+1)))))</f>
        <v>0.91129217511111105</v>
      </c>
      <c r="F715" s="30">
        <f t="shared" si="70"/>
        <v>2.0681124955618271E-2</v>
      </c>
      <c r="G715" s="45">
        <f t="shared" si="66"/>
        <v>46097</v>
      </c>
      <c r="H715" s="14" cm="1">
        <f t="array" ref="H715">_xlfn.IFNA(INDEX('IR data'!$N$4:$N$61,MATCH(G715,'IR data'!$M$4:$M$61,0)),((INDEX('IR data'!$N$4:$N$61,MATCH(G715,'IR data'!$M$4:$M$61,1)))-((G715-(INDEX('IR data'!$M$4:$M$61,MATCH(G715,'IR data'!$M$4:$M$61,1))))/((INDEX('IR data'!$M$4:$M$61,MATCH(G715,'IR data'!$M$4:$M$61,1)+1)-INDEX('IR data'!$M$4:$M$61,MATCH(G715,'IR data'!$M$4:$M$61,1))))) * (INDEX('IR data'!$N$4:$N$61,MATCH(G715,'IR data'!$M$4:$M$61,1))-(INDEX('IR data'!$N$4:$N$61,MATCH(G715,'IR data'!$M$4:$M$61,1)+1)))))</f>
        <v>0.91015992953846159</v>
      </c>
      <c r="I715" s="44">
        <f t="shared" si="71"/>
        <v>2.0957914772909689E-2</v>
      </c>
    </row>
    <row r="716" spans="1:9" x14ac:dyDescent="0.25">
      <c r="A716" s="45">
        <f t="shared" si="67"/>
        <v>46004</v>
      </c>
      <c r="B716" s="14" cm="1">
        <f t="array" ref="B716">_xlfn.IFNA(INDEX('IR data'!$D$4:$D$61,MATCH(A716,'IR data'!$C$4:$C$61,0)),((INDEX('IR data'!$D$4:$D$61,MATCH(A716,'IR data'!$C$4:$C$61,1)))-((A716-(INDEX('IR data'!$C$4:$C$61,MATCH(A716,'IR data'!$C$4:$C$61,1))))/((INDEX('IR data'!$C$4:$C$61,MATCH(A716,'IR data'!$C$4:$C$61,1)+1)-INDEX('IR data'!$C$4:$C$61,MATCH(A716,'IR data'!$C$4:$C$61,1))))) * (INDEX('IR data'!$D$4:$D$61,MATCH(A716,'IR data'!$C$4:$C$61,1))-(INDEX('IR data'!$D$4:$D$61,MATCH(A716,'IR data'!$C$4:$C$61,1)+1)))))</f>
        <v>0.91860568652127661</v>
      </c>
      <c r="C716" s="30">
        <f t="shared" si="68"/>
        <v>1.8874989786920496E-2</v>
      </c>
      <c r="D716" s="45">
        <f t="shared" si="69"/>
        <v>46064</v>
      </c>
      <c r="E716" s="14" cm="1">
        <f t="array" ref="E716">_xlfn.IFNA(INDEX('IR data'!$I$4:$I$61,MATCH(D716,'IR data'!$H$4:$H$61,0)),((INDEX('IR data'!$I$4:$I$61,MATCH(D716,'IR data'!$H$4:$H$61,1)))-((D716-(INDEX('IR data'!$H$4:$H$61,MATCH(D716,'IR data'!$H$4:$H$61,1))))/((INDEX('IR data'!$H$4:$H$61,MATCH(D716,'IR data'!$H$4:$H$61,1)+1)-INDEX('IR data'!$H$4:$H$61,MATCH(D716,'IR data'!$H$4:$H$61,1))))) * (INDEX('IR data'!$I$4:$I$61,MATCH(D716,'IR data'!$H$4:$H$61,1))-(INDEX('IR data'!$I$4:$I$61,MATCH(D716,'IR data'!$H$4:$H$61,1)+1)))))</f>
        <v>0.91119231033333326</v>
      </c>
      <c r="F716" s="30">
        <f t="shared" si="70"/>
        <v>2.0676484154911887E-2</v>
      </c>
      <c r="G716" s="45">
        <f t="shared" si="66"/>
        <v>46098</v>
      </c>
      <c r="H716" s="14" cm="1">
        <f t="array" ref="H716">_xlfn.IFNA(INDEX('IR data'!$N$4:$N$61,MATCH(G716,'IR data'!$M$4:$M$61,0)),((INDEX('IR data'!$N$4:$N$61,MATCH(G716,'IR data'!$M$4:$M$61,1)))-((G716-(INDEX('IR data'!$M$4:$M$61,MATCH(G716,'IR data'!$M$4:$M$61,1))))/((INDEX('IR data'!$M$4:$M$61,MATCH(G716,'IR data'!$M$4:$M$61,1)+1)-INDEX('IR data'!$M$4:$M$61,MATCH(G716,'IR data'!$M$4:$M$61,1))))) * (INDEX('IR data'!$N$4:$N$61,MATCH(G716,'IR data'!$M$4:$M$61,1))-(INDEX('IR data'!$N$4:$N$61,MATCH(G716,'IR data'!$M$4:$M$61,1)+1)))))</f>
        <v>0.91005494584615387</v>
      </c>
      <c r="I716" s="44">
        <f t="shared" si="71"/>
        <v>2.0954166616982767E-2</v>
      </c>
    </row>
    <row r="717" spans="1:9" x14ac:dyDescent="0.25">
      <c r="A717" s="45">
        <f t="shared" si="67"/>
        <v>46005</v>
      </c>
      <c r="B717" s="14" cm="1">
        <f t="array" ref="B717">_xlfn.IFNA(INDEX('IR data'!$D$4:$D$61,MATCH(A717,'IR data'!$C$4:$C$61,0)),((INDEX('IR data'!$D$4:$D$61,MATCH(A717,'IR data'!$C$4:$C$61,1)))-((A717-(INDEX('IR data'!$C$4:$C$61,MATCH(A717,'IR data'!$C$4:$C$61,1))))/((INDEX('IR data'!$C$4:$C$61,MATCH(A717,'IR data'!$C$4:$C$61,1)+1)-INDEX('IR data'!$C$4:$C$61,MATCH(A717,'IR data'!$C$4:$C$61,1))))) * (INDEX('IR data'!$D$4:$D$61,MATCH(A717,'IR data'!$C$4:$C$61,1))-(INDEX('IR data'!$D$4:$D$61,MATCH(A717,'IR data'!$C$4:$C$61,1)+1)))))</f>
        <v>0.9185215990638298</v>
      </c>
      <c r="C717" s="30">
        <f t="shared" si="68"/>
        <v>1.8868877840782779E-2</v>
      </c>
      <c r="D717" s="45">
        <f t="shared" si="69"/>
        <v>46065</v>
      </c>
      <c r="E717" s="14" cm="1">
        <f t="array" ref="E717">_xlfn.IFNA(INDEX('IR data'!$I$4:$I$61,MATCH(D717,'IR data'!$H$4:$H$61,0)),((INDEX('IR data'!$I$4:$I$61,MATCH(D717,'IR data'!$H$4:$H$61,1)))-((D717-(INDEX('IR data'!$H$4:$H$61,MATCH(D717,'IR data'!$H$4:$H$61,1))))/((INDEX('IR data'!$H$4:$H$61,MATCH(D717,'IR data'!$H$4:$H$61,1)+1)-INDEX('IR data'!$H$4:$H$61,MATCH(D717,'IR data'!$H$4:$H$61,1))))) * (INDEX('IR data'!$I$4:$I$61,MATCH(D717,'IR data'!$H$4:$H$61,1))-(INDEX('IR data'!$I$4:$I$61,MATCH(D717,'IR data'!$H$4:$H$61,1)+1)))))</f>
        <v>0.91109244555555557</v>
      </c>
      <c r="F717" s="30">
        <f t="shared" si="70"/>
        <v>2.0671859020404915E-2</v>
      </c>
      <c r="G717" s="45">
        <f t="shared" si="66"/>
        <v>46099</v>
      </c>
      <c r="H717" s="14" cm="1">
        <f t="array" ref="H717">_xlfn.IFNA(INDEX('IR data'!$N$4:$N$61,MATCH(G717,'IR data'!$M$4:$M$61,0)),((INDEX('IR data'!$N$4:$N$61,MATCH(G717,'IR data'!$M$4:$M$61,1)))-((G717-(INDEX('IR data'!$M$4:$M$61,MATCH(G717,'IR data'!$M$4:$M$61,1))))/((INDEX('IR data'!$M$4:$M$61,MATCH(G717,'IR data'!$M$4:$M$61,1)+1)-INDEX('IR data'!$M$4:$M$61,MATCH(G717,'IR data'!$M$4:$M$61,1))))) * (INDEX('IR data'!$N$4:$N$61,MATCH(G717,'IR data'!$M$4:$M$61,1))-(INDEX('IR data'!$N$4:$N$61,MATCH(G717,'IR data'!$M$4:$M$61,1)+1)))))</f>
        <v>0.90994996215384616</v>
      </c>
      <c r="I717" s="44">
        <f t="shared" si="71"/>
        <v>2.0950431914615385E-2</v>
      </c>
    </row>
    <row r="718" spans="1:9" x14ac:dyDescent="0.25">
      <c r="A718" s="45">
        <f t="shared" si="67"/>
        <v>46006</v>
      </c>
      <c r="B718" s="14" cm="1">
        <f t="array" ref="B718">_xlfn.IFNA(INDEX('IR data'!$D$4:$D$61,MATCH(A718,'IR data'!$C$4:$C$61,0)),((INDEX('IR data'!$D$4:$D$61,MATCH(A718,'IR data'!$C$4:$C$61,1)))-((A718-(INDEX('IR data'!$C$4:$C$61,MATCH(A718,'IR data'!$C$4:$C$61,1))))/((INDEX('IR data'!$C$4:$C$61,MATCH(A718,'IR data'!$C$4:$C$61,1)+1)-INDEX('IR data'!$C$4:$C$61,MATCH(A718,'IR data'!$C$4:$C$61,1))))) * (INDEX('IR data'!$D$4:$D$61,MATCH(A718,'IR data'!$C$4:$C$61,1))-(INDEX('IR data'!$D$4:$D$61,MATCH(A718,'IR data'!$C$4:$C$61,1)+1)))))</f>
        <v>0.91843751160638298</v>
      </c>
      <c r="C718" s="30">
        <f t="shared" si="68"/>
        <v>1.8862784849036921E-2</v>
      </c>
      <c r="D718" s="45">
        <f t="shared" si="69"/>
        <v>46066</v>
      </c>
      <c r="E718" s="14" cm="1">
        <f t="array" ref="E718">_xlfn.IFNA(INDEX('IR data'!$I$4:$I$61,MATCH(D718,'IR data'!$H$4:$H$61,0)),((INDEX('IR data'!$I$4:$I$61,MATCH(D718,'IR data'!$H$4:$H$61,1)))-((D718-(INDEX('IR data'!$H$4:$H$61,MATCH(D718,'IR data'!$H$4:$H$61,1))))/((INDEX('IR data'!$H$4:$H$61,MATCH(D718,'IR data'!$H$4:$H$61,1)+1)-INDEX('IR data'!$H$4:$H$61,MATCH(D718,'IR data'!$H$4:$H$61,1))))) * (INDEX('IR data'!$I$4:$I$61,MATCH(D718,'IR data'!$H$4:$H$61,1))-(INDEX('IR data'!$I$4:$I$61,MATCH(D718,'IR data'!$H$4:$H$61,1)+1)))))</f>
        <v>0.91099258077777778</v>
      </c>
      <c r="F718" s="30">
        <f t="shared" si="70"/>
        <v>2.0667249486948917E-2</v>
      </c>
      <c r="G718" s="45">
        <f t="shared" si="66"/>
        <v>46100</v>
      </c>
      <c r="H718" s="14" cm="1">
        <f t="array" ref="H718">_xlfn.IFNA(INDEX('IR data'!$N$4:$N$61,MATCH(G718,'IR data'!$M$4:$M$61,0)),((INDEX('IR data'!$N$4:$N$61,MATCH(G718,'IR data'!$M$4:$M$61,1)))-((G718-(INDEX('IR data'!$M$4:$M$61,MATCH(G718,'IR data'!$M$4:$M$61,1))))/((INDEX('IR data'!$M$4:$M$61,MATCH(G718,'IR data'!$M$4:$M$61,1)+1)-INDEX('IR data'!$M$4:$M$61,MATCH(G718,'IR data'!$M$4:$M$61,1))))) * (INDEX('IR data'!$N$4:$N$61,MATCH(G718,'IR data'!$M$4:$M$61,1))-(INDEX('IR data'!$N$4:$N$61,MATCH(G718,'IR data'!$M$4:$M$61,1)+1)))))</f>
        <v>0.90984497846153845</v>
      </c>
      <c r="I718" s="44">
        <f t="shared" si="71"/>
        <v>2.0946710610039884E-2</v>
      </c>
    </row>
    <row r="719" spans="1:9" x14ac:dyDescent="0.25">
      <c r="A719" s="45">
        <f t="shared" si="67"/>
        <v>46007</v>
      </c>
      <c r="B719" s="14" cm="1">
        <f t="array" ref="B719">_xlfn.IFNA(INDEX('IR data'!$D$4:$D$61,MATCH(A719,'IR data'!$C$4:$C$61,0)),((INDEX('IR data'!$D$4:$D$61,MATCH(A719,'IR data'!$C$4:$C$61,1)))-((A719-(INDEX('IR data'!$C$4:$C$61,MATCH(A719,'IR data'!$C$4:$C$61,1))))/((INDEX('IR data'!$C$4:$C$61,MATCH(A719,'IR data'!$C$4:$C$61,1)+1)-INDEX('IR data'!$C$4:$C$61,MATCH(A719,'IR data'!$C$4:$C$61,1))))) * (INDEX('IR data'!$D$4:$D$61,MATCH(A719,'IR data'!$C$4:$C$61,1))-(INDEX('IR data'!$D$4:$D$61,MATCH(A719,'IR data'!$C$4:$C$61,1)+1)))))</f>
        <v>0.91835342414893617</v>
      </c>
      <c r="C719" s="30">
        <f t="shared" si="68"/>
        <v>1.8856710732604844E-2</v>
      </c>
      <c r="D719" s="45">
        <f t="shared" si="69"/>
        <v>46067</v>
      </c>
      <c r="E719" s="14" cm="1">
        <f t="array" ref="E719">_xlfn.IFNA(INDEX('IR data'!$I$4:$I$61,MATCH(D719,'IR data'!$H$4:$H$61,0)),((INDEX('IR data'!$I$4:$I$61,MATCH(D719,'IR data'!$H$4:$H$61,1)))-((D719-(INDEX('IR data'!$H$4:$H$61,MATCH(D719,'IR data'!$H$4:$H$61,1))))/((INDEX('IR data'!$H$4:$H$61,MATCH(D719,'IR data'!$H$4:$H$61,1)+1)-INDEX('IR data'!$H$4:$H$61,MATCH(D719,'IR data'!$H$4:$H$61,1))))) * (INDEX('IR data'!$I$4:$I$61,MATCH(D719,'IR data'!$H$4:$H$61,1))-(INDEX('IR data'!$I$4:$I$61,MATCH(D719,'IR data'!$H$4:$H$61,1)+1)))))</f>
        <v>0.91089271599999999</v>
      </c>
      <c r="F719" s="30">
        <f t="shared" si="70"/>
        <v>2.0662655489759537E-2</v>
      </c>
      <c r="G719" s="45">
        <f t="shared" si="66"/>
        <v>46101</v>
      </c>
      <c r="H719" s="14" cm="1">
        <f t="array" ref="H719">_xlfn.IFNA(INDEX('IR data'!$N$4:$N$61,MATCH(G719,'IR data'!$M$4:$M$61,0)),((INDEX('IR data'!$N$4:$N$61,MATCH(G719,'IR data'!$M$4:$M$61,1)))-((G719-(INDEX('IR data'!$M$4:$M$61,MATCH(G719,'IR data'!$M$4:$M$61,1))))/((INDEX('IR data'!$M$4:$M$61,MATCH(G719,'IR data'!$M$4:$M$61,1)+1)-INDEX('IR data'!$M$4:$M$61,MATCH(G719,'IR data'!$M$4:$M$61,1))))) * (INDEX('IR data'!$N$4:$N$61,MATCH(G719,'IR data'!$M$4:$M$61,1))-(INDEX('IR data'!$N$4:$N$61,MATCH(G719,'IR data'!$M$4:$M$61,1)+1)))))</f>
        <v>0.90973999476923084</v>
      </c>
      <c r="I719" s="44">
        <f t="shared" si="71"/>
        <v>2.094300264780034E-2</v>
      </c>
    </row>
    <row r="720" spans="1:9" x14ac:dyDescent="0.25">
      <c r="A720" s="45">
        <f t="shared" si="67"/>
        <v>46008</v>
      </c>
      <c r="B720" s="14" cm="1">
        <f t="array" ref="B720">_xlfn.IFNA(INDEX('IR data'!$D$4:$D$61,MATCH(A720,'IR data'!$C$4:$C$61,0)),((INDEX('IR data'!$D$4:$D$61,MATCH(A720,'IR data'!$C$4:$C$61,1)))-((A720-(INDEX('IR data'!$C$4:$C$61,MATCH(A720,'IR data'!$C$4:$C$61,1))))/((INDEX('IR data'!$C$4:$C$61,MATCH(A720,'IR data'!$C$4:$C$61,1)+1)-INDEX('IR data'!$C$4:$C$61,MATCH(A720,'IR data'!$C$4:$C$61,1))))) * (INDEX('IR data'!$D$4:$D$61,MATCH(A720,'IR data'!$C$4:$C$61,1))-(INDEX('IR data'!$D$4:$D$61,MATCH(A720,'IR data'!$C$4:$C$61,1)+1)))))</f>
        <v>0.91826933669148936</v>
      </c>
      <c r="C720" s="30">
        <f t="shared" si="68"/>
        <v>1.8850655412849717E-2</v>
      </c>
      <c r="D720" s="45">
        <f t="shared" si="69"/>
        <v>46068</v>
      </c>
      <c r="E720" s="14" cm="1">
        <f t="array" ref="E720">_xlfn.IFNA(INDEX('IR data'!$I$4:$I$61,MATCH(D720,'IR data'!$H$4:$H$61,0)),((INDEX('IR data'!$I$4:$I$61,MATCH(D720,'IR data'!$H$4:$H$61,1)))-((D720-(INDEX('IR data'!$H$4:$H$61,MATCH(D720,'IR data'!$H$4:$H$61,1))))/((INDEX('IR data'!$H$4:$H$61,MATCH(D720,'IR data'!$H$4:$H$61,1)+1)-INDEX('IR data'!$H$4:$H$61,MATCH(D720,'IR data'!$H$4:$H$61,1))))) * (INDEX('IR data'!$I$4:$I$61,MATCH(D720,'IR data'!$H$4:$H$61,1))-(INDEX('IR data'!$I$4:$I$61,MATCH(D720,'IR data'!$H$4:$H$61,1)+1)))))</f>
        <v>0.9107928512222222</v>
      </c>
      <c r="F720" s="30">
        <f t="shared" si="70"/>
        <v>2.0658076964414039E-2</v>
      </c>
      <c r="G720" s="45">
        <f t="shared" si="66"/>
        <v>46102</v>
      </c>
      <c r="H720" s="14" cm="1">
        <f t="array" ref="H720">_xlfn.IFNA(INDEX('IR data'!$N$4:$N$61,MATCH(G720,'IR data'!$M$4:$M$61,0)),((INDEX('IR data'!$N$4:$N$61,MATCH(G720,'IR data'!$M$4:$M$61,1)))-((G720-(INDEX('IR data'!$M$4:$M$61,MATCH(G720,'IR data'!$M$4:$M$61,1))))/((INDEX('IR data'!$M$4:$M$61,MATCH(G720,'IR data'!$M$4:$M$61,1)+1)-INDEX('IR data'!$M$4:$M$61,MATCH(G720,'IR data'!$M$4:$M$61,1))))) * (INDEX('IR data'!$N$4:$N$61,MATCH(G720,'IR data'!$M$4:$M$61,1))-(INDEX('IR data'!$N$4:$N$61,MATCH(G720,'IR data'!$M$4:$M$61,1)+1)))))</f>
        <v>0.90963501107692313</v>
      </c>
      <c r="I720" s="44">
        <f t="shared" si="71"/>
        <v>2.0939307972750541E-2</v>
      </c>
    </row>
    <row r="721" spans="1:9" x14ac:dyDescent="0.25">
      <c r="A721" s="45">
        <f t="shared" si="67"/>
        <v>46009</v>
      </c>
      <c r="B721" s="14" cm="1">
        <f t="array" ref="B721">_xlfn.IFNA(INDEX('IR data'!$D$4:$D$61,MATCH(A721,'IR data'!$C$4:$C$61,0)),((INDEX('IR data'!$D$4:$D$61,MATCH(A721,'IR data'!$C$4:$C$61,1)))-((A721-(INDEX('IR data'!$C$4:$C$61,MATCH(A721,'IR data'!$C$4:$C$61,1))))/((INDEX('IR data'!$C$4:$C$61,MATCH(A721,'IR data'!$C$4:$C$61,1)+1)-INDEX('IR data'!$C$4:$C$61,MATCH(A721,'IR data'!$C$4:$C$61,1))))) * (INDEX('IR data'!$D$4:$D$61,MATCH(A721,'IR data'!$C$4:$C$61,1))-(INDEX('IR data'!$D$4:$D$61,MATCH(A721,'IR data'!$C$4:$C$61,1)+1)))))</f>
        <v>0.91818524923404254</v>
      </c>
      <c r="C721" s="30">
        <f t="shared" si="68"/>
        <v>1.8844618811572907E-2</v>
      </c>
      <c r="D721" s="45">
        <f t="shared" si="69"/>
        <v>46069</v>
      </c>
      <c r="E721" s="14" cm="1">
        <f t="array" ref="E721">_xlfn.IFNA(INDEX('IR data'!$I$4:$I$61,MATCH(D721,'IR data'!$H$4:$H$61,0)),((INDEX('IR data'!$I$4:$I$61,MATCH(D721,'IR data'!$H$4:$H$61,1)))-((D721-(INDEX('IR data'!$H$4:$H$61,MATCH(D721,'IR data'!$H$4:$H$61,1))))/((INDEX('IR data'!$H$4:$H$61,MATCH(D721,'IR data'!$H$4:$H$61,1)+1)-INDEX('IR data'!$H$4:$H$61,MATCH(D721,'IR data'!$H$4:$H$61,1))))) * (INDEX('IR data'!$I$4:$I$61,MATCH(D721,'IR data'!$H$4:$H$61,1))-(INDEX('IR data'!$I$4:$I$61,MATCH(D721,'IR data'!$H$4:$H$61,1)+1)))))</f>
        <v>0.91069298644444441</v>
      </c>
      <c r="F721" s="30">
        <f t="shared" si="70"/>
        <v>2.0653513846848808E-2</v>
      </c>
      <c r="G721" s="45">
        <f t="shared" si="66"/>
        <v>46103</v>
      </c>
      <c r="H721" s="14" cm="1">
        <f t="array" ref="H721">_xlfn.IFNA(INDEX('IR data'!$N$4:$N$61,MATCH(G721,'IR data'!$M$4:$M$61,0)),((INDEX('IR data'!$N$4:$N$61,MATCH(G721,'IR data'!$M$4:$M$61,1)))-((G721-(INDEX('IR data'!$M$4:$M$61,MATCH(G721,'IR data'!$M$4:$M$61,1))))/((INDEX('IR data'!$M$4:$M$61,MATCH(G721,'IR data'!$M$4:$M$61,1)+1)-INDEX('IR data'!$M$4:$M$61,MATCH(G721,'IR data'!$M$4:$M$61,1))))) * (INDEX('IR data'!$N$4:$N$61,MATCH(G721,'IR data'!$M$4:$M$61,1))-(INDEX('IR data'!$N$4:$N$61,MATCH(G721,'IR data'!$M$4:$M$61,1)+1)))))</f>
        <v>0.90953002738461541</v>
      </c>
      <c r="I721" s="44">
        <f t="shared" si="71"/>
        <v>2.093562653005164E-2</v>
      </c>
    </row>
    <row r="722" spans="1:9" x14ac:dyDescent="0.25">
      <c r="A722" s="45">
        <f t="shared" si="67"/>
        <v>46010</v>
      </c>
      <c r="B722" s="14" cm="1">
        <f t="array" ref="B722">_xlfn.IFNA(INDEX('IR data'!$D$4:$D$61,MATCH(A722,'IR data'!$C$4:$C$61,0)),((INDEX('IR data'!$D$4:$D$61,MATCH(A722,'IR data'!$C$4:$C$61,1)))-((A722-(INDEX('IR data'!$C$4:$C$61,MATCH(A722,'IR data'!$C$4:$C$61,1))))/((INDEX('IR data'!$C$4:$C$61,MATCH(A722,'IR data'!$C$4:$C$61,1)+1)-INDEX('IR data'!$C$4:$C$61,MATCH(A722,'IR data'!$C$4:$C$61,1))))) * (INDEX('IR data'!$D$4:$D$61,MATCH(A722,'IR data'!$C$4:$C$61,1))-(INDEX('IR data'!$D$4:$D$61,MATCH(A722,'IR data'!$C$4:$C$61,1)+1)))))</f>
        <v>0.91810116177659573</v>
      </c>
      <c r="C722" s="30">
        <f t="shared" si="68"/>
        <v>1.8838600851010905E-2</v>
      </c>
      <c r="D722" s="45">
        <f t="shared" si="69"/>
        <v>46070</v>
      </c>
      <c r="E722" s="14" cm="1">
        <f t="array" ref="E722">_xlfn.IFNA(INDEX('IR data'!$I$4:$I$61,MATCH(D722,'IR data'!$H$4:$H$61,0)),((INDEX('IR data'!$I$4:$I$61,MATCH(D722,'IR data'!$H$4:$H$61,1)))-((D722-(INDEX('IR data'!$H$4:$H$61,MATCH(D722,'IR data'!$H$4:$H$61,1))))/((INDEX('IR data'!$H$4:$H$61,MATCH(D722,'IR data'!$H$4:$H$61,1)+1)-INDEX('IR data'!$H$4:$H$61,MATCH(D722,'IR data'!$H$4:$H$61,1))))) * (INDEX('IR data'!$I$4:$I$61,MATCH(D722,'IR data'!$H$4:$H$61,1))-(INDEX('IR data'!$I$4:$I$61,MATCH(D722,'IR data'!$H$4:$H$61,1)+1)))))</f>
        <v>0.91059312166666662</v>
      </c>
      <c r="F722" s="30">
        <f t="shared" si="70"/>
        <v>2.0648966073356791E-2</v>
      </c>
      <c r="G722" s="45">
        <f t="shared" si="66"/>
        <v>46104</v>
      </c>
      <c r="H722" s="14" cm="1">
        <f t="array" ref="H722">_xlfn.IFNA(INDEX('IR data'!$N$4:$N$61,MATCH(G722,'IR data'!$M$4:$M$61,0)),((INDEX('IR data'!$N$4:$N$61,MATCH(G722,'IR data'!$M$4:$M$61,1)))-((G722-(INDEX('IR data'!$M$4:$M$61,MATCH(G722,'IR data'!$M$4:$M$61,1))))/((INDEX('IR data'!$M$4:$M$61,MATCH(G722,'IR data'!$M$4:$M$61,1)+1)-INDEX('IR data'!$M$4:$M$61,MATCH(G722,'IR data'!$M$4:$M$61,1))))) * (INDEX('IR data'!$N$4:$N$61,MATCH(G722,'IR data'!$M$4:$M$61,1))-(INDEX('IR data'!$N$4:$N$61,MATCH(G722,'IR data'!$M$4:$M$61,1)+1)))))</f>
        <v>0.9094250436923077</v>
      </c>
      <c r="I722" s="44">
        <f t="shared" si="71"/>
        <v>2.0931958265170143E-2</v>
      </c>
    </row>
    <row r="723" spans="1:9" x14ac:dyDescent="0.25">
      <c r="A723" s="45">
        <f t="shared" si="67"/>
        <v>46011</v>
      </c>
      <c r="B723" s="14" cm="1">
        <f t="array" ref="B723">_xlfn.IFNA(INDEX('IR data'!$D$4:$D$61,MATCH(A723,'IR data'!$C$4:$C$61,0)),((INDEX('IR data'!$D$4:$D$61,MATCH(A723,'IR data'!$C$4:$C$61,1)))-((A723-(INDEX('IR data'!$C$4:$C$61,MATCH(A723,'IR data'!$C$4:$C$61,1))))/((INDEX('IR data'!$C$4:$C$61,MATCH(A723,'IR data'!$C$4:$C$61,1)+1)-INDEX('IR data'!$C$4:$C$61,MATCH(A723,'IR data'!$C$4:$C$61,1))))) * (INDEX('IR data'!$D$4:$D$61,MATCH(A723,'IR data'!$C$4:$C$61,1))-(INDEX('IR data'!$D$4:$D$61,MATCH(A723,'IR data'!$C$4:$C$61,1)+1)))))</f>
        <v>0.91801707431914892</v>
      </c>
      <c r="C723" s="30">
        <f t="shared" si="68"/>
        <v>1.8832601453832309E-2</v>
      </c>
      <c r="D723" s="45">
        <f t="shared" si="69"/>
        <v>46071</v>
      </c>
      <c r="E723" s="14" cm="1">
        <f t="array" ref="E723">_xlfn.IFNA(INDEX('IR data'!$I$4:$I$61,MATCH(D723,'IR data'!$H$4:$H$61,0)),((INDEX('IR data'!$I$4:$I$61,MATCH(D723,'IR data'!$H$4:$H$61,1)))-((D723-(INDEX('IR data'!$H$4:$H$61,MATCH(D723,'IR data'!$H$4:$H$61,1))))/((INDEX('IR data'!$H$4:$H$61,MATCH(D723,'IR data'!$H$4:$H$61,1)+1)-INDEX('IR data'!$H$4:$H$61,MATCH(D723,'IR data'!$H$4:$H$61,1))))) * (INDEX('IR data'!$I$4:$I$61,MATCH(D723,'IR data'!$H$4:$H$61,1))-(INDEX('IR data'!$I$4:$I$61,MATCH(D723,'IR data'!$H$4:$H$61,1)+1)))))</f>
        <v>0.91049325688888882</v>
      </c>
      <c r="F723" s="30">
        <f t="shared" si="70"/>
        <v>2.0644433580585084E-2</v>
      </c>
      <c r="G723" s="45">
        <f t="shared" si="66"/>
        <v>46105</v>
      </c>
      <c r="H723" s="14" cm="1">
        <f t="array" ref="H723">_xlfn.IFNA(INDEX('IR data'!$N$4:$N$61,MATCH(G723,'IR data'!$M$4:$M$61,0)),((INDEX('IR data'!$N$4:$N$61,MATCH(G723,'IR data'!$M$4:$M$61,1)))-((G723-(INDEX('IR data'!$M$4:$M$61,MATCH(G723,'IR data'!$M$4:$M$61,1))))/((INDEX('IR data'!$M$4:$M$61,MATCH(G723,'IR data'!$M$4:$M$61,1)+1)-INDEX('IR data'!$M$4:$M$61,MATCH(G723,'IR data'!$M$4:$M$61,1))))) * (INDEX('IR data'!$N$4:$N$61,MATCH(G723,'IR data'!$M$4:$M$61,1))-(INDEX('IR data'!$N$4:$N$61,MATCH(G723,'IR data'!$M$4:$M$61,1)+1)))))</f>
        <v>0.90932005999999999</v>
      </c>
      <c r="I723" s="44">
        <f t="shared" si="71"/>
        <v>2.0928303123875756E-2</v>
      </c>
    </row>
    <row r="724" spans="1:9" x14ac:dyDescent="0.25">
      <c r="A724" s="45">
        <f t="shared" si="67"/>
        <v>46012</v>
      </c>
      <c r="B724" s="14" cm="1">
        <f t="array" ref="B724">_xlfn.IFNA(INDEX('IR data'!$D$4:$D$61,MATCH(A724,'IR data'!$C$4:$C$61,0)),((INDEX('IR data'!$D$4:$D$61,MATCH(A724,'IR data'!$C$4:$C$61,1)))-((A724-(INDEX('IR data'!$C$4:$C$61,MATCH(A724,'IR data'!$C$4:$C$61,1))))/((INDEX('IR data'!$C$4:$C$61,MATCH(A724,'IR data'!$C$4:$C$61,1)+1)-INDEX('IR data'!$C$4:$C$61,MATCH(A724,'IR data'!$C$4:$C$61,1))))) * (INDEX('IR data'!$D$4:$D$61,MATCH(A724,'IR data'!$C$4:$C$61,1))-(INDEX('IR data'!$D$4:$D$61,MATCH(A724,'IR data'!$C$4:$C$61,1)+1)))))</f>
        <v>0.9179329868617021</v>
      </c>
      <c r="C724" s="30">
        <f t="shared" si="68"/>
        <v>1.8826620543134845E-2</v>
      </c>
      <c r="D724" s="45">
        <f t="shared" si="69"/>
        <v>46072</v>
      </c>
      <c r="E724" s="14" cm="1">
        <f t="array" ref="E724">_xlfn.IFNA(INDEX('IR data'!$I$4:$I$61,MATCH(D724,'IR data'!$H$4:$H$61,0)),((INDEX('IR data'!$I$4:$I$61,MATCH(D724,'IR data'!$H$4:$H$61,1)))-((D724-(INDEX('IR data'!$H$4:$H$61,MATCH(D724,'IR data'!$H$4:$H$61,1))))/((INDEX('IR data'!$H$4:$H$61,MATCH(D724,'IR data'!$H$4:$H$61,1)+1)-INDEX('IR data'!$H$4:$H$61,MATCH(D724,'IR data'!$H$4:$H$61,1))))) * (INDEX('IR data'!$I$4:$I$61,MATCH(D724,'IR data'!$H$4:$H$61,1))-(INDEX('IR data'!$I$4:$I$61,MATCH(D724,'IR data'!$H$4:$H$61,1)+1)))))</f>
        <v>0.91039339211111103</v>
      </c>
      <c r="F724" s="30">
        <f t="shared" si="70"/>
        <v>2.0639916305532417E-2</v>
      </c>
      <c r="G724" s="45">
        <f t="shared" si="66"/>
        <v>46106</v>
      </c>
      <c r="H724" s="14" cm="1">
        <f t="array" ref="H724">_xlfn.IFNA(INDEX('IR data'!$N$4:$N$61,MATCH(G724,'IR data'!$M$4:$M$61,0)),((INDEX('IR data'!$N$4:$N$61,MATCH(G724,'IR data'!$M$4:$M$61,1)))-((G724-(INDEX('IR data'!$M$4:$M$61,MATCH(G724,'IR data'!$M$4:$M$61,1))))/((INDEX('IR data'!$M$4:$M$61,MATCH(G724,'IR data'!$M$4:$M$61,1)+1)-INDEX('IR data'!$M$4:$M$61,MATCH(G724,'IR data'!$M$4:$M$61,1))))) * (INDEX('IR data'!$N$4:$N$61,MATCH(G724,'IR data'!$M$4:$M$61,1))-(INDEX('IR data'!$N$4:$N$61,MATCH(G724,'IR data'!$M$4:$M$61,1)+1)))))</f>
        <v>0.90921507630769238</v>
      </c>
      <c r="I724" s="44">
        <f t="shared" si="71"/>
        <v>2.0924661052239241E-2</v>
      </c>
    </row>
    <row r="725" spans="1:9" x14ac:dyDescent="0.25">
      <c r="A725" s="45">
        <f t="shared" si="67"/>
        <v>46013</v>
      </c>
      <c r="B725" s="14" cm="1">
        <f t="array" ref="B725">_xlfn.IFNA(INDEX('IR data'!$D$4:$D$61,MATCH(A725,'IR data'!$C$4:$C$61,0)),((INDEX('IR data'!$D$4:$D$61,MATCH(A725,'IR data'!$C$4:$C$61,1)))-((A725-(INDEX('IR data'!$C$4:$C$61,MATCH(A725,'IR data'!$C$4:$C$61,1))))/((INDEX('IR data'!$C$4:$C$61,MATCH(A725,'IR data'!$C$4:$C$61,1)+1)-INDEX('IR data'!$C$4:$C$61,MATCH(A725,'IR data'!$C$4:$C$61,1))))) * (INDEX('IR data'!$D$4:$D$61,MATCH(A725,'IR data'!$C$4:$C$61,1))-(INDEX('IR data'!$D$4:$D$61,MATCH(A725,'IR data'!$C$4:$C$61,1)+1)))))</f>
        <v>0.91784889940425529</v>
      </c>
      <c r="C725" s="30">
        <f t="shared" si="68"/>
        <v>1.8820658042442377E-2</v>
      </c>
      <c r="D725" s="45">
        <f t="shared" si="69"/>
        <v>46073</v>
      </c>
      <c r="E725" s="14" cm="1">
        <f t="array" ref="E725">_xlfn.IFNA(INDEX('IR data'!$I$4:$I$61,MATCH(D725,'IR data'!$H$4:$H$61,0)),((INDEX('IR data'!$I$4:$I$61,MATCH(D725,'IR data'!$H$4:$H$61,1)))-((D725-(INDEX('IR data'!$H$4:$H$61,MATCH(D725,'IR data'!$H$4:$H$61,1))))/((INDEX('IR data'!$H$4:$H$61,MATCH(D725,'IR data'!$H$4:$H$61,1)+1)-INDEX('IR data'!$H$4:$H$61,MATCH(D725,'IR data'!$H$4:$H$61,1))))) * (INDEX('IR data'!$I$4:$I$61,MATCH(D725,'IR data'!$H$4:$H$61,1))-(INDEX('IR data'!$I$4:$I$61,MATCH(D725,'IR data'!$H$4:$H$61,1)+1)))))</f>
        <v>0.91029352733333335</v>
      </c>
      <c r="F725" s="30">
        <f t="shared" si="70"/>
        <v>2.0635414185546749E-2</v>
      </c>
      <c r="G725" s="45">
        <f t="shared" si="66"/>
        <v>46107</v>
      </c>
      <c r="H725" s="14" cm="1">
        <f t="array" ref="H725">_xlfn.IFNA(INDEX('IR data'!$N$4:$N$61,MATCH(G725,'IR data'!$M$4:$M$61,0)),((INDEX('IR data'!$N$4:$N$61,MATCH(G725,'IR data'!$M$4:$M$61,1)))-((G725-(INDEX('IR data'!$M$4:$M$61,MATCH(G725,'IR data'!$M$4:$M$61,1))))/((INDEX('IR data'!$M$4:$M$61,MATCH(G725,'IR data'!$M$4:$M$61,1)+1)-INDEX('IR data'!$M$4:$M$61,MATCH(G725,'IR data'!$M$4:$M$61,1))))) * (INDEX('IR data'!$N$4:$N$61,MATCH(G725,'IR data'!$M$4:$M$61,1))-(INDEX('IR data'!$N$4:$N$61,MATCH(G725,'IR data'!$M$4:$M$61,1)+1)))))</f>
        <v>0.90911009261538467</v>
      </c>
      <c r="I725" s="44">
        <f t="shared" si="71"/>
        <v>2.0921031996630458E-2</v>
      </c>
    </row>
    <row r="726" spans="1:9" x14ac:dyDescent="0.25">
      <c r="A726" s="45">
        <f t="shared" si="67"/>
        <v>46014</v>
      </c>
      <c r="B726" s="14" cm="1">
        <f t="array" ref="B726">_xlfn.IFNA(INDEX('IR data'!$D$4:$D$61,MATCH(A726,'IR data'!$C$4:$C$61,0)),((INDEX('IR data'!$D$4:$D$61,MATCH(A726,'IR data'!$C$4:$C$61,1)))-((A726-(INDEX('IR data'!$C$4:$C$61,MATCH(A726,'IR data'!$C$4:$C$61,1))))/((INDEX('IR data'!$C$4:$C$61,MATCH(A726,'IR data'!$C$4:$C$61,1)+1)-INDEX('IR data'!$C$4:$C$61,MATCH(A726,'IR data'!$C$4:$C$61,1))))) * (INDEX('IR data'!$D$4:$D$61,MATCH(A726,'IR data'!$C$4:$C$61,1))-(INDEX('IR data'!$D$4:$D$61,MATCH(A726,'IR data'!$C$4:$C$61,1)+1)))))</f>
        <v>0.91776481194680848</v>
      </c>
      <c r="C726" s="30">
        <f t="shared" si="68"/>
        <v>1.8814713875701966E-2</v>
      </c>
      <c r="D726" s="45">
        <f t="shared" si="69"/>
        <v>46074</v>
      </c>
      <c r="E726" s="14" cm="1">
        <f t="array" ref="E726">_xlfn.IFNA(INDEX('IR data'!$I$4:$I$61,MATCH(D726,'IR data'!$H$4:$H$61,0)),((INDEX('IR data'!$I$4:$I$61,MATCH(D726,'IR data'!$H$4:$H$61,1)))-((D726-(INDEX('IR data'!$H$4:$H$61,MATCH(D726,'IR data'!$H$4:$H$61,1))))/((INDEX('IR data'!$H$4:$H$61,MATCH(D726,'IR data'!$H$4:$H$61,1)+1)-INDEX('IR data'!$H$4:$H$61,MATCH(D726,'IR data'!$H$4:$H$61,1))))) * (INDEX('IR data'!$I$4:$I$61,MATCH(D726,'IR data'!$H$4:$H$61,1))-(INDEX('IR data'!$I$4:$I$61,MATCH(D726,'IR data'!$H$4:$H$61,1)+1)))))</f>
        <v>0.91019366255555556</v>
      </c>
      <c r="F726" s="30">
        <f t="shared" si="70"/>
        <v>2.0630927158322918E-2</v>
      </c>
      <c r="G726" s="45">
        <f t="shared" si="66"/>
        <v>46108</v>
      </c>
      <c r="H726" s="14" cm="1">
        <f t="array" ref="H726">_xlfn.IFNA(INDEX('IR data'!$N$4:$N$61,MATCH(G726,'IR data'!$M$4:$M$61,0)),((INDEX('IR data'!$N$4:$N$61,MATCH(G726,'IR data'!$M$4:$M$61,1)))-((G726-(INDEX('IR data'!$M$4:$M$61,MATCH(G726,'IR data'!$M$4:$M$61,1))))/((INDEX('IR data'!$M$4:$M$61,MATCH(G726,'IR data'!$M$4:$M$61,1)+1)-INDEX('IR data'!$M$4:$M$61,MATCH(G726,'IR data'!$M$4:$M$61,1))))) * (INDEX('IR data'!$N$4:$N$61,MATCH(G726,'IR data'!$M$4:$M$61,1))-(INDEX('IR data'!$N$4:$N$61,MATCH(G726,'IR data'!$M$4:$M$61,1)+1)))))</f>
        <v>0.90900510892307695</v>
      </c>
      <c r="I726" s="44">
        <f t="shared" si="71"/>
        <v>2.0917415903716142E-2</v>
      </c>
    </row>
    <row r="727" spans="1:9" x14ac:dyDescent="0.25">
      <c r="A727" s="45">
        <f t="shared" si="67"/>
        <v>46015</v>
      </c>
      <c r="B727" s="14" cm="1">
        <f t="array" ref="B727">_xlfn.IFNA(INDEX('IR data'!$D$4:$D$61,MATCH(A727,'IR data'!$C$4:$C$61,0)),((INDEX('IR data'!$D$4:$D$61,MATCH(A727,'IR data'!$C$4:$C$61,1)))-((A727-(INDEX('IR data'!$C$4:$C$61,MATCH(A727,'IR data'!$C$4:$C$61,1))))/((INDEX('IR data'!$C$4:$C$61,MATCH(A727,'IR data'!$C$4:$C$61,1)+1)-INDEX('IR data'!$C$4:$C$61,MATCH(A727,'IR data'!$C$4:$C$61,1))))) * (INDEX('IR data'!$D$4:$D$61,MATCH(A727,'IR data'!$C$4:$C$61,1))-(INDEX('IR data'!$D$4:$D$61,MATCH(A727,'IR data'!$C$4:$C$61,1)+1)))))</f>
        <v>0.91768072448936167</v>
      </c>
      <c r="C727" s="30">
        <f t="shared" si="68"/>
        <v>1.8808787967280943E-2</v>
      </c>
      <c r="D727" s="45">
        <f t="shared" si="69"/>
        <v>46075</v>
      </c>
      <c r="E727" s="14" cm="1">
        <f t="array" ref="E727">_xlfn.IFNA(INDEX('IR data'!$I$4:$I$61,MATCH(D727,'IR data'!$H$4:$H$61,0)),((INDEX('IR data'!$I$4:$I$61,MATCH(D727,'IR data'!$H$4:$H$61,1)))-((D727-(INDEX('IR data'!$H$4:$H$61,MATCH(D727,'IR data'!$H$4:$H$61,1))))/((INDEX('IR data'!$H$4:$H$61,MATCH(D727,'IR data'!$H$4:$H$61,1)+1)-INDEX('IR data'!$H$4:$H$61,MATCH(D727,'IR data'!$H$4:$H$61,1))))) * (INDEX('IR data'!$I$4:$I$61,MATCH(D727,'IR data'!$H$4:$H$61,1))-(INDEX('IR data'!$I$4:$I$61,MATCH(D727,'IR data'!$H$4:$H$61,1)+1)))))</f>
        <v>0.91009379777777777</v>
      </c>
      <c r="F727" s="30">
        <f t="shared" si="70"/>
        <v>2.0626455161900099E-2</v>
      </c>
      <c r="G727" s="45">
        <f t="shared" si="66"/>
        <v>46109</v>
      </c>
      <c r="H727" s="14" cm="1">
        <f t="array" ref="H727">_xlfn.IFNA(INDEX('IR data'!$N$4:$N$61,MATCH(G727,'IR data'!$M$4:$M$61,0)),((INDEX('IR data'!$N$4:$N$61,MATCH(G727,'IR data'!$M$4:$M$61,1)))-((G727-(INDEX('IR data'!$M$4:$M$61,MATCH(G727,'IR data'!$M$4:$M$61,1))))/((INDEX('IR data'!$M$4:$M$61,MATCH(G727,'IR data'!$M$4:$M$61,1)+1)-INDEX('IR data'!$M$4:$M$61,MATCH(G727,'IR data'!$M$4:$M$61,1))))) * (INDEX('IR data'!$N$4:$N$61,MATCH(G727,'IR data'!$M$4:$M$61,1))-(INDEX('IR data'!$N$4:$N$61,MATCH(G727,'IR data'!$M$4:$M$61,1)+1)))))</f>
        <v>0.90890012523076924</v>
      </c>
      <c r="I727" s="44">
        <f t="shared" si="71"/>
        <v>2.091381272045793E-2</v>
      </c>
    </row>
    <row r="728" spans="1:9" x14ac:dyDescent="0.25">
      <c r="A728" s="45">
        <f t="shared" si="67"/>
        <v>46016</v>
      </c>
      <c r="B728" s="14" cm="1">
        <f t="array" ref="B728">_xlfn.IFNA(INDEX('IR data'!$D$4:$D$61,MATCH(A728,'IR data'!$C$4:$C$61,0)),((INDEX('IR data'!$D$4:$D$61,MATCH(A728,'IR data'!$C$4:$C$61,1)))-((A728-(INDEX('IR data'!$C$4:$C$61,MATCH(A728,'IR data'!$C$4:$C$61,1))))/((INDEX('IR data'!$C$4:$C$61,MATCH(A728,'IR data'!$C$4:$C$61,1)+1)-INDEX('IR data'!$C$4:$C$61,MATCH(A728,'IR data'!$C$4:$C$61,1))))) * (INDEX('IR data'!$D$4:$D$61,MATCH(A728,'IR data'!$C$4:$C$61,1))-(INDEX('IR data'!$D$4:$D$61,MATCH(A728,'IR data'!$C$4:$C$61,1)+1)))))</f>
        <v>0.91759663703191496</v>
      </c>
      <c r="C728" s="30">
        <f t="shared" si="68"/>
        <v>1.8802880241964005E-2</v>
      </c>
      <c r="D728" s="45">
        <f t="shared" si="69"/>
        <v>46076</v>
      </c>
      <c r="E728" s="14" cm="1">
        <f t="array" ref="E728">_xlfn.IFNA(INDEX('IR data'!$I$4:$I$61,MATCH(D728,'IR data'!$H$4:$H$61,0)),((INDEX('IR data'!$I$4:$I$61,MATCH(D728,'IR data'!$H$4:$H$61,1)))-((D728-(INDEX('IR data'!$H$4:$H$61,MATCH(D728,'IR data'!$H$4:$H$61,1))))/((INDEX('IR data'!$H$4:$H$61,MATCH(D728,'IR data'!$H$4:$H$61,1)+1)-INDEX('IR data'!$H$4:$H$61,MATCH(D728,'IR data'!$H$4:$H$61,1))))) * (INDEX('IR data'!$I$4:$I$61,MATCH(D728,'IR data'!$H$4:$H$61,1))-(INDEX('IR data'!$I$4:$I$61,MATCH(D728,'IR data'!$H$4:$H$61,1)+1)))))</f>
        <v>0.90999393299999998</v>
      </c>
      <c r="F728" s="30">
        <f t="shared" si="70"/>
        <v>2.0621998134659536E-2</v>
      </c>
      <c r="G728" s="45">
        <f t="shared" si="66"/>
        <v>46110</v>
      </c>
      <c r="H728" s="14" cm="1">
        <f t="array" ref="H728">_xlfn.IFNA(INDEX('IR data'!$N$4:$N$61,MATCH(G728,'IR data'!$M$4:$M$61,0)),((INDEX('IR data'!$N$4:$N$61,MATCH(G728,'IR data'!$M$4:$M$61,1)))-((G728-(INDEX('IR data'!$M$4:$M$61,MATCH(G728,'IR data'!$M$4:$M$61,1))))/((INDEX('IR data'!$M$4:$M$61,MATCH(G728,'IR data'!$M$4:$M$61,1)+1)-INDEX('IR data'!$M$4:$M$61,MATCH(G728,'IR data'!$M$4:$M$61,1))))) * (INDEX('IR data'!$N$4:$N$61,MATCH(G728,'IR data'!$M$4:$M$61,1))-(INDEX('IR data'!$N$4:$N$61,MATCH(G728,'IR data'!$M$4:$M$61,1)+1)))))</f>
        <v>0.90879514153846153</v>
      </c>
      <c r="I728" s="44">
        <f t="shared" si="71"/>
        <v>2.0910222394110323E-2</v>
      </c>
    </row>
    <row r="729" spans="1:9" x14ac:dyDescent="0.25">
      <c r="A729" s="45">
        <f t="shared" si="67"/>
        <v>46017</v>
      </c>
      <c r="B729" s="14" cm="1">
        <f t="array" ref="B729">_xlfn.IFNA(INDEX('IR data'!$D$4:$D$61,MATCH(A729,'IR data'!$C$4:$C$61,0)),((INDEX('IR data'!$D$4:$D$61,MATCH(A729,'IR data'!$C$4:$C$61,1)))-((A729-(INDEX('IR data'!$C$4:$C$61,MATCH(A729,'IR data'!$C$4:$C$61,1))))/((INDEX('IR data'!$C$4:$C$61,MATCH(A729,'IR data'!$C$4:$C$61,1)+1)-INDEX('IR data'!$C$4:$C$61,MATCH(A729,'IR data'!$C$4:$C$61,1))))) * (INDEX('IR data'!$D$4:$D$61,MATCH(A729,'IR data'!$C$4:$C$61,1))-(INDEX('IR data'!$D$4:$D$61,MATCH(A729,'IR data'!$C$4:$C$61,1)+1)))))</f>
        <v>0.91751254957446815</v>
      </c>
      <c r="C729" s="30">
        <f t="shared" si="68"/>
        <v>1.8796990624950403E-2</v>
      </c>
      <c r="D729" s="45">
        <f t="shared" si="69"/>
        <v>46077</v>
      </c>
      <c r="E729" s="14" cm="1">
        <f t="array" ref="E729">_xlfn.IFNA(INDEX('IR data'!$I$4:$I$61,MATCH(D729,'IR data'!$H$4:$H$61,0)),((INDEX('IR data'!$I$4:$I$61,MATCH(D729,'IR data'!$H$4:$H$61,1)))-((D729-(INDEX('IR data'!$H$4:$H$61,MATCH(D729,'IR data'!$H$4:$H$61,1))))/((INDEX('IR data'!$H$4:$H$61,MATCH(D729,'IR data'!$H$4:$H$61,1)+1)-INDEX('IR data'!$H$4:$H$61,MATCH(D729,'IR data'!$H$4:$H$61,1))))) * (INDEX('IR data'!$I$4:$I$61,MATCH(D729,'IR data'!$H$4:$H$61,1))-(INDEX('IR data'!$I$4:$I$61,MATCH(D729,'IR data'!$H$4:$H$61,1)+1)))))</f>
        <v>0.90989406822222219</v>
      </c>
      <c r="F729" s="30">
        <f t="shared" si="70"/>
        <v>2.0617556015322169E-2</v>
      </c>
      <c r="G729" s="45">
        <f t="shared" si="66"/>
        <v>46111</v>
      </c>
      <c r="H729" s="14" cm="1">
        <f t="array" ref="H729">_xlfn.IFNA(INDEX('IR data'!$N$4:$N$61,MATCH(G729,'IR data'!$M$4:$M$61,0)),((INDEX('IR data'!$N$4:$N$61,MATCH(G729,'IR data'!$M$4:$M$61,1)))-((G729-(INDEX('IR data'!$M$4:$M$61,MATCH(G729,'IR data'!$M$4:$M$61,1))))/((INDEX('IR data'!$M$4:$M$61,MATCH(G729,'IR data'!$M$4:$M$61,1)+1)-INDEX('IR data'!$M$4:$M$61,MATCH(G729,'IR data'!$M$4:$M$61,1))))) * (INDEX('IR data'!$N$4:$N$61,MATCH(G729,'IR data'!$M$4:$M$61,1))-(INDEX('IR data'!$N$4:$N$61,MATCH(G729,'IR data'!$M$4:$M$61,1)+1)))))</f>
        <v>0.90869015784615392</v>
      </c>
      <c r="I729" s="44">
        <f t="shared" si="71"/>
        <v>2.0906644872218643E-2</v>
      </c>
    </row>
    <row r="730" spans="1:9" x14ac:dyDescent="0.25">
      <c r="A730" s="45">
        <f t="shared" si="67"/>
        <v>46018</v>
      </c>
      <c r="B730" s="14" cm="1">
        <f t="array" ref="B730">_xlfn.IFNA(INDEX('IR data'!$D$4:$D$61,MATCH(A730,'IR data'!$C$4:$C$61,0)),((INDEX('IR data'!$D$4:$D$61,MATCH(A730,'IR data'!$C$4:$C$61,1)))-((A730-(INDEX('IR data'!$C$4:$C$61,MATCH(A730,'IR data'!$C$4:$C$61,1))))/((INDEX('IR data'!$C$4:$C$61,MATCH(A730,'IR data'!$C$4:$C$61,1)+1)-INDEX('IR data'!$C$4:$C$61,MATCH(A730,'IR data'!$C$4:$C$61,1))))) * (INDEX('IR data'!$D$4:$D$61,MATCH(A730,'IR data'!$C$4:$C$61,1))-(INDEX('IR data'!$D$4:$D$61,MATCH(A730,'IR data'!$C$4:$C$61,1)+1)))))</f>
        <v>0.91742846211702134</v>
      </c>
      <c r="C730" s="30">
        <f t="shared" si="68"/>
        <v>1.8791119041850993E-2</v>
      </c>
      <c r="D730" s="45">
        <f t="shared" si="69"/>
        <v>46078</v>
      </c>
      <c r="E730" s="14" cm="1">
        <f t="array" ref="E730">_xlfn.IFNA(INDEX('IR data'!$I$4:$I$61,MATCH(D730,'IR data'!$H$4:$H$61,0)),((INDEX('IR data'!$I$4:$I$61,MATCH(D730,'IR data'!$H$4:$H$61,1)))-((D730-(INDEX('IR data'!$H$4:$H$61,MATCH(D730,'IR data'!$H$4:$H$61,1))))/((INDEX('IR data'!$H$4:$H$61,MATCH(D730,'IR data'!$H$4:$H$61,1)+1)-INDEX('IR data'!$H$4:$H$61,MATCH(D730,'IR data'!$H$4:$H$61,1))))) * (INDEX('IR data'!$I$4:$I$61,MATCH(D730,'IR data'!$H$4:$H$61,1))-(INDEX('IR data'!$I$4:$I$61,MATCH(D730,'IR data'!$H$4:$H$61,1)+1)))))</f>
        <v>0.90979420344444439</v>
      </c>
      <c r="F730" s="30">
        <f t="shared" si="70"/>
        <v>2.0613128742946289E-2</v>
      </c>
      <c r="G730" s="45">
        <f t="shared" si="66"/>
        <v>46112</v>
      </c>
      <c r="H730" s="14" cm="1">
        <f t="array" ref="H730">_xlfn.IFNA(INDEX('IR data'!$N$4:$N$61,MATCH(G730,'IR data'!$M$4:$M$61,0)),((INDEX('IR data'!$N$4:$N$61,MATCH(G730,'IR data'!$M$4:$M$61,1)))-((G730-(INDEX('IR data'!$M$4:$M$61,MATCH(G730,'IR data'!$M$4:$M$61,1))))/((INDEX('IR data'!$M$4:$M$61,MATCH(G730,'IR data'!$M$4:$M$61,1)+1)-INDEX('IR data'!$M$4:$M$61,MATCH(G730,'IR data'!$M$4:$M$61,1))))) * (INDEX('IR data'!$N$4:$N$61,MATCH(G730,'IR data'!$M$4:$M$61,1))-(INDEX('IR data'!$N$4:$N$61,MATCH(G730,'IR data'!$M$4:$M$61,1)+1)))))</f>
        <v>0.90858517415384621</v>
      </c>
      <c r="I730" s="44">
        <f t="shared" si="71"/>
        <v>2.0903080102617124E-2</v>
      </c>
    </row>
    <row r="731" spans="1:9" x14ac:dyDescent="0.25">
      <c r="A731" s="45">
        <f t="shared" si="67"/>
        <v>46019</v>
      </c>
      <c r="B731" s="14" cm="1">
        <f t="array" ref="B731">_xlfn.IFNA(INDEX('IR data'!$D$4:$D$61,MATCH(A731,'IR data'!$C$4:$C$61,0)),((INDEX('IR data'!$D$4:$D$61,MATCH(A731,'IR data'!$C$4:$C$61,1)))-((A731-(INDEX('IR data'!$C$4:$C$61,MATCH(A731,'IR data'!$C$4:$C$61,1))))/((INDEX('IR data'!$C$4:$C$61,MATCH(A731,'IR data'!$C$4:$C$61,1)+1)-INDEX('IR data'!$C$4:$C$61,MATCH(A731,'IR data'!$C$4:$C$61,1))))) * (INDEX('IR data'!$D$4:$D$61,MATCH(A731,'IR data'!$C$4:$C$61,1))-(INDEX('IR data'!$D$4:$D$61,MATCH(A731,'IR data'!$C$4:$C$61,1)+1)))))</f>
        <v>0.91734437465957452</v>
      </c>
      <c r="C731" s="30">
        <f t="shared" si="68"/>
        <v>1.878526541868545E-2</v>
      </c>
      <c r="D731" s="45">
        <f t="shared" si="69"/>
        <v>46079</v>
      </c>
      <c r="E731" s="14" cm="1">
        <f t="array" ref="E731">_xlfn.IFNA(INDEX('IR data'!$I$4:$I$61,MATCH(D731,'IR data'!$H$4:$H$61,0)),((INDEX('IR data'!$I$4:$I$61,MATCH(D731,'IR data'!$H$4:$H$61,1)))-((D731-(INDEX('IR data'!$H$4:$H$61,MATCH(D731,'IR data'!$H$4:$H$61,1))))/((INDEX('IR data'!$H$4:$H$61,MATCH(D731,'IR data'!$H$4:$H$61,1)+1)-INDEX('IR data'!$H$4:$H$61,MATCH(D731,'IR data'!$H$4:$H$61,1))))) * (INDEX('IR data'!$I$4:$I$61,MATCH(D731,'IR data'!$H$4:$H$61,1))-(INDEX('IR data'!$I$4:$I$61,MATCH(D731,'IR data'!$H$4:$H$61,1)+1)))))</f>
        <v>0.9096943386666666</v>
      </c>
      <c r="F731" s="30">
        <f t="shared" si="70"/>
        <v>2.0608716256925202E-2</v>
      </c>
      <c r="G731" s="45">
        <f t="shared" si="66"/>
        <v>46113</v>
      </c>
      <c r="H731" s="14" cm="1">
        <f t="array" ref="H731">_xlfn.IFNA(INDEX('IR data'!$N$4:$N$61,MATCH(G731,'IR data'!$M$4:$M$61,0)),((INDEX('IR data'!$N$4:$N$61,MATCH(G731,'IR data'!$M$4:$M$61,1)))-((G731-(INDEX('IR data'!$M$4:$M$61,MATCH(G731,'IR data'!$M$4:$M$61,1))))/((INDEX('IR data'!$M$4:$M$61,MATCH(G731,'IR data'!$M$4:$M$61,1)+1)-INDEX('IR data'!$M$4:$M$61,MATCH(G731,'IR data'!$M$4:$M$61,1))))) * (INDEX('IR data'!$N$4:$N$61,MATCH(G731,'IR data'!$M$4:$M$61,1))-(INDEX('IR data'!$N$4:$N$61,MATCH(G731,'IR data'!$M$4:$M$61,1)+1)))))</f>
        <v>0.90848019046153849</v>
      </c>
      <c r="I731" s="44">
        <f t="shared" si="71"/>
        <v>2.089952803342679E-2</v>
      </c>
    </row>
    <row r="732" spans="1:9" x14ac:dyDescent="0.25">
      <c r="A732" s="45">
        <f t="shared" si="67"/>
        <v>46020</v>
      </c>
      <c r="B732" s="14" cm="1">
        <f t="array" ref="B732">_xlfn.IFNA(INDEX('IR data'!$D$4:$D$61,MATCH(A732,'IR data'!$C$4:$C$61,0)),((INDEX('IR data'!$D$4:$D$61,MATCH(A732,'IR data'!$C$4:$C$61,1)))-((A732-(INDEX('IR data'!$C$4:$C$61,MATCH(A732,'IR data'!$C$4:$C$61,1))))/((INDEX('IR data'!$C$4:$C$61,MATCH(A732,'IR data'!$C$4:$C$61,1)+1)-INDEX('IR data'!$C$4:$C$61,MATCH(A732,'IR data'!$C$4:$C$61,1))))) * (INDEX('IR data'!$D$4:$D$61,MATCH(A732,'IR data'!$C$4:$C$61,1))-(INDEX('IR data'!$D$4:$D$61,MATCH(A732,'IR data'!$C$4:$C$61,1)+1)))))</f>
        <v>0.91726028720212771</v>
      </c>
      <c r="C732" s="30">
        <f t="shared" si="68"/>
        <v>1.8779429681879487E-2</v>
      </c>
      <c r="D732" s="45">
        <f t="shared" si="69"/>
        <v>46080</v>
      </c>
      <c r="E732" s="14" cm="1">
        <f t="array" ref="E732">_xlfn.IFNA(INDEX('IR data'!$I$4:$I$61,MATCH(D732,'IR data'!$H$4:$H$61,0)),((INDEX('IR data'!$I$4:$I$61,MATCH(D732,'IR data'!$H$4:$H$61,1)))-((D732-(INDEX('IR data'!$H$4:$H$61,MATCH(D732,'IR data'!$H$4:$H$61,1))))/((INDEX('IR data'!$H$4:$H$61,MATCH(D732,'IR data'!$H$4:$H$61,1)+1)-INDEX('IR data'!$H$4:$H$61,MATCH(D732,'IR data'!$H$4:$H$61,1))))) * (INDEX('IR data'!$I$4:$I$61,MATCH(D732,'IR data'!$H$4:$H$61,1))-(INDEX('IR data'!$I$4:$I$61,MATCH(D732,'IR data'!$H$4:$H$61,1)+1)))))</f>
        <v>0.90959447388888881</v>
      </c>
      <c r="F732" s="30">
        <f t="shared" si="70"/>
        <v>2.0604318496984974E-2</v>
      </c>
      <c r="G732" s="45">
        <f t="shared" si="66"/>
        <v>46114</v>
      </c>
      <c r="H732" s="14" cm="1">
        <f t="array" ref="H732">_xlfn.IFNA(INDEX('IR data'!$N$4:$N$61,MATCH(G732,'IR data'!$M$4:$M$61,0)),((INDEX('IR data'!$N$4:$N$61,MATCH(G732,'IR data'!$M$4:$M$61,1)))-((G732-(INDEX('IR data'!$M$4:$M$61,MATCH(G732,'IR data'!$M$4:$M$61,1))))/((INDEX('IR data'!$M$4:$M$61,MATCH(G732,'IR data'!$M$4:$M$61,1)+1)-INDEX('IR data'!$M$4:$M$61,MATCH(G732,'IR data'!$M$4:$M$61,1))))) * (INDEX('IR data'!$N$4:$N$61,MATCH(G732,'IR data'!$M$4:$M$61,1))-(INDEX('IR data'!$N$4:$N$61,MATCH(G732,'IR data'!$M$4:$M$61,1)+1)))))</f>
        <v>0.90837520676923078</v>
      </c>
      <c r="I732" s="44">
        <f t="shared" si="71"/>
        <v>2.089598861305357E-2</v>
      </c>
    </row>
    <row r="733" spans="1:9" x14ac:dyDescent="0.25">
      <c r="A733" s="45">
        <f t="shared" si="67"/>
        <v>46021</v>
      </c>
      <c r="B733" s="14" cm="1">
        <f t="array" ref="B733">_xlfn.IFNA(INDEX('IR data'!$D$4:$D$61,MATCH(A733,'IR data'!$C$4:$C$61,0)),((INDEX('IR data'!$D$4:$D$61,MATCH(A733,'IR data'!$C$4:$C$61,1)))-((A733-(INDEX('IR data'!$C$4:$C$61,MATCH(A733,'IR data'!$C$4:$C$61,1))))/((INDEX('IR data'!$C$4:$C$61,MATCH(A733,'IR data'!$C$4:$C$61,1)+1)-INDEX('IR data'!$C$4:$C$61,MATCH(A733,'IR data'!$C$4:$C$61,1))))) * (INDEX('IR data'!$D$4:$D$61,MATCH(A733,'IR data'!$C$4:$C$61,1))-(INDEX('IR data'!$D$4:$D$61,MATCH(A733,'IR data'!$C$4:$C$61,1)+1)))))</f>
        <v>0.9171761997446809</v>
      </c>
      <c r="C733" s="30">
        <f t="shared" si="68"/>
        <v>1.8773611758262053E-2</v>
      </c>
      <c r="D733" s="45">
        <f t="shared" si="69"/>
        <v>46081</v>
      </c>
      <c r="E733" s="14" cm="1">
        <f t="array" ref="E733">_xlfn.IFNA(INDEX('IR data'!$I$4:$I$61,MATCH(D733,'IR data'!$H$4:$H$61,0)),((INDEX('IR data'!$I$4:$I$61,MATCH(D733,'IR data'!$H$4:$H$61,1)))-((D733-(INDEX('IR data'!$H$4:$H$61,MATCH(D733,'IR data'!$H$4:$H$61,1))))/((INDEX('IR data'!$H$4:$H$61,MATCH(D733,'IR data'!$H$4:$H$61,1)+1)-INDEX('IR data'!$H$4:$H$61,MATCH(D733,'IR data'!$H$4:$H$61,1))))) * (INDEX('IR data'!$I$4:$I$61,MATCH(D733,'IR data'!$H$4:$H$61,1))-(INDEX('IR data'!$I$4:$I$61,MATCH(D733,'IR data'!$H$4:$H$61,1)+1)))))</f>
        <v>0.90949460911111113</v>
      </c>
      <c r="F733" s="30">
        <f t="shared" si="70"/>
        <v>2.0599935403182088E-2</v>
      </c>
      <c r="G733" s="45">
        <f t="shared" si="66"/>
        <v>46115</v>
      </c>
      <c r="H733" s="14" cm="1">
        <f t="array" ref="H733">_xlfn.IFNA(INDEX('IR data'!$N$4:$N$61,MATCH(G733,'IR data'!$M$4:$M$61,0)),((INDEX('IR data'!$N$4:$N$61,MATCH(G733,'IR data'!$M$4:$M$61,1)))-((G733-(INDEX('IR data'!$M$4:$M$61,MATCH(G733,'IR data'!$M$4:$M$61,1))))/((INDEX('IR data'!$M$4:$M$61,MATCH(G733,'IR data'!$M$4:$M$61,1)+1)-INDEX('IR data'!$M$4:$M$61,MATCH(G733,'IR data'!$M$4:$M$61,1))))) * (INDEX('IR data'!$N$4:$N$61,MATCH(G733,'IR data'!$M$4:$M$61,1))-(INDEX('IR data'!$N$4:$N$61,MATCH(G733,'IR data'!$M$4:$M$61,1)+1)))))</f>
        <v>0.90827022307692307</v>
      </c>
      <c r="I733" s="44">
        <f t="shared" si="71"/>
        <v>2.0892461790186341E-2</v>
      </c>
    </row>
    <row r="734" spans="1:9" x14ac:dyDescent="0.25">
      <c r="A734" s="45">
        <f t="shared" si="67"/>
        <v>46022</v>
      </c>
      <c r="B734" s="14" cm="1">
        <f t="array" ref="B734">_xlfn.IFNA(INDEX('IR data'!$D$4:$D$61,MATCH(A734,'IR data'!$C$4:$C$61,0)),((INDEX('IR data'!$D$4:$D$61,MATCH(A734,'IR data'!$C$4:$C$61,1)))-((A734-(INDEX('IR data'!$C$4:$C$61,MATCH(A734,'IR data'!$C$4:$C$61,1))))/((INDEX('IR data'!$C$4:$C$61,MATCH(A734,'IR data'!$C$4:$C$61,1)+1)-INDEX('IR data'!$C$4:$C$61,MATCH(A734,'IR data'!$C$4:$C$61,1))))) * (INDEX('IR data'!$D$4:$D$61,MATCH(A734,'IR data'!$C$4:$C$61,1))-(INDEX('IR data'!$D$4:$D$61,MATCH(A734,'IR data'!$C$4:$C$61,1)+1)))))</f>
        <v>0.91709211228723408</v>
      </c>
      <c r="C734" s="30">
        <f t="shared" si="68"/>
        <v>1.8767811575062566E-2</v>
      </c>
      <c r="D734" s="45">
        <f t="shared" si="69"/>
        <v>46082</v>
      </c>
      <c r="E734" s="14" cm="1">
        <f t="array" ref="E734">_xlfn.IFNA(INDEX('IR data'!$I$4:$I$61,MATCH(D734,'IR data'!$H$4:$H$61,0)),((INDEX('IR data'!$I$4:$I$61,MATCH(D734,'IR data'!$H$4:$H$61,1)))-((D734-(INDEX('IR data'!$H$4:$H$61,MATCH(D734,'IR data'!$H$4:$H$61,1))))/((INDEX('IR data'!$H$4:$H$61,MATCH(D734,'IR data'!$H$4:$H$61,1)+1)-INDEX('IR data'!$H$4:$H$61,MATCH(D734,'IR data'!$H$4:$H$61,1))))) * (INDEX('IR data'!$I$4:$I$61,MATCH(D734,'IR data'!$H$4:$H$61,1))-(INDEX('IR data'!$I$4:$I$61,MATCH(D734,'IR data'!$H$4:$H$61,1)+1)))))</f>
        <v>0.90939474433333334</v>
      </c>
      <c r="F734" s="30">
        <f t="shared" si="70"/>
        <v>2.0595566915901309E-2</v>
      </c>
      <c r="G734" s="45">
        <f t="shared" si="66"/>
        <v>46116</v>
      </c>
      <c r="H734" s="14" cm="1">
        <f t="array" ref="H734">_xlfn.IFNA(INDEX('IR data'!$N$4:$N$61,MATCH(G734,'IR data'!$M$4:$M$61,0)),((INDEX('IR data'!$N$4:$N$61,MATCH(G734,'IR data'!$M$4:$M$61,1)))-((G734-(INDEX('IR data'!$M$4:$M$61,MATCH(G734,'IR data'!$M$4:$M$61,1))))/((INDEX('IR data'!$M$4:$M$61,MATCH(G734,'IR data'!$M$4:$M$61,1)+1)-INDEX('IR data'!$M$4:$M$61,MATCH(G734,'IR data'!$M$4:$M$61,1))))) * (INDEX('IR data'!$N$4:$N$61,MATCH(G734,'IR data'!$M$4:$M$61,1))-(INDEX('IR data'!$N$4:$N$61,MATCH(G734,'IR data'!$M$4:$M$61,1)+1)))))</f>
        <v>0.90816523938461546</v>
      </c>
      <c r="I734" s="44">
        <f t="shared" si="71"/>
        <v>2.0888947513794952E-2</v>
      </c>
    </row>
    <row r="735" spans="1:9" x14ac:dyDescent="0.25">
      <c r="A735" s="45">
        <f t="shared" si="67"/>
        <v>46023</v>
      </c>
      <c r="B735" s="14" cm="1">
        <f t="array" ref="B735">_xlfn.IFNA(INDEX('IR data'!$D$4:$D$61,MATCH(A735,'IR data'!$C$4:$C$61,0)),((INDEX('IR data'!$D$4:$D$61,MATCH(A735,'IR data'!$C$4:$C$61,1)))-((A735-(INDEX('IR data'!$C$4:$C$61,MATCH(A735,'IR data'!$C$4:$C$61,1))))/((INDEX('IR data'!$C$4:$C$61,MATCH(A735,'IR data'!$C$4:$C$61,1)+1)-INDEX('IR data'!$C$4:$C$61,MATCH(A735,'IR data'!$C$4:$C$61,1))))) * (INDEX('IR data'!$D$4:$D$61,MATCH(A735,'IR data'!$C$4:$C$61,1))-(INDEX('IR data'!$D$4:$D$61,MATCH(A735,'IR data'!$C$4:$C$61,1)+1)))))</f>
        <v>0.91700802482978727</v>
      </c>
      <c r="C735" s="30">
        <f t="shared" si="68"/>
        <v>1.876202905990821E-2</v>
      </c>
      <c r="D735" s="45">
        <f t="shared" si="69"/>
        <v>46083</v>
      </c>
      <c r="E735" s="14" cm="1">
        <f t="array" ref="E735">_xlfn.IFNA(INDEX('IR data'!$I$4:$I$61,MATCH(D735,'IR data'!$H$4:$H$61,0)),((INDEX('IR data'!$I$4:$I$61,MATCH(D735,'IR data'!$H$4:$H$61,1)))-((D735-(INDEX('IR data'!$H$4:$H$61,MATCH(D735,'IR data'!$H$4:$H$61,1))))/((INDEX('IR data'!$H$4:$H$61,MATCH(D735,'IR data'!$H$4:$H$61,1)+1)-INDEX('IR data'!$H$4:$H$61,MATCH(D735,'IR data'!$H$4:$H$61,1))))) * (INDEX('IR data'!$I$4:$I$61,MATCH(D735,'IR data'!$H$4:$H$61,1))-(INDEX('IR data'!$I$4:$I$61,MATCH(D735,'IR data'!$H$4:$H$61,1)+1)))))</f>
        <v>0.90929487955555555</v>
      </c>
      <c r="F735" s="30">
        <f t="shared" si="70"/>
        <v>2.0591212975853271E-2</v>
      </c>
      <c r="G735" s="45">
        <f t="shared" si="66"/>
        <v>46117</v>
      </c>
      <c r="H735" s="14" cm="1">
        <f t="array" ref="H735">_xlfn.IFNA(INDEX('IR data'!$N$4:$N$61,MATCH(G735,'IR data'!$M$4:$M$61,0)),((INDEX('IR data'!$N$4:$N$61,MATCH(G735,'IR data'!$M$4:$M$61,1)))-((G735-(INDEX('IR data'!$M$4:$M$61,MATCH(G735,'IR data'!$M$4:$M$61,1))))/((INDEX('IR data'!$M$4:$M$61,MATCH(G735,'IR data'!$M$4:$M$61,1)+1)-INDEX('IR data'!$M$4:$M$61,MATCH(G735,'IR data'!$M$4:$M$61,1))))) * (INDEX('IR data'!$N$4:$N$61,MATCH(G735,'IR data'!$M$4:$M$61,1))-(INDEX('IR data'!$N$4:$N$61,MATCH(G735,'IR data'!$M$4:$M$61,1)+1)))))</f>
        <v>0.90806025569230775</v>
      </c>
      <c r="I735" s="44">
        <f t="shared" si="71"/>
        <v>2.0885445733128429E-2</v>
      </c>
    </row>
    <row r="736" spans="1:9" x14ac:dyDescent="0.25">
      <c r="A736" s="45">
        <f t="shared" si="67"/>
        <v>46024</v>
      </c>
      <c r="B736" s="14" cm="1">
        <f t="array" ref="B736">_xlfn.IFNA(INDEX('IR data'!$D$4:$D$61,MATCH(A736,'IR data'!$C$4:$C$61,0)),((INDEX('IR data'!$D$4:$D$61,MATCH(A736,'IR data'!$C$4:$C$61,1)))-((A736-(INDEX('IR data'!$C$4:$C$61,MATCH(A736,'IR data'!$C$4:$C$61,1))))/((INDEX('IR data'!$C$4:$C$61,MATCH(A736,'IR data'!$C$4:$C$61,1)+1)-INDEX('IR data'!$C$4:$C$61,MATCH(A736,'IR data'!$C$4:$C$61,1))))) * (INDEX('IR data'!$D$4:$D$61,MATCH(A736,'IR data'!$C$4:$C$61,1))-(INDEX('IR data'!$D$4:$D$61,MATCH(A736,'IR data'!$C$4:$C$61,1)+1)))))</f>
        <v>0.91692393737234046</v>
      </c>
      <c r="C736" s="30">
        <f t="shared" si="68"/>
        <v>1.875626414082119E-2</v>
      </c>
      <c r="D736" s="45">
        <f t="shared" si="69"/>
        <v>46084</v>
      </c>
      <c r="E736" s="14" cm="1">
        <f t="array" ref="E736">_xlfn.IFNA(INDEX('IR data'!$I$4:$I$61,MATCH(D736,'IR data'!$H$4:$H$61,0)),((INDEX('IR data'!$I$4:$I$61,MATCH(D736,'IR data'!$H$4:$H$61,1)))-((D736-(INDEX('IR data'!$H$4:$H$61,MATCH(D736,'IR data'!$H$4:$H$61,1))))/((INDEX('IR data'!$H$4:$H$61,MATCH(D736,'IR data'!$H$4:$H$61,1)+1)-INDEX('IR data'!$H$4:$H$61,MATCH(D736,'IR data'!$H$4:$H$61,1))))) * (INDEX('IR data'!$I$4:$I$61,MATCH(D736,'IR data'!$H$4:$H$61,1))-(INDEX('IR data'!$I$4:$I$61,MATCH(D736,'IR data'!$H$4:$H$61,1)+1)))))</f>
        <v>0.90919501477777775</v>
      </c>
      <c r="F736" s="30">
        <f t="shared" si="70"/>
        <v>2.0586873524072385E-2</v>
      </c>
      <c r="G736" s="45">
        <f t="shared" si="66"/>
        <v>46118</v>
      </c>
      <c r="H736" s="14" cm="1">
        <f t="array" ref="H736">_xlfn.IFNA(INDEX('IR data'!$N$4:$N$61,MATCH(G736,'IR data'!$M$4:$M$61,0)),((INDEX('IR data'!$N$4:$N$61,MATCH(G736,'IR data'!$M$4:$M$61,1)))-((G736-(INDEX('IR data'!$M$4:$M$61,MATCH(G736,'IR data'!$M$4:$M$61,1))))/((INDEX('IR data'!$M$4:$M$61,MATCH(G736,'IR data'!$M$4:$M$61,1)+1)-INDEX('IR data'!$M$4:$M$61,MATCH(G736,'IR data'!$M$4:$M$61,1))))) * (INDEX('IR data'!$N$4:$N$61,MATCH(G736,'IR data'!$M$4:$M$61,1))-(INDEX('IR data'!$N$4:$N$61,MATCH(G736,'IR data'!$M$4:$M$61,1)+1)))))</f>
        <v>0.90795527200000004</v>
      </c>
      <c r="I736" s="44">
        <f t="shared" si="71"/>
        <v>2.0881956397712884E-2</v>
      </c>
    </row>
    <row r="737" spans="1:9" x14ac:dyDescent="0.25">
      <c r="A737" s="45">
        <f t="shared" si="67"/>
        <v>46025</v>
      </c>
      <c r="B737" s="14" cm="1">
        <f t="array" ref="B737">_xlfn.IFNA(INDEX('IR data'!$D$4:$D$61,MATCH(A737,'IR data'!$C$4:$C$61,0)),((INDEX('IR data'!$D$4:$D$61,MATCH(A737,'IR data'!$C$4:$C$61,1)))-((A737-(INDEX('IR data'!$C$4:$C$61,MATCH(A737,'IR data'!$C$4:$C$61,1))))/((INDEX('IR data'!$C$4:$C$61,MATCH(A737,'IR data'!$C$4:$C$61,1)+1)-INDEX('IR data'!$C$4:$C$61,MATCH(A737,'IR data'!$C$4:$C$61,1))))) * (INDEX('IR data'!$D$4:$D$61,MATCH(A737,'IR data'!$C$4:$C$61,1))-(INDEX('IR data'!$D$4:$D$61,MATCH(A737,'IR data'!$C$4:$C$61,1)+1)))))</f>
        <v>0.91683984991489365</v>
      </c>
      <c r="C737" s="30">
        <f t="shared" si="68"/>
        <v>1.8750516746216042E-2</v>
      </c>
      <c r="D737" s="45">
        <f t="shared" si="69"/>
        <v>46085</v>
      </c>
      <c r="E737" s="14" cm="1">
        <f t="array" ref="E737">_xlfn.IFNA(INDEX('IR data'!$I$4:$I$61,MATCH(D737,'IR data'!$H$4:$H$61,0)),((INDEX('IR data'!$I$4:$I$61,MATCH(D737,'IR data'!$H$4:$H$61,1)))-((D737-(INDEX('IR data'!$H$4:$H$61,MATCH(D737,'IR data'!$H$4:$H$61,1))))/((INDEX('IR data'!$H$4:$H$61,MATCH(D737,'IR data'!$H$4:$H$61,1)+1)-INDEX('IR data'!$H$4:$H$61,MATCH(D737,'IR data'!$H$4:$H$61,1))))) * (INDEX('IR data'!$I$4:$I$61,MATCH(D737,'IR data'!$H$4:$H$61,1))-(INDEX('IR data'!$I$4:$I$61,MATCH(D737,'IR data'!$H$4:$H$61,1)+1)))))</f>
        <v>0.90909514999999996</v>
      </c>
      <c r="F737" s="30">
        <f t="shared" si="70"/>
        <v>2.0582548501914565E-2</v>
      </c>
      <c r="G737" s="45">
        <f t="shared" si="66"/>
        <v>46119</v>
      </c>
      <c r="H737" s="14" cm="1">
        <f t="array" ref="H737">_xlfn.IFNA(INDEX('IR data'!$N$4:$N$61,MATCH(G737,'IR data'!$M$4:$M$61,0)),((INDEX('IR data'!$N$4:$N$61,MATCH(G737,'IR data'!$M$4:$M$61,1)))-((G737-(INDEX('IR data'!$M$4:$M$61,MATCH(G737,'IR data'!$M$4:$M$61,1))))/((INDEX('IR data'!$M$4:$M$61,MATCH(G737,'IR data'!$M$4:$M$61,1)+1)-INDEX('IR data'!$M$4:$M$61,MATCH(G737,'IR data'!$M$4:$M$61,1))))) * (INDEX('IR data'!$N$4:$N$61,MATCH(G737,'IR data'!$M$4:$M$61,1))-(INDEX('IR data'!$N$4:$N$61,MATCH(G737,'IR data'!$M$4:$M$61,1)+1)))))</f>
        <v>0.90785588137362638</v>
      </c>
      <c r="I737" s="44">
        <f t="shared" si="71"/>
        <v>2.0877148955504295E-2</v>
      </c>
    </row>
    <row r="738" spans="1:9" x14ac:dyDescent="0.25">
      <c r="A738" s="45">
        <f t="shared" si="67"/>
        <v>46026</v>
      </c>
      <c r="B738" s="14" cm="1">
        <f t="array" ref="B738">_xlfn.IFNA(INDEX('IR data'!$D$4:$D$61,MATCH(A738,'IR data'!$C$4:$C$61,0)),((INDEX('IR data'!$D$4:$D$61,MATCH(A738,'IR data'!$C$4:$C$61,1)))-((A738-(INDEX('IR data'!$C$4:$C$61,MATCH(A738,'IR data'!$C$4:$C$61,1))))/((INDEX('IR data'!$C$4:$C$61,MATCH(A738,'IR data'!$C$4:$C$61,1)+1)-INDEX('IR data'!$C$4:$C$61,MATCH(A738,'IR data'!$C$4:$C$61,1))))) * (INDEX('IR data'!$D$4:$D$61,MATCH(A738,'IR data'!$C$4:$C$61,1))-(INDEX('IR data'!$D$4:$D$61,MATCH(A738,'IR data'!$C$4:$C$61,1)+1)))))</f>
        <v>0.91675576245744683</v>
      </c>
      <c r="C738" s="30">
        <f t="shared" si="68"/>
        <v>1.8744786804896989E-2</v>
      </c>
      <c r="D738" s="45">
        <f t="shared" si="69"/>
        <v>46086</v>
      </c>
      <c r="E738" s="14" cm="1">
        <f t="array" ref="E738">_xlfn.IFNA(INDEX('IR data'!$I$4:$I$61,MATCH(D738,'IR data'!$H$4:$H$61,0)),((INDEX('IR data'!$I$4:$I$61,MATCH(D738,'IR data'!$H$4:$H$61,1)))-((D738-(INDEX('IR data'!$H$4:$H$61,MATCH(D738,'IR data'!$H$4:$H$61,1))))/((INDEX('IR data'!$H$4:$H$61,MATCH(D738,'IR data'!$H$4:$H$61,1)+1)-INDEX('IR data'!$H$4:$H$61,MATCH(D738,'IR data'!$H$4:$H$61,1))))) * (INDEX('IR data'!$I$4:$I$61,MATCH(D738,'IR data'!$H$4:$H$61,1))-(INDEX('IR data'!$I$4:$I$61,MATCH(D738,'IR data'!$H$4:$H$61,1)+1)))))</f>
        <v>0.90899764994565213</v>
      </c>
      <c r="F738" s="30">
        <f t="shared" si="70"/>
        <v>2.0577676792749779E-2</v>
      </c>
      <c r="G738" s="45">
        <f t="shared" si="66"/>
        <v>46120</v>
      </c>
      <c r="H738" s="14" cm="1">
        <f t="array" ref="H738">_xlfn.IFNA(INDEX('IR data'!$N$4:$N$61,MATCH(G738,'IR data'!$M$4:$M$61,0)),((INDEX('IR data'!$N$4:$N$61,MATCH(G738,'IR data'!$M$4:$M$61,1)))-((G738-(INDEX('IR data'!$M$4:$M$61,MATCH(G738,'IR data'!$M$4:$M$61,1))))/((INDEX('IR data'!$M$4:$M$61,MATCH(G738,'IR data'!$M$4:$M$61,1)+1)-INDEX('IR data'!$M$4:$M$61,MATCH(G738,'IR data'!$M$4:$M$61,1))))) * (INDEX('IR data'!$N$4:$N$61,MATCH(G738,'IR data'!$M$4:$M$61,1))-(INDEX('IR data'!$N$4:$N$61,MATCH(G738,'IR data'!$M$4:$M$61,1)+1)))))</f>
        <v>0.90775649074725273</v>
      </c>
      <c r="I738" s="44">
        <f t="shared" si="71"/>
        <v>2.0872357179689702E-2</v>
      </c>
    </row>
    <row r="739" spans="1:9" x14ac:dyDescent="0.25">
      <c r="A739" s="45">
        <f t="shared" si="67"/>
        <v>46027</v>
      </c>
      <c r="B739" s="14" cm="1">
        <f t="array" ref="B739">_xlfn.IFNA(INDEX('IR data'!$D$4:$D$61,MATCH(A739,'IR data'!$C$4:$C$61,0)),((INDEX('IR data'!$D$4:$D$61,MATCH(A739,'IR data'!$C$4:$C$61,1)))-((A739-(INDEX('IR data'!$C$4:$C$61,MATCH(A739,'IR data'!$C$4:$C$61,1))))/((INDEX('IR data'!$C$4:$C$61,MATCH(A739,'IR data'!$C$4:$C$61,1)+1)-INDEX('IR data'!$C$4:$C$61,MATCH(A739,'IR data'!$C$4:$C$61,1))))) * (INDEX('IR data'!$D$4:$D$61,MATCH(A739,'IR data'!$C$4:$C$61,1))-(INDEX('IR data'!$D$4:$D$61,MATCH(A739,'IR data'!$C$4:$C$61,1)+1)))))</f>
        <v>0.91667167500000002</v>
      </c>
      <c r="C739" s="30">
        <f t="shared" si="68"/>
        <v>1.8739074246055271E-2</v>
      </c>
      <c r="D739" s="45">
        <f t="shared" si="69"/>
        <v>46087</v>
      </c>
      <c r="E739" s="14" cm="1">
        <f t="array" ref="E739">_xlfn.IFNA(INDEX('IR data'!$I$4:$I$61,MATCH(D739,'IR data'!$H$4:$H$61,0)),((INDEX('IR data'!$I$4:$I$61,MATCH(D739,'IR data'!$H$4:$H$61,1)))-((D739-(INDEX('IR data'!$H$4:$H$61,MATCH(D739,'IR data'!$H$4:$H$61,1))))/((INDEX('IR data'!$H$4:$H$61,MATCH(D739,'IR data'!$H$4:$H$61,1)+1)-INDEX('IR data'!$H$4:$H$61,MATCH(D739,'IR data'!$H$4:$H$61,1))))) * (INDEX('IR data'!$I$4:$I$61,MATCH(D739,'IR data'!$H$4:$H$61,1))-(INDEX('IR data'!$I$4:$I$61,MATCH(D739,'IR data'!$H$4:$H$61,1)+1)))))</f>
        <v>0.9089001498913043</v>
      </c>
      <c r="F739" s="30">
        <f t="shared" si="70"/>
        <v>2.0572820799823876E-2</v>
      </c>
      <c r="G739" s="45">
        <f t="shared" si="66"/>
        <v>46121</v>
      </c>
      <c r="H739" s="14" cm="1">
        <f t="array" ref="H739">_xlfn.IFNA(INDEX('IR data'!$N$4:$N$61,MATCH(G739,'IR data'!$M$4:$M$61,0)),((INDEX('IR data'!$N$4:$N$61,MATCH(G739,'IR data'!$M$4:$M$61,1)))-((G739-(INDEX('IR data'!$M$4:$M$61,MATCH(G739,'IR data'!$M$4:$M$61,1))))/((INDEX('IR data'!$M$4:$M$61,MATCH(G739,'IR data'!$M$4:$M$61,1)+1)-INDEX('IR data'!$M$4:$M$61,MATCH(G739,'IR data'!$M$4:$M$61,1))))) * (INDEX('IR data'!$N$4:$N$61,MATCH(G739,'IR data'!$M$4:$M$61,1))-(INDEX('IR data'!$N$4:$N$61,MATCH(G739,'IR data'!$M$4:$M$61,1)+1)))))</f>
        <v>0.90765710012087919</v>
      </c>
      <c r="I739" s="44">
        <f t="shared" si="71"/>
        <v>2.0867581006976808E-2</v>
      </c>
    </row>
    <row r="740" spans="1:9" x14ac:dyDescent="0.25">
      <c r="A740" s="45">
        <f t="shared" si="67"/>
        <v>46028</v>
      </c>
      <c r="B740" s="14" cm="1">
        <f t="array" ref="B740">_xlfn.IFNA(INDEX('IR data'!$D$4:$D$61,MATCH(A740,'IR data'!$C$4:$C$61,0)),((INDEX('IR data'!$D$4:$D$61,MATCH(A740,'IR data'!$C$4:$C$61,1)))-((A740-(INDEX('IR data'!$C$4:$C$61,MATCH(A740,'IR data'!$C$4:$C$61,1))))/((INDEX('IR data'!$C$4:$C$61,MATCH(A740,'IR data'!$C$4:$C$61,1)+1)-INDEX('IR data'!$C$4:$C$61,MATCH(A740,'IR data'!$C$4:$C$61,1))))) * (INDEX('IR data'!$D$4:$D$61,MATCH(A740,'IR data'!$C$4:$C$61,1))-(INDEX('IR data'!$D$4:$D$61,MATCH(A740,'IR data'!$C$4:$C$61,1)+1)))))</f>
        <v>0.91658796335227277</v>
      </c>
      <c r="C740" s="30">
        <f t="shared" si="68"/>
        <v>1.8733290812456109E-2</v>
      </c>
      <c r="D740" s="45">
        <f t="shared" si="69"/>
        <v>46088</v>
      </c>
      <c r="E740" s="14" cm="1">
        <f t="array" ref="E740">_xlfn.IFNA(INDEX('IR data'!$I$4:$I$61,MATCH(D740,'IR data'!$H$4:$H$61,0)),((INDEX('IR data'!$I$4:$I$61,MATCH(D740,'IR data'!$H$4:$H$61,1)))-((D740-(INDEX('IR data'!$H$4:$H$61,MATCH(D740,'IR data'!$H$4:$H$61,1))))/((INDEX('IR data'!$H$4:$H$61,MATCH(D740,'IR data'!$H$4:$H$61,1)+1)-INDEX('IR data'!$H$4:$H$61,MATCH(D740,'IR data'!$H$4:$H$61,1))))) * (INDEX('IR data'!$I$4:$I$61,MATCH(D740,'IR data'!$H$4:$H$61,1))-(INDEX('IR data'!$I$4:$I$61,MATCH(D740,'IR data'!$H$4:$H$61,1)+1)))))</f>
        <v>0.90880264983695647</v>
      </c>
      <c r="F740" s="30">
        <f t="shared" si="70"/>
        <v>2.0567980459693956E-2</v>
      </c>
      <c r="G740" s="45">
        <f t="shared" si="66"/>
        <v>46122</v>
      </c>
      <c r="H740" s="14" cm="1">
        <f t="array" ref="H740">_xlfn.IFNA(INDEX('IR data'!$N$4:$N$61,MATCH(G740,'IR data'!$M$4:$M$61,0)),((INDEX('IR data'!$N$4:$N$61,MATCH(G740,'IR data'!$M$4:$M$61,1)))-((G740-(INDEX('IR data'!$M$4:$M$61,MATCH(G740,'IR data'!$M$4:$M$61,1))))/((INDEX('IR data'!$M$4:$M$61,MATCH(G740,'IR data'!$M$4:$M$61,1)+1)-INDEX('IR data'!$M$4:$M$61,MATCH(G740,'IR data'!$M$4:$M$61,1))))) * (INDEX('IR data'!$N$4:$N$61,MATCH(G740,'IR data'!$M$4:$M$61,1))-(INDEX('IR data'!$N$4:$N$61,MATCH(G740,'IR data'!$M$4:$M$61,1)+1)))))</f>
        <v>0.90755770949450554</v>
      </c>
      <c r="I740" s="44">
        <f t="shared" si="71"/>
        <v>2.0862820374417092E-2</v>
      </c>
    </row>
    <row r="741" spans="1:9" x14ac:dyDescent="0.25">
      <c r="A741" s="45">
        <f t="shared" si="67"/>
        <v>46029</v>
      </c>
      <c r="B741" s="14" cm="1">
        <f t="array" ref="B741">_xlfn.IFNA(INDEX('IR data'!$D$4:$D$61,MATCH(A741,'IR data'!$C$4:$C$61,0)),((INDEX('IR data'!$D$4:$D$61,MATCH(A741,'IR data'!$C$4:$C$61,1)))-((A741-(INDEX('IR data'!$C$4:$C$61,MATCH(A741,'IR data'!$C$4:$C$61,1))))/((INDEX('IR data'!$C$4:$C$61,MATCH(A741,'IR data'!$C$4:$C$61,1)+1)-INDEX('IR data'!$C$4:$C$61,MATCH(A741,'IR data'!$C$4:$C$61,1))))) * (INDEX('IR data'!$D$4:$D$61,MATCH(A741,'IR data'!$C$4:$C$61,1))-(INDEX('IR data'!$D$4:$D$61,MATCH(A741,'IR data'!$C$4:$C$61,1)+1)))))</f>
        <v>0.91650425170454553</v>
      </c>
      <c r="C741" s="30">
        <f t="shared" si="68"/>
        <v>1.8727524843732104E-2</v>
      </c>
      <c r="D741" s="45">
        <f t="shared" si="69"/>
        <v>46089</v>
      </c>
      <c r="E741" s="14" cm="1">
        <f t="array" ref="E741">_xlfn.IFNA(INDEX('IR data'!$I$4:$I$61,MATCH(D741,'IR data'!$H$4:$H$61,0)),((INDEX('IR data'!$I$4:$I$61,MATCH(D741,'IR data'!$H$4:$H$61,1)))-((D741-(INDEX('IR data'!$H$4:$H$61,MATCH(D741,'IR data'!$H$4:$H$61,1))))/((INDEX('IR data'!$H$4:$H$61,MATCH(D741,'IR data'!$H$4:$H$61,1)+1)-INDEX('IR data'!$H$4:$H$61,MATCH(D741,'IR data'!$H$4:$H$61,1))))) * (INDEX('IR data'!$I$4:$I$61,MATCH(D741,'IR data'!$H$4:$H$61,1))-(INDEX('IR data'!$I$4:$I$61,MATCH(D741,'IR data'!$H$4:$H$61,1)+1)))))</f>
        <v>0.90870514978260863</v>
      </c>
      <c r="F741" s="30">
        <f t="shared" si="70"/>
        <v>2.0563155709261136E-2</v>
      </c>
      <c r="G741" s="37"/>
    </row>
    <row r="742" spans="1:9" x14ac:dyDescent="0.25">
      <c r="A742" s="45">
        <f t="shared" si="67"/>
        <v>46030</v>
      </c>
      <c r="B742" s="14" cm="1">
        <f t="array" ref="B742">_xlfn.IFNA(INDEX('IR data'!$D$4:$D$61,MATCH(A742,'IR data'!$C$4:$C$61,0)),((INDEX('IR data'!$D$4:$D$61,MATCH(A742,'IR data'!$C$4:$C$61,1)))-((A742-(INDEX('IR data'!$C$4:$C$61,MATCH(A742,'IR data'!$C$4:$C$61,1))))/((INDEX('IR data'!$C$4:$C$61,MATCH(A742,'IR data'!$C$4:$C$61,1)+1)-INDEX('IR data'!$C$4:$C$61,MATCH(A742,'IR data'!$C$4:$C$61,1))))) * (INDEX('IR data'!$D$4:$D$61,MATCH(A742,'IR data'!$C$4:$C$61,1))-(INDEX('IR data'!$D$4:$D$61,MATCH(A742,'IR data'!$C$4:$C$61,1)+1)))))</f>
        <v>0.91642054005681817</v>
      </c>
      <c r="C742" s="30">
        <f t="shared" si="68"/>
        <v>1.8721776269310791E-2</v>
      </c>
      <c r="D742" s="45">
        <f t="shared" si="69"/>
        <v>46090</v>
      </c>
      <c r="E742" s="14" cm="1">
        <f t="array" ref="E742">_xlfn.IFNA(INDEX('IR data'!$I$4:$I$61,MATCH(D742,'IR data'!$H$4:$H$61,0)),((INDEX('IR data'!$I$4:$I$61,MATCH(D742,'IR data'!$H$4:$H$61,1)))-((D742-(INDEX('IR data'!$H$4:$H$61,MATCH(D742,'IR data'!$H$4:$H$61,1))))/((INDEX('IR data'!$H$4:$H$61,MATCH(D742,'IR data'!$H$4:$H$61,1)+1)-INDEX('IR data'!$H$4:$H$61,MATCH(D742,'IR data'!$H$4:$H$61,1))))) * (INDEX('IR data'!$I$4:$I$61,MATCH(D742,'IR data'!$H$4:$H$61,1))-(INDEX('IR data'!$I$4:$I$61,MATCH(D742,'IR data'!$H$4:$H$61,1)+1)))))</f>
        <v>0.9086076497282608</v>
      </c>
      <c r="F742" s="30">
        <f t="shared" si="70"/>
        <v>2.055834648576825E-2</v>
      </c>
      <c r="G742" s="37"/>
    </row>
    <row r="743" spans="1:9" x14ac:dyDescent="0.25">
      <c r="A743" s="45">
        <f t="shared" si="67"/>
        <v>46031</v>
      </c>
      <c r="B743" s="14" cm="1">
        <f t="array" ref="B743">_xlfn.IFNA(INDEX('IR data'!$D$4:$D$61,MATCH(A743,'IR data'!$C$4:$C$61,0)),((INDEX('IR data'!$D$4:$D$61,MATCH(A743,'IR data'!$C$4:$C$61,1)))-((A743-(INDEX('IR data'!$C$4:$C$61,MATCH(A743,'IR data'!$C$4:$C$61,1))))/((INDEX('IR data'!$C$4:$C$61,MATCH(A743,'IR data'!$C$4:$C$61,1)+1)-INDEX('IR data'!$C$4:$C$61,MATCH(A743,'IR data'!$C$4:$C$61,1))))) * (INDEX('IR data'!$D$4:$D$61,MATCH(A743,'IR data'!$C$4:$C$61,1))-(INDEX('IR data'!$D$4:$D$61,MATCH(A743,'IR data'!$C$4:$C$61,1)+1)))))</f>
        <v>0.91633682840909092</v>
      </c>
      <c r="C743" s="30">
        <f t="shared" si="68"/>
        <v>1.871604501900118E-2</v>
      </c>
      <c r="D743" s="45">
        <f t="shared" si="69"/>
        <v>46091</v>
      </c>
      <c r="E743" s="14" cm="1">
        <f t="array" ref="E743">_xlfn.IFNA(INDEX('IR data'!$I$4:$I$61,MATCH(D743,'IR data'!$H$4:$H$61,0)),((INDEX('IR data'!$I$4:$I$61,MATCH(D743,'IR data'!$H$4:$H$61,1)))-((D743-(INDEX('IR data'!$H$4:$H$61,MATCH(D743,'IR data'!$H$4:$H$61,1))))/((INDEX('IR data'!$H$4:$H$61,MATCH(D743,'IR data'!$H$4:$H$61,1)+1)-INDEX('IR data'!$H$4:$H$61,MATCH(D743,'IR data'!$H$4:$H$61,1))))) * (INDEX('IR data'!$I$4:$I$61,MATCH(D743,'IR data'!$H$4:$H$61,1))-(INDEX('IR data'!$I$4:$I$61,MATCH(D743,'IR data'!$H$4:$H$61,1)+1)))))</f>
        <v>0.90851014967391297</v>
      </c>
      <c r="F743" s="30">
        <f t="shared" si="70"/>
        <v>2.0553552726797538E-2</v>
      </c>
      <c r="G743" s="37"/>
    </row>
    <row r="744" spans="1:9" x14ac:dyDescent="0.25">
      <c r="A744" s="45">
        <f t="shared" si="67"/>
        <v>46032</v>
      </c>
      <c r="B744" s="14" cm="1">
        <f t="array" ref="B744">_xlfn.IFNA(INDEX('IR data'!$D$4:$D$61,MATCH(A744,'IR data'!$C$4:$C$61,0)),((INDEX('IR data'!$D$4:$D$61,MATCH(A744,'IR data'!$C$4:$C$61,1)))-((A744-(INDEX('IR data'!$C$4:$C$61,MATCH(A744,'IR data'!$C$4:$C$61,1))))/((INDEX('IR data'!$C$4:$C$61,MATCH(A744,'IR data'!$C$4:$C$61,1)+1)-INDEX('IR data'!$C$4:$C$61,MATCH(A744,'IR data'!$C$4:$C$61,1))))) * (INDEX('IR data'!$D$4:$D$61,MATCH(A744,'IR data'!$C$4:$C$61,1))-(INDEX('IR data'!$D$4:$D$61,MATCH(A744,'IR data'!$C$4:$C$61,1)+1)))))</f>
        <v>0.91625311676136367</v>
      </c>
      <c r="C744" s="30">
        <f t="shared" si="68"/>
        <v>1.8710331022991342E-2</v>
      </c>
      <c r="D744" s="45">
        <f t="shared" si="69"/>
        <v>46092</v>
      </c>
      <c r="E744" s="14" cm="1">
        <f t="array" ref="E744">_xlfn.IFNA(INDEX('IR data'!$I$4:$I$61,MATCH(D744,'IR data'!$H$4:$H$61,0)),((INDEX('IR data'!$I$4:$I$61,MATCH(D744,'IR data'!$H$4:$H$61,1)))-((D744-(INDEX('IR data'!$H$4:$H$61,MATCH(D744,'IR data'!$H$4:$H$61,1))))/((INDEX('IR data'!$H$4:$H$61,MATCH(D744,'IR data'!$H$4:$H$61,1)+1)-INDEX('IR data'!$H$4:$H$61,MATCH(D744,'IR data'!$H$4:$H$61,1))))) * (INDEX('IR data'!$I$4:$I$61,MATCH(D744,'IR data'!$H$4:$H$61,1))-(INDEX('IR data'!$I$4:$I$61,MATCH(D744,'IR data'!$H$4:$H$61,1)+1)))))</f>
        <v>0.90841264961956514</v>
      </c>
      <c r="F744" s="30">
        <f t="shared" si="70"/>
        <v>2.0548774370268339E-2</v>
      </c>
      <c r="G744" s="37"/>
    </row>
    <row r="745" spans="1:9" x14ac:dyDescent="0.25">
      <c r="A745" s="45">
        <f t="shared" si="67"/>
        <v>46033</v>
      </c>
      <c r="B745" s="14" cm="1">
        <f t="array" ref="B745">_xlfn.IFNA(INDEX('IR data'!$D$4:$D$61,MATCH(A745,'IR data'!$C$4:$C$61,0)),((INDEX('IR data'!$D$4:$D$61,MATCH(A745,'IR data'!$C$4:$C$61,1)))-((A745-(INDEX('IR data'!$C$4:$C$61,MATCH(A745,'IR data'!$C$4:$C$61,1))))/((INDEX('IR data'!$C$4:$C$61,MATCH(A745,'IR data'!$C$4:$C$61,1)+1)-INDEX('IR data'!$C$4:$C$61,MATCH(A745,'IR data'!$C$4:$C$61,1))))) * (INDEX('IR data'!$D$4:$D$61,MATCH(A745,'IR data'!$C$4:$C$61,1))-(INDEX('IR data'!$D$4:$D$61,MATCH(A745,'IR data'!$C$4:$C$61,1)+1)))))</f>
        <v>0.91616940511363643</v>
      </c>
      <c r="C745" s="30">
        <f t="shared" si="68"/>
        <v>1.8704634211845764E-2</v>
      </c>
      <c r="D745" s="45">
        <f t="shared" si="69"/>
        <v>46093</v>
      </c>
      <c r="E745" s="14" cm="1">
        <f t="array" ref="E745">_xlfn.IFNA(INDEX('IR data'!$I$4:$I$61,MATCH(D745,'IR data'!$H$4:$H$61,0)),((INDEX('IR data'!$I$4:$I$61,MATCH(D745,'IR data'!$H$4:$H$61,1)))-((D745-(INDEX('IR data'!$H$4:$H$61,MATCH(D745,'IR data'!$H$4:$H$61,1))))/((INDEX('IR data'!$H$4:$H$61,MATCH(D745,'IR data'!$H$4:$H$61,1)+1)-INDEX('IR data'!$H$4:$H$61,MATCH(D745,'IR data'!$H$4:$H$61,1))))) * (INDEX('IR data'!$I$4:$I$61,MATCH(D745,'IR data'!$H$4:$H$61,1))-(INDEX('IR data'!$I$4:$I$61,MATCH(D745,'IR data'!$H$4:$H$61,1)+1)))))</f>
        <v>0.90831514956521731</v>
      </c>
      <c r="F745" s="30">
        <f t="shared" si="70"/>
        <v>2.0544011354434833E-2</v>
      </c>
      <c r="G745" s="37"/>
    </row>
    <row r="746" spans="1:9" x14ac:dyDescent="0.25">
      <c r="A746" s="45">
        <f t="shared" si="67"/>
        <v>46034</v>
      </c>
      <c r="B746" s="14" cm="1">
        <f t="array" ref="B746">_xlfn.IFNA(INDEX('IR data'!$D$4:$D$61,MATCH(A746,'IR data'!$C$4:$C$61,0)),((INDEX('IR data'!$D$4:$D$61,MATCH(A746,'IR data'!$C$4:$C$61,1)))-((A746-(INDEX('IR data'!$C$4:$C$61,MATCH(A746,'IR data'!$C$4:$C$61,1))))/((INDEX('IR data'!$C$4:$C$61,MATCH(A746,'IR data'!$C$4:$C$61,1)+1)-INDEX('IR data'!$C$4:$C$61,MATCH(A746,'IR data'!$C$4:$C$61,1))))) * (INDEX('IR data'!$D$4:$D$61,MATCH(A746,'IR data'!$C$4:$C$61,1))-(INDEX('IR data'!$D$4:$D$61,MATCH(A746,'IR data'!$C$4:$C$61,1)+1)))))</f>
        <v>0.91608569346590907</v>
      </c>
      <c r="C746" s="30">
        <f t="shared" si="68"/>
        <v>1.8698954516502851E-2</v>
      </c>
      <c r="D746" s="45">
        <f t="shared" si="69"/>
        <v>46094</v>
      </c>
      <c r="E746" s="14" cm="1">
        <f t="array" ref="E746">_xlfn.IFNA(INDEX('IR data'!$I$4:$I$61,MATCH(D746,'IR data'!$H$4:$H$61,0)),((INDEX('IR data'!$I$4:$I$61,MATCH(D746,'IR data'!$H$4:$H$61,1)))-((D746-(INDEX('IR data'!$H$4:$H$61,MATCH(D746,'IR data'!$H$4:$H$61,1))))/((INDEX('IR data'!$H$4:$H$61,MATCH(D746,'IR data'!$H$4:$H$61,1)+1)-INDEX('IR data'!$H$4:$H$61,MATCH(D746,'IR data'!$H$4:$H$61,1))))) * (INDEX('IR data'!$I$4:$I$61,MATCH(D746,'IR data'!$H$4:$H$61,1))-(INDEX('IR data'!$I$4:$I$61,MATCH(D746,'IR data'!$H$4:$H$61,1)+1)))))</f>
        <v>0.90821764951086947</v>
      </c>
      <c r="F746" s="30">
        <f t="shared" si="70"/>
        <v>2.0539263617883774E-2</v>
      </c>
      <c r="G746" s="37"/>
    </row>
    <row r="747" spans="1:9" x14ac:dyDescent="0.25">
      <c r="A747" s="45">
        <f t="shared" si="67"/>
        <v>46035</v>
      </c>
      <c r="B747" s="14" cm="1">
        <f t="array" ref="B747">_xlfn.IFNA(INDEX('IR data'!$D$4:$D$61,MATCH(A747,'IR data'!$C$4:$C$61,0)),((INDEX('IR data'!$D$4:$D$61,MATCH(A747,'IR data'!$C$4:$C$61,1)))-((A747-(INDEX('IR data'!$C$4:$C$61,MATCH(A747,'IR data'!$C$4:$C$61,1))))/((INDEX('IR data'!$C$4:$C$61,MATCH(A747,'IR data'!$C$4:$C$61,1)+1)-INDEX('IR data'!$C$4:$C$61,MATCH(A747,'IR data'!$C$4:$C$61,1))))) * (INDEX('IR data'!$D$4:$D$61,MATCH(A747,'IR data'!$C$4:$C$61,1))-(INDEX('IR data'!$D$4:$D$61,MATCH(A747,'IR data'!$C$4:$C$61,1)+1)))))</f>
        <v>0.91600198181818182</v>
      </c>
      <c r="C747" s="30">
        <f t="shared" si="68"/>
        <v>1.8693291868272326E-2</v>
      </c>
      <c r="D747" s="45">
        <f t="shared" si="69"/>
        <v>46095</v>
      </c>
      <c r="E747" s="14" cm="1">
        <f t="array" ref="E747">_xlfn.IFNA(INDEX('IR data'!$I$4:$I$61,MATCH(D747,'IR data'!$H$4:$H$61,0)),((INDEX('IR data'!$I$4:$I$61,MATCH(D747,'IR data'!$H$4:$H$61,1)))-((D747-(INDEX('IR data'!$H$4:$H$61,MATCH(D747,'IR data'!$H$4:$H$61,1))))/((INDEX('IR data'!$H$4:$H$61,MATCH(D747,'IR data'!$H$4:$H$61,1)+1)-INDEX('IR data'!$H$4:$H$61,MATCH(D747,'IR data'!$H$4:$H$61,1))))) * (INDEX('IR data'!$I$4:$I$61,MATCH(D747,'IR data'!$H$4:$H$61,1))-(INDEX('IR data'!$I$4:$I$61,MATCH(D747,'IR data'!$H$4:$H$61,1)+1)))))</f>
        <v>0.90812014945652175</v>
      </c>
      <c r="F747" s="30">
        <f t="shared" si="70"/>
        <v>2.0534531099532252E-2</v>
      </c>
      <c r="G747" s="37"/>
    </row>
    <row r="748" spans="1:9" x14ac:dyDescent="0.25">
      <c r="A748" s="45">
        <f t="shared" si="67"/>
        <v>46036</v>
      </c>
      <c r="B748" s="14" cm="1">
        <f t="array" ref="B748">_xlfn.IFNA(INDEX('IR data'!$D$4:$D$61,MATCH(A748,'IR data'!$C$4:$C$61,0)),((INDEX('IR data'!$D$4:$D$61,MATCH(A748,'IR data'!$C$4:$C$61,1)))-((A748-(INDEX('IR data'!$C$4:$C$61,MATCH(A748,'IR data'!$C$4:$C$61,1))))/((INDEX('IR data'!$C$4:$C$61,MATCH(A748,'IR data'!$C$4:$C$61,1)+1)-INDEX('IR data'!$C$4:$C$61,MATCH(A748,'IR data'!$C$4:$C$61,1))))) * (INDEX('IR data'!$D$4:$D$61,MATCH(A748,'IR data'!$C$4:$C$61,1))-(INDEX('IR data'!$D$4:$D$61,MATCH(A748,'IR data'!$C$4:$C$61,1)+1)))))</f>
        <v>0.91591827017045457</v>
      </c>
      <c r="C748" s="30">
        <f t="shared" si="68"/>
        <v>1.8687646198832883E-2</v>
      </c>
      <c r="D748" s="45">
        <f t="shared" si="69"/>
        <v>46096</v>
      </c>
      <c r="E748" s="14" cm="1">
        <f t="array" ref="E748">_xlfn.IFNA(INDEX('IR data'!$I$4:$I$61,MATCH(D748,'IR data'!$H$4:$H$61,0)),((INDEX('IR data'!$I$4:$I$61,MATCH(D748,'IR data'!$H$4:$H$61,1)))-((D748-(INDEX('IR data'!$H$4:$H$61,MATCH(D748,'IR data'!$H$4:$H$61,1))))/((INDEX('IR data'!$H$4:$H$61,MATCH(D748,'IR data'!$H$4:$H$61,1)+1)-INDEX('IR data'!$H$4:$H$61,MATCH(D748,'IR data'!$H$4:$H$61,1))))) * (INDEX('IR data'!$I$4:$I$61,MATCH(D748,'IR data'!$H$4:$H$61,1))-(INDEX('IR data'!$I$4:$I$61,MATCH(D748,'IR data'!$H$4:$H$61,1)+1)))))</f>
        <v>0.90802264940217392</v>
      </c>
      <c r="F748" s="30">
        <f t="shared" si="70"/>
        <v>2.0529813738625554E-2</v>
      </c>
      <c r="G748" s="37"/>
    </row>
    <row r="749" spans="1:9" x14ac:dyDescent="0.25">
      <c r="A749" s="45">
        <f t="shared" si="67"/>
        <v>46037</v>
      </c>
      <c r="B749" s="14" cm="1">
        <f t="array" ref="B749">_xlfn.IFNA(INDEX('IR data'!$D$4:$D$61,MATCH(A749,'IR data'!$C$4:$C$61,0)),((INDEX('IR data'!$D$4:$D$61,MATCH(A749,'IR data'!$C$4:$C$61,1)))-((A749-(INDEX('IR data'!$C$4:$C$61,MATCH(A749,'IR data'!$C$4:$C$61,1))))/((INDEX('IR data'!$C$4:$C$61,MATCH(A749,'IR data'!$C$4:$C$61,1)+1)-INDEX('IR data'!$C$4:$C$61,MATCH(A749,'IR data'!$C$4:$C$61,1))))) * (INDEX('IR data'!$D$4:$D$61,MATCH(A749,'IR data'!$C$4:$C$61,1))-(INDEX('IR data'!$D$4:$D$61,MATCH(A749,'IR data'!$C$4:$C$61,1)+1)))))</f>
        <v>0.91583455852272733</v>
      </c>
      <c r="C749" s="30">
        <f t="shared" si="68"/>
        <v>1.8682017440229615E-2</v>
      </c>
      <c r="D749" s="45">
        <f t="shared" si="69"/>
        <v>46097</v>
      </c>
      <c r="E749" s="14" cm="1">
        <f t="array" ref="E749">_xlfn.IFNA(INDEX('IR data'!$I$4:$I$61,MATCH(D749,'IR data'!$H$4:$H$61,0)),((INDEX('IR data'!$I$4:$I$61,MATCH(D749,'IR data'!$H$4:$H$61,1)))-((D749-(INDEX('IR data'!$H$4:$H$61,MATCH(D749,'IR data'!$H$4:$H$61,1))))/((INDEX('IR data'!$H$4:$H$61,MATCH(D749,'IR data'!$H$4:$H$61,1)+1)-INDEX('IR data'!$H$4:$H$61,MATCH(D749,'IR data'!$H$4:$H$61,1))))) * (INDEX('IR data'!$I$4:$I$61,MATCH(D749,'IR data'!$H$4:$H$61,1))-(INDEX('IR data'!$I$4:$I$61,MATCH(D749,'IR data'!$H$4:$H$61,1)+1)))))</f>
        <v>0.90792514934782609</v>
      </c>
      <c r="F749" s="30">
        <f t="shared" si="70"/>
        <v>2.0525111474734837E-2</v>
      </c>
      <c r="G749" s="37"/>
    </row>
    <row r="750" spans="1:9" x14ac:dyDescent="0.25">
      <c r="A750" s="45">
        <f t="shared" si="67"/>
        <v>46038</v>
      </c>
      <c r="B750" s="14" cm="1">
        <f t="array" ref="B750">_xlfn.IFNA(INDEX('IR data'!$D$4:$D$61,MATCH(A750,'IR data'!$C$4:$C$61,0)),((INDEX('IR data'!$D$4:$D$61,MATCH(A750,'IR data'!$C$4:$C$61,1)))-((A750-(INDEX('IR data'!$C$4:$C$61,MATCH(A750,'IR data'!$C$4:$C$61,1))))/((INDEX('IR data'!$C$4:$C$61,MATCH(A750,'IR data'!$C$4:$C$61,1)+1)-INDEX('IR data'!$C$4:$C$61,MATCH(A750,'IR data'!$C$4:$C$61,1))))) * (INDEX('IR data'!$D$4:$D$61,MATCH(A750,'IR data'!$C$4:$C$61,1))-(INDEX('IR data'!$D$4:$D$61,MATCH(A750,'IR data'!$C$4:$C$61,1)+1)))))</f>
        <v>0.91575084687499997</v>
      </c>
      <c r="C750" s="30">
        <f t="shared" si="68"/>
        <v>1.8676405524871605E-2</v>
      </c>
      <c r="D750" s="45">
        <f t="shared" si="69"/>
        <v>46098</v>
      </c>
      <c r="E750" s="14" cm="1">
        <f t="array" ref="E750">_xlfn.IFNA(INDEX('IR data'!$I$4:$I$61,MATCH(D750,'IR data'!$H$4:$H$61,0)),((INDEX('IR data'!$I$4:$I$61,MATCH(D750,'IR data'!$H$4:$H$61,1)))-((D750-(INDEX('IR data'!$H$4:$H$61,MATCH(D750,'IR data'!$H$4:$H$61,1))))/((INDEX('IR data'!$H$4:$H$61,MATCH(D750,'IR data'!$H$4:$H$61,1)+1)-INDEX('IR data'!$H$4:$H$61,MATCH(D750,'IR data'!$H$4:$H$61,1))))) * (INDEX('IR data'!$I$4:$I$61,MATCH(D750,'IR data'!$H$4:$H$61,1))-(INDEX('IR data'!$I$4:$I$61,MATCH(D750,'IR data'!$H$4:$H$61,1)+1)))))</f>
        <v>0.90782764929347826</v>
      </c>
      <c r="F750" s="30">
        <f t="shared" si="70"/>
        <v>2.0520424247755017E-2</v>
      </c>
      <c r="G750" s="37"/>
    </row>
    <row r="751" spans="1:9" x14ac:dyDescent="0.25">
      <c r="A751" s="45">
        <f t="shared" si="67"/>
        <v>46039</v>
      </c>
      <c r="B751" s="14" cm="1">
        <f t="array" ref="B751">_xlfn.IFNA(INDEX('IR data'!$D$4:$D$61,MATCH(A751,'IR data'!$C$4:$C$61,0)),((INDEX('IR data'!$D$4:$D$61,MATCH(A751,'IR data'!$C$4:$C$61,1)))-((A751-(INDEX('IR data'!$C$4:$C$61,MATCH(A751,'IR data'!$C$4:$C$61,1))))/((INDEX('IR data'!$C$4:$C$61,MATCH(A751,'IR data'!$C$4:$C$61,1)+1)-INDEX('IR data'!$C$4:$C$61,MATCH(A751,'IR data'!$C$4:$C$61,1))))) * (INDEX('IR data'!$D$4:$D$61,MATCH(A751,'IR data'!$C$4:$C$61,1))-(INDEX('IR data'!$D$4:$D$61,MATCH(A751,'IR data'!$C$4:$C$61,1)+1)))))</f>
        <v>0.91566713522727272</v>
      </c>
      <c r="C751" s="30">
        <f t="shared" si="68"/>
        <v>1.86708103855294E-2</v>
      </c>
      <c r="D751" s="45">
        <f t="shared" si="69"/>
        <v>46099</v>
      </c>
      <c r="E751" s="14" cm="1">
        <f t="array" ref="E751">_xlfn.IFNA(INDEX('IR data'!$I$4:$I$61,MATCH(D751,'IR data'!$H$4:$H$61,0)),((INDEX('IR data'!$I$4:$I$61,MATCH(D751,'IR data'!$H$4:$H$61,1)))-((D751-(INDEX('IR data'!$H$4:$H$61,MATCH(D751,'IR data'!$H$4:$H$61,1))))/((INDEX('IR data'!$H$4:$H$61,MATCH(D751,'IR data'!$H$4:$H$61,1)+1)-INDEX('IR data'!$H$4:$H$61,MATCH(D751,'IR data'!$H$4:$H$61,1))))) * (INDEX('IR data'!$I$4:$I$61,MATCH(D751,'IR data'!$H$4:$H$61,1))-(INDEX('IR data'!$I$4:$I$61,MATCH(D751,'IR data'!$H$4:$H$61,1)+1)))))</f>
        <v>0.90773014923913042</v>
      </c>
      <c r="F751" s="30">
        <f t="shared" si="70"/>
        <v>2.0515751997902607E-2</v>
      </c>
      <c r="G751" s="37"/>
    </row>
    <row r="752" spans="1:9" x14ac:dyDescent="0.25">
      <c r="A752" s="45">
        <f t="shared" si="67"/>
        <v>46040</v>
      </c>
      <c r="B752" s="14" cm="1">
        <f t="array" ref="B752">_xlfn.IFNA(INDEX('IR data'!$D$4:$D$61,MATCH(A752,'IR data'!$C$4:$C$61,0)),((INDEX('IR data'!$D$4:$D$61,MATCH(A752,'IR data'!$C$4:$C$61,1)))-((A752-(INDEX('IR data'!$C$4:$C$61,MATCH(A752,'IR data'!$C$4:$C$61,1))))/((INDEX('IR data'!$C$4:$C$61,MATCH(A752,'IR data'!$C$4:$C$61,1)+1)-INDEX('IR data'!$C$4:$C$61,MATCH(A752,'IR data'!$C$4:$C$61,1))))) * (INDEX('IR data'!$D$4:$D$61,MATCH(A752,'IR data'!$C$4:$C$61,1))-(INDEX('IR data'!$D$4:$D$61,MATCH(A752,'IR data'!$C$4:$C$61,1)+1)))))</f>
        <v>0.91558342357954547</v>
      </c>
      <c r="C752" s="30">
        <f t="shared" si="68"/>
        <v>1.8665231955332751E-2</v>
      </c>
      <c r="D752" s="45">
        <f t="shared" si="69"/>
        <v>46100</v>
      </c>
      <c r="E752" s="14" cm="1">
        <f t="array" ref="E752">_xlfn.IFNA(INDEX('IR data'!$I$4:$I$61,MATCH(D752,'IR data'!$H$4:$H$61,0)),((INDEX('IR data'!$I$4:$I$61,MATCH(D752,'IR data'!$H$4:$H$61,1)))-((D752-(INDEX('IR data'!$H$4:$H$61,MATCH(D752,'IR data'!$H$4:$H$61,1))))/((INDEX('IR data'!$H$4:$H$61,MATCH(D752,'IR data'!$H$4:$H$61,1)+1)-INDEX('IR data'!$H$4:$H$61,MATCH(D752,'IR data'!$H$4:$H$61,1))))) * (INDEX('IR data'!$I$4:$I$61,MATCH(D752,'IR data'!$H$4:$H$61,1))-(INDEX('IR data'!$I$4:$I$61,MATCH(D752,'IR data'!$H$4:$H$61,1)+1)))))</f>
        <v>0.90763264918478259</v>
      </c>
      <c r="F752" s="30">
        <f t="shared" si="70"/>
        <v>2.0511094665713551E-2</v>
      </c>
      <c r="G752" s="37"/>
    </row>
    <row r="753" spans="1:7" x14ac:dyDescent="0.25">
      <c r="A753" s="45">
        <f t="shared" si="67"/>
        <v>46041</v>
      </c>
      <c r="B753" s="14" cm="1">
        <f t="array" ref="B753">_xlfn.IFNA(INDEX('IR data'!$D$4:$D$61,MATCH(A753,'IR data'!$C$4:$C$61,0)),((INDEX('IR data'!$D$4:$D$61,MATCH(A753,'IR data'!$C$4:$C$61,1)))-((A753-(INDEX('IR data'!$C$4:$C$61,MATCH(A753,'IR data'!$C$4:$C$61,1))))/((INDEX('IR data'!$C$4:$C$61,MATCH(A753,'IR data'!$C$4:$C$61,1)+1)-INDEX('IR data'!$C$4:$C$61,MATCH(A753,'IR data'!$C$4:$C$61,1))))) * (INDEX('IR data'!$D$4:$D$61,MATCH(A753,'IR data'!$C$4:$C$61,1))-(INDEX('IR data'!$D$4:$D$61,MATCH(A753,'IR data'!$C$4:$C$61,1)+1)))))</f>
        <v>0.91549971193181823</v>
      </c>
      <c r="C753" s="30">
        <f t="shared" si="68"/>
        <v>1.8659670167768112E-2</v>
      </c>
      <c r="D753" s="45">
        <f t="shared" si="69"/>
        <v>46101</v>
      </c>
      <c r="E753" s="14" cm="1">
        <f t="array" ref="E753">_xlfn.IFNA(INDEX('IR data'!$I$4:$I$61,MATCH(D753,'IR data'!$H$4:$H$61,0)),((INDEX('IR data'!$I$4:$I$61,MATCH(D753,'IR data'!$H$4:$H$61,1)))-((D753-(INDEX('IR data'!$H$4:$H$61,MATCH(D753,'IR data'!$H$4:$H$61,1))))/((INDEX('IR data'!$H$4:$H$61,MATCH(D753,'IR data'!$H$4:$H$61,1)+1)-INDEX('IR data'!$H$4:$H$61,MATCH(D753,'IR data'!$H$4:$H$61,1))))) * (INDEX('IR data'!$I$4:$I$61,MATCH(D753,'IR data'!$H$4:$H$61,1))-(INDEX('IR data'!$I$4:$I$61,MATCH(D753,'IR data'!$H$4:$H$61,1)+1)))))</f>
        <v>0.90753514913043476</v>
      </c>
      <c r="F753" s="30">
        <f t="shared" si="70"/>
        <v>2.0506452192041121E-2</v>
      </c>
      <c r="G753" s="37"/>
    </row>
    <row r="754" spans="1:7" x14ac:dyDescent="0.25">
      <c r="A754" s="45">
        <f t="shared" si="67"/>
        <v>46042</v>
      </c>
      <c r="B754" s="14" cm="1">
        <f t="array" ref="B754">_xlfn.IFNA(INDEX('IR data'!$D$4:$D$61,MATCH(A754,'IR data'!$C$4:$C$61,0)),((INDEX('IR data'!$D$4:$D$61,MATCH(A754,'IR data'!$C$4:$C$61,1)))-((A754-(INDEX('IR data'!$C$4:$C$61,MATCH(A754,'IR data'!$C$4:$C$61,1))))/((INDEX('IR data'!$C$4:$C$61,MATCH(A754,'IR data'!$C$4:$C$61,1)+1)-INDEX('IR data'!$C$4:$C$61,MATCH(A754,'IR data'!$C$4:$C$61,1))))) * (INDEX('IR data'!$D$4:$D$61,MATCH(A754,'IR data'!$C$4:$C$61,1))-(INDEX('IR data'!$D$4:$D$61,MATCH(A754,'IR data'!$C$4:$C$61,1)+1)))))</f>
        <v>0.91541600028409087</v>
      </c>
      <c r="C754" s="30">
        <f t="shared" si="68"/>
        <v>1.8654124956676323E-2</v>
      </c>
      <c r="D754" s="45">
        <f t="shared" si="69"/>
        <v>46102</v>
      </c>
      <c r="E754" s="14" cm="1">
        <f t="array" ref="E754">_xlfn.IFNA(INDEX('IR data'!$I$4:$I$61,MATCH(D754,'IR data'!$H$4:$H$61,0)),((INDEX('IR data'!$I$4:$I$61,MATCH(D754,'IR data'!$H$4:$H$61,1)))-((D754-(INDEX('IR data'!$H$4:$H$61,MATCH(D754,'IR data'!$H$4:$H$61,1))))/((INDEX('IR data'!$H$4:$H$61,MATCH(D754,'IR data'!$H$4:$H$61,1)+1)-INDEX('IR data'!$H$4:$H$61,MATCH(D754,'IR data'!$H$4:$H$61,1))))) * (INDEX('IR data'!$I$4:$I$61,MATCH(D754,'IR data'!$H$4:$H$61,1))-(INDEX('IR data'!$I$4:$I$61,MATCH(D754,'IR data'!$H$4:$H$61,1)+1)))))</f>
        <v>0.90743764907608693</v>
      </c>
      <c r="F754" s="30">
        <f t="shared" si="70"/>
        <v>2.0501824518053772E-2</v>
      </c>
      <c r="G754" s="37"/>
    </row>
    <row r="755" spans="1:7" x14ac:dyDescent="0.25">
      <c r="A755" s="45">
        <f t="shared" si="67"/>
        <v>46043</v>
      </c>
      <c r="B755" s="14" cm="1">
        <f t="array" ref="B755">_xlfn.IFNA(INDEX('IR data'!$D$4:$D$61,MATCH(A755,'IR data'!$C$4:$C$61,0)),((INDEX('IR data'!$D$4:$D$61,MATCH(A755,'IR data'!$C$4:$C$61,1)))-((A755-(INDEX('IR data'!$C$4:$C$61,MATCH(A755,'IR data'!$C$4:$C$61,1))))/((INDEX('IR data'!$C$4:$C$61,MATCH(A755,'IR data'!$C$4:$C$61,1)+1)-INDEX('IR data'!$C$4:$C$61,MATCH(A755,'IR data'!$C$4:$C$61,1))))) * (INDEX('IR data'!$D$4:$D$61,MATCH(A755,'IR data'!$C$4:$C$61,1))-(INDEX('IR data'!$D$4:$D$61,MATCH(A755,'IR data'!$C$4:$C$61,1)+1)))))</f>
        <v>0.91533228863636362</v>
      </c>
      <c r="C755" s="30">
        <f t="shared" si="68"/>
        <v>1.8648596256250129E-2</v>
      </c>
      <c r="D755" s="45">
        <f t="shared" si="69"/>
        <v>46103</v>
      </c>
      <c r="E755" s="14" cm="1">
        <f t="array" ref="E755">_xlfn.IFNA(INDEX('IR data'!$I$4:$I$61,MATCH(D755,'IR data'!$H$4:$H$61,0)),((INDEX('IR data'!$I$4:$I$61,MATCH(D755,'IR data'!$H$4:$H$61,1)))-((D755-(INDEX('IR data'!$H$4:$H$61,MATCH(D755,'IR data'!$H$4:$H$61,1))))/((INDEX('IR data'!$H$4:$H$61,MATCH(D755,'IR data'!$H$4:$H$61,1)+1)-INDEX('IR data'!$H$4:$H$61,MATCH(D755,'IR data'!$H$4:$H$61,1))))) * (INDEX('IR data'!$I$4:$I$61,MATCH(D755,'IR data'!$H$4:$H$61,1))-(INDEX('IR data'!$I$4:$I$61,MATCH(D755,'IR data'!$H$4:$H$61,1)+1)))))</f>
        <v>0.9073401490217391</v>
      </c>
      <c r="F755" s="30">
        <f t="shared" si="70"/>
        <v>2.0497211585233058E-2</v>
      </c>
      <c r="G755" s="37"/>
    </row>
    <row r="756" spans="1:7" x14ac:dyDescent="0.25">
      <c r="A756" s="45">
        <f t="shared" si="67"/>
        <v>46044</v>
      </c>
      <c r="B756" s="14" cm="1">
        <f t="array" ref="B756">_xlfn.IFNA(INDEX('IR data'!$D$4:$D$61,MATCH(A756,'IR data'!$C$4:$C$61,0)),((INDEX('IR data'!$D$4:$D$61,MATCH(A756,'IR data'!$C$4:$C$61,1)))-((A756-(INDEX('IR data'!$C$4:$C$61,MATCH(A756,'IR data'!$C$4:$C$61,1))))/((INDEX('IR data'!$C$4:$C$61,MATCH(A756,'IR data'!$C$4:$C$61,1)+1)-INDEX('IR data'!$C$4:$C$61,MATCH(A756,'IR data'!$C$4:$C$61,1))))) * (INDEX('IR data'!$D$4:$D$61,MATCH(A756,'IR data'!$C$4:$C$61,1))-(INDEX('IR data'!$D$4:$D$61,MATCH(A756,'IR data'!$C$4:$C$61,1)+1)))))</f>
        <v>0.91524857698863638</v>
      </c>
      <c r="C756" s="30">
        <f t="shared" si="68"/>
        <v>1.8643084001032026E-2</v>
      </c>
      <c r="D756" s="45">
        <f t="shared" si="69"/>
        <v>46104</v>
      </c>
      <c r="E756" s="14" cm="1">
        <f t="array" ref="E756">_xlfn.IFNA(INDEX('IR data'!$I$4:$I$61,MATCH(D756,'IR data'!$H$4:$H$61,0)),((INDEX('IR data'!$I$4:$I$61,MATCH(D756,'IR data'!$H$4:$H$61,1)))-((D756-(INDEX('IR data'!$H$4:$H$61,MATCH(D756,'IR data'!$H$4:$H$61,1))))/((INDEX('IR data'!$H$4:$H$61,MATCH(D756,'IR data'!$H$4:$H$61,1)+1)-INDEX('IR data'!$H$4:$H$61,MATCH(D756,'IR data'!$H$4:$H$61,1))))) * (INDEX('IR data'!$I$4:$I$61,MATCH(D756,'IR data'!$H$4:$H$61,1))-(INDEX('IR data'!$I$4:$I$61,MATCH(D756,'IR data'!$H$4:$H$61,1)+1)))))</f>
        <v>0.90724264896739126</v>
      </c>
      <c r="F756" s="30">
        <f t="shared" si="70"/>
        <v>2.0492613335371567E-2</v>
      </c>
      <c r="G756" s="37"/>
    </row>
    <row r="757" spans="1:7" x14ac:dyDescent="0.25">
      <c r="A757" s="45">
        <f t="shared" si="67"/>
        <v>46045</v>
      </c>
      <c r="B757" s="14" cm="1">
        <f t="array" ref="B757">_xlfn.IFNA(INDEX('IR data'!$D$4:$D$61,MATCH(A757,'IR data'!$C$4:$C$61,0)),((INDEX('IR data'!$D$4:$D$61,MATCH(A757,'IR data'!$C$4:$C$61,1)))-((A757-(INDEX('IR data'!$C$4:$C$61,MATCH(A757,'IR data'!$C$4:$C$61,1))))/((INDEX('IR data'!$C$4:$C$61,MATCH(A757,'IR data'!$C$4:$C$61,1)+1)-INDEX('IR data'!$C$4:$C$61,MATCH(A757,'IR data'!$C$4:$C$61,1))))) * (INDEX('IR data'!$D$4:$D$61,MATCH(A757,'IR data'!$C$4:$C$61,1))-(INDEX('IR data'!$D$4:$D$61,MATCH(A757,'IR data'!$C$4:$C$61,1)+1)))))</f>
        <v>0.91516486534090913</v>
      </c>
      <c r="C757" s="30">
        <f t="shared" si="68"/>
        <v>1.8637588125911833E-2</v>
      </c>
      <c r="D757" s="45">
        <f t="shared" si="69"/>
        <v>46105</v>
      </c>
      <c r="E757" s="14" cm="1">
        <f t="array" ref="E757">_xlfn.IFNA(INDEX('IR data'!$I$4:$I$61,MATCH(D757,'IR data'!$H$4:$H$61,0)),((INDEX('IR data'!$I$4:$I$61,MATCH(D757,'IR data'!$H$4:$H$61,1)))-((D757-(INDEX('IR data'!$H$4:$H$61,MATCH(D757,'IR data'!$H$4:$H$61,1))))/((INDEX('IR data'!$H$4:$H$61,MATCH(D757,'IR data'!$H$4:$H$61,1)+1)-INDEX('IR data'!$H$4:$H$61,MATCH(D757,'IR data'!$H$4:$H$61,1))))) * (INDEX('IR data'!$I$4:$I$61,MATCH(D757,'IR data'!$H$4:$H$61,1))-(INDEX('IR data'!$I$4:$I$61,MATCH(D757,'IR data'!$H$4:$H$61,1)+1)))))</f>
        <v>0.90714514891304343</v>
      </c>
      <c r="F757" s="30">
        <f t="shared" si="70"/>
        <v>2.0488029710570847E-2</v>
      </c>
      <c r="G757" s="37"/>
    </row>
    <row r="758" spans="1:7" x14ac:dyDescent="0.25">
      <c r="A758" s="45">
        <f t="shared" si="67"/>
        <v>46046</v>
      </c>
      <c r="B758" s="14" cm="1">
        <f t="array" ref="B758">_xlfn.IFNA(INDEX('IR data'!$D$4:$D$61,MATCH(A758,'IR data'!$C$4:$C$61,0)),((INDEX('IR data'!$D$4:$D$61,MATCH(A758,'IR data'!$C$4:$C$61,1)))-((A758-(INDEX('IR data'!$C$4:$C$61,MATCH(A758,'IR data'!$C$4:$C$61,1))))/((INDEX('IR data'!$C$4:$C$61,MATCH(A758,'IR data'!$C$4:$C$61,1)+1)-INDEX('IR data'!$C$4:$C$61,MATCH(A758,'IR data'!$C$4:$C$61,1))))) * (INDEX('IR data'!$D$4:$D$61,MATCH(A758,'IR data'!$C$4:$C$61,1))-(INDEX('IR data'!$D$4:$D$61,MATCH(A758,'IR data'!$C$4:$C$61,1)+1)))))</f>
        <v>0.91508115369318177</v>
      </c>
      <c r="C758" s="30">
        <f t="shared" si="68"/>
        <v>1.8632108566124427E-2</v>
      </c>
      <c r="D758" s="45">
        <f t="shared" si="69"/>
        <v>46106</v>
      </c>
      <c r="E758" s="14" cm="1">
        <f t="array" ref="E758">_xlfn.IFNA(INDEX('IR data'!$I$4:$I$61,MATCH(D758,'IR data'!$H$4:$H$61,0)),((INDEX('IR data'!$I$4:$I$61,MATCH(D758,'IR data'!$H$4:$H$61,1)))-((D758-(INDEX('IR data'!$H$4:$H$61,MATCH(D758,'IR data'!$H$4:$H$61,1))))/((INDEX('IR data'!$H$4:$H$61,MATCH(D758,'IR data'!$H$4:$H$61,1)+1)-INDEX('IR data'!$H$4:$H$61,MATCH(D758,'IR data'!$H$4:$H$61,1))))) * (INDEX('IR data'!$I$4:$I$61,MATCH(D758,'IR data'!$H$4:$H$61,1))-(INDEX('IR data'!$I$4:$I$61,MATCH(D758,'IR data'!$H$4:$H$61,1)+1)))))</f>
        <v>0.9070476488586956</v>
      </c>
      <c r="F758" s="30">
        <f t="shared" si="70"/>
        <v>2.0483460653239364E-2</v>
      </c>
      <c r="G758" s="37"/>
    </row>
    <row r="759" spans="1:7" x14ac:dyDescent="0.25">
      <c r="A759" s="45">
        <f t="shared" si="67"/>
        <v>46047</v>
      </c>
      <c r="B759" s="14" cm="1">
        <f t="array" ref="B759">_xlfn.IFNA(INDEX('IR data'!$D$4:$D$61,MATCH(A759,'IR data'!$C$4:$C$61,0)),((INDEX('IR data'!$D$4:$D$61,MATCH(A759,'IR data'!$C$4:$C$61,1)))-((A759-(INDEX('IR data'!$C$4:$C$61,MATCH(A759,'IR data'!$C$4:$C$61,1))))/((INDEX('IR data'!$C$4:$C$61,MATCH(A759,'IR data'!$C$4:$C$61,1)+1)-INDEX('IR data'!$C$4:$C$61,MATCH(A759,'IR data'!$C$4:$C$61,1))))) * (INDEX('IR data'!$D$4:$D$61,MATCH(A759,'IR data'!$C$4:$C$61,1))-(INDEX('IR data'!$D$4:$D$61,MATCH(A759,'IR data'!$C$4:$C$61,1)+1)))))</f>
        <v>0.91499744204545452</v>
      </c>
      <c r="C759" s="30">
        <f t="shared" si="68"/>
        <v>1.8626645257247373E-2</v>
      </c>
      <c r="D759" s="45">
        <f t="shared" si="69"/>
        <v>46107</v>
      </c>
      <c r="E759" s="14" cm="1">
        <f t="array" ref="E759">_xlfn.IFNA(INDEX('IR data'!$I$4:$I$61,MATCH(D759,'IR data'!$H$4:$H$61,0)),((INDEX('IR data'!$I$4:$I$61,MATCH(D759,'IR data'!$H$4:$H$61,1)))-((D759-(INDEX('IR data'!$H$4:$H$61,MATCH(D759,'IR data'!$H$4:$H$61,1))))/((INDEX('IR data'!$H$4:$H$61,MATCH(D759,'IR data'!$H$4:$H$61,1)+1)-INDEX('IR data'!$H$4:$H$61,MATCH(D759,'IR data'!$H$4:$H$61,1))))) * (INDEX('IR data'!$I$4:$I$61,MATCH(D759,'IR data'!$H$4:$H$61,1))-(INDEX('IR data'!$I$4:$I$61,MATCH(D759,'IR data'!$H$4:$H$61,1)+1)))))</f>
        <v>0.90695014880434777</v>
      </c>
      <c r="F759" s="30">
        <f t="shared" si="70"/>
        <v>2.0478906106090444E-2</v>
      </c>
      <c r="G759" s="37"/>
    </row>
    <row r="760" spans="1:7" x14ac:dyDescent="0.25">
      <c r="A760" s="45">
        <f t="shared" si="67"/>
        <v>46048</v>
      </c>
      <c r="B760" s="14" cm="1">
        <f t="array" ref="B760">_xlfn.IFNA(INDEX('IR data'!$D$4:$D$61,MATCH(A760,'IR data'!$C$4:$C$61,0)),((INDEX('IR data'!$D$4:$D$61,MATCH(A760,'IR data'!$C$4:$C$61,1)))-((A760-(INDEX('IR data'!$C$4:$C$61,MATCH(A760,'IR data'!$C$4:$C$61,1))))/((INDEX('IR data'!$C$4:$C$61,MATCH(A760,'IR data'!$C$4:$C$61,1)+1)-INDEX('IR data'!$C$4:$C$61,MATCH(A760,'IR data'!$C$4:$C$61,1))))) * (INDEX('IR data'!$D$4:$D$61,MATCH(A760,'IR data'!$C$4:$C$61,1))-(INDEX('IR data'!$D$4:$D$61,MATCH(A760,'IR data'!$C$4:$C$61,1)+1)))))</f>
        <v>0.91491373039772728</v>
      </c>
      <c r="C760" s="30">
        <f t="shared" si="68"/>
        <v>1.8621198135198802E-2</v>
      </c>
      <c r="D760" s="45">
        <f t="shared" si="69"/>
        <v>46108</v>
      </c>
      <c r="E760" s="14" cm="1">
        <f t="array" ref="E760">_xlfn.IFNA(INDEX('IR data'!$I$4:$I$61,MATCH(D760,'IR data'!$H$4:$H$61,0)),((INDEX('IR data'!$I$4:$I$61,MATCH(D760,'IR data'!$H$4:$H$61,1)))-((D760-(INDEX('IR data'!$H$4:$H$61,MATCH(D760,'IR data'!$H$4:$H$61,1))))/((INDEX('IR data'!$H$4:$H$61,MATCH(D760,'IR data'!$H$4:$H$61,1)+1)-INDEX('IR data'!$H$4:$H$61,MATCH(D760,'IR data'!$H$4:$H$61,1))))) * (INDEX('IR data'!$I$4:$I$61,MATCH(D760,'IR data'!$H$4:$H$61,1))-(INDEX('IR data'!$I$4:$I$61,MATCH(D760,'IR data'!$H$4:$H$61,1)+1)))))</f>
        <v>0.90685264874999993</v>
      </c>
      <c r="F760" s="30">
        <f t="shared" si="70"/>
        <v>2.0474366012140314E-2</v>
      </c>
      <c r="G760" s="37"/>
    </row>
    <row r="761" spans="1:7" x14ac:dyDescent="0.25">
      <c r="A761" s="45">
        <f t="shared" si="67"/>
        <v>46049</v>
      </c>
      <c r="B761" s="14" cm="1">
        <f t="array" ref="B761">_xlfn.IFNA(INDEX('IR data'!$D$4:$D$61,MATCH(A761,'IR data'!$C$4:$C$61,0)),((INDEX('IR data'!$D$4:$D$61,MATCH(A761,'IR data'!$C$4:$C$61,1)))-((A761-(INDEX('IR data'!$C$4:$C$61,MATCH(A761,'IR data'!$C$4:$C$61,1))))/((INDEX('IR data'!$C$4:$C$61,MATCH(A761,'IR data'!$C$4:$C$61,1)+1)-INDEX('IR data'!$C$4:$C$61,MATCH(A761,'IR data'!$C$4:$C$61,1))))) * (INDEX('IR data'!$D$4:$D$61,MATCH(A761,'IR data'!$C$4:$C$61,1))-(INDEX('IR data'!$D$4:$D$61,MATCH(A761,'IR data'!$C$4:$C$61,1)+1)))))</f>
        <v>0.91483001875000003</v>
      </c>
      <c r="C761" s="30">
        <f t="shared" si="68"/>
        <v>1.8615767136235091E-2</v>
      </c>
      <c r="D761" s="45">
        <f t="shared" si="69"/>
        <v>46109</v>
      </c>
      <c r="E761" s="14" cm="1">
        <f t="array" ref="E761">_xlfn.IFNA(INDEX('IR data'!$I$4:$I$61,MATCH(D761,'IR data'!$H$4:$H$61,0)),((INDEX('IR data'!$I$4:$I$61,MATCH(D761,'IR data'!$H$4:$H$61,1)))-((D761-(INDEX('IR data'!$H$4:$H$61,MATCH(D761,'IR data'!$H$4:$H$61,1))))/((INDEX('IR data'!$H$4:$H$61,MATCH(D761,'IR data'!$H$4:$H$61,1)+1)-INDEX('IR data'!$H$4:$H$61,MATCH(D761,'IR data'!$H$4:$H$61,1))))) * (INDEX('IR data'!$I$4:$I$61,MATCH(D761,'IR data'!$H$4:$H$61,1))-(INDEX('IR data'!$I$4:$I$61,MATCH(D761,'IR data'!$H$4:$H$61,1)+1)))))</f>
        <v>0.9067551486956521</v>
      </c>
      <c r="F761" s="30">
        <f t="shared" si="70"/>
        <v>2.046984031470607E-2</v>
      </c>
      <c r="G761" s="37"/>
    </row>
    <row r="762" spans="1:7" x14ac:dyDescent="0.25">
      <c r="A762" s="45">
        <f t="shared" si="67"/>
        <v>46050</v>
      </c>
      <c r="B762" s="14" cm="1">
        <f t="array" ref="B762">_xlfn.IFNA(INDEX('IR data'!$D$4:$D$61,MATCH(A762,'IR data'!$C$4:$C$61,0)),((INDEX('IR data'!$D$4:$D$61,MATCH(A762,'IR data'!$C$4:$C$61,1)))-((A762-(INDEX('IR data'!$C$4:$C$61,MATCH(A762,'IR data'!$C$4:$C$61,1))))/((INDEX('IR data'!$C$4:$C$61,MATCH(A762,'IR data'!$C$4:$C$61,1)+1)-INDEX('IR data'!$C$4:$C$61,MATCH(A762,'IR data'!$C$4:$C$61,1))))) * (INDEX('IR data'!$D$4:$D$61,MATCH(A762,'IR data'!$C$4:$C$61,1))-(INDEX('IR data'!$D$4:$D$61,MATCH(A762,'IR data'!$C$4:$C$61,1)+1)))))</f>
        <v>0.91474630710227278</v>
      </c>
      <c r="C762" s="30">
        <f t="shared" si="68"/>
        <v>1.8610352196948621E-2</v>
      </c>
      <c r="D762" s="45">
        <f t="shared" si="69"/>
        <v>46110</v>
      </c>
      <c r="E762" s="14" cm="1">
        <f t="array" ref="E762">_xlfn.IFNA(INDEX('IR data'!$I$4:$I$61,MATCH(D762,'IR data'!$H$4:$H$61,0)),((INDEX('IR data'!$I$4:$I$61,MATCH(D762,'IR data'!$H$4:$H$61,1)))-((D762-(INDEX('IR data'!$H$4:$H$61,MATCH(D762,'IR data'!$H$4:$H$61,1))))/((INDEX('IR data'!$H$4:$H$61,MATCH(D762,'IR data'!$H$4:$H$61,1)+1)-INDEX('IR data'!$H$4:$H$61,MATCH(D762,'IR data'!$H$4:$H$61,1))))) * (INDEX('IR data'!$I$4:$I$61,MATCH(D762,'IR data'!$H$4:$H$61,1))-(INDEX('IR data'!$I$4:$I$61,MATCH(D762,'IR data'!$H$4:$H$61,1)+1)))))</f>
        <v>0.90665764864130427</v>
      </c>
      <c r="F762" s="30">
        <f t="shared" si="70"/>
        <v>2.0465328957403685E-2</v>
      </c>
      <c r="G762" s="37"/>
    </row>
    <row r="763" spans="1:7" x14ac:dyDescent="0.25">
      <c r="A763" s="45">
        <f t="shared" si="67"/>
        <v>46051</v>
      </c>
      <c r="B763" s="14" cm="1">
        <f t="array" ref="B763">_xlfn.IFNA(INDEX('IR data'!$D$4:$D$61,MATCH(A763,'IR data'!$C$4:$C$61,0)),((INDEX('IR data'!$D$4:$D$61,MATCH(A763,'IR data'!$C$4:$C$61,1)))-((A763-(INDEX('IR data'!$C$4:$C$61,MATCH(A763,'IR data'!$C$4:$C$61,1))))/((INDEX('IR data'!$C$4:$C$61,MATCH(A763,'IR data'!$C$4:$C$61,1)+1)-INDEX('IR data'!$C$4:$C$61,MATCH(A763,'IR data'!$C$4:$C$61,1))))) * (INDEX('IR data'!$D$4:$D$61,MATCH(A763,'IR data'!$C$4:$C$61,1))-(INDEX('IR data'!$D$4:$D$61,MATCH(A763,'IR data'!$C$4:$C$61,1)+1)))))</f>
        <v>0.91466259545454542</v>
      </c>
      <c r="C763" s="30">
        <f t="shared" si="68"/>
        <v>1.8604953254265606E-2</v>
      </c>
      <c r="D763" s="45">
        <f t="shared" si="69"/>
        <v>46111</v>
      </c>
      <c r="E763" s="14" cm="1">
        <f t="array" ref="E763">_xlfn.IFNA(INDEX('IR data'!$I$4:$I$61,MATCH(D763,'IR data'!$H$4:$H$61,0)),((INDEX('IR data'!$I$4:$I$61,MATCH(D763,'IR data'!$H$4:$H$61,1)))-((D763-(INDEX('IR data'!$H$4:$H$61,MATCH(D763,'IR data'!$H$4:$H$61,1))))/((INDEX('IR data'!$H$4:$H$61,MATCH(D763,'IR data'!$H$4:$H$61,1)+1)-INDEX('IR data'!$H$4:$H$61,MATCH(D763,'IR data'!$H$4:$H$61,1))))) * (INDEX('IR data'!$I$4:$I$61,MATCH(D763,'IR data'!$H$4:$H$61,1))-(INDEX('IR data'!$I$4:$I$61,MATCH(D763,'IR data'!$H$4:$H$61,1)+1)))))</f>
        <v>0.90656014858695644</v>
      </c>
      <c r="F763" s="30">
        <f t="shared" si="70"/>
        <v>2.0460831884146068E-2</v>
      </c>
      <c r="G763" s="37"/>
    </row>
    <row r="764" spans="1:7" x14ac:dyDescent="0.25">
      <c r="A764" s="45">
        <f t="shared" si="67"/>
        <v>46052</v>
      </c>
      <c r="B764" s="14" cm="1">
        <f t="array" ref="B764">_xlfn.IFNA(INDEX('IR data'!$D$4:$D$61,MATCH(A764,'IR data'!$C$4:$C$61,0)),((INDEX('IR data'!$D$4:$D$61,MATCH(A764,'IR data'!$C$4:$C$61,1)))-((A764-(INDEX('IR data'!$C$4:$C$61,MATCH(A764,'IR data'!$C$4:$C$61,1))))/((INDEX('IR data'!$C$4:$C$61,MATCH(A764,'IR data'!$C$4:$C$61,1)+1)-INDEX('IR data'!$C$4:$C$61,MATCH(A764,'IR data'!$C$4:$C$61,1))))) * (INDEX('IR data'!$D$4:$D$61,MATCH(A764,'IR data'!$C$4:$C$61,1))-(INDEX('IR data'!$D$4:$D$61,MATCH(A764,'IR data'!$C$4:$C$61,1)+1)))))</f>
        <v>0.91457888380681818</v>
      </c>
      <c r="C764" s="30">
        <f t="shared" si="68"/>
        <v>1.8599570245443824E-2</v>
      </c>
      <c r="D764" s="45">
        <f t="shared" si="69"/>
        <v>46112</v>
      </c>
      <c r="E764" s="14" cm="1">
        <f t="array" ref="E764">_xlfn.IFNA(INDEX('IR data'!$I$4:$I$61,MATCH(D764,'IR data'!$H$4:$H$61,0)),((INDEX('IR data'!$I$4:$I$61,MATCH(D764,'IR data'!$H$4:$H$61,1)))-((D764-(INDEX('IR data'!$H$4:$H$61,MATCH(D764,'IR data'!$H$4:$H$61,1))))/((INDEX('IR data'!$H$4:$H$61,MATCH(D764,'IR data'!$H$4:$H$61,1)+1)-INDEX('IR data'!$H$4:$H$61,MATCH(D764,'IR data'!$H$4:$H$61,1))))) * (INDEX('IR data'!$I$4:$I$61,MATCH(D764,'IR data'!$H$4:$H$61,1))-(INDEX('IR data'!$I$4:$I$61,MATCH(D764,'IR data'!$H$4:$H$61,1)+1)))))</f>
        <v>0.90646264853260861</v>
      </c>
      <c r="F764" s="30">
        <f t="shared" si="70"/>
        <v>2.0456349039141099E-2</v>
      </c>
      <c r="G764" s="37"/>
    </row>
    <row r="765" spans="1:7" x14ac:dyDescent="0.25">
      <c r="A765" s="45">
        <f t="shared" si="67"/>
        <v>46053</v>
      </c>
      <c r="B765" s="14" cm="1">
        <f t="array" ref="B765">_xlfn.IFNA(INDEX('IR data'!$D$4:$D$61,MATCH(A765,'IR data'!$C$4:$C$61,0)),((INDEX('IR data'!$D$4:$D$61,MATCH(A765,'IR data'!$C$4:$C$61,1)))-((A765-(INDEX('IR data'!$C$4:$C$61,MATCH(A765,'IR data'!$C$4:$C$61,1))))/((INDEX('IR data'!$C$4:$C$61,MATCH(A765,'IR data'!$C$4:$C$61,1)+1)-INDEX('IR data'!$C$4:$C$61,MATCH(A765,'IR data'!$C$4:$C$61,1))))) * (INDEX('IR data'!$D$4:$D$61,MATCH(A765,'IR data'!$C$4:$C$61,1))-(INDEX('IR data'!$D$4:$D$61,MATCH(A765,'IR data'!$C$4:$C$61,1)+1)))))</f>
        <v>0.91449517215909093</v>
      </c>
      <c r="C765" s="30">
        <f t="shared" si="68"/>
        <v>1.8594203108070556E-2</v>
      </c>
      <c r="D765" s="45">
        <f t="shared" si="69"/>
        <v>46113</v>
      </c>
      <c r="E765" s="14" cm="1">
        <f t="array" ref="E765">_xlfn.IFNA(INDEX('IR data'!$I$4:$I$61,MATCH(D765,'IR data'!$H$4:$H$61,0)),((INDEX('IR data'!$I$4:$I$61,MATCH(D765,'IR data'!$H$4:$H$61,1)))-((D765-(INDEX('IR data'!$H$4:$H$61,MATCH(D765,'IR data'!$H$4:$H$61,1))))/((INDEX('IR data'!$H$4:$H$61,MATCH(D765,'IR data'!$H$4:$H$61,1)+1)-INDEX('IR data'!$H$4:$H$61,MATCH(D765,'IR data'!$H$4:$H$61,1))))) * (INDEX('IR data'!$I$4:$I$61,MATCH(D765,'IR data'!$H$4:$H$61,1))-(INDEX('IR data'!$I$4:$I$61,MATCH(D765,'IR data'!$H$4:$H$61,1)+1)))))</f>
        <v>0.90636514847826088</v>
      </c>
      <c r="F765" s="30">
        <f t="shared" si="70"/>
        <v>2.045188036688967E-2</v>
      </c>
      <c r="G765" s="37"/>
    </row>
    <row r="766" spans="1:7" x14ac:dyDescent="0.25">
      <c r="A766" s="45">
        <f t="shared" si="67"/>
        <v>46054</v>
      </c>
      <c r="B766" s="14" cm="1">
        <f t="array" ref="B766">_xlfn.IFNA(INDEX('IR data'!$D$4:$D$61,MATCH(A766,'IR data'!$C$4:$C$61,0)),((INDEX('IR data'!$D$4:$D$61,MATCH(A766,'IR data'!$C$4:$C$61,1)))-((A766-(INDEX('IR data'!$C$4:$C$61,MATCH(A766,'IR data'!$C$4:$C$61,1))))/((INDEX('IR data'!$C$4:$C$61,MATCH(A766,'IR data'!$C$4:$C$61,1)+1)-INDEX('IR data'!$C$4:$C$61,MATCH(A766,'IR data'!$C$4:$C$61,1))))) * (INDEX('IR data'!$D$4:$D$61,MATCH(A766,'IR data'!$C$4:$C$61,1))-(INDEX('IR data'!$D$4:$D$61,MATCH(A766,'IR data'!$C$4:$C$61,1)+1)))))</f>
        <v>0.91441146051136368</v>
      </c>
      <c r="C766" s="30">
        <f t="shared" si="68"/>
        <v>1.858885178006035E-2</v>
      </c>
      <c r="D766" s="45">
        <f t="shared" si="69"/>
        <v>46114</v>
      </c>
      <c r="E766" s="14" cm="1">
        <f t="array" ref="E766">_xlfn.IFNA(INDEX('IR data'!$I$4:$I$61,MATCH(D766,'IR data'!$H$4:$H$61,0)),((INDEX('IR data'!$I$4:$I$61,MATCH(D766,'IR data'!$H$4:$H$61,1)))-((D766-(INDEX('IR data'!$H$4:$H$61,MATCH(D766,'IR data'!$H$4:$H$61,1))))/((INDEX('IR data'!$H$4:$H$61,MATCH(D766,'IR data'!$H$4:$H$61,1)+1)-INDEX('IR data'!$H$4:$H$61,MATCH(D766,'IR data'!$H$4:$H$61,1))))) * (INDEX('IR data'!$I$4:$I$61,MATCH(D766,'IR data'!$H$4:$H$61,1))-(INDEX('IR data'!$I$4:$I$61,MATCH(D766,'IR data'!$H$4:$H$61,1)+1)))))</f>
        <v>0.90626764842391305</v>
      </c>
      <c r="F766" s="30">
        <f t="shared" si="70"/>
        <v>2.0447425812183877E-2</v>
      </c>
      <c r="G766" s="37"/>
    </row>
    <row r="767" spans="1:7" x14ac:dyDescent="0.25">
      <c r="A767" s="45">
        <f t="shared" si="67"/>
        <v>46055</v>
      </c>
      <c r="B767" s="14" cm="1">
        <f t="array" ref="B767">_xlfn.IFNA(INDEX('IR data'!$D$4:$D$61,MATCH(A767,'IR data'!$C$4:$C$61,0)),((INDEX('IR data'!$D$4:$D$61,MATCH(A767,'IR data'!$C$4:$C$61,1)))-((A767-(INDEX('IR data'!$C$4:$C$61,MATCH(A767,'IR data'!$C$4:$C$61,1))))/((INDEX('IR data'!$C$4:$C$61,MATCH(A767,'IR data'!$C$4:$C$61,1)+1)-INDEX('IR data'!$C$4:$C$61,MATCH(A767,'IR data'!$C$4:$C$61,1))))) * (INDEX('IR data'!$D$4:$D$61,MATCH(A767,'IR data'!$C$4:$C$61,1))-(INDEX('IR data'!$D$4:$D$61,MATCH(A767,'IR data'!$C$4:$C$61,1)+1)))))</f>
        <v>0.91432774886363632</v>
      </c>
      <c r="C767" s="30">
        <f t="shared" si="68"/>
        <v>1.8583516199652914E-2</v>
      </c>
      <c r="D767" s="45">
        <f t="shared" si="69"/>
        <v>46115</v>
      </c>
      <c r="E767" s="14" cm="1">
        <f t="array" ref="E767">_xlfn.IFNA(INDEX('IR data'!$I$4:$I$61,MATCH(D767,'IR data'!$H$4:$H$61,0)),((INDEX('IR data'!$I$4:$I$61,MATCH(D767,'IR data'!$H$4:$H$61,1)))-((D767-(INDEX('IR data'!$H$4:$H$61,MATCH(D767,'IR data'!$H$4:$H$61,1))))/((INDEX('IR data'!$H$4:$H$61,MATCH(D767,'IR data'!$H$4:$H$61,1)+1)-INDEX('IR data'!$H$4:$H$61,MATCH(D767,'IR data'!$H$4:$H$61,1))))) * (INDEX('IR data'!$I$4:$I$61,MATCH(D767,'IR data'!$H$4:$H$61,1))-(INDEX('IR data'!$I$4:$I$61,MATCH(D767,'IR data'!$H$4:$H$61,1)+1)))))</f>
        <v>0.90617014836956522</v>
      </c>
      <c r="F767" s="30">
        <f t="shared" si="70"/>
        <v>2.0442985320104946E-2</v>
      </c>
      <c r="G767" s="37"/>
    </row>
    <row r="768" spans="1:7" x14ac:dyDescent="0.25">
      <c r="A768" s="45">
        <f t="shared" si="67"/>
        <v>46056</v>
      </c>
      <c r="B768" s="14" cm="1">
        <f t="array" ref="B768">_xlfn.IFNA(INDEX('IR data'!$D$4:$D$61,MATCH(A768,'IR data'!$C$4:$C$61,0)),((INDEX('IR data'!$D$4:$D$61,MATCH(A768,'IR data'!$C$4:$C$61,1)))-((A768-(INDEX('IR data'!$C$4:$C$61,MATCH(A768,'IR data'!$C$4:$C$61,1))))/((INDEX('IR data'!$C$4:$C$61,MATCH(A768,'IR data'!$C$4:$C$61,1)+1)-INDEX('IR data'!$C$4:$C$61,MATCH(A768,'IR data'!$C$4:$C$61,1))))) * (INDEX('IR data'!$D$4:$D$61,MATCH(A768,'IR data'!$C$4:$C$61,1))-(INDEX('IR data'!$D$4:$D$61,MATCH(A768,'IR data'!$C$4:$C$61,1)+1)))))</f>
        <v>0.91424403721590908</v>
      </c>
      <c r="C768" s="30">
        <f t="shared" si="68"/>
        <v>1.8578196305410893E-2</v>
      </c>
      <c r="D768" s="45">
        <f t="shared" si="69"/>
        <v>46116</v>
      </c>
      <c r="E768" s="14" cm="1">
        <f t="array" ref="E768">_xlfn.IFNA(INDEX('IR data'!$I$4:$I$61,MATCH(D768,'IR data'!$H$4:$H$61,0)),((INDEX('IR data'!$I$4:$I$61,MATCH(D768,'IR data'!$H$4:$H$61,1)))-((D768-(INDEX('IR data'!$H$4:$H$61,MATCH(D768,'IR data'!$H$4:$H$61,1))))/((INDEX('IR data'!$H$4:$H$61,MATCH(D768,'IR data'!$H$4:$H$61,1)+1)-INDEX('IR data'!$H$4:$H$61,MATCH(D768,'IR data'!$H$4:$H$61,1))))) * (INDEX('IR data'!$I$4:$I$61,MATCH(D768,'IR data'!$H$4:$H$61,1))-(INDEX('IR data'!$I$4:$I$61,MATCH(D768,'IR data'!$H$4:$H$61,1)+1)))))</f>
        <v>0.90607264831521739</v>
      </c>
      <c r="F768" s="30">
        <f t="shared" si="70"/>
        <v>2.0438558836021452E-2</v>
      </c>
      <c r="G768" s="37"/>
    </row>
    <row r="769" spans="1:7" x14ac:dyDescent="0.25">
      <c r="A769" s="45">
        <f t="shared" si="67"/>
        <v>46057</v>
      </c>
      <c r="B769" s="14" cm="1">
        <f t="array" ref="B769">_xlfn.IFNA(INDEX('IR data'!$D$4:$D$61,MATCH(A769,'IR data'!$C$4:$C$61,0)),((INDEX('IR data'!$D$4:$D$61,MATCH(A769,'IR data'!$C$4:$C$61,1)))-((A769-(INDEX('IR data'!$C$4:$C$61,MATCH(A769,'IR data'!$C$4:$C$61,1))))/((INDEX('IR data'!$C$4:$C$61,MATCH(A769,'IR data'!$C$4:$C$61,1)+1)-INDEX('IR data'!$C$4:$C$61,MATCH(A769,'IR data'!$C$4:$C$61,1))))) * (INDEX('IR data'!$D$4:$D$61,MATCH(A769,'IR data'!$C$4:$C$61,1))-(INDEX('IR data'!$D$4:$D$61,MATCH(A769,'IR data'!$C$4:$C$61,1)+1)))))</f>
        <v>0.91416032556818183</v>
      </c>
      <c r="C769" s="30">
        <f t="shared" si="68"/>
        <v>1.8572892036217939E-2</v>
      </c>
      <c r="D769" s="45">
        <f t="shared" si="69"/>
        <v>46117</v>
      </c>
      <c r="E769" s="14" cm="1">
        <f t="array" ref="E769">_xlfn.IFNA(INDEX('IR data'!$I$4:$I$61,MATCH(D769,'IR data'!$H$4:$H$61,0)),((INDEX('IR data'!$I$4:$I$61,MATCH(D769,'IR data'!$H$4:$H$61,1)))-((D769-(INDEX('IR data'!$H$4:$H$61,MATCH(D769,'IR data'!$H$4:$H$61,1))))/((INDEX('IR data'!$H$4:$H$61,MATCH(D769,'IR data'!$H$4:$H$61,1)+1)-INDEX('IR data'!$H$4:$H$61,MATCH(D769,'IR data'!$H$4:$H$61,1))))) * (INDEX('IR data'!$I$4:$I$61,MATCH(D769,'IR data'!$H$4:$H$61,1))-(INDEX('IR data'!$I$4:$I$61,MATCH(D769,'IR data'!$H$4:$H$61,1)+1)))))</f>
        <v>0.90597514826086956</v>
      </c>
      <c r="F769" s="30">
        <f t="shared" si="70"/>
        <v>2.0434146305587413E-2</v>
      </c>
      <c r="G769" s="37"/>
    </row>
    <row r="770" spans="1:7" x14ac:dyDescent="0.25">
      <c r="A770" s="45">
        <f t="shared" si="67"/>
        <v>46058</v>
      </c>
      <c r="B770" s="14" cm="1">
        <f t="array" ref="B770">_xlfn.IFNA(INDEX('IR data'!$D$4:$D$61,MATCH(A770,'IR data'!$C$4:$C$61,0)),((INDEX('IR data'!$D$4:$D$61,MATCH(A770,'IR data'!$C$4:$C$61,1)))-((A770-(INDEX('IR data'!$C$4:$C$61,MATCH(A770,'IR data'!$C$4:$C$61,1))))/((INDEX('IR data'!$C$4:$C$61,MATCH(A770,'IR data'!$C$4:$C$61,1)+1)-INDEX('IR data'!$C$4:$C$61,MATCH(A770,'IR data'!$C$4:$C$61,1))))) * (INDEX('IR data'!$D$4:$D$61,MATCH(A770,'IR data'!$C$4:$C$61,1))-(INDEX('IR data'!$D$4:$D$61,MATCH(A770,'IR data'!$C$4:$C$61,1)+1)))))</f>
        <v>0.91407661392045458</v>
      </c>
      <c r="C770" s="30">
        <f t="shared" si="68"/>
        <v>1.8567603331276467E-2</v>
      </c>
      <c r="D770" s="45">
        <f t="shared" si="69"/>
        <v>46118</v>
      </c>
      <c r="E770" s="14" cm="1">
        <f t="array" ref="E770">_xlfn.IFNA(INDEX('IR data'!$I$4:$I$61,MATCH(D770,'IR data'!$H$4:$H$61,0)),((INDEX('IR data'!$I$4:$I$61,MATCH(D770,'IR data'!$H$4:$H$61,1)))-((D770-(INDEX('IR data'!$H$4:$H$61,MATCH(D770,'IR data'!$H$4:$H$61,1))))/((INDEX('IR data'!$H$4:$H$61,MATCH(D770,'IR data'!$H$4:$H$61,1)+1)-INDEX('IR data'!$H$4:$H$61,MATCH(D770,'IR data'!$H$4:$H$61,1))))) * (INDEX('IR data'!$I$4:$I$61,MATCH(D770,'IR data'!$H$4:$H$61,1))-(INDEX('IR data'!$I$4:$I$61,MATCH(D770,'IR data'!$H$4:$H$61,1)+1)))))</f>
        <v>0.90587764820652172</v>
      </c>
      <c r="F770" s="30">
        <f t="shared" si="70"/>
        <v>2.0429747674740446E-2</v>
      </c>
      <c r="G770" s="37"/>
    </row>
    <row r="771" spans="1:7" x14ac:dyDescent="0.25">
      <c r="A771" s="45">
        <f t="shared" si="67"/>
        <v>46059</v>
      </c>
      <c r="B771" s="14" cm="1">
        <f t="array" ref="B771">_xlfn.IFNA(INDEX('IR data'!$D$4:$D$61,MATCH(A771,'IR data'!$C$4:$C$61,0)),((INDEX('IR data'!$D$4:$D$61,MATCH(A771,'IR data'!$C$4:$C$61,1)))-((A771-(INDEX('IR data'!$C$4:$C$61,MATCH(A771,'IR data'!$C$4:$C$61,1))))/((INDEX('IR data'!$C$4:$C$61,MATCH(A771,'IR data'!$C$4:$C$61,1)+1)-INDEX('IR data'!$C$4:$C$61,MATCH(A771,'IR data'!$C$4:$C$61,1))))) * (INDEX('IR data'!$D$4:$D$61,MATCH(A771,'IR data'!$C$4:$C$61,1))-(INDEX('IR data'!$D$4:$D$61,MATCH(A771,'IR data'!$C$4:$C$61,1)+1)))))</f>
        <v>0.91399290227272723</v>
      </c>
      <c r="C771" s="30">
        <f t="shared" si="68"/>
        <v>1.8562330130105682E-2</v>
      </c>
      <c r="D771" s="45">
        <f t="shared" si="69"/>
        <v>46119</v>
      </c>
      <c r="E771" s="14" cm="1">
        <f t="array" ref="E771">_xlfn.IFNA(INDEX('IR data'!$I$4:$I$61,MATCH(D771,'IR data'!$H$4:$H$61,0)),((INDEX('IR data'!$I$4:$I$61,MATCH(D771,'IR data'!$H$4:$H$61,1)))-((D771-(INDEX('IR data'!$H$4:$H$61,MATCH(D771,'IR data'!$H$4:$H$61,1))))/((INDEX('IR data'!$H$4:$H$61,MATCH(D771,'IR data'!$H$4:$H$61,1)+1)-INDEX('IR data'!$H$4:$H$61,MATCH(D771,'IR data'!$H$4:$H$61,1))))) * (INDEX('IR data'!$I$4:$I$61,MATCH(D771,'IR data'!$H$4:$H$61,1))-(INDEX('IR data'!$I$4:$I$61,MATCH(D771,'IR data'!$H$4:$H$61,1)+1)))))</f>
        <v>0.90578014815217389</v>
      </c>
      <c r="F771" s="30">
        <f t="shared" si="70"/>
        <v>2.0425362889699906E-2</v>
      </c>
      <c r="G771" s="37"/>
    </row>
    <row r="772" spans="1:7" x14ac:dyDescent="0.25">
      <c r="A772" s="45">
        <f t="shared" si="67"/>
        <v>46060</v>
      </c>
      <c r="B772" s="14" cm="1">
        <f t="array" ref="B772">_xlfn.IFNA(INDEX('IR data'!$D$4:$D$61,MATCH(A772,'IR data'!$C$4:$C$61,0)),((INDEX('IR data'!$D$4:$D$61,MATCH(A772,'IR data'!$C$4:$C$61,1)))-((A772-(INDEX('IR data'!$C$4:$C$61,MATCH(A772,'IR data'!$C$4:$C$61,1))))/((INDEX('IR data'!$C$4:$C$61,MATCH(A772,'IR data'!$C$4:$C$61,1)+1)-INDEX('IR data'!$C$4:$C$61,MATCH(A772,'IR data'!$C$4:$C$61,1))))) * (INDEX('IR data'!$D$4:$D$61,MATCH(A772,'IR data'!$C$4:$C$61,1))-(INDEX('IR data'!$D$4:$D$61,MATCH(A772,'IR data'!$C$4:$C$61,1)+1)))))</f>
        <v>0.91390919062499998</v>
      </c>
      <c r="C772" s="30">
        <f t="shared" si="68"/>
        <v>1.8557072372539375E-2</v>
      </c>
      <c r="D772" s="45">
        <f t="shared" si="69"/>
        <v>46120</v>
      </c>
      <c r="E772" s="14" cm="1">
        <f t="array" ref="E772">_xlfn.IFNA(INDEX('IR data'!$I$4:$I$61,MATCH(D772,'IR data'!$H$4:$H$61,0)),((INDEX('IR data'!$I$4:$I$61,MATCH(D772,'IR data'!$H$4:$H$61,1)))-((D772-(INDEX('IR data'!$H$4:$H$61,MATCH(D772,'IR data'!$H$4:$H$61,1))))/((INDEX('IR data'!$H$4:$H$61,MATCH(D772,'IR data'!$H$4:$H$61,1)+1)-INDEX('IR data'!$H$4:$H$61,MATCH(D772,'IR data'!$H$4:$H$61,1))))) * (INDEX('IR data'!$I$4:$I$61,MATCH(D772,'IR data'!$H$4:$H$61,1))-(INDEX('IR data'!$I$4:$I$61,MATCH(D772,'IR data'!$H$4:$H$61,1)+1)))))</f>
        <v>0.90568264809782606</v>
      </c>
      <c r="F772" s="30">
        <f t="shared" si="70"/>
        <v>2.0420991896965054E-2</v>
      </c>
      <c r="G772" s="37"/>
    </row>
    <row r="773" spans="1:7" x14ac:dyDescent="0.25">
      <c r="A773" s="45">
        <f t="shared" ref="A773:A834" si="72">A772+1</f>
        <v>46061</v>
      </c>
      <c r="B773" s="14" cm="1">
        <f t="array" ref="B773">_xlfn.IFNA(INDEX('IR data'!$D$4:$D$61,MATCH(A773,'IR data'!$C$4:$C$61,0)),((INDEX('IR data'!$D$4:$D$61,MATCH(A773,'IR data'!$C$4:$C$61,1)))-((A773-(INDEX('IR data'!$C$4:$C$61,MATCH(A773,'IR data'!$C$4:$C$61,1))))/((INDEX('IR data'!$C$4:$C$61,MATCH(A773,'IR data'!$C$4:$C$61,1)+1)-INDEX('IR data'!$C$4:$C$61,MATCH(A773,'IR data'!$C$4:$C$61,1))))) * (INDEX('IR data'!$D$4:$D$61,MATCH(A773,'IR data'!$C$4:$C$61,1))-(INDEX('IR data'!$D$4:$D$61,MATCH(A773,'IR data'!$C$4:$C$61,1)+1)))))</f>
        <v>0.91382547897727273</v>
      </c>
      <c r="C773" s="30">
        <f t="shared" ref="C773:C834" si="73">-LOG(B773)/YEARFRAC($B$1, A773, 3)</f>
        <v>1.8551829998724071E-2</v>
      </c>
      <c r="D773" s="45">
        <f>D772+1</f>
        <v>46121</v>
      </c>
      <c r="E773" s="14" cm="1">
        <f t="array" ref="E773">_xlfn.IFNA(INDEX('IR data'!$I$4:$I$61,MATCH(D773,'IR data'!$H$4:$H$61,0)),((INDEX('IR data'!$I$4:$I$61,MATCH(D773,'IR data'!$H$4:$H$61,1)))-((D773-(INDEX('IR data'!$H$4:$H$61,MATCH(D773,'IR data'!$H$4:$H$61,1))))/((INDEX('IR data'!$H$4:$H$61,MATCH(D773,'IR data'!$H$4:$H$61,1)+1)-INDEX('IR data'!$H$4:$H$61,MATCH(D773,'IR data'!$H$4:$H$61,1))))) * (INDEX('IR data'!$I$4:$I$61,MATCH(D773,'IR data'!$H$4:$H$61,1))-(INDEX('IR data'!$I$4:$I$61,MATCH(D773,'IR data'!$H$4:$H$61,1)+1)))))</f>
        <v>0.90558514804347823</v>
      </c>
      <c r="F773" s="30">
        <f>-LOG(E773)/YEARFRAC($E$1, D773, 3)</f>
        <v>2.0416634643313229E-2</v>
      </c>
      <c r="G773" s="37"/>
    </row>
    <row r="774" spans="1:7" x14ac:dyDescent="0.25">
      <c r="A774" s="45">
        <f t="shared" si="72"/>
        <v>46062</v>
      </c>
      <c r="B774" s="14" cm="1">
        <f t="array" ref="B774">_xlfn.IFNA(INDEX('IR data'!$D$4:$D$61,MATCH(A774,'IR data'!$C$4:$C$61,0)),((INDEX('IR data'!$D$4:$D$61,MATCH(A774,'IR data'!$C$4:$C$61,1)))-((A774-(INDEX('IR data'!$C$4:$C$61,MATCH(A774,'IR data'!$C$4:$C$61,1))))/((INDEX('IR data'!$C$4:$C$61,MATCH(A774,'IR data'!$C$4:$C$61,1)+1)-INDEX('IR data'!$C$4:$C$61,MATCH(A774,'IR data'!$C$4:$C$61,1))))) * (INDEX('IR data'!$D$4:$D$61,MATCH(A774,'IR data'!$C$4:$C$61,1))-(INDEX('IR data'!$D$4:$D$61,MATCH(A774,'IR data'!$C$4:$C$61,1)+1)))))</f>
        <v>0.91374176732954548</v>
      </c>
      <c r="C774" s="30">
        <f t="shared" si="73"/>
        <v>1.8546602949116864E-2</v>
      </c>
      <c r="D774" s="45">
        <f>D773+1</f>
        <v>46122</v>
      </c>
      <c r="E774" s="14" cm="1">
        <f t="array" ref="E774">_xlfn.IFNA(INDEX('IR data'!$I$4:$I$61,MATCH(D774,'IR data'!$H$4:$H$61,0)),((INDEX('IR data'!$I$4:$I$61,MATCH(D774,'IR data'!$H$4:$H$61,1)))-((D774-(INDEX('IR data'!$H$4:$H$61,MATCH(D774,'IR data'!$H$4:$H$61,1))))/((INDEX('IR data'!$H$4:$H$61,MATCH(D774,'IR data'!$H$4:$H$61,1)+1)-INDEX('IR data'!$H$4:$H$61,MATCH(D774,'IR data'!$H$4:$H$61,1))))) * (INDEX('IR data'!$I$4:$I$61,MATCH(D774,'IR data'!$H$4:$H$61,1))-(INDEX('IR data'!$I$4:$I$61,MATCH(D774,'IR data'!$H$4:$H$61,1)+1)))))</f>
        <v>0.9054876479891304</v>
      </c>
      <c r="F774" s="30">
        <f>-LOG(E774)/YEARFRAC($E$1, D774, 3)</f>
        <v>2.0412291075798093E-2</v>
      </c>
      <c r="G774" s="37"/>
    </row>
    <row r="775" spans="1:7" x14ac:dyDescent="0.25">
      <c r="A775" s="45">
        <f t="shared" si="72"/>
        <v>46063</v>
      </c>
      <c r="B775" s="14" cm="1">
        <f t="array" ref="B775">_xlfn.IFNA(INDEX('IR data'!$D$4:$D$61,MATCH(A775,'IR data'!$C$4:$C$61,0)),((INDEX('IR data'!$D$4:$D$61,MATCH(A775,'IR data'!$C$4:$C$61,1)))-((A775-(INDEX('IR data'!$C$4:$C$61,MATCH(A775,'IR data'!$C$4:$C$61,1))))/((INDEX('IR data'!$C$4:$C$61,MATCH(A775,'IR data'!$C$4:$C$61,1)+1)-INDEX('IR data'!$C$4:$C$61,MATCH(A775,'IR data'!$C$4:$C$61,1))))) * (INDEX('IR data'!$D$4:$D$61,MATCH(A775,'IR data'!$C$4:$C$61,1))-(INDEX('IR data'!$D$4:$D$61,MATCH(A775,'IR data'!$C$4:$C$61,1)+1)))))</f>
        <v>0.91365805568181813</v>
      </c>
      <c r="C775" s="30">
        <f t="shared" si="73"/>
        <v>1.854139116448348E-2</v>
      </c>
      <c r="D775" s="37"/>
      <c r="G775" s="37"/>
    </row>
    <row r="776" spans="1:7" x14ac:dyDescent="0.25">
      <c r="A776" s="45">
        <f t="shared" si="72"/>
        <v>46064</v>
      </c>
      <c r="B776" s="14" cm="1">
        <f t="array" ref="B776">_xlfn.IFNA(INDEX('IR data'!$D$4:$D$61,MATCH(A776,'IR data'!$C$4:$C$61,0)),((INDEX('IR data'!$D$4:$D$61,MATCH(A776,'IR data'!$C$4:$C$61,1)))-((A776-(INDEX('IR data'!$C$4:$C$61,MATCH(A776,'IR data'!$C$4:$C$61,1))))/((INDEX('IR data'!$C$4:$C$61,MATCH(A776,'IR data'!$C$4:$C$61,1)+1)-INDEX('IR data'!$C$4:$C$61,MATCH(A776,'IR data'!$C$4:$C$61,1))))) * (INDEX('IR data'!$D$4:$D$61,MATCH(A776,'IR data'!$C$4:$C$61,1))-(INDEX('IR data'!$D$4:$D$61,MATCH(A776,'IR data'!$C$4:$C$61,1)+1)))))</f>
        <v>0.91357434403409088</v>
      </c>
      <c r="C776" s="30">
        <f t="shared" si="73"/>
        <v>1.8536194585896174E-2</v>
      </c>
      <c r="D776" s="37"/>
      <c r="G776" s="37"/>
    </row>
    <row r="777" spans="1:7" x14ac:dyDescent="0.25">
      <c r="A777" s="45">
        <f t="shared" si="72"/>
        <v>46065</v>
      </c>
      <c r="B777" s="14" cm="1">
        <f t="array" ref="B777">_xlfn.IFNA(INDEX('IR data'!$D$4:$D$61,MATCH(A777,'IR data'!$C$4:$C$61,0)),((INDEX('IR data'!$D$4:$D$61,MATCH(A777,'IR data'!$C$4:$C$61,1)))-((A777-(INDEX('IR data'!$C$4:$C$61,MATCH(A777,'IR data'!$C$4:$C$61,1))))/((INDEX('IR data'!$C$4:$C$61,MATCH(A777,'IR data'!$C$4:$C$61,1)+1)-INDEX('IR data'!$C$4:$C$61,MATCH(A777,'IR data'!$C$4:$C$61,1))))) * (INDEX('IR data'!$D$4:$D$61,MATCH(A777,'IR data'!$C$4:$C$61,1))-(INDEX('IR data'!$D$4:$D$61,MATCH(A777,'IR data'!$C$4:$C$61,1)+1)))))</f>
        <v>0.91349063238636363</v>
      </c>
      <c r="C777" s="30">
        <f t="shared" si="73"/>
        <v>1.8531013154731896E-2</v>
      </c>
      <c r="D777" s="37"/>
      <c r="G777" s="37"/>
    </row>
    <row r="778" spans="1:7" x14ac:dyDescent="0.25">
      <c r="A778" s="45">
        <f t="shared" si="72"/>
        <v>46066</v>
      </c>
      <c r="B778" s="14" cm="1">
        <f t="array" ref="B778">_xlfn.IFNA(INDEX('IR data'!$D$4:$D$61,MATCH(A778,'IR data'!$C$4:$C$61,0)),((INDEX('IR data'!$D$4:$D$61,MATCH(A778,'IR data'!$C$4:$C$61,1)))-((A778-(INDEX('IR data'!$C$4:$C$61,MATCH(A778,'IR data'!$C$4:$C$61,1))))/((INDEX('IR data'!$C$4:$C$61,MATCH(A778,'IR data'!$C$4:$C$61,1)+1)-INDEX('IR data'!$C$4:$C$61,MATCH(A778,'IR data'!$C$4:$C$61,1))))) * (INDEX('IR data'!$D$4:$D$61,MATCH(A778,'IR data'!$C$4:$C$61,1))-(INDEX('IR data'!$D$4:$D$61,MATCH(A778,'IR data'!$C$4:$C$61,1)+1)))))</f>
        <v>0.91340692073863639</v>
      </c>
      <c r="C778" s="30">
        <f t="shared" si="73"/>
        <v>1.8525846812670221E-2</v>
      </c>
      <c r="D778" s="37"/>
      <c r="G778" s="37"/>
    </row>
    <row r="779" spans="1:7" x14ac:dyDescent="0.25">
      <c r="A779" s="45">
        <f t="shared" si="72"/>
        <v>46067</v>
      </c>
      <c r="B779" s="14" cm="1">
        <f t="array" ref="B779">_xlfn.IFNA(INDEX('IR data'!$D$4:$D$61,MATCH(A779,'IR data'!$C$4:$C$61,0)),((INDEX('IR data'!$D$4:$D$61,MATCH(A779,'IR data'!$C$4:$C$61,1)))-((A779-(INDEX('IR data'!$C$4:$C$61,MATCH(A779,'IR data'!$C$4:$C$61,1))))/((INDEX('IR data'!$C$4:$C$61,MATCH(A779,'IR data'!$C$4:$C$61,1)+1)-INDEX('IR data'!$C$4:$C$61,MATCH(A779,'IR data'!$C$4:$C$61,1))))) * (INDEX('IR data'!$D$4:$D$61,MATCH(A779,'IR data'!$C$4:$C$61,1))-(INDEX('IR data'!$D$4:$D$61,MATCH(A779,'IR data'!$C$4:$C$61,1)+1)))))</f>
        <v>0.91332320909090903</v>
      </c>
      <c r="C779" s="30">
        <f t="shared" si="73"/>
        <v>1.8520695501691473E-2</v>
      </c>
      <c r="D779" s="37"/>
      <c r="G779" s="37"/>
    </row>
    <row r="780" spans="1:7" x14ac:dyDescent="0.25">
      <c r="A780" s="45">
        <f t="shared" si="72"/>
        <v>46068</v>
      </c>
      <c r="B780" s="14" cm="1">
        <f t="array" ref="B780">_xlfn.IFNA(INDEX('IR data'!$D$4:$D$61,MATCH(A780,'IR data'!$C$4:$C$61,0)),((INDEX('IR data'!$D$4:$D$61,MATCH(A780,'IR data'!$C$4:$C$61,1)))-((A780-(INDEX('IR data'!$C$4:$C$61,MATCH(A780,'IR data'!$C$4:$C$61,1))))/((INDEX('IR data'!$C$4:$C$61,MATCH(A780,'IR data'!$C$4:$C$61,1)+1)-INDEX('IR data'!$C$4:$C$61,MATCH(A780,'IR data'!$C$4:$C$61,1))))) * (INDEX('IR data'!$D$4:$D$61,MATCH(A780,'IR data'!$C$4:$C$61,1))-(INDEX('IR data'!$D$4:$D$61,MATCH(A780,'IR data'!$C$4:$C$61,1)+1)))))</f>
        <v>0.91323949744318178</v>
      </c>
      <c r="C780" s="30">
        <f t="shared" si="73"/>
        <v>1.8515559164074664E-2</v>
      </c>
      <c r="D780" s="37"/>
      <c r="G780" s="37"/>
    </row>
    <row r="781" spans="1:7" x14ac:dyDescent="0.25">
      <c r="A781" s="45">
        <f t="shared" si="72"/>
        <v>46069</v>
      </c>
      <c r="B781" s="14" cm="1">
        <f t="array" ref="B781">_xlfn.IFNA(INDEX('IR data'!$D$4:$D$61,MATCH(A781,'IR data'!$C$4:$C$61,0)),((INDEX('IR data'!$D$4:$D$61,MATCH(A781,'IR data'!$C$4:$C$61,1)))-((A781-(INDEX('IR data'!$C$4:$C$61,MATCH(A781,'IR data'!$C$4:$C$61,1))))/((INDEX('IR data'!$C$4:$C$61,MATCH(A781,'IR data'!$C$4:$C$61,1)+1)-INDEX('IR data'!$C$4:$C$61,MATCH(A781,'IR data'!$C$4:$C$61,1))))) * (INDEX('IR data'!$D$4:$D$61,MATCH(A781,'IR data'!$C$4:$C$61,1))-(INDEX('IR data'!$D$4:$D$61,MATCH(A781,'IR data'!$C$4:$C$61,1)+1)))))</f>
        <v>0.91315578579545453</v>
      </c>
      <c r="C781" s="30">
        <f t="shared" si="73"/>
        <v>1.8510437742395726E-2</v>
      </c>
      <c r="D781" s="37"/>
      <c r="G781" s="37"/>
    </row>
    <row r="782" spans="1:7" x14ac:dyDescent="0.25">
      <c r="A782" s="45">
        <f t="shared" si="72"/>
        <v>46070</v>
      </c>
      <c r="B782" s="14" cm="1">
        <f t="array" ref="B782">_xlfn.IFNA(INDEX('IR data'!$D$4:$D$61,MATCH(A782,'IR data'!$C$4:$C$61,0)),((INDEX('IR data'!$D$4:$D$61,MATCH(A782,'IR data'!$C$4:$C$61,1)))-((A782-(INDEX('IR data'!$C$4:$C$61,MATCH(A782,'IR data'!$C$4:$C$61,1))))/((INDEX('IR data'!$C$4:$C$61,MATCH(A782,'IR data'!$C$4:$C$61,1)+1)-INDEX('IR data'!$C$4:$C$61,MATCH(A782,'IR data'!$C$4:$C$61,1))))) * (INDEX('IR data'!$D$4:$D$61,MATCH(A782,'IR data'!$C$4:$C$61,1))-(INDEX('IR data'!$D$4:$D$61,MATCH(A782,'IR data'!$C$4:$C$61,1)+1)))))</f>
        <v>0.91307207414772729</v>
      </c>
      <c r="C782" s="30">
        <f t="shared" si="73"/>
        <v>1.8505331179525519E-2</v>
      </c>
      <c r="D782" s="37"/>
      <c r="G782" s="37"/>
    </row>
    <row r="783" spans="1:7" x14ac:dyDescent="0.25">
      <c r="A783" s="45">
        <f t="shared" si="72"/>
        <v>46071</v>
      </c>
      <c r="B783" s="14" cm="1">
        <f t="array" ref="B783">_xlfn.IFNA(INDEX('IR data'!$D$4:$D$61,MATCH(A783,'IR data'!$C$4:$C$61,0)),((INDEX('IR data'!$D$4:$D$61,MATCH(A783,'IR data'!$C$4:$C$61,1)))-((A783-(INDEX('IR data'!$C$4:$C$61,MATCH(A783,'IR data'!$C$4:$C$61,1))))/((INDEX('IR data'!$C$4:$C$61,MATCH(A783,'IR data'!$C$4:$C$61,1)+1)-INDEX('IR data'!$C$4:$C$61,MATCH(A783,'IR data'!$C$4:$C$61,1))))) * (INDEX('IR data'!$D$4:$D$61,MATCH(A783,'IR data'!$C$4:$C$61,1))-(INDEX('IR data'!$D$4:$D$61,MATCH(A783,'IR data'!$C$4:$C$61,1)+1)))))</f>
        <v>0.91298836249999993</v>
      </c>
      <c r="C783" s="30">
        <f t="shared" si="73"/>
        <v>1.8500239418627995E-2</v>
      </c>
      <c r="D783" s="37"/>
      <c r="G783" s="37"/>
    </row>
    <row r="784" spans="1:7" x14ac:dyDescent="0.25">
      <c r="A784" s="45">
        <f t="shared" si="72"/>
        <v>46072</v>
      </c>
      <c r="B784" s="14" cm="1">
        <f t="array" ref="B784">_xlfn.IFNA(INDEX('IR data'!$D$4:$D$61,MATCH(A784,'IR data'!$C$4:$C$61,0)),((INDEX('IR data'!$D$4:$D$61,MATCH(A784,'IR data'!$C$4:$C$61,1)))-((A784-(INDEX('IR data'!$C$4:$C$61,MATCH(A784,'IR data'!$C$4:$C$61,1))))/((INDEX('IR data'!$C$4:$C$61,MATCH(A784,'IR data'!$C$4:$C$61,1)+1)-INDEX('IR data'!$C$4:$C$61,MATCH(A784,'IR data'!$C$4:$C$61,1))))) * (INDEX('IR data'!$D$4:$D$61,MATCH(A784,'IR data'!$C$4:$C$61,1))-(INDEX('IR data'!$D$4:$D$61,MATCH(A784,'IR data'!$C$4:$C$61,1)+1)))))</f>
        <v>0.91290465085227268</v>
      </c>
      <c r="C784" s="30">
        <f t="shared" si="73"/>
        <v>1.849516240315819E-2</v>
      </c>
      <c r="D784" s="37"/>
      <c r="G784" s="37"/>
    </row>
    <row r="785" spans="1:7" x14ac:dyDescent="0.25">
      <c r="A785" s="45">
        <f t="shared" si="72"/>
        <v>46073</v>
      </c>
      <c r="B785" s="14" cm="1">
        <f t="array" ref="B785">_xlfn.IFNA(INDEX('IR data'!$D$4:$D$61,MATCH(A785,'IR data'!$C$4:$C$61,0)),((INDEX('IR data'!$D$4:$D$61,MATCH(A785,'IR data'!$C$4:$C$61,1)))-((A785-(INDEX('IR data'!$C$4:$C$61,MATCH(A785,'IR data'!$C$4:$C$61,1))))/((INDEX('IR data'!$C$4:$C$61,MATCH(A785,'IR data'!$C$4:$C$61,1)+1)-INDEX('IR data'!$C$4:$C$61,MATCH(A785,'IR data'!$C$4:$C$61,1))))) * (INDEX('IR data'!$D$4:$D$61,MATCH(A785,'IR data'!$C$4:$C$61,1))-(INDEX('IR data'!$D$4:$D$61,MATCH(A785,'IR data'!$C$4:$C$61,1)+1)))))</f>
        <v>0.91282093920454543</v>
      </c>
      <c r="C785" s="30">
        <f t="shared" si="73"/>
        <v>1.8490100076860548E-2</v>
      </c>
      <c r="D785" s="37"/>
      <c r="G785" s="37"/>
    </row>
    <row r="786" spans="1:7" x14ac:dyDescent="0.25">
      <c r="A786" s="45">
        <f t="shared" si="72"/>
        <v>46074</v>
      </c>
      <c r="B786" s="14" cm="1">
        <f t="array" ref="B786">_xlfn.IFNA(INDEX('IR data'!$D$4:$D$61,MATCH(A786,'IR data'!$C$4:$C$61,0)),((INDEX('IR data'!$D$4:$D$61,MATCH(A786,'IR data'!$C$4:$C$61,1)))-((A786-(INDEX('IR data'!$C$4:$C$61,MATCH(A786,'IR data'!$C$4:$C$61,1))))/((INDEX('IR data'!$C$4:$C$61,MATCH(A786,'IR data'!$C$4:$C$61,1)+1)-INDEX('IR data'!$C$4:$C$61,MATCH(A786,'IR data'!$C$4:$C$61,1))))) * (INDEX('IR data'!$D$4:$D$61,MATCH(A786,'IR data'!$C$4:$C$61,1))-(INDEX('IR data'!$D$4:$D$61,MATCH(A786,'IR data'!$C$4:$C$61,1)+1)))))</f>
        <v>0.91273722755681819</v>
      </c>
      <c r="C786" s="30">
        <f t="shared" si="73"/>
        <v>1.8485052383766958E-2</v>
      </c>
      <c r="D786" s="37"/>
      <c r="G786" s="37"/>
    </row>
    <row r="787" spans="1:7" x14ac:dyDescent="0.25">
      <c r="A787" s="45">
        <f t="shared" si="72"/>
        <v>46075</v>
      </c>
      <c r="B787" s="14" cm="1">
        <f t="array" ref="B787">_xlfn.IFNA(INDEX('IR data'!$D$4:$D$61,MATCH(A787,'IR data'!$C$4:$C$61,0)),((INDEX('IR data'!$D$4:$D$61,MATCH(A787,'IR data'!$C$4:$C$61,1)))-((A787-(INDEX('IR data'!$C$4:$C$61,MATCH(A787,'IR data'!$C$4:$C$61,1))))/((INDEX('IR data'!$C$4:$C$61,MATCH(A787,'IR data'!$C$4:$C$61,1)+1)-INDEX('IR data'!$C$4:$C$61,MATCH(A787,'IR data'!$C$4:$C$61,1))))) * (INDEX('IR data'!$D$4:$D$61,MATCH(A787,'IR data'!$C$4:$C$61,1))-(INDEX('IR data'!$D$4:$D$61,MATCH(A787,'IR data'!$C$4:$C$61,1)+1)))))</f>
        <v>0.91265351590909094</v>
      </c>
      <c r="C787" s="30">
        <f t="shared" si="73"/>
        <v>1.8480019268194932E-2</v>
      </c>
      <c r="D787" s="37"/>
      <c r="G787" s="37"/>
    </row>
    <row r="788" spans="1:7" x14ac:dyDescent="0.25">
      <c r="A788" s="45">
        <f t="shared" si="72"/>
        <v>46076</v>
      </c>
      <c r="B788" s="14" cm="1">
        <f t="array" ref="B788">_xlfn.IFNA(INDEX('IR data'!$D$4:$D$61,MATCH(A788,'IR data'!$C$4:$C$61,0)),((INDEX('IR data'!$D$4:$D$61,MATCH(A788,'IR data'!$C$4:$C$61,1)))-((A788-(INDEX('IR data'!$C$4:$C$61,MATCH(A788,'IR data'!$C$4:$C$61,1))))/((INDEX('IR data'!$C$4:$C$61,MATCH(A788,'IR data'!$C$4:$C$61,1)+1)-INDEX('IR data'!$C$4:$C$61,MATCH(A788,'IR data'!$C$4:$C$61,1))))) * (INDEX('IR data'!$D$4:$D$61,MATCH(A788,'IR data'!$C$4:$C$61,1))-(INDEX('IR data'!$D$4:$D$61,MATCH(A788,'IR data'!$C$4:$C$61,1)+1)))))</f>
        <v>0.91256980426136358</v>
      </c>
      <c r="C788" s="30">
        <f t="shared" si="73"/>
        <v>1.8475000674745844E-2</v>
      </c>
      <c r="D788" s="37"/>
      <c r="G788" s="37"/>
    </row>
    <row r="789" spans="1:7" x14ac:dyDescent="0.25">
      <c r="A789" s="45">
        <f t="shared" si="72"/>
        <v>46077</v>
      </c>
      <c r="B789" s="14" cm="1">
        <f t="array" ref="B789">_xlfn.IFNA(INDEX('IR data'!$D$4:$D$61,MATCH(A789,'IR data'!$C$4:$C$61,0)),((INDEX('IR data'!$D$4:$D$61,MATCH(A789,'IR data'!$C$4:$C$61,1)))-((A789-(INDEX('IR data'!$C$4:$C$61,MATCH(A789,'IR data'!$C$4:$C$61,1))))/((INDEX('IR data'!$C$4:$C$61,MATCH(A789,'IR data'!$C$4:$C$61,1)+1)-INDEX('IR data'!$C$4:$C$61,MATCH(A789,'IR data'!$C$4:$C$61,1))))) * (INDEX('IR data'!$D$4:$D$61,MATCH(A789,'IR data'!$C$4:$C$61,1))-(INDEX('IR data'!$D$4:$D$61,MATCH(A789,'IR data'!$C$4:$C$61,1)+1)))))</f>
        <v>0.91248609261363633</v>
      </c>
      <c r="C789" s="30">
        <f t="shared" si="73"/>
        <v>1.8469996548303003E-2</v>
      </c>
      <c r="D789" s="37"/>
      <c r="G789" s="37"/>
    </row>
    <row r="790" spans="1:7" x14ac:dyDescent="0.25">
      <c r="A790" s="45">
        <f t="shared" si="72"/>
        <v>46078</v>
      </c>
      <c r="B790" s="14" cm="1">
        <f t="array" ref="B790">_xlfn.IFNA(INDEX('IR data'!$D$4:$D$61,MATCH(A790,'IR data'!$C$4:$C$61,0)),((INDEX('IR data'!$D$4:$D$61,MATCH(A790,'IR data'!$C$4:$C$61,1)))-((A790-(INDEX('IR data'!$C$4:$C$61,MATCH(A790,'IR data'!$C$4:$C$61,1))))/((INDEX('IR data'!$C$4:$C$61,MATCH(A790,'IR data'!$C$4:$C$61,1)+1)-INDEX('IR data'!$C$4:$C$61,MATCH(A790,'IR data'!$C$4:$C$61,1))))) * (INDEX('IR data'!$D$4:$D$61,MATCH(A790,'IR data'!$C$4:$C$61,1))-(INDEX('IR data'!$D$4:$D$61,MATCH(A790,'IR data'!$C$4:$C$61,1)+1)))))</f>
        <v>0.91240238096590909</v>
      </c>
      <c r="C790" s="30">
        <f t="shared" si="73"/>
        <v>1.8465006834029997E-2</v>
      </c>
      <c r="D790" s="37"/>
      <c r="G790" s="37"/>
    </row>
    <row r="791" spans="1:7" x14ac:dyDescent="0.25">
      <c r="A791" s="45">
        <f t="shared" si="72"/>
        <v>46079</v>
      </c>
      <c r="B791" s="14" cm="1">
        <f t="array" ref="B791">_xlfn.IFNA(INDEX('IR data'!$D$4:$D$61,MATCH(A791,'IR data'!$C$4:$C$61,0)),((INDEX('IR data'!$D$4:$D$61,MATCH(A791,'IR data'!$C$4:$C$61,1)))-((A791-(INDEX('IR data'!$C$4:$C$61,MATCH(A791,'IR data'!$C$4:$C$61,1))))/((INDEX('IR data'!$C$4:$C$61,MATCH(A791,'IR data'!$C$4:$C$61,1)+1)-INDEX('IR data'!$C$4:$C$61,MATCH(A791,'IR data'!$C$4:$C$61,1))))) * (INDEX('IR data'!$D$4:$D$61,MATCH(A791,'IR data'!$C$4:$C$61,1))-(INDEX('IR data'!$D$4:$D$61,MATCH(A791,'IR data'!$C$4:$C$61,1)+1)))))</f>
        <v>0.91231866931818184</v>
      </c>
      <c r="C791" s="30">
        <f t="shared" si="73"/>
        <v>1.8460031477368848E-2</v>
      </c>
      <c r="D791" s="37"/>
      <c r="G791" s="37"/>
    </row>
    <row r="792" spans="1:7" x14ac:dyDescent="0.25">
      <c r="A792" s="45">
        <f t="shared" si="72"/>
        <v>46080</v>
      </c>
      <c r="B792" s="14" cm="1">
        <f t="array" ref="B792">_xlfn.IFNA(INDEX('IR data'!$D$4:$D$61,MATCH(A792,'IR data'!$C$4:$C$61,0)),((INDEX('IR data'!$D$4:$D$61,MATCH(A792,'IR data'!$C$4:$C$61,1)))-((A792-(INDEX('IR data'!$C$4:$C$61,MATCH(A792,'IR data'!$C$4:$C$61,1))))/((INDEX('IR data'!$C$4:$C$61,MATCH(A792,'IR data'!$C$4:$C$61,1)+1)-INDEX('IR data'!$C$4:$C$61,MATCH(A792,'IR data'!$C$4:$C$61,1))))) * (INDEX('IR data'!$D$4:$D$61,MATCH(A792,'IR data'!$C$4:$C$61,1))-(INDEX('IR data'!$D$4:$D$61,MATCH(A792,'IR data'!$C$4:$C$61,1)+1)))))</f>
        <v>0.91223495767045448</v>
      </c>
      <c r="C792" s="30">
        <f t="shared" si="73"/>
        <v>1.8455070424038281E-2</v>
      </c>
      <c r="D792" s="37"/>
      <c r="G792" s="37"/>
    </row>
    <row r="793" spans="1:7" x14ac:dyDescent="0.25">
      <c r="A793" s="45">
        <f t="shared" si="72"/>
        <v>46081</v>
      </c>
      <c r="B793" s="14" cm="1">
        <f t="array" ref="B793">_xlfn.IFNA(INDEX('IR data'!$D$4:$D$61,MATCH(A793,'IR data'!$C$4:$C$61,0)),((INDEX('IR data'!$D$4:$D$61,MATCH(A793,'IR data'!$C$4:$C$61,1)))-((A793-(INDEX('IR data'!$C$4:$C$61,MATCH(A793,'IR data'!$C$4:$C$61,1))))/((INDEX('IR data'!$C$4:$C$61,MATCH(A793,'IR data'!$C$4:$C$61,1)+1)-INDEX('IR data'!$C$4:$C$61,MATCH(A793,'IR data'!$C$4:$C$61,1))))) * (INDEX('IR data'!$D$4:$D$61,MATCH(A793,'IR data'!$C$4:$C$61,1))-(INDEX('IR data'!$D$4:$D$61,MATCH(A793,'IR data'!$C$4:$C$61,1)+1)))))</f>
        <v>0.91215124602272724</v>
      </c>
      <c r="C793" s="30">
        <f t="shared" si="73"/>
        <v>1.8450123620031865E-2</v>
      </c>
      <c r="D793" s="37"/>
      <c r="G793" s="37"/>
    </row>
    <row r="794" spans="1:7" x14ac:dyDescent="0.25">
      <c r="A794" s="45">
        <f t="shared" si="72"/>
        <v>46082</v>
      </c>
      <c r="B794" s="14" cm="1">
        <f t="array" ref="B794">_xlfn.IFNA(INDEX('IR data'!$D$4:$D$61,MATCH(A794,'IR data'!$C$4:$C$61,0)),((INDEX('IR data'!$D$4:$D$61,MATCH(A794,'IR data'!$C$4:$C$61,1)))-((A794-(INDEX('IR data'!$C$4:$C$61,MATCH(A794,'IR data'!$C$4:$C$61,1))))/((INDEX('IR data'!$C$4:$C$61,MATCH(A794,'IR data'!$C$4:$C$61,1)+1)-INDEX('IR data'!$C$4:$C$61,MATCH(A794,'IR data'!$C$4:$C$61,1))))) * (INDEX('IR data'!$D$4:$D$61,MATCH(A794,'IR data'!$C$4:$C$61,1))-(INDEX('IR data'!$D$4:$D$61,MATCH(A794,'IR data'!$C$4:$C$61,1)+1)))))</f>
        <v>0.91206753437499999</v>
      </c>
      <c r="C794" s="30">
        <f t="shared" si="73"/>
        <v>1.844519101161644E-2</v>
      </c>
      <c r="D794" s="37"/>
      <c r="G794" s="37"/>
    </row>
    <row r="795" spans="1:7" x14ac:dyDescent="0.25">
      <c r="A795" s="45">
        <f t="shared" si="72"/>
        <v>46083</v>
      </c>
      <c r="B795" s="14" cm="1">
        <f t="array" ref="B795">_xlfn.IFNA(INDEX('IR data'!$D$4:$D$61,MATCH(A795,'IR data'!$C$4:$C$61,0)),((INDEX('IR data'!$D$4:$D$61,MATCH(A795,'IR data'!$C$4:$C$61,1)))-((A795-(INDEX('IR data'!$C$4:$C$61,MATCH(A795,'IR data'!$C$4:$C$61,1))))/((INDEX('IR data'!$C$4:$C$61,MATCH(A795,'IR data'!$C$4:$C$61,1)+1)-INDEX('IR data'!$C$4:$C$61,MATCH(A795,'IR data'!$C$4:$C$61,1))))) * (INDEX('IR data'!$D$4:$D$61,MATCH(A795,'IR data'!$C$4:$C$61,1))-(INDEX('IR data'!$D$4:$D$61,MATCH(A795,'IR data'!$C$4:$C$61,1)+1)))))</f>
        <v>0.91198382272727274</v>
      </c>
      <c r="C795" s="30">
        <f t="shared" si="73"/>
        <v>1.8440272545330285E-2</v>
      </c>
      <c r="D795" s="37"/>
      <c r="G795" s="37"/>
    </row>
    <row r="796" spans="1:7" x14ac:dyDescent="0.25">
      <c r="A796" s="45">
        <f t="shared" si="72"/>
        <v>46084</v>
      </c>
      <c r="B796" s="14" cm="1">
        <f t="array" ref="B796">_xlfn.IFNA(INDEX('IR data'!$D$4:$D$61,MATCH(A796,'IR data'!$C$4:$C$61,0)),((INDEX('IR data'!$D$4:$D$61,MATCH(A796,'IR data'!$C$4:$C$61,1)))-((A796-(INDEX('IR data'!$C$4:$C$61,MATCH(A796,'IR data'!$C$4:$C$61,1))))/((INDEX('IR data'!$C$4:$C$61,MATCH(A796,'IR data'!$C$4:$C$61,1)+1)-INDEX('IR data'!$C$4:$C$61,MATCH(A796,'IR data'!$C$4:$C$61,1))))) * (INDEX('IR data'!$D$4:$D$61,MATCH(A796,'IR data'!$C$4:$C$61,1))-(INDEX('IR data'!$D$4:$D$61,MATCH(A796,'IR data'!$C$4:$C$61,1)+1)))))</f>
        <v>0.91190011107954538</v>
      </c>
      <c r="C796" s="30">
        <f t="shared" si="73"/>
        <v>1.8435368167981449E-2</v>
      </c>
      <c r="D796" s="37"/>
      <c r="G796" s="37"/>
    </row>
    <row r="797" spans="1:7" x14ac:dyDescent="0.25">
      <c r="A797" s="45">
        <f t="shared" si="72"/>
        <v>46085</v>
      </c>
      <c r="B797" s="14" cm="1">
        <f t="array" ref="B797">_xlfn.IFNA(INDEX('IR data'!$D$4:$D$61,MATCH(A797,'IR data'!$C$4:$C$61,0)),((INDEX('IR data'!$D$4:$D$61,MATCH(A797,'IR data'!$C$4:$C$61,1)))-((A797-(INDEX('IR data'!$C$4:$C$61,MATCH(A797,'IR data'!$C$4:$C$61,1))))/((INDEX('IR data'!$C$4:$C$61,MATCH(A797,'IR data'!$C$4:$C$61,1)+1)-INDEX('IR data'!$C$4:$C$61,MATCH(A797,'IR data'!$C$4:$C$61,1))))) * (INDEX('IR data'!$D$4:$D$61,MATCH(A797,'IR data'!$C$4:$C$61,1))-(INDEX('IR data'!$D$4:$D$61,MATCH(A797,'IR data'!$C$4:$C$61,1)+1)))))</f>
        <v>0.91181639943181814</v>
      </c>
      <c r="C797" s="30">
        <f t="shared" si="73"/>
        <v>1.8430477826645978E-2</v>
      </c>
      <c r="D797" s="37"/>
      <c r="G797" s="37"/>
    </row>
    <row r="798" spans="1:7" x14ac:dyDescent="0.25">
      <c r="A798" s="45">
        <f t="shared" si="72"/>
        <v>46086</v>
      </c>
      <c r="B798" s="14" cm="1">
        <f t="array" ref="B798">_xlfn.IFNA(INDEX('IR data'!$D$4:$D$61,MATCH(A798,'IR data'!$C$4:$C$61,0)),((INDEX('IR data'!$D$4:$D$61,MATCH(A798,'IR data'!$C$4:$C$61,1)))-((A798-(INDEX('IR data'!$C$4:$C$61,MATCH(A798,'IR data'!$C$4:$C$61,1))))/((INDEX('IR data'!$C$4:$C$61,MATCH(A798,'IR data'!$C$4:$C$61,1)+1)-INDEX('IR data'!$C$4:$C$61,MATCH(A798,'IR data'!$C$4:$C$61,1))))) * (INDEX('IR data'!$D$4:$D$61,MATCH(A798,'IR data'!$C$4:$C$61,1))-(INDEX('IR data'!$D$4:$D$61,MATCH(A798,'IR data'!$C$4:$C$61,1)+1)))))</f>
        <v>0.91173268778409089</v>
      </c>
      <c r="C798" s="30">
        <f t="shared" si="73"/>
        <v>1.8425601468666349E-2</v>
      </c>
      <c r="D798" s="37"/>
      <c r="G798" s="37"/>
    </row>
    <row r="799" spans="1:7" x14ac:dyDescent="0.25">
      <c r="A799" s="45">
        <f t="shared" si="72"/>
        <v>46087</v>
      </c>
      <c r="B799" s="14" cm="1">
        <f t="array" ref="B799">_xlfn.IFNA(INDEX('IR data'!$D$4:$D$61,MATCH(A799,'IR data'!$C$4:$C$61,0)),((INDEX('IR data'!$D$4:$D$61,MATCH(A799,'IR data'!$C$4:$C$61,1)))-((A799-(INDEX('IR data'!$C$4:$C$61,MATCH(A799,'IR data'!$C$4:$C$61,1))))/((INDEX('IR data'!$C$4:$C$61,MATCH(A799,'IR data'!$C$4:$C$61,1)+1)-INDEX('IR data'!$C$4:$C$61,MATCH(A799,'IR data'!$C$4:$C$61,1))))) * (INDEX('IR data'!$D$4:$D$61,MATCH(A799,'IR data'!$C$4:$C$61,1))-(INDEX('IR data'!$D$4:$D$61,MATCH(A799,'IR data'!$C$4:$C$61,1)+1)))))</f>
        <v>0.91164897613636364</v>
      </c>
      <c r="C799" s="30">
        <f t="shared" si="73"/>
        <v>1.842073904164971E-2</v>
      </c>
      <c r="D799" s="37"/>
      <c r="G799" s="37"/>
    </row>
    <row r="800" spans="1:7" x14ac:dyDescent="0.25">
      <c r="A800" s="45">
        <f t="shared" si="72"/>
        <v>46088</v>
      </c>
      <c r="B800" s="14" cm="1">
        <f t="array" ref="B800">_xlfn.IFNA(INDEX('IR data'!$D$4:$D$61,MATCH(A800,'IR data'!$C$4:$C$61,0)),((INDEX('IR data'!$D$4:$D$61,MATCH(A800,'IR data'!$C$4:$C$61,1)))-((A800-(INDEX('IR data'!$C$4:$C$61,MATCH(A800,'IR data'!$C$4:$C$61,1))))/((INDEX('IR data'!$C$4:$C$61,MATCH(A800,'IR data'!$C$4:$C$61,1)+1)-INDEX('IR data'!$C$4:$C$61,MATCH(A800,'IR data'!$C$4:$C$61,1))))) * (INDEX('IR data'!$D$4:$D$61,MATCH(A800,'IR data'!$C$4:$C$61,1))-(INDEX('IR data'!$D$4:$D$61,MATCH(A800,'IR data'!$C$4:$C$61,1)+1)))))</f>
        <v>0.91156526448863628</v>
      </c>
      <c r="C800" s="30">
        <f t="shared" si="73"/>
        <v>1.8415890493466272E-2</v>
      </c>
      <c r="D800" s="37"/>
      <c r="G800" s="37"/>
    </row>
    <row r="801" spans="1:7" x14ac:dyDescent="0.25">
      <c r="A801" s="45">
        <f t="shared" si="72"/>
        <v>46089</v>
      </c>
      <c r="B801" s="14" cm="1">
        <f t="array" ref="B801">_xlfn.IFNA(INDEX('IR data'!$D$4:$D$61,MATCH(A801,'IR data'!$C$4:$C$61,0)),((INDEX('IR data'!$D$4:$D$61,MATCH(A801,'IR data'!$C$4:$C$61,1)))-((A801-(INDEX('IR data'!$C$4:$C$61,MATCH(A801,'IR data'!$C$4:$C$61,1))))/((INDEX('IR data'!$C$4:$C$61,MATCH(A801,'IR data'!$C$4:$C$61,1)+1)-INDEX('IR data'!$C$4:$C$61,MATCH(A801,'IR data'!$C$4:$C$61,1))))) * (INDEX('IR data'!$D$4:$D$61,MATCH(A801,'IR data'!$C$4:$C$61,1))-(INDEX('IR data'!$D$4:$D$61,MATCH(A801,'IR data'!$C$4:$C$61,1)+1)))))</f>
        <v>0.91148155284090904</v>
      </c>
      <c r="C801" s="30">
        <f t="shared" si="73"/>
        <v>1.8411055772247557E-2</v>
      </c>
      <c r="D801" s="37"/>
      <c r="G801" s="37"/>
    </row>
    <row r="802" spans="1:7" x14ac:dyDescent="0.25">
      <c r="A802" s="45">
        <f t="shared" si="72"/>
        <v>46090</v>
      </c>
      <c r="B802" s="14" cm="1">
        <f t="array" ref="B802">_xlfn.IFNA(INDEX('IR data'!$D$4:$D$61,MATCH(A802,'IR data'!$C$4:$C$61,0)),((INDEX('IR data'!$D$4:$D$61,MATCH(A802,'IR data'!$C$4:$C$61,1)))-((A802-(INDEX('IR data'!$C$4:$C$61,MATCH(A802,'IR data'!$C$4:$C$61,1))))/((INDEX('IR data'!$C$4:$C$61,MATCH(A802,'IR data'!$C$4:$C$61,1)+1)-INDEX('IR data'!$C$4:$C$61,MATCH(A802,'IR data'!$C$4:$C$61,1))))) * (INDEX('IR data'!$D$4:$D$61,MATCH(A802,'IR data'!$C$4:$C$61,1))-(INDEX('IR data'!$D$4:$D$61,MATCH(A802,'IR data'!$C$4:$C$61,1)+1)))))</f>
        <v>0.91139784119318179</v>
      </c>
      <c r="C802" s="30">
        <f t="shared" si="73"/>
        <v>1.8406234826384919E-2</v>
      </c>
      <c r="D802" s="37"/>
      <c r="G802" s="37"/>
    </row>
    <row r="803" spans="1:7" x14ac:dyDescent="0.25">
      <c r="A803" s="45">
        <f t="shared" si="72"/>
        <v>46091</v>
      </c>
      <c r="B803" s="14" cm="1">
        <f t="array" ref="B803">_xlfn.IFNA(INDEX('IR data'!$D$4:$D$61,MATCH(A803,'IR data'!$C$4:$C$61,0)),((INDEX('IR data'!$D$4:$D$61,MATCH(A803,'IR data'!$C$4:$C$61,1)))-((A803-(INDEX('IR data'!$C$4:$C$61,MATCH(A803,'IR data'!$C$4:$C$61,1))))/((INDEX('IR data'!$C$4:$C$61,MATCH(A803,'IR data'!$C$4:$C$61,1)+1)-INDEX('IR data'!$C$4:$C$61,MATCH(A803,'IR data'!$C$4:$C$61,1))))) * (INDEX('IR data'!$D$4:$D$61,MATCH(A803,'IR data'!$C$4:$C$61,1))-(INDEX('IR data'!$D$4:$D$61,MATCH(A803,'IR data'!$C$4:$C$61,1)+1)))))</f>
        <v>0.91131412954545454</v>
      </c>
      <c r="C803" s="30">
        <f t="shared" si="73"/>
        <v>1.8401427604527801E-2</v>
      </c>
      <c r="D803" s="37"/>
      <c r="G803" s="37"/>
    </row>
    <row r="804" spans="1:7" x14ac:dyDescent="0.25">
      <c r="A804" s="45">
        <f t="shared" si="72"/>
        <v>46092</v>
      </c>
      <c r="B804" s="14" cm="1">
        <f t="array" ref="B804">_xlfn.IFNA(INDEX('IR data'!$D$4:$D$61,MATCH(A804,'IR data'!$C$4:$C$61,0)),((INDEX('IR data'!$D$4:$D$61,MATCH(A804,'IR data'!$C$4:$C$61,1)))-((A804-(INDEX('IR data'!$C$4:$C$61,MATCH(A804,'IR data'!$C$4:$C$61,1))))/((INDEX('IR data'!$C$4:$C$61,MATCH(A804,'IR data'!$C$4:$C$61,1)+1)-INDEX('IR data'!$C$4:$C$61,MATCH(A804,'IR data'!$C$4:$C$61,1))))) * (INDEX('IR data'!$D$4:$D$61,MATCH(A804,'IR data'!$C$4:$C$61,1))-(INDEX('IR data'!$D$4:$D$61,MATCH(A804,'IR data'!$C$4:$C$61,1)+1)))))</f>
        <v>0.91123041789772719</v>
      </c>
      <c r="C804" s="30">
        <f t="shared" si="73"/>
        <v>1.8396634055582204E-2</v>
      </c>
      <c r="D804" s="37"/>
      <c r="G804" s="37"/>
    </row>
    <row r="805" spans="1:7" x14ac:dyDescent="0.25">
      <c r="A805" s="45">
        <f t="shared" si="72"/>
        <v>46093</v>
      </c>
      <c r="B805" s="14" cm="1">
        <f t="array" ref="B805">_xlfn.IFNA(INDEX('IR data'!$D$4:$D$61,MATCH(A805,'IR data'!$C$4:$C$61,0)),((INDEX('IR data'!$D$4:$D$61,MATCH(A805,'IR data'!$C$4:$C$61,1)))-((A805-(INDEX('IR data'!$C$4:$C$61,MATCH(A805,'IR data'!$C$4:$C$61,1))))/((INDEX('IR data'!$C$4:$C$61,MATCH(A805,'IR data'!$C$4:$C$61,1)+1)-INDEX('IR data'!$C$4:$C$61,MATCH(A805,'IR data'!$C$4:$C$61,1))))) * (INDEX('IR data'!$D$4:$D$61,MATCH(A805,'IR data'!$C$4:$C$61,1))-(INDEX('IR data'!$D$4:$D$61,MATCH(A805,'IR data'!$C$4:$C$61,1)+1)))))</f>
        <v>0.91114670624999994</v>
      </c>
      <c r="C805" s="30">
        <f t="shared" si="73"/>
        <v>1.8391854128708963E-2</v>
      </c>
      <c r="D805" s="37"/>
      <c r="G805" s="37"/>
    </row>
    <row r="806" spans="1:7" x14ac:dyDescent="0.25">
      <c r="A806" s="45">
        <f t="shared" si="72"/>
        <v>46094</v>
      </c>
      <c r="B806" s="14" cm="1">
        <f t="array" ref="B806">_xlfn.IFNA(INDEX('IR data'!$D$4:$D$61,MATCH(A806,'IR data'!$C$4:$C$61,0)),((INDEX('IR data'!$D$4:$D$61,MATCH(A806,'IR data'!$C$4:$C$61,1)))-((A806-(INDEX('IR data'!$C$4:$C$61,MATCH(A806,'IR data'!$C$4:$C$61,1))))/((INDEX('IR data'!$C$4:$C$61,MATCH(A806,'IR data'!$C$4:$C$61,1)+1)-INDEX('IR data'!$C$4:$C$61,MATCH(A806,'IR data'!$C$4:$C$61,1))))) * (INDEX('IR data'!$D$4:$D$61,MATCH(A806,'IR data'!$C$4:$C$61,1))-(INDEX('IR data'!$D$4:$D$61,MATCH(A806,'IR data'!$C$4:$C$61,1)+1)))))</f>
        <v>0.91106299460227269</v>
      </c>
      <c r="C806" s="30">
        <f t="shared" si="73"/>
        <v>1.8387087773322316E-2</v>
      </c>
      <c r="D806" s="37"/>
      <c r="G806" s="37"/>
    </row>
    <row r="807" spans="1:7" x14ac:dyDescent="0.25">
      <c r="A807" s="45">
        <f t="shared" si="72"/>
        <v>46095</v>
      </c>
      <c r="B807" s="14" cm="1">
        <f t="array" ref="B807">_xlfn.IFNA(INDEX('IR data'!$D$4:$D$61,MATCH(A807,'IR data'!$C$4:$C$61,0)),((INDEX('IR data'!$D$4:$D$61,MATCH(A807,'IR data'!$C$4:$C$61,1)))-((A807-(INDEX('IR data'!$C$4:$C$61,MATCH(A807,'IR data'!$C$4:$C$61,1))))/((INDEX('IR data'!$C$4:$C$61,MATCH(A807,'IR data'!$C$4:$C$61,1)+1)-INDEX('IR data'!$C$4:$C$61,MATCH(A807,'IR data'!$C$4:$C$61,1))))) * (INDEX('IR data'!$D$4:$D$61,MATCH(A807,'IR data'!$C$4:$C$61,1))-(INDEX('IR data'!$D$4:$D$61,MATCH(A807,'IR data'!$C$4:$C$61,1)+1)))))</f>
        <v>0.91097928295454544</v>
      </c>
      <c r="C807" s="30">
        <f t="shared" si="73"/>
        <v>1.8382334939088241E-2</v>
      </c>
      <c r="D807" s="37"/>
      <c r="G807" s="37"/>
    </row>
    <row r="808" spans="1:7" x14ac:dyDescent="0.25">
      <c r="A808" s="45">
        <f t="shared" si="72"/>
        <v>46096</v>
      </c>
      <c r="B808" s="14" cm="1">
        <f t="array" ref="B808">_xlfn.IFNA(INDEX('IR data'!$D$4:$D$61,MATCH(A808,'IR data'!$C$4:$C$61,0)),((INDEX('IR data'!$D$4:$D$61,MATCH(A808,'IR data'!$C$4:$C$61,1)))-((A808-(INDEX('IR data'!$C$4:$C$61,MATCH(A808,'IR data'!$C$4:$C$61,1))))/((INDEX('IR data'!$C$4:$C$61,MATCH(A808,'IR data'!$C$4:$C$61,1)+1)-INDEX('IR data'!$C$4:$C$61,MATCH(A808,'IR data'!$C$4:$C$61,1))))) * (INDEX('IR data'!$D$4:$D$61,MATCH(A808,'IR data'!$C$4:$C$61,1))-(INDEX('IR data'!$D$4:$D$61,MATCH(A808,'IR data'!$C$4:$C$61,1)+1)))))</f>
        <v>0.9108955713068182</v>
      </c>
      <c r="C808" s="30">
        <f t="shared" si="73"/>
        <v>1.8377595575922893E-2</v>
      </c>
      <c r="D808" s="37"/>
      <c r="G808" s="37"/>
    </row>
    <row r="809" spans="1:7" x14ac:dyDescent="0.25">
      <c r="A809" s="45">
        <f t="shared" si="72"/>
        <v>46097</v>
      </c>
      <c r="B809" s="14" cm="1">
        <f t="array" ref="B809">_xlfn.IFNA(INDEX('IR data'!$D$4:$D$61,MATCH(A809,'IR data'!$C$4:$C$61,0)),((INDEX('IR data'!$D$4:$D$61,MATCH(A809,'IR data'!$C$4:$C$61,1)))-((A809-(INDEX('IR data'!$C$4:$C$61,MATCH(A809,'IR data'!$C$4:$C$61,1))))/((INDEX('IR data'!$C$4:$C$61,MATCH(A809,'IR data'!$C$4:$C$61,1)+1)-INDEX('IR data'!$C$4:$C$61,MATCH(A809,'IR data'!$C$4:$C$61,1))))) * (INDEX('IR data'!$D$4:$D$61,MATCH(A809,'IR data'!$C$4:$C$61,1))-(INDEX('IR data'!$D$4:$D$61,MATCH(A809,'IR data'!$C$4:$C$61,1)+1)))))</f>
        <v>0.91081185965909084</v>
      </c>
      <c r="C809" s="30">
        <f t="shared" si="73"/>
        <v>1.8372869633991099E-2</v>
      </c>
      <c r="D809" s="37"/>
      <c r="G809" s="37"/>
    </row>
    <row r="810" spans="1:7" x14ac:dyDescent="0.25">
      <c r="A810" s="45">
        <f t="shared" si="72"/>
        <v>46098</v>
      </c>
      <c r="B810" s="14" cm="1">
        <f t="array" ref="B810">_xlfn.IFNA(INDEX('IR data'!$D$4:$D$61,MATCH(A810,'IR data'!$C$4:$C$61,0)),((INDEX('IR data'!$D$4:$D$61,MATCH(A810,'IR data'!$C$4:$C$61,1)))-((A810-(INDEX('IR data'!$C$4:$C$61,MATCH(A810,'IR data'!$C$4:$C$61,1))))/((INDEX('IR data'!$C$4:$C$61,MATCH(A810,'IR data'!$C$4:$C$61,1)+1)-INDEX('IR data'!$C$4:$C$61,MATCH(A810,'IR data'!$C$4:$C$61,1))))) * (INDEX('IR data'!$D$4:$D$61,MATCH(A810,'IR data'!$C$4:$C$61,1))-(INDEX('IR data'!$D$4:$D$61,MATCH(A810,'IR data'!$C$4:$C$61,1)+1)))))</f>
        <v>0.91072814801136359</v>
      </c>
      <c r="C810" s="30">
        <f t="shared" si="73"/>
        <v>1.8368157063704718E-2</v>
      </c>
      <c r="D810" s="37"/>
      <c r="G810" s="37"/>
    </row>
    <row r="811" spans="1:7" x14ac:dyDescent="0.25">
      <c r="A811" s="45">
        <f t="shared" si="72"/>
        <v>46099</v>
      </c>
      <c r="B811" s="14" cm="1">
        <f t="array" ref="B811">_xlfn.IFNA(INDEX('IR data'!$D$4:$D$61,MATCH(A811,'IR data'!$C$4:$C$61,0)),((INDEX('IR data'!$D$4:$D$61,MATCH(A811,'IR data'!$C$4:$C$61,1)))-((A811-(INDEX('IR data'!$C$4:$C$61,MATCH(A811,'IR data'!$C$4:$C$61,1))))/((INDEX('IR data'!$C$4:$C$61,MATCH(A811,'IR data'!$C$4:$C$61,1)+1)-INDEX('IR data'!$C$4:$C$61,MATCH(A811,'IR data'!$C$4:$C$61,1))))) * (INDEX('IR data'!$D$4:$D$61,MATCH(A811,'IR data'!$C$4:$C$61,1))-(INDEX('IR data'!$D$4:$D$61,MATCH(A811,'IR data'!$C$4:$C$61,1)+1)))))</f>
        <v>0.91064443636363634</v>
      </c>
      <c r="C811" s="30">
        <f t="shared" si="73"/>
        <v>1.8363457815721237E-2</v>
      </c>
      <c r="D811" s="37"/>
      <c r="G811" s="37"/>
    </row>
    <row r="812" spans="1:7" x14ac:dyDescent="0.25">
      <c r="A812" s="45">
        <f t="shared" si="72"/>
        <v>46100</v>
      </c>
      <c r="B812" s="14" cm="1">
        <f t="array" ref="B812">_xlfn.IFNA(INDEX('IR data'!$D$4:$D$61,MATCH(A812,'IR data'!$C$4:$C$61,0)),((INDEX('IR data'!$D$4:$D$61,MATCH(A812,'IR data'!$C$4:$C$61,1)))-((A812-(INDEX('IR data'!$C$4:$C$61,MATCH(A812,'IR data'!$C$4:$C$61,1))))/((INDEX('IR data'!$C$4:$C$61,MATCH(A812,'IR data'!$C$4:$C$61,1)+1)-INDEX('IR data'!$C$4:$C$61,MATCH(A812,'IR data'!$C$4:$C$61,1))))) * (INDEX('IR data'!$D$4:$D$61,MATCH(A812,'IR data'!$C$4:$C$61,1))-(INDEX('IR data'!$D$4:$D$61,MATCH(A812,'IR data'!$C$4:$C$61,1)+1)))))</f>
        <v>0.9105607247159091</v>
      </c>
      <c r="C812" s="30">
        <f t="shared" si="73"/>
        <v>1.8358771840942176E-2</v>
      </c>
      <c r="D812" s="37"/>
      <c r="G812" s="37"/>
    </row>
    <row r="813" spans="1:7" x14ac:dyDescent="0.25">
      <c r="A813" s="45">
        <f t="shared" si="72"/>
        <v>46101</v>
      </c>
      <c r="B813" s="14" cm="1">
        <f t="array" ref="B813">_xlfn.IFNA(INDEX('IR data'!$D$4:$D$61,MATCH(A813,'IR data'!$C$4:$C$61,0)),((INDEX('IR data'!$D$4:$D$61,MATCH(A813,'IR data'!$C$4:$C$61,1)))-((A813-(INDEX('IR data'!$C$4:$C$61,MATCH(A813,'IR data'!$C$4:$C$61,1))))/((INDEX('IR data'!$C$4:$C$61,MATCH(A813,'IR data'!$C$4:$C$61,1)+1)-INDEX('IR data'!$C$4:$C$61,MATCH(A813,'IR data'!$C$4:$C$61,1))))) * (INDEX('IR data'!$D$4:$D$61,MATCH(A813,'IR data'!$C$4:$C$61,1))-(INDEX('IR data'!$D$4:$D$61,MATCH(A813,'IR data'!$C$4:$C$61,1)+1)))))</f>
        <v>0.91047701306818174</v>
      </c>
      <c r="C813" s="30">
        <f t="shared" si="73"/>
        <v>1.8354099090511635E-2</v>
      </c>
      <c r="D813" s="37"/>
      <c r="G813" s="37"/>
    </row>
    <row r="814" spans="1:7" x14ac:dyDescent="0.25">
      <c r="A814" s="45">
        <f t="shared" si="72"/>
        <v>46102</v>
      </c>
      <c r="B814" s="14" cm="1">
        <f t="array" ref="B814">_xlfn.IFNA(INDEX('IR data'!$D$4:$D$61,MATCH(A814,'IR data'!$C$4:$C$61,0)),((INDEX('IR data'!$D$4:$D$61,MATCH(A814,'IR data'!$C$4:$C$61,1)))-((A814-(INDEX('IR data'!$C$4:$C$61,MATCH(A814,'IR data'!$C$4:$C$61,1))))/((INDEX('IR data'!$C$4:$C$61,MATCH(A814,'IR data'!$C$4:$C$61,1)+1)-INDEX('IR data'!$C$4:$C$61,MATCH(A814,'IR data'!$C$4:$C$61,1))))) * (INDEX('IR data'!$D$4:$D$61,MATCH(A814,'IR data'!$C$4:$C$61,1))-(INDEX('IR data'!$D$4:$D$61,MATCH(A814,'IR data'!$C$4:$C$61,1)+1)))))</f>
        <v>0.91039330142045449</v>
      </c>
      <c r="C814" s="30">
        <f t="shared" si="73"/>
        <v>1.8349439515814678E-2</v>
      </c>
      <c r="D814" s="37"/>
      <c r="G814" s="37"/>
    </row>
    <row r="815" spans="1:7" x14ac:dyDescent="0.25">
      <c r="A815" s="45">
        <f t="shared" si="72"/>
        <v>46103</v>
      </c>
      <c r="B815" s="14" cm="1">
        <f t="array" ref="B815">_xlfn.IFNA(INDEX('IR data'!$D$4:$D$61,MATCH(A815,'IR data'!$C$4:$C$61,0)),((INDEX('IR data'!$D$4:$D$61,MATCH(A815,'IR data'!$C$4:$C$61,1)))-((A815-(INDEX('IR data'!$C$4:$C$61,MATCH(A815,'IR data'!$C$4:$C$61,1))))/((INDEX('IR data'!$C$4:$C$61,MATCH(A815,'IR data'!$C$4:$C$61,1)+1)-INDEX('IR data'!$C$4:$C$61,MATCH(A815,'IR data'!$C$4:$C$61,1))))) * (INDEX('IR data'!$D$4:$D$61,MATCH(A815,'IR data'!$C$4:$C$61,1))-(INDEX('IR data'!$D$4:$D$61,MATCH(A815,'IR data'!$C$4:$C$61,1)+1)))))</f>
        <v>0.91030958977272725</v>
      </c>
      <c r="C815" s="30">
        <f t="shared" si="73"/>
        <v>1.8344793068476011E-2</v>
      </c>
      <c r="D815" s="37"/>
      <c r="G815" s="37"/>
    </row>
    <row r="816" spans="1:7" x14ac:dyDescent="0.25">
      <c r="A816" s="45">
        <f t="shared" si="72"/>
        <v>46104</v>
      </c>
      <c r="B816" s="14" cm="1">
        <f t="array" ref="B816">_xlfn.IFNA(INDEX('IR data'!$D$4:$D$61,MATCH(A816,'IR data'!$C$4:$C$61,0)),((INDEX('IR data'!$D$4:$D$61,MATCH(A816,'IR data'!$C$4:$C$61,1)))-((A816-(INDEX('IR data'!$C$4:$C$61,MATCH(A816,'IR data'!$C$4:$C$61,1))))/((INDEX('IR data'!$C$4:$C$61,MATCH(A816,'IR data'!$C$4:$C$61,1)+1)-INDEX('IR data'!$C$4:$C$61,MATCH(A816,'IR data'!$C$4:$C$61,1))))) * (INDEX('IR data'!$D$4:$D$61,MATCH(A816,'IR data'!$C$4:$C$61,1))-(INDEX('IR data'!$D$4:$D$61,MATCH(A816,'IR data'!$C$4:$C$61,1)+1)))))</f>
        <v>0.910225878125</v>
      </c>
      <c r="C816" s="30">
        <f t="shared" si="73"/>
        <v>1.8340159700358415E-2</v>
      </c>
      <c r="D816" s="37"/>
      <c r="G816" s="37"/>
    </row>
    <row r="817" spans="1:7" x14ac:dyDescent="0.25">
      <c r="A817" s="45">
        <f t="shared" si="72"/>
        <v>46105</v>
      </c>
      <c r="B817" s="14" cm="1">
        <f t="array" ref="B817">_xlfn.IFNA(INDEX('IR data'!$D$4:$D$61,MATCH(A817,'IR data'!$C$4:$C$61,0)),((INDEX('IR data'!$D$4:$D$61,MATCH(A817,'IR data'!$C$4:$C$61,1)))-((A817-(INDEX('IR data'!$C$4:$C$61,MATCH(A817,'IR data'!$C$4:$C$61,1))))/((INDEX('IR data'!$C$4:$C$61,MATCH(A817,'IR data'!$C$4:$C$61,1)+1)-INDEX('IR data'!$C$4:$C$61,MATCH(A817,'IR data'!$C$4:$C$61,1))))) * (INDEX('IR data'!$D$4:$D$61,MATCH(A817,'IR data'!$C$4:$C$61,1))-(INDEX('IR data'!$D$4:$D$61,MATCH(A817,'IR data'!$C$4:$C$61,1)+1)))))</f>
        <v>0.91014216647727264</v>
      </c>
      <c r="C817" s="30">
        <f t="shared" si="73"/>
        <v>1.8335539363561314E-2</v>
      </c>
      <c r="D817" s="37"/>
      <c r="G817" s="37"/>
    </row>
    <row r="818" spans="1:7" x14ac:dyDescent="0.25">
      <c r="A818" s="45">
        <f t="shared" si="72"/>
        <v>46106</v>
      </c>
      <c r="B818" s="14" cm="1">
        <f t="array" ref="B818">_xlfn.IFNA(INDEX('IR data'!$D$4:$D$61,MATCH(A818,'IR data'!$C$4:$C$61,0)),((INDEX('IR data'!$D$4:$D$61,MATCH(A818,'IR data'!$C$4:$C$61,1)))-((A818-(INDEX('IR data'!$C$4:$C$61,MATCH(A818,'IR data'!$C$4:$C$61,1))))/((INDEX('IR data'!$C$4:$C$61,MATCH(A818,'IR data'!$C$4:$C$61,1)+1)-INDEX('IR data'!$C$4:$C$61,MATCH(A818,'IR data'!$C$4:$C$61,1))))) * (INDEX('IR data'!$D$4:$D$61,MATCH(A818,'IR data'!$C$4:$C$61,1))-(INDEX('IR data'!$D$4:$D$61,MATCH(A818,'IR data'!$C$4:$C$61,1)+1)))))</f>
        <v>0.91005845482954539</v>
      </c>
      <c r="C818" s="30">
        <f t="shared" si="73"/>
        <v>1.833093201041925E-2</v>
      </c>
      <c r="D818" s="37"/>
      <c r="G818" s="37"/>
    </row>
    <row r="819" spans="1:7" x14ac:dyDescent="0.25">
      <c r="A819" s="45">
        <f t="shared" si="72"/>
        <v>46107</v>
      </c>
      <c r="B819" s="14" cm="1">
        <f t="array" ref="B819">_xlfn.IFNA(INDEX('IR data'!$D$4:$D$61,MATCH(A819,'IR data'!$C$4:$C$61,0)),((INDEX('IR data'!$D$4:$D$61,MATCH(A819,'IR data'!$C$4:$C$61,1)))-((A819-(INDEX('IR data'!$C$4:$C$61,MATCH(A819,'IR data'!$C$4:$C$61,1))))/((INDEX('IR data'!$C$4:$C$61,MATCH(A819,'IR data'!$C$4:$C$61,1)+1)-INDEX('IR data'!$C$4:$C$61,MATCH(A819,'IR data'!$C$4:$C$61,1))))) * (INDEX('IR data'!$D$4:$D$61,MATCH(A819,'IR data'!$C$4:$C$61,1))-(INDEX('IR data'!$D$4:$D$61,MATCH(A819,'IR data'!$C$4:$C$61,1)+1)))))</f>
        <v>0.90997474318181815</v>
      </c>
      <c r="C819" s="30">
        <f t="shared" si="73"/>
        <v>1.8326337593500566E-2</v>
      </c>
      <c r="D819" s="37"/>
      <c r="G819" s="37"/>
    </row>
    <row r="820" spans="1:7" x14ac:dyDescent="0.25">
      <c r="A820" s="45">
        <f t="shared" si="72"/>
        <v>46108</v>
      </c>
      <c r="B820" s="14" cm="1">
        <f t="array" ref="B820">_xlfn.IFNA(INDEX('IR data'!$D$4:$D$61,MATCH(A820,'IR data'!$C$4:$C$61,0)),((INDEX('IR data'!$D$4:$D$61,MATCH(A820,'IR data'!$C$4:$C$61,1)))-((A820-(INDEX('IR data'!$C$4:$C$61,MATCH(A820,'IR data'!$C$4:$C$61,1))))/((INDEX('IR data'!$C$4:$C$61,MATCH(A820,'IR data'!$C$4:$C$61,1)+1)-INDEX('IR data'!$C$4:$C$61,MATCH(A820,'IR data'!$C$4:$C$61,1))))) * (INDEX('IR data'!$D$4:$D$61,MATCH(A820,'IR data'!$C$4:$C$61,1))-(INDEX('IR data'!$D$4:$D$61,MATCH(A820,'IR data'!$C$4:$C$61,1)+1)))))</f>
        <v>0.9098910315340909</v>
      </c>
      <c r="C820" s="30">
        <f t="shared" si="73"/>
        <v>1.8321756065605897E-2</v>
      </c>
      <c r="D820" s="37"/>
      <c r="G820" s="37"/>
    </row>
    <row r="821" spans="1:7" x14ac:dyDescent="0.25">
      <c r="A821" s="45">
        <f t="shared" si="72"/>
        <v>46109</v>
      </c>
      <c r="B821" s="14" cm="1">
        <f t="array" ref="B821">_xlfn.IFNA(INDEX('IR data'!$D$4:$D$61,MATCH(A821,'IR data'!$C$4:$C$61,0)),((INDEX('IR data'!$D$4:$D$61,MATCH(A821,'IR data'!$C$4:$C$61,1)))-((A821-(INDEX('IR data'!$C$4:$C$61,MATCH(A821,'IR data'!$C$4:$C$61,1))))/((INDEX('IR data'!$C$4:$C$61,MATCH(A821,'IR data'!$C$4:$C$61,1)+1)-INDEX('IR data'!$C$4:$C$61,MATCH(A821,'IR data'!$C$4:$C$61,1))))) * (INDEX('IR data'!$D$4:$D$61,MATCH(A821,'IR data'!$C$4:$C$61,1))-(INDEX('IR data'!$D$4:$D$61,MATCH(A821,'IR data'!$C$4:$C$61,1)+1)))))</f>
        <v>0.90980731988636354</v>
      </c>
      <c r="C821" s="30">
        <f t="shared" si="73"/>
        <v>1.8317187379766769E-2</v>
      </c>
      <c r="D821" s="37"/>
      <c r="G821" s="37"/>
    </row>
    <row r="822" spans="1:7" x14ac:dyDescent="0.25">
      <c r="A822" s="45">
        <f t="shared" si="72"/>
        <v>46110</v>
      </c>
      <c r="B822" s="14" cm="1">
        <f t="array" ref="B822">_xlfn.IFNA(INDEX('IR data'!$D$4:$D$61,MATCH(A822,'IR data'!$C$4:$C$61,0)),((INDEX('IR data'!$D$4:$D$61,MATCH(A822,'IR data'!$C$4:$C$61,1)))-((A822-(INDEX('IR data'!$C$4:$C$61,MATCH(A822,'IR data'!$C$4:$C$61,1))))/((INDEX('IR data'!$C$4:$C$61,MATCH(A822,'IR data'!$C$4:$C$61,1)+1)-INDEX('IR data'!$C$4:$C$61,MATCH(A822,'IR data'!$C$4:$C$61,1))))) * (INDEX('IR data'!$D$4:$D$61,MATCH(A822,'IR data'!$C$4:$C$61,1))-(INDEX('IR data'!$D$4:$D$61,MATCH(A822,'IR data'!$C$4:$C$61,1)+1)))))</f>
        <v>0.90972360823863629</v>
      </c>
      <c r="C822" s="30">
        <f t="shared" si="73"/>
        <v>1.8312631489244138E-2</v>
      </c>
      <c r="D822" s="37"/>
      <c r="G822" s="37"/>
    </row>
    <row r="823" spans="1:7" x14ac:dyDescent="0.25">
      <c r="A823" s="45">
        <f t="shared" si="72"/>
        <v>46111</v>
      </c>
      <c r="B823" s="14" cm="1">
        <f t="array" ref="B823">_xlfn.IFNA(INDEX('IR data'!$D$4:$D$61,MATCH(A823,'IR data'!$C$4:$C$61,0)),((INDEX('IR data'!$D$4:$D$61,MATCH(A823,'IR data'!$C$4:$C$61,1)))-((A823-(INDEX('IR data'!$C$4:$C$61,MATCH(A823,'IR data'!$C$4:$C$61,1))))/((INDEX('IR data'!$C$4:$C$61,MATCH(A823,'IR data'!$C$4:$C$61,1)+1)-INDEX('IR data'!$C$4:$C$61,MATCH(A823,'IR data'!$C$4:$C$61,1))))) * (INDEX('IR data'!$D$4:$D$61,MATCH(A823,'IR data'!$C$4:$C$61,1))-(INDEX('IR data'!$D$4:$D$61,MATCH(A823,'IR data'!$C$4:$C$61,1)+1)))))</f>
        <v>0.90963989659090905</v>
      </c>
      <c r="C823" s="30">
        <f t="shared" si="73"/>
        <v>1.8308088347527101E-2</v>
      </c>
      <c r="D823" s="37"/>
      <c r="G823" s="37"/>
    </row>
    <row r="824" spans="1:7" x14ac:dyDescent="0.25">
      <c r="A824" s="45">
        <f t="shared" si="72"/>
        <v>46112</v>
      </c>
      <c r="B824" s="14" cm="1">
        <f t="array" ref="B824">_xlfn.IFNA(INDEX('IR data'!$D$4:$D$61,MATCH(A824,'IR data'!$C$4:$C$61,0)),((INDEX('IR data'!$D$4:$D$61,MATCH(A824,'IR data'!$C$4:$C$61,1)))-((A824-(INDEX('IR data'!$C$4:$C$61,MATCH(A824,'IR data'!$C$4:$C$61,1))))/((INDEX('IR data'!$C$4:$C$61,MATCH(A824,'IR data'!$C$4:$C$61,1)+1)-INDEX('IR data'!$C$4:$C$61,MATCH(A824,'IR data'!$C$4:$C$61,1))))) * (INDEX('IR data'!$D$4:$D$61,MATCH(A824,'IR data'!$C$4:$C$61,1))-(INDEX('IR data'!$D$4:$D$61,MATCH(A824,'IR data'!$C$4:$C$61,1)+1)))))</f>
        <v>0.9095561849431818</v>
      </c>
      <c r="C824" s="30">
        <f t="shared" si="73"/>
        <v>1.8303557908331412E-2</v>
      </c>
      <c r="D824" s="37"/>
      <c r="G824" s="37"/>
    </row>
    <row r="825" spans="1:7" x14ac:dyDescent="0.25">
      <c r="A825" s="45">
        <f t="shared" si="72"/>
        <v>46113</v>
      </c>
      <c r="B825" s="14" cm="1">
        <f t="array" ref="B825">_xlfn.IFNA(INDEX('IR data'!$D$4:$D$61,MATCH(A825,'IR data'!$C$4:$C$61,0)),((INDEX('IR data'!$D$4:$D$61,MATCH(A825,'IR data'!$C$4:$C$61,1)))-((A825-(INDEX('IR data'!$C$4:$C$61,MATCH(A825,'IR data'!$C$4:$C$61,1))))/((INDEX('IR data'!$C$4:$C$61,MATCH(A825,'IR data'!$C$4:$C$61,1)+1)-INDEX('IR data'!$C$4:$C$61,MATCH(A825,'IR data'!$C$4:$C$61,1))))) * (INDEX('IR data'!$D$4:$D$61,MATCH(A825,'IR data'!$C$4:$C$61,1))-(INDEX('IR data'!$D$4:$D$61,MATCH(A825,'IR data'!$C$4:$C$61,1)+1)))))</f>
        <v>0.90947247329545444</v>
      </c>
      <c r="C825" s="30">
        <f t="shared" si="73"/>
        <v>1.8299040125598173E-2</v>
      </c>
      <c r="D825" s="37"/>
      <c r="G825" s="37"/>
    </row>
    <row r="826" spans="1:7" x14ac:dyDescent="0.25">
      <c r="A826" s="45">
        <f t="shared" si="72"/>
        <v>46114</v>
      </c>
      <c r="B826" s="14" cm="1">
        <f t="array" ref="B826">_xlfn.IFNA(INDEX('IR data'!$D$4:$D$61,MATCH(A826,'IR data'!$C$4:$C$61,0)),((INDEX('IR data'!$D$4:$D$61,MATCH(A826,'IR data'!$C$4:$C$61,1)))-((A826-(INDEX('IR data'!$C$4:$C$61,MATCH(A826,'IR data'!$C$4:$C$61,1))))/((INDEX('IR data'!$C$4:$C$61,MATCH(A826,'IR data'!$C$4:$C$61,1)+1)-INDEX('IR data'!$C$4:$C$61,MATCH(A826,'IR data'!$C$4:$C$61,1))))) * (INDEX('IR data'!$D$4:$D$61,MATCH(A826,'IR data'!$C$4:$C$61,1))-(INDEX('IR data'!$D$4:$D$61,MATCH(A826,'IR data'!$C$4:$C$61,1)+1)))))</f>
        <v>0.9093887616477272</v>
      </c>
      <c r="C826" s="30">
        <f t="shared" si="73"/>
        <v>1.8294534953492342E-2</v>
      </c>
      <c r="D826" s="37"/>
      <c r="G826" s="37"/>
    </row>
    <row r="827" spans="1:7" x14ac:dyDescent="0.25">
      <c r="A827" s="45">
        <f t="shared" si="72"/>
        <v>46115</v>
      </c>
      <c r="B827" s="14" cm="1">
        <f t="array" ref="B827">_xlfn.IFNA(INDEX('IR data'!$D$4:$D$61,MATCH(A827,'IR data'!$C$4:$C$61,0)),((INDEX('IR data'!$D$4:$D$61,MATCH(A827,'IR data'!$C$4:$C$61,1)))-((A827-(INDEX('IR data'!$C$4:$C$61,MATCH(A827,'IR data'!$C$4:$C$61,1))))/((INDEX('IR data'!$C$4:$C$61,MATCH(A827,'IR data'!$C$4:$C$61,1)+1)-INDEX('IR data'!$C$4:$C$61,MATCH(A827,'IR data'!$C$4:$C$61,1))))) * (INDEX('IR data'!$D$4:$D$61,MATCH(A827,'IR data'!$C$4:$C$61,1))-(INDEX('IR data'!$D$4:$D$61,MATCH(A827,'IR data'!$C$4:$C$61,1)+1)))))</f>
        <v>0.90930504999999995</v>
      </c>
      <c r="C827" s="30">
        <f t="shared" si="73"/>
        <v>1.8290042346401546E-2</v>
      </c>
      <c r="D827" s="37"/>
      <c r="G827" s="37"/>
    </row>
    <row r="828" spans="1:7" x14ac:dyDescent="0.25">
      <c r="A828" s="45">
        <f t="shared" si="72"/>
        <v>46116</v>
      </c>
      <c r="B828" s="14" cm="1">
        <f t="array" ref="B828">_xlfn.IFNA(INDEX('IR data'!$D$4:$D$61,MATCH(A828,'IR data'!$C$4:$C$61,0)),((INDEX('IR data'!$D$4:$D$61,MATCH(A828,'IR data'!$C$4:$C$61,1)))-((A828-(INDEX('IR data'!$C$4:$C$61,MATCH(A828,'IR data'!$C$4:$C$61,1))))/((INDEX('IR data'!$C$4:$C$61,MATCH(A828,'IR data'!$C$4:$C$61,1)+1)-INDEX('IR data'!$C$4:$C$61,MATCH(A828,'IR data'!$C$4:$C$61,1))))) * (INDEX('IR data'!$D$4:$D$61,MATCH(A828,'IR data'!$C$4:$C$61,1))-(INDEX('IR data'!$D$4:$D$61,MATCH(A828,'IR data'!$C$4:$C$61,1)+1)))))</f>
        <v>0.90922131182417576</v>
      </c>
      <c r="C828" s="30">
        <f t="shared" si="73"/>
        <v>1.8285567865020017E-2</v>
      </c>
      <c r="D828" s="37"/>
      <c r="G828" s="37"/>
    </row>
    <row r="829" spans="1:7" x14ac:dyDescent="0.25">
      <c r="A829" s="45">
        <f t="shared" si="72"/>
        <v>46117</v>
      </c>
      <c r="B829" s="14" cm="1">
        <f t="array" ref="B829">_xlfn.IFNA(INDEX('IR data'!$D$4:$D$61,MATCH(A829,'IR data'!$C$4:$C$61,0)),((INDEX('IR data'!$D$4:$D$61,MATCH(A829,'IR data'!$C$4:$C$61,1)))-((A829-(INDEX('IR data'!$C$4:$C$61,MATCH(A829,'IR data'!$C$4:$C$61,1))))/((INDEX('IR data'!$C$4:$C$61,MATCH(A829,'IR data'!$C$4:$C$61,1)+1)-INDEX('IR data'!$C$4:$C$61,MATCH(A829,'IR data'!$C$4:$C$61,1))))) * (INDEX('IR data'!$D$4:$D$61,MATCH(A829,'IR data'!$C$4:$C$61,1))-(INDEX('IR data'!$D$4:$D$61,MATCH(A829,'IR data'!$C$4:$C$61,1)+1)))))</f>
        <v>0.90913757364835157</v>
      </c>
      <c r="C829" s="30">
        <f t="shared" si="73"/>
        <v>1.8281105845548335E-2</v>
      </c>
      <c r="D829" s="37"/>
      <c r="G829" s="37"/>
    </row>
    <row r="830" spans="1:7" x14ac:dyDescent="0.25">
      <c r="A830" s="45">
        <f t="shared" si="72"/>
        <v>46118</v>
      </c>
      <c r="B830" s="14" cm="1">
        <f t="array" ref="B830">_xlfn.IFNA(INDEX('IR data'!$D$4:$D$61,MATCH(A830,'IR data'!$C$4:$C$61,0)),((INDEX('IR data'!$D$4:$D$61,MATCH(A830,'IR data'!$C$4:$C$61,1)))-((A830-(INDEX('IR data'!$C$4:$C$61,MATCH(A830,'IR data'!$C$4:$C$61,1))))/((INDEX('IR data'!$C$4:$C$61,MATCH(A830,'IR data'!$C$4:$C$61,1)+1)-INDEX('IR data'!$C$4:$C$61,MATCH(A830,'IR data'!$C$4:$C$61,1))))) * (INDEX('IR data'!$D$4:$D$61,MATCH(A830,'IR data'!$C$4:$C$61,1))-(INDEX('IR data'!$D$4:$D$61,MATCH(A830,'IR data'!$C$4:$C$61,1)+1)))))</f>
        <v>0.90905383547252738</v>
      </c>
      <c r="C830" s="30">
        <f t="shared" si="73"/>
        <v>1.8276656243079555E-2</v>
      </c>
      <c r="D830" s="37"/>
      <c r="G830" s="37"/>
    </row>
    <row r="831" spans="1:7" x14ac:dyDescent="0.25">
      <c r="A831" s="45">
        <f t="shared" si="72"/>
        <v>46119</v>
      </c>
      <c r="B831" s="14" cm="1">
        <f t="array" ref="B831">_xlfn.IFNA(INDEX('IR data'!$D$4:$D$61,MATCH(A831,'IR data'!$C$4:$C$61,0)),((INDEX('IR data'!$D$4:$D$61,MATCH(A831,'IR data'!$C$4:$C$61,1)))-((A831-(INDEX('IR data'!$C$4:$C$61,MATCH(A831,'IR data'!$C$4:$C$61,1))))/((INDEX('IR data'!$C$4:$C$61,MATCH(A831,'IR data'!$C$4:$C$61,1)+1)-INDEX('IR data'!$C$4:$C$61,MATCH(A831,'IR data'!$C$4:$C$61,1))))) * (INDEX('IR data'!$D$4:$D$61,MATCH(A831,'IR data'!$C$4:$C$61,1))-(INDEX('IR data'!$D$4:$D$61,MATCH(A831,'IR data'!$C$4:$C$61,1)+1)))))</f>
        <v>0.90897009729670319</v>
      </c>
      <c r="C831" s="30">
        <f t="shared" si="73"/>
        <v>1.8272219012923786E-2</v>
      </c>
      <c r="D831" s="37"/>
      <c r="G831" s="37"/>
    </row>
    <row r="832" spans="1:7" x14ac:dyDescent="0.25">
      <c r="A832" s="45">
        <f t="shared" si="72"/>
        <v>46120</v>
      </c>
      <c r="B832" s="14" cm="1">
        <f t="array" ref="B832">_xlfn.IFNA(INDEX('IR data'!$D$4:$D$61,MATCH(A832,'IR data'!$C$4:$C$61,0)),((INDEX('IR data'!$D$4:$D$61,MATCH(A832,'IR data'!$C$4:$C$61,1)))-((A832-(INDEX('IR data'!$C$4:$C$61,MATCH(A832,'IR data'!$C$4:$C$61,1))))/((INDEX('IR data'!$C$4:$C$61,MATCH(A832,'IR data'!$C$4:$C$61,1)+1)-INDEX('IR data'!$C$4:$C$61,MATCH(A832,'IR data'!$C$4:$C$61,1))))) * (INDEX('IR data'!$D$4:$D$61,MATCH(A832,'IR data'!$C$4:$C$61,1))-(INDEX('IR data'!$D$4:$D$61,MATCH(A832,'IR data'!$C$4:$C$61,1)+1)))))</f>
        <v>0.90888635912087912</v>
      </c>
      <c r="C832" s="30">
        <f t="shared" si="73"/>
        <v>1.8267794110606819E-2</v>
      </c>
      <c r="D832" s="37"/>
      <c r="G832" s="37"/>
    </row>
    <row r="833" spans="1:7" x14ac:dyDescent="0.25">
      <c r="A833" s="45">
        <f t="shared" si="72"/>
        <v>46121</v>
      </c>
      <c r="B833" s="14" cm="1">
        <f t="array" ref="B833">_xlfn.IFNA(INDEX('IR data'!$D$4:$D$61,MATCH(A833,'IR data'!$C$4:$C$61,0)),((INDEX('IR data'!$D$4:$D$61,MATCH(A833,'IR data'!$C$4:$C$61,1)))-((A833-(INDEX('IR data'!$C$4:$C$61,MATCH(A833,'IR data'!$C$4:$C$61,1))))/((INDEX('IR data'!$C$4:$C$61,MATCH(A833,'IR data'!$C$4:$C$61,1)+1)-INDEX('IR data'!$C$4:$C$61,MATCH(A833,'IR data'!$C$4:$C$61,1))))) * (INDEX('IR data'!$D$4:$D$61,MATCH(A833,'IR data'!$C$4:$C$61,1))-(INDEX('IR data'!$D$4:$D$61,MATCH(A833,'IR data'!$C$4:$C$61,1)+1)))))</f>
        <v>0.90880262094505493</v>
      </c>
      <c r="C833" s="30">
        <f t="shared" si="73"/>
        <v>1.8263381491868933E-2</v>
      </c>
      <c r="D833" s="37"/>
      <c r="G833" s="37"/>
    </row>
    <row r="834" spans="1:7" x14ac:dyDescent="0.25">
      <c r="A834" s="45">
        <f t="shared" si="72"/>
        <v>46122</v>
      </c>
      <c r="B834" s="14" cm="1">
        <f t="array" ref="B834">_xlfn.IFNA(INDEX('IR data'!$D$4:$D$61,MATCH(A834,'IR data'!$C$4:$C$61,0)),((INDEX('IR data'!$D$4:$D$61,MATCH(A834,'IR data'!$C$4:$C$61,1)))-((A834-(INDEX('IR data'!$C$4:$C$61,MATCH(A834,'IR data'!$C$4:$C$61,1))))/((INDEX('IR data'!$C$4:$C$61,MATCH(A834,'IR data'!$C$4:$C$61,1)+1)-INDEX('IR data'!$C$4:$C$61,MATCH(A834,'IR data'!$C$4:$C$61,1))))) * (INDEX('IR data'!$D$4:$D$61,MATCH(A834,'IR data'!$C$4:$C$61,1))-(INDEX('IR data'!$D$4:$D$61,MATCH(A834,'IR data'!$C$4:$C$61,1)+1)))))</f>
        <v>0.90871888276923074</v>
      </c>
      <c r="C834" s="30">
        <f t="shared" si="73"/>
        <v>1.8258981112663455E-2</v>
      </c>
      <c r="D834" s="37"/>
      <c r="G834" s="3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98452-F17F-4633-9DB2-DAECC932F148}">
  <sheetPr codeName="Arkusz13">
    <tabColor theme="0" tint="-0.14999847407452621"/>
  </sheetPr>
  <dimension ref="A1:F833"/>
  <sheetViews>
    <sheetView workbookViewId="0">
      <selection activeCell="C829" sqref="C829"/>
    </sheetView>
  </sheetViews>
  <sheetFormatPr defaultRowHeight="15" x14ac:dyDescent="0.25"/>
  <cols>
    <col min="1" max="1" width="13.42578125" customWidth="1"/>
    <col min="2" max="2" width="12.28515625" bestFit="1" customWidth="1"/>
    <col min="3" max="3" width="13.85546875" bestFit="1" customWidth="1"/>
    <col min="4" max="4" width="12.28515625" bestFit="1" customWidth="1"/>
    <col min="5" max="5" width="13.85546875" bestFit="1" customWidth="1"/>
    <col min="6" max="6" width="12.28515625" bestFit="1" customWidth="1"/>
  </cols>
  <sheetData>
    <row r="1" spans="1:6" x14ac:dyDescent="0.25">
      <c r="A1" s="41" t="s">
        <v>180</v>
      </c>
      <c r="B1" s="42" t="s">
        <v>181</v>
      </c>
      <c r="C1" s="41" t="s">
        <v>182</v>
      </c>
      <c r="D1" s="42" t="s">
        <v>181</v>
      </c>
      <c r="E1" s="41" t="s">
        <v>183</v>
      </c>
      <c r="F1" s="43" t="s">
        <v>181</v>
      </c>
    </row>
    <row r="2" spans="1:6" x14ac:dyDescent="0.25">
      <c r="A2" s="59">
        <v>45291</v>
      </c>
      <c r="B2" s="14">
        <f>1-IF(WEEKDAY(A2,2)&gt;5,0,1)</f>
        <v>1</v>
      </c>
      <c r="C2" s="59">
        <v>45351</v>
      </c>
      <c r="D2" s="14">
        <f>1-IF(WEEKDAY(C2,2)&gt;5,0,1)</f>
        <v>0</v>
      </c>
      <c r="E2" s="59">
        <v>45385</v>
      </c>
      <c r="F2" s="25">
        <f>1-IF(WEEKDAY(E2,2)&gt;5,0,1)</f>
        <v>0</v>
      </c>
    </row>
    <row r="3" spans="1:6" x14ac:dyDescent="0.25">
      <c r="A3" s="59">
        <v>45292</v>
      </c>
      <c r="B3" s="14">
        <f t="shared" ref="B3:B66" si="0">1-IF(WEEKDAY(A3,2)&gt;5,0,1)</f>
        <v>0</v>
      </c>
      <c r="C3" s="59">
        <v>45352</v>
      </c>
      <c r="D3" s="14">
        <f t="shared" ref="D3:D66" si="1">1-IF(WEEKDAY(C3,2)&gt;5,0,1)</f>
        <v>0</v>
      </c>
      <c r="E3" s="59">
        <v>45386</v>
      </c>
      <c r="F3" s="25">
        <f t="shared" ref="F3:F66" si="2">1-IF(WEEKDAY(E3,2)&gt;5,0,1)</f>
        <v>0</v>
      </c>
    </row>
    <row r="4" spans="1:6" x14ac:dyDescent="0.25">
      <c r="A4" s="59">
        <v>45293</v>
      </c>
      <c r="B4" s="14">
        <f t="shared" si="0"/>
        <v>0</v>
      </c>
      <c r="C4" s="59">
        <v>45353</v>
      </c>
      <c r="D4" s="14">
        <f t="shared" si="1"/>
        <v>1</v>
      </c>
      <c r="E4" s="59">
        <v>45387</v>
      </c>
      <c r="F4" s="25">
        <f t="shared" si="2"/>
        <v>0</v>
      </c>
    </row>
    <row r="5" spans="1:6" x14ac:dyDescent="0.25">
      <c r="A5" s="59">
        <v>45294</v>
      </c>
      <c r="B5" s="14">
        <f t="shared" si="0"/>
        <v>0</v>
      </c>
      <c r="C5" s="59">
        <v>45354</v>
      </c>
      <c r="D5" s="14">
        <f t="shared" si="1"/>
        <v>1</v>
      </c>
      <c r="E5" s="59">
        <v>45388</v>
      </c>
      <c r="F5" s="25">
        <f t="shared" si="2"/>
        <v>1</v>
      </c>
    </row>
    <row r="6" spans="1:6" x14ac:dyDescent="0.25">
      <c r="A6" s="59">
        <v>45295</v>
      </c>
      <c r="B6" s="14">
        <f t="shared" si="0"/>
        <v>0</v>
      </c>
      <c r="C6" s="59">
        <v>45355</v>
      </c>
      <c r="D6" s="14">
        <f t="shared" si="1"/>
        <v>0</v>
      </c>
      <c r="E6" s="59">
        <v>45389</v>
      </c>
      <c r="F6" s="25">
        <f t="shared" si="2"/>
        <v>1</v>
      </c>
    </row>
    <row r="7" spans="1:6" x14ac:dyDescent="0.25">
      <c r="A7" s="59">
        <v>45296</v>
      </c>
      <c r="B7" s="14">
        <f t="shared" si="0"/>
        <v>0</v>
      </c>
      <c r="C7" s="59">
        <v>45356</v>
      </c>
      <c r="D7" s="14">
        <f t="shared" si="1"/>
        <v>0</v>
      </c>
      <c r="E7" s="59">
        <v>45390</v>
      </c>
      <c r="F7" s="25">
        <f t="shared" si="2"/>
        <v>0</v>
      </c>
    </row>
    <row r="8" spans="1:6" x14ac:dyDescent="0.25">
      <c r="A8" s="59">
        <v>45297</v>
      </c>
      <c r="B8" s="14">
        <f t="shared" si="0"/>
        <v>1</v>
      </c>
      <c r="C8" s="59">
        <v>45357</v>
      </c>
      <c r="D8" s="14">
        <f t="shared" si="1"/>
        <v>0</v>
      </c>
      <c r="E8" s="59">
        <v>45391</v>
      </c>
      <c r="F8" s="25">
        <f t="shared" si="2"/>
        <v>0</v>
      </c>
    </row>
    <row r="9" spans="1:6" x14ac:dyDescent="0.25">
      <c r="A9" s="59">
        <v>45298</v>
      </c>
      <c r="B9" s="14">
        <f t="shared" si="0"/>
        <v>1</v>
      </c>
      <c r="C9" s="59">
        <v>45358</v>
      </c>
      <c r="D9" s="14">
        <f t="shared" si="1"/>
        <v>0</v>
      </c>
      <c r="E9" s="59">
        <v>45392</v>
      </c>
      <c r="F9" s="25">
        <f t="shared" si="2"/>
        <v>0</v>
      </c>
    </row>
    <row r="10" spans="1:6" x14ac:dyDescent="0.25">
      <c r="A10" s="59">
        <v>45299</v>
      </c>
      <c r="B10" s="14">
        <f t="shared" si="0"/>
        <v>0</v>
      </c>
      <c r="C10" s="59">
        <v>45359</v>
      </c>
      <c r="D10" s="14">
        <f t="shared" si="1"/>
        <v>0</v>
      </c>
      <c r="E10" s="59">
        <v>45393</v>
      </c>
      <c r="F10" s="25">
        <f t="shared" si="2"/>
        <v>0</v>
      </c>
    </row>
    <row r="11" spans="1:6" x14ac:dyDescent="0.25">
      <c r="A11" s="59">
        <v>45300</v>
      </c>
      <c r="B11" s="14">
        <f t="shared" si="0"/>
        <v>0</v>
      </c>
      <c r="C11" s="59">
        <v>45360</v>
      </c>
      <c r="D11" s="14">
        <f t="shared" si="1"/>
        <v>1</v>
      </c>
      <c r="E11" s="59">
        <v>45394</v>
      </c>
      <c r="F11" s="25">
        <f t="shared" si="2"/>
        <v>0</v>
      </c>
    </row>
    <row r="12" spans="1:6" x14ac:dyDescent="0.25">
      <c r="A12" s="59">
        <v>45301</v>
      </c>
      <c r="B12" s="14">
        <f t="shared" si="0"/>
        <v>0</v>
      </c>
      <c r="C12" s="59">
        <v>45361</v>
      </c>
      <c r="D12" s="14">
        <f t="shared" si="1"/>
        <v>1</v>
      </c>
      <c r="E12" s="59">
        <v>45395</v>
      </c>
      <c r="F12" s="25">
        <f t="shared" si="2"/>
        <v>1</v>
      </c>
    </row>
    <row r="13" spans="1:6" x14ac:dyDescent="0.25">
      <c r="A13" s="59">
        <v>45302</v>
      </c>
      <c r="B13" s="14">
        <f t="shared" si="0"/>
        <v>0</v>
      </c>
      <c r="C13" s="59">
        <v>45362</v>
      </c>
      <c r="D13" s="14">
        <f t="shared" si="1"/>
        <v>0</v>
      </c>
      <c r="E13" s="59">
        <v>45396</v>
      </c>
      <c r="F13" s="25">
        <f t="shared" si="2"/>
        <v>1</v>
      </c>
    </row>
    <row r="14" spans="1:6" x14ac:dyDescent="0.25">
      <c r="A14" s="59">
        <v>45303</v>
      </c>
      <c r="B14" s="14">
        <f t="shared" si="0"/>
        <v>0</v>
      </c>
      <c r="C14" s="59">
        <v>45363</v>
      </c>
      <c r="D14" s="14">
        <f t="shared" si="1"/>
        <v>0</v>
      </c>
      <c r="E14" s="59">
        <v>45397</v>
      </c>
      <c r="F14" s="25">
        <f t="shared" si="2"/>
        <v>0</v>
      </c>
    </row>
    <row r="15" spans="1:6" x14ac:dyDescent="0.25">
      <c r="A15" s="59">
        <v>45304</v>
      </c>
      <c r="B15" s="14">
        <f t="shared" si="0"/>
        <v>1</v>
      </c>
      <c r="C15" s="59">
        <v>45364</v>
      </c>
      <c r="D15" s="14">
        <f t="shared" si="1"/>
        <v>0</v>
      </c>
      <c r="E15" s="59">
        <v>45398</v>
      </c>
      <c r="F15" s="25">
        <f t="shared" si="2"/>
        <v>0</v>
      </c>
    </row>
    <row r="16" spans="1:6" x14ac:dyDescent="0.25">
      <c r="A16" s="59">
        <v>45305</v>
      </c>
      <c r="B16" s="14">
        <f t="shared" si="0"/>
        <v>1</v>
      </c>
      <c r="C16" s="59">
        <v>45365</v>
      </c>
      <c r="D16" s="14">
        <f t="shared" si="1"/>
        <v>0</v>
      </c>
      <c r="E16" s="59">
        <v>45399</v>
      </c>
      <c r="F16" s="25">
        <f t="shared" si="2"/>
        <v>0</v>
      </c>
    </row>
    <row r="17" spans="1:6" x14ac:dyDescent="0.25">
      <c r="A17" s="59">
        <v>45306</v>
      </c>
      <c r="B17" s="14">
        <f t="shared" si="0"/>
        <v>0</v>
      </c>
      <c r="C17" s="59">
        <v>45366</v>
      </c>
      <c r="D17" s="14">
        <f t="shared" si="1"/>
        <v>0</v>
      </c>
      <c r="E17" s="59">
        <v>45400</v>
      </c>
      <c r="F17" s="25">
        <f t="shared" si="2"/>
        <v>0</v>
      </c>
    </row>
    <row r="18" spans="1:6" x14ac:dyDescent="0.25">
      <c r="A18" s="59">
        <v>45307</v>
      </c>
      <c r="B18" s="14">
        <f t="shared" si="0"/>
        <v>0</v>
      </c>
      <c r="C18" s="59">
        <v>45367</v>
      </c>
      <c r="D18" s="14">
        <f t="shared" si="1"/>
        <v>1</v>
      </c>
      <c r="E18" s="59">
        <v>45401</v>
      </c>
      <c r="F18" s="25">
        <f t="shared" si="2"/>
        <v>0</v>
      </c>
    </row>
    <row r="19" spans="1:6" x14ac:dyDescent="0.25">
      <c r="A19" s="59">
        <v>45308</v>
      </c>
      <c r="B19" s="14">
        <f t="shared" si="0"/>
        <v>0</v>
      </c>
      <c r="C19" s="59">
        <v>45368</v>
      </c>
      <c r="D19" s="14">
        <f t="shared" si="1"/>
        <v>1</v>
      </c>
      <c r="E19" s="59">
        <v>45402</v>
      </c>
      <c r="F19" s="25">
        <f t="shared" si="2"/>
        <v>1</v>
      </c>
    </row>
    <row r="20" spans="1:6" x14ac:dyDescent="0.25">
      <c r="A20" s="59">
        <v>45309</v>
      </c>
      <c r="B20" s="14">
        <f t="shared" si="0"/>
        <v>0</v>
      </c>
      <c r="C20" s="59">
        <v>45369</v>
      </c>
      <c r="D20" s="14">
        <f t="shared" si="1"/>
        <v>0</v>
      </c>
      <c r="E20" s="59">
        <v>45403</v>
      </c>
      <c r="F20" s="25">
        <f t="shared" si="2"/>
        <v>1</v>
      </c>
    </row>
    <row r="21" spans="1:6" x14ac:dyDescent="0.25">
      <c r="A21" s="59">
        <v>45310</v>
      </c>
      <c r="B21" s="14">
        <f t="shared" si="0"/>
        <v>0</v>
      </c>
      <c r="C21" s="59">
        <v>45370</v>
      </c>
      <c r="D21" s="14">
        <f t="shared" si="1"/>
        <v>0</v>
      </c>
      <c r="E21" s="59">
        <v>45404</v>
      </c>
      <c r="F21" s="25">
        <f t="shared" si="2"/>
        <v>0</v>
      </c>
    </row>
    <row r="22" spans="1:6" x14ac:dyDescent="0.25">
      <c r="A22" s="59">
        <v>45311</v>
      </c>
      <c r="B22" s="14">
        <f t="shared" si="0"/>
        <v>1</v>
      </c>
      <c r="C22" s="59">
        <v>45371</v>
      </c>
      <c r="D22" s="14">
        <f t="shared" si="1"/>
        <v>0</v>
      </c>
      <c r="E22" s="59">
        <v>45405</v>
      </c>
      <c r="F22" s="25">
        <f t="shared" si="2"/>
        <v>0</v>
      </c>
    </row>
    <row r="23" spans="1:6" x14ac:dyDescent="0.25">
      <c r="A23" s="59">
        <v>45312</v>
      </c>
      <c r="B23" s="14">
        <f t="shared" si="0"/>
        <v>1</v>
      </c>
      <c r="C23" s="59">
        <v>45372</v>
      </c>
      <c r="D23" s="14">
        <f t="shared" si="1"/>
        <v>0</v>
      </c>
      <c r="E23" s="59">
        <v>45406</v>
      </c>
      <c r="F23" s="25">
        <f t="shared" si="2"/>
        <v>0</v>
      </c>
    </row>
    <row r="24" spans="1:6" x14ac:dyDescent="0.25">
      <c r="A24" s="59">
        <v>45313</v>
      </c>
      <c r="B24" s="14">
        <f t="shared" si="0"/>
        <v>0</v>
      </c>
      <c r="C24" s="59">
        <v>45373</v>
      </c>
      <c r="D24" s="14">
        <f t="shared" si="1"/>
        <v>0</v>
      </c>
      <c r="E24" s="59">
        <v>45407</v>
      </c>
      <c r="F24" s="25">
        <f t="shared" si="2"/>
        <v>0</v>
      </c>
    </row>
    <row r="25" spans="1:6" x14ac:dyDescent="0.25">
      <c r="A25" s="59">
        <v>45314</v>
      </c>
      <c r="B25" s="14">
        <f t="shared" si="0"/>
        <v>0</v>
      </c>
      <c r="C25" s="59">
        <v>45374</v>
      </c>
      <c r="D25" s="14">
        <f t="shared" si="1"/>
        <v>1</v>
      </c>
      <c r="E25" s="59">
        <v>45408</v>
      </c>
      <c r="F25" s="25">
        <f t="shared" si="2"/>
        <v>0</v>
      </c>
    </row>
    <row r="26" spans="1:6" x14ac:dyDescent="0.25">
      <c r="A26" s="59">
        <v>45315</v>
      </c>
      <c r="B26" s="14">
        <f t="shared" si="0"/>
        <v>0</v>
      </c>
      <c r="C26" s="59">
        <v>45375</v>
      </c>
      <c r="D26" s="14">
        <f t="shared" si="1"/>
        <v>1</v>
      </c>
      <c r="E26" s="59">
        <v>45409</v>
      </c>
      <c r="F26" s="25">
        <f t="shared" si="2"/>
        <v>1</v>
      </c>
    </row>
    <row r="27" spans="1:6" x14ac:dyDescent="0.25">
      <c r="A27" s="59">
        <v>45316</v>
      </c>
      <c r="B27" s="14">
        <f t="shared" si="0"/>
        <v>0</v>
      </c>
      <c r="C27" s="59">
        <v>45376</v>
      </c>
      <c r="D27" s="14">
        <f t="shared" si="1"/>
        <v>0</v>
      </c>
      <c r="E27" s="59">
        <v>45410</v>
      </c>
      <c r="F27" s="25">
        <f t="shared" si="2"/>
        <v>1</v>
      </c>
    </row>
    <row r="28" spans="1:6" x14ac:dyDescent="0.25">
      <c r="A28" s="59">
        <v>45317</v>
      </c>
      <c r="B28" s="14">
        <f t="shared" si="0"/>
        <v>0</v>
      </c>
      <c r="C28" s="59">
        <v>45377</v>
      </c>
      <c r="D28" s="14">
        <f t="shared" si="1"/>
        <v>0</v>
      </c>
      <c r="E28" s="59">
        <v>45411</v>
      </c>
      <c r="F28" s="25">
        <f t="shared" si="2"/>
        <v>0</v>
      </c>
    </row>
    <row r="29" spans="1:6" x14ac:dyDescent="0.25">
      <c r="A29" s="59">
        <v>45318</v>
      </c>
      <c r="B29" s="14">
        <f t="shared" si="0"/>
        <v>1</v>
      </c>
      <c r="C29" s="59">
        <v>45378</v>
      </c>
      <c r="D29" s="14">
        <f t="shared" si="1"/>
        <v>0</v>
      </c>
      <c r="E29" s="59">
        <v>45412</v>
      </c>
      <c r="F29" s="25">
        <f t="shared" si="2"/>
        <v>0</v>
      </c>
    </row>
    <row r="30" spans="1:6" x14ac:dyDescent="0.25">
      <c r="A30" s="59">
        <v>45319</v>
      </c>
      <c r="B30" s="14">
        <f t="shared" si="0"/>
        <v>1</v>
      </c>
      <c r="C30" s="59">
        <v>45379</v>
      </c>
      <c r="D30" s="14">
        <f t="shared" si="1"/>
        <v>0</v>
      </c>
      <c r="E30" s="59">
        <v>45413</v>
      </c>
      <c r="F30" s="25">
        <f t="shared" si="2"/>
        <v>0</v>
      </c>
    </row>
    <row r="31" spans="1:6" x14ac:dyDescent="0.25">
      <c r="A31" s="59">
        <v>45320</v>
      </c>
      <c r="B31" s="14">
        <f t="shared" si="0"/>
        <v>0</v>
      </c>
      <c r="C31" s="59">
        <v>45380</v>
      </c>
      <c r="D31" s="14">
        <f t="shared" si="1"/>
        <v>0</v>
      </c>
      <c r="E31" s="59">
        <v>45414</v>
      </c>
      <c r="F31" s="25">
        <f t="shared" si="2"/>
        <v>0</v>
      </c>
    </row>
    <row r="32" spans="1:6" x14ac:dyDescent="0.25">
      <c r="A32" s="59">
        <v>45321</v>
      </c>
      <c r="B32" s="14">
        <f t="shared" si="0"/>
        <v>0</v>
      </c>
      <c r="C32" s="59">
        <v>45381</v>
      </c>
      <c r="D32" s="14">
        <f t="shared" si="1"/>
        <v>1</v>
      </c>
      <c r="E32" s="59">
        <v>45415</v>
      </c>
      <c r="F32" s="25">
        <f t="shared" si="2"/>
        <v>0</v>
      </c>
    </row>
    <row r="33" spans="1:6" x14ac:dyDescent="0.25">
      <c r="A33" s="59">
        <v>45322</v>
      </c>
      <c r="B33" s="14">
        <f t="shared" si="0"/>
        <v>0</v>
      </c>
      <c r="C33" s="59">
        <v>45382</v>
      </c>
      <c r="D33" s="14">
        <f t="shared" si="1"/>
        <v>1</v>
      </c>
      <c r="E33" s="59">
        <v>45416</v>
      </c>
      <c r="F33" s="25">
        <f t="shared" si="2"/>
        <v>1</v>
      </c>
    </row>
    <row r="34" spans="1:6" x14ac:dyDescent="0.25">
      <c r="A34" s="59">
        <v>45323</v>
      </c>
      <c r="B34" s="14">
        <f t="shared" si="0"/>
        <v>0</v>
      </c>
      <c r="C34" s="59">
        <v>45383</v>
      </c>
      <c r="D34" s="14">
        <f t="shared" si="1"/>
        <v>0</v>
      </c>
      <c r="E34" s="59">
        <v>45417</v>
      </c>
      <c r="F34" s="25">
        <f t="shared" si="2"/>
        <v>1</v>
      </c>
    </row>
    <row r="35" spans="1:6" x14ac:dyDescent="0.25">
      <c r="A35" s="59">
        <v>45324</v>
      </c>
      <c r="B35" s="14">
        <f t="shared" si="0"/>
        <v>0</v>
      </c>
      <c r="C35" s="59">
        <v>45384</v>
      </c>
      <c r="D35" s="14">
        <f t="shared" si="1"/>
        <v>0</v>
      </c>
      <c r="E35" s="59">
        <v>45418</v>
      </c>
      <c r="F35" s="25">
        <f t="shared" si="2"/>
        <v>0</v>
      </c>
    </row>
    <row r="36" spans="1:6" x14ac:dyDescent="0.25">
      <c r="A36" s="59">
        <v>45325</v>
      </c>
      <c r="B36" s="14">
        <f t="shared" si="0"/>
        <v>1</v>
      </c>
      <c r="C36" s="59">
        <v>45385</v>
      </c>
      <c r="D36" s="14">
        <f t="shared" si="1"/>
        <v>0</v>
      </c>
      <c r="E36" s="59">
        <v>45419</v>
      </c>
      <c r="F36" s="25">
        <f t="shared" si="2"/>
        <v>0</v>
      </c>
    </row>
    <row r="37" spans="1:6" x14ac:dyDescent="0.25">
      <c r="A37" s="59">
        <v>45326</v>
      </c>
      <c r="B37" s="14">
        <f t="shared" si="0"/>
        <v>1</v>
      </c>
      <c r="C37" s="59">
        <v>45386</v>
      </c>
      <c r="D37" s="14">
        <f t="shared" si="1"/>
        <v>0</v>
      </c>
      <c r="E37" s="59">
        <v>45420</v>
      </c>
      <c r="F37" s="25">
        <f t="shared" si="2"/>
        <v>0</v>
      </c>
    </row>
    <row r="38" spans="1:6" x14ac:dyDescent="0.25">
      <c r="A38" s="59">
        <v>45327</v>
      </c>
      <c r="B38" s="14">
        <f t="shared" si="0"/>
        <v>0</v>
      </c>
      <c r="C38" s="59">
        <v>45387</v>
      </c>
      <c r="D38" s="14">
        <f t="shared" si="1"/>
        <v>0</v>
      </c>
      <c r="E38" s="59">
        <v>45421</v>
      </c>
      <c r="F38" s="25">
        <f t="shared" si="2"/>
        <v>0</v>
      </c>
    </row>
    <row r="39" spans="1:6" x14ac:dyDescent="0.25">
      <c r="A39" s="59">
        <v>45328</v>
      </c>
      <c r="B39" s="14">
        <f t="shared" si="0"/>
        <v>0</v>
      </c>
      <c r="C39" s="59">
        <v>45388</v>
      </c>
      <c r="D39" s="14">
        <f t="shared" si="1"/>
        <v>1</v>
      </c>
      <c r="E39" s="59">
        <v>45422</v>
      </c>
      <c r="F39" s="25">
        <f t="shared" si="2"/>
        <v>0</v>
      </c>
    </row>
    <row r="40" spans="1:6" x14ac:dyDescent="0.25">
      <c r="A40" s="59">
        <v>45329</v>
      </c>
      <c r="B40" s="14">
        <f t="shared" si="0"/>
        <v>0</v>
      </c>
      <c r="C40" s="59">
        <v>45389</v>
      </c>
      <c r="D40" s="14">
        <f t="shared" si="1"/>
        <v>1</v>
      </c>
      <c r="E40" s="59">
        <v>45423</v>
      </c>
      <c r="F40" s="25">
        <f t="shared" si="2"/>
        <v>1</v>
      </c>
    </row>
    <row r="41" spans="1:6" x14ac:dyDescent="0.25">
      <c r="A41" s="59">
        <v>45330</v>
      </c>
      <c r="B41" s="14">
        <f t="shared" si="0"/>
        <v>0</v>
      </c>
      <c r="C41" s="59">
        <v>45390</v>
      </c>
      <c r="D41" s="14">
        <f t="shared" si="1"/>
        <v>0</v>
      </c>
      <c r="E41" s="59">
        <v>45424</v>
      </c>
      <c r="F41" s="25">
        <f t="shared" si="2"/>
        <v>1</v>
      </c>
    </row>
    <row r="42" spans="1:6" x14ac:dyDescent="0.25">
      <c r="A42" s="59">
        <v>45331</v>
      </c>
      <c r="B42" s="14">
        <f t="shared" si="0"/>
        <v>0</v>
      </c>
      <c r="C42" s="59">
        <v>45391</v>
      </c>
      <c r="D42" s="14">
        <f t="shared" si="1"/>
        <v>0</v>
      </c>
      <c r="E42" s="59">
        <v>45425</v>
      </c>
      <c r="F42" s="25">
        <f t="shared" si="2"/>
        <v>0</v>
      </c>
    </row>
    <row r="43" spans="1:6" x14ac:dyDescent="0.25">
      <c r="A43" s="59">
        <v>45332</v>
      </c>
      <c r="B43" s="14">
        <f t="shared" si="0"/>
        <v>1</v>
      </c>
      <c r="C43" s="59">
        <v>45392</v>
      </c>
      <c r="D43" s="14">
        <f t="shared" si="1"/>
        <v>0</v>
      </c>
      <c r="E43" s="59">
        <v>45426</v>
      </c>
      <c r="F43" s="25">
        <f t="shared" si="2"/>
        <v>0</v>
      </c>
    </row>
    <row r="44" spans="1:6" x14ac:dyDescent="0.25">
      <c r="A44" s="59">
        <v>45333</v>
      </c>
      <c r="B44" s="14">
        <f t="shared" si="0"/>
        <v>1</v>
      </c>
      <c r="C44" s="59">
        <v>45393</v>
      </c>
      <c r="D44" s="14">
        <f t="shared" si="1"/>
        <v>0</v>
      </c>
      <c r="E44" s="59">
        <v>45427</v>
      </c>
      <c r="F44" s="25">
        <f t="shared" si="2"/>
        <v>0</v>
      </c>
    </row>
    <row r="45" spans="1:6" x14ac:dyDescent="0.25">
      <c r="A45" s="59">
        <v>45334</v>
      </c>
      <c r="B45" s="14">
        <f t="shared" si="0"/>
        <v>0</v>
      </c>
      <c r="C45" s="59">
        <v>45394</v>
      </c>
      <c r="D45" s="14">
        <f t="shared" si="1"/>
        <v>0</v>
      </c>
      <c r="E45" s="59">
        <v>45428</v>
      </c>
      <c r="F45" s="25">
        <f t="shared" si="2"/>
        <v>0</v>
      </c>
    </row>
    <row r="46" spans="1:6" x14ac:dyDescent="0.25">
      <c r="A46" s="59">
        <v>45335</v>
      </c>
      <c r="B46" s="14">
        <f t="shared" si="0"/>
        <v>0</v>
      </c>
      <c r="C46" s="59">
        <v>45395</v>
      </c>
      <c r="D46" s="14">
        <f t="shared" si="1"/>
        <v>1</v>
      </c>
      <c r="E46" s="59">
        <v>45429</v>
      </c>
      <c r="F46" s="25">
        <f t="shared" si="2"/>
        <v>0</v>
      </c>
    </row>
    <row r="47" spans="1:6" x14ac:dyDescent="0.25">
      <c r="A47" s="59">
        <v>45336</v>
      </c>
      <c r="B47" s="14">
        <f t="shared" si="0"/>
        <v>0</v>
      </c>
      <c r="C47" s="59">
        <v>45396</v>
      </c>
      <c r="D47" s="14">
        <f t="shared" si="1"/>
        <v>1</v>
      </c>
      <c r="E47" s="59">
        <v>45430</v>
      </c>
      <c r="F47" s="25">
        <f t="shared" si="2"/>
        <v>1</v>
      </c>
    </row>
    <row r="48" spans="1:6" x14ac:dyDescent="0.25">
      <c r="A48" s="59">
        <v>45337</v>
      </c>
      <c r="B48" s="14">
        <f t="shared" si="0"/>
        <v>0</v>
      </c>
      <c r="C48" s="59">
        <v>45397</v>
      </c>
      <c r="D48" s="14">
        <f t="shared" si="1"/>
        <v>0</v>
      </c>
      <c r="E48" s="59">
        <v>45431</v>
      </c>
      <c r="F48" s="25">
        <f t="shared" si="2"/>
        <v>1</v>
      </c>
    </row>
    <row r="49" spans="1:6" x14ac:dyDescent="0.25">
      <c r="A49" s="59">
        <v>45338</v>
      </c>
      <c r="B49" s="14">
        <f t="shared" si="0"/>
        <v>0</v>
      </c>
      <c r="C49" s="59">
        <v>45398</v>
      </c>
      <c r="D49" s="14">
        <f t="shared" si="1"/>
        <v>0</v>
      </c>
      <c r="E49" s="59">
        <v>45432</v>
      </c>
      <c r="F49" s="25">
        <f t="shared" si="2"/>
        <v>0</v>
      </c>
    </row>
    <row r="50" spans="1:6" x14ac:dyDescent="0.25">
      <c r="A50" s="59">
        <v>45339</v>
      </c>
      <c r="B50" s="14">
        <f t="shared" si="0"/>
        <v>1</v>
      </c>
      <c r="C50" s="59">
        <v>45399</v>
      </c>
      <c r="D50" s="14">
        <f t="shared" si="1"/>
        <v>0</v>
      </c>
      <c r="E50" s="59">
        <v>45433</v>
      </c>
      <c r="F50" s="25">
        <f t="shared" si="2"/>
        <v>0</v>
      </c>
    </row>
    <row r="51" spans="1:6" x14ac:dyDescent="0.25">
      <c r="A51" s="59">
        <v>45340</v>
      </c>
      <c r="B51" s="14">
        <f t="shared" si="0"/>
        <v>1</v>
      </c>
      <c r="C51" s="59">
        <v>45400</v>
      </c>
      <c r="D51" s="14">
        <f t="shared" si="1"/>
        <v>0</v>
      </c>
      <c r="E51" s="59">
        <v>45434</v>
      </c>
      <c r="F51" s="25">
        <f t="shared" si="2"/>
        <v>0</v>
      </c>
    </row>
    <row r="52" spans="1:6" x14ac:dyDescent="0.25">
      <c r="A52" s="59">
        <v>45341</v>
      </c>
      <c r="B52" s="14">
        <f t="shared" si="0"/>
        <v>0</v>
      </c>
      <c r="C52" s="59">
        <v>45401</v>
      </c>
      <c r="D52" s="14">
        <f t="shared" si="1"/>
        <v>0</v>
      </c>
      <c r="E52" s="59">
        <v>45435</v>
      </c>
      <c r="F52" s="25">
        <f t="shared" si="2"/>
        <v>0</v>
      </c>
    </row>
    <row r="53" spans="1:6" x14ac:dyDescent="0.25">
      <c r="A53" s="59">
        <v>45342</v>
      </c>
      <c r="B53" s="14">
        <f t="shared" si="0"/>
        <v>0</v>
      </c>
      <c r="C53" s="59">
        <v>45402</v>
      </c>
      <c r="D53" s="14">
        <f t="shared" si="1"/>
        <v>1</v>
      </c>
      <c r="E53" s="59">
        <v>45436</v>
      </c>
      <c r="F53" s="25">
        <f t="shared" si="2"/>
        <v>0</v>
      </c>
    </row>
    <row r="54" spans="1:6" x14ac:dyDescent="0.25">
      <c r="A54" s="59">
        <v>45343</v>
      </c>
      <c r="B54" s="14">
        <f t="shared" si="0"/>
        <v>0</v>
      </c>
      <c r="C54" s="59">
        <v>45403</v>
      </c>
      <c r="D54" s="14">
        <f t="shared" si="1"/>
        <v>1</v>
      </c>
      <c r="E54" s="59">
        <v>45437</v>
      </c>
      <c r="F54" s="25">
        <f t="shared" si="2"/>
        <v>1</v>
      </c>
    </row>
    <row r="55" spans="1:6" x14ac:dyDescent="0.25">
      <c r="A55" s="59">
        <v>45344</v>
      </c>
      <c r="B55" s="14">
        <f t="shared" si="0"/>
        <v>0</v>
      </c>
      <c r="C55" s="59">
        <v>45404</v>
      </c>
      <c r="D55" s="14">
        <f t="shared" si="1"/>
        <v>0</v>
      </c>
      <c r="E55" s="59">
        <v>45438</v>
      </c>
      <c r="F55" s="25">
        <f t="shared" si="2"/>
        <v>1</v>
      </c>
    </row>
    <row r="56" spans="1:6" x14ac:dyDescent="0.25">
      <c r="A56" s="59">
        <v>45345</v>
      </c>
      <c r="B56" s="14">
        <f t="shared" si="0"/>
        <v>0</v>
      </c>
      <c r="C56" s="59">
        <v>45405</v>
      </c>
      <c r="D56" s="14">
        <f t="shared" si="1"/>
        <v>0</v>
      </c>
      <c r="E56" s="59">
        <v>45439</v>
      </c>
      <c r="F56" s="25">
        <f t="shared" si="2"/>
        <v>0</v>
      </c>
    </row>
    <row r="57" spans="1:6" x14ac:dyDescent="0.25">
      <c r="A57" s="59">
        <v>45346</v>
      </c>
      <c r="B57" s="14">
        <f t="shared" si="0"/>
        <v>1</v>
      </c>
      <c r="C57" s="59">
        <v>45406</v>
      </c>
      <c r="D57" s="14">
        <f t="shared" si="1"/>
        <v>0</v>
      </c>
      <c r="E57" s="59">
        <v>45440</v>
      </c>
      <c r="F57" s="25">
        <f t="shared" si="2"/>
        <v>0</v>
      </c>
    </row>
    <row r="58" spans="1:6" x14ac:dyDescent="0.25">
      <c r="A58" s="59">
        <v>45347</v>
      </c>
      <c r="B58" s="14">
        <f t="shared" si="0"/>
        <v>1</v>
      </c>
      <c r="C58" s="59">
        <v>45407</v>
      </c>
      <c r="D58" s="14">
        <f t="shared" si="1"/>
        <v>0</v>
      </c>
      <c r="E58" s="59">
        <v>45441</v>
      </c>
      <c r="F58" s="25">
        <f t="shared" si="2"/>
        <v>0</v>
      </c>
    </row>
    <row r="59" spans="1:6" x14ac:dyDescent="0.25">
      <c r="A59" s="59">
        <v>45348</v>
      </c>
      <c r="B59" s="14">
        <f t="shared" si="0"/>
        <v>0</v>
      </c>
      <c r="C59" s="59">
        <v>45408</v>
      </c>
      <c r="D59" s="14">
        <f t="shared" si="1"/>
        <v>0</v>
      </c>
      <c r="E59" s="59">
        <v>45442</v>
      </c>
      <c r="F59" s="25">
        <f t="shared" si="2"/>
        <v>0</v>
      </c>
    </row>
    <row r="60" spans="1:6" x14ac:dyDescent="0.25">
      <c r="A60" s="59">
        <v>45349</v>
      </c>
      <c r="B60" s="14">
        <f t="shared" si="0"/>
        <v>0</v>
      </c>
      <c r="C60" s="59">
        <v>45409</v>
      </c>
      <c r="D60" s="14">
        <f t="shared" si="1"/>
        <v>1</v>
      </c>
      <c r="E60" s="59">
        <v>45443</v>
      </c>
      <c r="F60" s="25">
        <f t="shared" si="2"/>
        <v>0</v>
      </c>
    </row>
    <row r="61" spans="1:6" x14ac:dyDescent="0.25">
      <c r="A61" s="59">
        <v>45350</v>
      </c>
      <c r="B61" s="14">
        <f t="shared" si="0"/>
        <v>0</v>
      </c>
      <c r="C61" s="59">
        <v>45410</v>
      </c>
      <c r="D61" s="14">
        <f t="shared" si="1"/>
        <v>1</v>
      </c>
      <c r="E61" s="59">
        <v>45444</v>
      </c>
      <c r="F61" s="25">
        <f t="shared" si="2"/>
        <v>1</v>
      </c>
    </row>
    <row r="62" spans="1:6" x14ac:dyDescent="0.25">
      <c r="A62" s="59">
        <v>45351</v>
      </c>
      <c r="B62" s="14">
        <f t="shared" si="0"/>
        <v>0</v>
      </c>
      <c r="C62" s="59">
        <v>45411</v>
      </c>
      <c r="D62" s="14">
        <f t="shared" si="1"/>
        <v>0</v>
      </c>
      <c r="E62" s="59">
        <v>45445</v>
      </c>
      <c r="F62" s="25">
        <f t="shared" si="2"/>
        <v>1</v>
      </c>
    </row>
    <row r="63" spans="1:6" x14ac:dyDescent="0.25">
      <c r="A63" s="59">
        <v>45352</v>
      </c>
      <c r="B63" s="14">
        <f t="shared" si="0"/>
        <v>0</v>
      </c>
      <c r="C63" s="59">
        <v>45412</v>
      </c>
      <c r="D63" s="14">
        <f t="shared" si="1"/>
        <v>0</v>
      </c>
      <c r="E63" s="59">
        <v>45446</v>
      </c>
      <c r="F63" s="25">
        <f t="shared" si="2"/>
        <v>0</v>
      </c>
    </row>
    <row r="64" spans="1:6" x14ac:dyDescent="0.25">
      <c r="A64" s="59">
        <v>45353</v>
      </c>
      <c r="B64" s="14">
        <f t="shared" si="0"/>
        <v>1</v>
      </c>
      <c r="C64" s="59">
        <v>45413</v>
      </c>
      <c r="D64" s="14">
        <f t="shared" si="1"/>
        <v>0</v>
      </c>
      <c r="E64" s="59">
        <v>45447</v>
      </c>
      <c r="F64" s="25">
        <f t="shared" si="2"/>
        <v>0</v>
      </c>
    </row>
    <row r="65" spans="1:6" x14ac:dyDescent="0.25">
      <c r="A65" s="59">
        <v>45354</v>
      </c>
      <c r="B65" s="14">
        <f t="shared" si="0"/>
        <v>1</v>
      </c>
      <c r="C65" s="59">
        <v>45414</v>
      </c>
      <c r="D65" s="14">
        <f t="shared" si="1"/>
        <v>0</v>
      </c>
      <c r="E65" s="59">
        <v>45448</v>
      </c>
      <c r="F65" s="25">
        <f t="shared" si="2"/>
        <v>0</v>
      </c>
    </row>
    <row r="66" spans="1:6" x14ac:dyDescent="0.25">
      <c r="A66" s="59">
        <v>45355</v>
      </c>
      <c r="B66" s="14">
        <f t="shared" si="0"/>
        <v>0</v>
      </c>
      <c r="C66" s="59">
        <v>45415</v>
      </c>
      <c r="D66" s="14">
        <f t="shared" si="1"/>
        <v>0</v>
      </c>
      <c r="E66" s="59">
        <v>45449</v>
      </c>
      <c r="F66" s="25">
        <f t="shared" si="2"/>
        <v>0</v>
      </c>
    </row>
    <row r="67" spans="1:6" x14ac:dyDescent="0.25">
      <c r="A67" s="59">
        <v>45356</v>
      </c>
      <c r="B67" s="14">
        <f t="shared" ref="B67:B130" si="3">1-IF(WEEKDAY(A67,2)&gt;5,0,1)</f>
        <v>0</v>
      </c>
      <c r="C67" s="59">
        <v>45416</v>
      </c>
      <c r="D67" s="14">
        <f t="shared" ref="D67:D130" si="4">1-IF(WEEKDAY(C67,2)&gt;5,0,1)</f>
        <v>1</v>
      </c>
      <c r="E67" s="59">
        <v>45450</v>
      </c>
      <c r="F67" s="25">
        <f t="shared" ref="F67:F130" si="5">1-IF(WEEKDAY(E67,2)&gt;5,0,1)</f>
        <v>0</v>
      </c>
    </row>
    <row r="68" spans="1:6" x14ac:dyDescent="0.25">
      <c r="A68" s="59">
        <v>45357</v>
      </c>
      <c r="B68" s="14">
        <f t="shared" si="3"/>
        <v>0</v>
      </c>
      <c r="C68" s="59">
        <v>45417</v>
      </c>
      <c r="D68" s="14">
        <f t="shared" si="4"/>
        <v>1</v>
      </c>
      <c r="E68" s="59">
        <v>45451</v>
      </c>
      <c r="F68" s="25">
        <f t="shared" si="5"/>
        <v>1</v>
      </c>
    </row>
    <row r="69" spans="1:6" x14ac:dyDescent="0.25">
      <c r="A69" s="59">
        <v>45358</v>
      </c>
      <c r="B69" s="14">
        <f t="shared" si="3"/>
        <v>0</v>
      </c>
      <c r="C69" s="59">
        <v>45418</v>
      </c>
      <c r="D69" s="14">
        <f t="shared" si="4"/>
        <v>0</v>
      </c>
      <c r="E69" s="59">
        <v>45452</v>
      </c>
      <c r="F69" s="25">
        <f t="shared" si="5"/>
        <v>1</v>
      </c>
    </row>
    <row r="70" spans="1:6" x14ac:dyDescent="0.25">
      <c r="A70" s="59">
        <v>45359</v>
      </c>
      <c r="B70" s="14">
        <f t="shared" si="3"/>
        <v>0</v>
      </c>
      <c r="C70" s="59">
        <v>45419</v>
      </c>
      <c r="D70" s="14">
        <f t="shared" si="4"/>
        <v>0</v>
      </c>
      <c r="E70" s="59">
        <v>45453</v>
      </c>
      <c r="F70" s="25">
        <f t="shared" si="5"/>
        <v>0</v>
      </c>
    </row>
    <row r="71" spans="1:6" x14ac:dyDescent="0.25">
      <c r="A71" s="59">
        <v>45360</v>
      </c>
      <c r="B71" s="14">
        <f t="shared" si="3"/>
        <v>1</v>
      </c>
      <c r="C71" s="59">
        <v>45420</v>
      </c>
      <c r="D71" s="14">
        <f t="shared" si="4"/>
        <v>0</v>
      </c>
      <c r="E71" s="59">
        <v>45454</v>
      </c>
      <c r="F71" s="25">
        <f t="shared" si="5"/>
        <v>0</v>
      </c>
    </row>
    <row r="72" spans="1:6" x14ac:dyDescent="0.25">
      <c r="A72" s="59">
        <v>45361</v>
      </c>
      <c r="B72" s="14">
        <f t="shared" si="3"/>
        <v>1</v>
      </c>
      <c r="C72" s="59">
        <v>45421</v>
      </c>
      <c r="D72" s="14">
        <f t="shared" si="4"/>
        <v>0</v>
      </c>
      <c r="E72" s="59">
        <v>45455</v>
      </c>
      <c r="F72" s="25">
        <f t="shared" si="5"/>
        <v>0</v>
      </c>
    </row>
    <row r="73" spans="1:6" x14ac:dyDescent="0.25">
      <c r="A73" s="59">
        <v>45362</v>
      </c>
      <c r="B73" s="14">
        <f t="shared" si="3"/>
        <v>0</v>
      </c>
      <c r="C73" s="59">
        <v>45422</v>
      </c>
      <c r="D73" s="14">
        <f t="shared" si="4"/>
        <v>0</v>
      </c>
      <c r="E73" s="59">
        <v>45456</v>
      </c>
      <c r="F73" s="25">
        <f t="shared" si="5"/>
        <v>0</v>
      </c>
    </row>
    <row r="74" spans="1:6" x14ac:dyDescent="0.25">
      <c r="A74" s="59">
        <v>45363</v>
      </c>
      <c r="B74" s="14">
        <f t="shared" si="3"/>
        <v>0</v>
      </c>
      <c r="C74" s="59">
        <v>45423</v>
      </c>
      <c r="D74" s="14">
        <f t="shared" si="4"/>
        <v>1</v>
      </c>
      <c r="E74" s="59">
        <v>45457</v>
      </c>
      <c r="F74" s="25">
        <f t="shared" si="5"/>
        <v>0</v>
      </c>
    </row>
    <row r="75" spans="1:6" x14ac:dyDescent="0.25">
      <c r="A75" s="59">
        <v>45364</v>
      </c>
      <c r="B75" s="14">
        <f t="shared" si="3"/>
        <v>0</v>
      </c>
      <c r="C75" s="59">
        <v>45424</v>
      </c>
      <c r="D75" s="14">
        <f t="shared" si="4"/>
        <v>1</v>
      </c>
      <c r="E75" s="59">
        <v>45458</v>
      </c>
      <c r="F75" s="25">
        <f t="shared" si="5"/>
        <v>1</v>
      </c>
    </row>
    <row r="76" spans="1:6" x14ac:dyDescent="0.25">
      <c r="A76" s="59">
        <v>45365</v>
      </c>
      <c r="B76" s="14">
        <f t="shared" si="3"/>
        <v>0</v>
      </c>
      <c r="C76" s="59">
        <v>45425</v>
      </c>
      <c r="D76" s="14">
        <f t="shared" si="4"/>
        <v>0</v>
      </c>
      <c r="E76" s="59">
        <v>45459</v>
      </c>
      <c r="F76" s="25">
        <f t="shared" si="5"/>
        <v>1</v>
      </c>
    </row>
    <row r="77" spans="1:6" x14ac:dyDescent="0.25">
      <c r="A77" s="59">
        <v>45366</v>
      </c>
      <c r="B77" s="14">
        <f t="shared" si="3"/>
        <v>0</v>
      </c>
      <c r="C77" s="59">
        <v>45426</v>
      </c>
      <c r="D77" s="14">
        <f t="shared" si="4"/>
        <v>0</v>
      </c>
      <c r="E77" s="59">
        <v>45460</v>
      </c>
      <c r="F77" s="25">
        <f t="shared" si="5"/>
        <v>0</v>
      </c>
    </row>
    <row r="78" spans="1:6" x14ac:dyDescent="0.25">
      <c r="A78" s="59">
        <v>45367</v>
      </c>
      <c r="B78" s="14">
        <f t="shared" si="3"/>
        <v>1</v>
      </c>
      <c r="C78" s="59">
        <v>45427</v>
      </c>
      <c r="D78" s="14">
        <f t="shared" si="4"/>
        <v>0</v>
      </c>
      <c r="E78" s="59">
        <v>45461</v>
      </c>
      <c r="F78" s="25">
        <f t="shared" si="5"/>
        <v>0</v>
      </c>
    </row>
    <row r="79" spans="1:6" x14ac:dyDescent="0.25">
      <c r="A79" s="59">
        <v>45368</v>
      </c>
      <c r="B79" s="14">
        <f t="shared" si="3"/>
        <v>1</v>
      </c>
      <c r="C79" s="59">
        <v>45428</v>
      </c>
      <c r="D79" s="14">
        <f t="shared" si="4"/>
        <v>0</v>
      </c>
      <c r="E79" s="59">
        <v>45462</v>
      </c>
      <c r="F79" s="25">
        <f t="shared" si="5"/>
        <v>0</v>
      </c>
    </row>
    <row r="80" spans="1:6" x14ac:dyDescent="0.25">
      <c r="A80" s="59">
        <v>45369</v>
      </c>
      <c r="B80" s="14">
        <f t="shared" si="3"/>
        <v>0</v>
      </c>
      <c r="C80" s="59">
        <v>45429</v>
      </c>
      <c r="D80" s="14">
        <f t="shared" si="4"/>
        <v>0</v>
      </c>
      <c r="E80" s="59">
        <v>45463</v>
      </c>
      <c r="F80" s="25">
        <f t="shared" si="5"/>
        <v>0</v>
      </c>
    </row>
    <row r="81" spans="1:6" x14ac:dyDescent="0.25">
      <c r="A81" s="59">
        <v>45370</v>
      </c>
      <c r="B81" s="14">
        <f t="shared" si="3"/>
        <v>0</v>
      </c>
      <c r="C81" s="59">
        <v>45430</v>
      </c>
      <c r="D81" s="14">
        <f t="shared" si="4"/>
        <v>1</v>
      </c>
      <c r="E81" s="59">
        <v>45464</v>
      </c>
      <c r="F81" s="25">
        <f t="shared" si="5"/>
        <v>0</v>
      </c>
    </row>
    <row r="82" spans="1:6" x14ac:dyDescent="0.25">
      <c r="A82" s="59">
        <v>45371</v>
      </c>
      <c r="B82" s="14">
        <f t="shared" si="3"/>
        <v>0</v>
      </c>
      <c r="C82" s="59">
        <v>45431</v>
      </c>
      <c r="D82" s="14">
        <f t="shared" si="4"/>
        <v>1</v>
      </c>
      <c r="E82" s="59">
        <v>45465</v>
      </c>
      <c r="F82" s="25">
        <f t="shared" si="5"/>
        <v>1</v>
      </c>
    </row>
    <row r="83" spans="1:6" x14ac:dyDescent="0.25">
      <c r="A83" s="59">
        <v>45372</v>
      </c>
      <c r="B83" s="14">
        <f t="shared" si="3"/>
        <v>0</v>
      </c>
      <c r="C83" s="59">
        <v>45432</v>
      </c>
      <c r="D83" s="14">
        <f t="shared" si="4"/>
        <v>0</v>
      </c>
      <c r="E83" s="59">
        <v>45466</v>
      </c>
      <c r="F83" s="25">
        <f t="shared" si="5"/>
        <v>1</v>
      </c>
    </row>
    <row r="84" spans="1:6" x14ac:dyDescent="0.25">
      <c r="A84" s="59">
        <v>45373</v>
      </c>
      <c r="B84" s="14">
        <f t="shared" si="3"/>
        <v>0</v>
      </c>
      <c r="C84" s="59">
        <v>45433</v>
      </c>
      <c r="D84" s="14">
        <f t="shared" si="4"/>
        <v>0</v>
      </c>
      <c r="E84" s="59">
        <v>45467</v>
      </c>
      <c r="F84" s="25">
        <f t="shared" si="5"/>
        <v>0</v>
      </c>
    </row>
    <row r="85" spans="1:6" x14ac:dyDescent="0.25">
      <c r="A85" s="59">
        <v>45374</v>
      </c>
      <c r="B85" s="14">
        <f t="shared" si="3"/>
        <v>1</v>
      </c>
      <c r="C85" s="59">
        <v>45434</v>
      </c>
      <c r="D85" s="14">
        <f t="shared" si="4"/>
        <v>0</v>
      </c>
      <c r="E85" s="59">
        <v>45468</v>
      </c>
      <c r="F85" s="25">
        <f t="shared" si="5"/>
        <v>0</v>
      </c>
    </row>
    <row r="86" spans="1:6" x14ac:dyDescent="0.25">
      <c r="A86" s="59">
        <v>45375</v>
      </c>
      <c r="B86" s="14">
        <f t="shared" si="3"/>
        <v>1</v>
      </c>
      <c r="C86" s="59">
        <v>45435</v>
      </c>
      <c r="D86" s="14">
        <f t="shared" si="4"/>
        <v>0</v>
      </c>
      <c r="E86" s="59">
        <v>45469</v>
      </c>
      <c r="F86" s="25">
        <f t="shared" si="5"/>
        <v>0</v>
      </c>
    </row>
    <row r="87" spans="1:6" x14ac:dyDescent="0.25">
      <c r="A87" s="59">
        <v>45376</v>
      </c>
      <c r="B87" s="14">
        <f t="shared" si="3"/>
        <v>0</v>
      </c>
      <c r="C87" s="59">
        <v>45436</v>
      </c>
      <c r="D87" s="14">
        <f t="shared" si="4"/>
        <v>0</v>
      </c>
      <c r="E87" s="59">
        <v>45470</v>
      </c>
      <c r="F87" s="25">
        <f t="shared" si="5"/>
        <v>0</v>
      </c>
    </row>
    <row r="88" spans="1:6" x14ac:dyDescent="0.25">
      <c r="A88" s="59">
        <v>45377</v>
      </c>
      <c r="B88" s="14">
        <f t="shared" si="3"/>
        <v>0</v>
      </c>
      <c r="C88" s="59">
        <v>45437</v>
      </c>
      <c r="D88" s="14">
        <f t="shared" si="4"/>
        <v>1</v>
      </c>
      <c r="E88" s="59">
        <v>45471</v>
      </c>
      <c r="F88" s="25">
        <f t="shared" si="5"/>
        <v>0</v>
      </c>
    </row>
    <row r="89" spans="1:6" x14ac:dyDescent="0.25">
      <c r="A89" s="59">
        <v>45378</v>
      </c>
      <c r="B89" s="14">
        <f t="shared" si="3"/>
        <v>0</v>
      </c>
      <c r="C89" s="59">
        <v>45438</v>
      </c>
      <c r="D89" s="14">
        <f t="shared" si="4"/>
        <v>1</v>
      </c>
      <c r="E89" s="59">
        <v>45472</v>
      </c>
      <c r="F89" s="25">
        <f t="shared" si="5"/>
        <v>1</v>
      </c>
    </row>
    <row r="90" spans="1:6" x14ac:dyDescent="0.25">
      <c r="A90" s="59">
        <v>45379</v>
      </c>
      <c r="B90" s="14">
        <f t="shared" si="3"/>
        <v>0</v>
      </c>
      <c r="C90" s="59">
        <v>45439</v>
      </c>
      <c r="D90" s="14">
        <f t="shared" si="4"/>
        <v>0</v>
      </c>
      <c r="E90" s="59">
        <v>45473</v>
      </c>
      <c r="F90" s="25">
        <f t="shared" si="5"/>
        <v>1</v>
      </c>
    </row>
    <row r="91" spans="1:6" x14ac:dyDescent="0.25">
      <c r="A91" s="59">
        <v>45380</v>
      </c>
      <c r="B91" s="14">
        <f t="shared" si="3"/>
        <v>0</v>
      </c>
      <c r="C91" s="59">
        <v>45440</v>
      </c>
      <c r="D91" s="14">
        <f t="shared" si="4"/>
        <v>0</v>
      </c>
      <c r="E91" s="59">
        <v>45474</v>
      </c>
      <c r="F91" s="25">
        <f t="shared" si="5"/>
        <v>0</v>
      </c>
    </row>
    <row r="92" spans="1:6" x14ac:dyDescent="0.25">
      <c r="A92" s="59">
        <v>45381</v>
      </c>
      <c r="B92" s="14">
        <f t="shared" si="3"/>
        <v>1</v>
      </c>
      <c r="C92" s="59">
        <v>45441</v>
      </c>
      <c r="D92" s="14">
        <f t="shared" si="4"/>
        <v>0</v>
      </c>
      <c r="E92" s="59">
        <v>45475</v>
      </c>
      <c r="F92" s="25">
        <f t="shared" si="5"/>
        <v>0</v>
      </c>
    </row>
    <row r="93" spans="1:6" x14ac:dyDescent="0.25">
      <c r="A93" s="59">
        <v>45382</v>
      </c>
      <c r="B93" s="14">
        <f t="shared" si="3"/>
        <v>1</v>
      </c>
      <c r="C93" s="59">
        <v>45442</v>
      </c>
      <c r="D93" s="14">
        <f t="shared" si="4"/>
        <v>0</v>
      </c>
      <c r="E93" s="59">
        <v>45476</v>
      </c>
      <c r="F93" s="25">
        <f t="shared" si="5"/>
        <v>0</v>
      </c>
    </row>
    <row r="94" spans="1:6" x14ac:dyDescent="0.25">
      <c r="A94" s="59">
        <v>45383</v>
      </c>
      <c r="B94" s="14">
        <f t="shared" si="3"/>
        <v>0</v>
      </c>
      <c r="C94" s="59">
        <v>45443</v>
      </c>
      <c r="D94" s="14">
        <f t="shared" si="4"/>
        <v>0</v>
      </c>
      <c r="E94" s="59">
        <v>45477</v>
      </c>
      <c r="F94" s="25">
        <f t="shared" si="5"/>
        <v>0</v>
      </c>
    </row>
    <row r="95" spans="1:6" x14ac:dyDescent="0.25">
      <c r="A95" s="59">
        <v>45384</v>
      </c>
      <c r="B95" s="14">
        <f t="shared" si="3"/>
        <v>0</v>
      </c>
      <c r="C95" s="59">
        <v>45444</v>
      </c>
      <c r="D95" s="14">
        <f t="shared" si="4"/>
        <v>1</v>
      </c>
      <c r="E95" s="59">
        <v>45478</v>
      </c>
      <c r="F95" s="25">
        <f t="shared" si="5"/>
        <v>0</v>
      </c>
    </row>
    <row r="96" spans="1:6" x14ac:dyDescent="0.25">
      <c r="A96" s="59">
        <v>45385</v>
      </c>
      <c r="B96" s="14">
        <f t="shared" si="3"/>
        <v>0</v>
      </c>
      <c r="C96" s="59">
        <v>45445</v>
      </c>
      <c r="D96" s="14">
        <f t="shared" si="4"/>
        <v>1</v>
      </c>
      <c r="E96" s="59">
        <v>45479</v>
      </c>
      <c r="F96" s="25">
        <f t="shared" si="5"/>
        <v>1</v>
      </c>
    </row>
    <row r="97" spans="1:6" x14ac:dyDescent="0.25">
      <c r="A97" s="59">
        <v>45386</v>
      </c>
      <c r="B97" s="14">
        <f t="shared" si="3"/>
        <v>0</v>
      </c>
      <c r="C97" s="59">
        <v>45446</v>
      </c>
      <c r="D97" s="14">
        <f t="shared" si="4"/>
        <v>0</v>
      </c>
      <c r="E97" s="59">
        <v>45480</v>
      </c>
      <c r="F97" s="25">
        <f t="shared" si="5"/>
        <v>1</v>
      </c>
    </row>
    <row r="98" spans="1:6" x14ac:dyDescent="0.25">
      <c r="A98" s="59">
        <v>45387</v>
      </c>
      <c r="B98" s="14">
        <f t="shared" si="3"/>
        <v>0</v>
      </c>
      <c r="C98" s="59">
        <v>45447</v>
      </c>
      <c r="D98" s="14">
        <f t="shared" si="4"/>
        <v>0</v>
      </c>
      <c r="E98" s="59">
        <v>45481</v>
      </c>
      <c r="F98" s="25">
        <f t="shared" si="5"/>
        <v>0</v>
      </c>
    </row>
    <row r="99" spans="1:6" x14ac:dyDescent="0.25">
      <c r="A99" s="59">
        <v>45388</v>
      </c>
      <c r="B99" s="14">
        <f t="shared" si="3"/>
        <v>1</v>
      </c>
      <c r="C99" s="59">
        <v>45448</v>
      </c>
      <c r="D99" s="14">
        <f t="shared" si="4"/>
        <v>0</v>
      </c>
      <c r="E99" s="59">
        <v>45482</v>
      </c>
      <c r="F99" s="25">
        <f t="shared" si="5"/>
        <v>0</v>
      </c>
    </row>
    <row r="100" spans="1:6" x14ac:dyDescent="0.25">
      <c r="A100" s="59">
        <v>45389</v>
      </c>
      <c r="B100" s="14">
        <f t="shared" si="3"/>
        <v>1</v>
      </c>
      <c r="C100" s="59">
        <v>45449</v>
      </c>
      <c r="D100" s="14">
        <f t="shared" si="4"/>
        <v>0</v>
      </c>
      <c r="E100" s="59">
        <v>45483</v>
      </c>
      <c r="F100" s="25">
        <f t="shared" si="5"/>
        <v>0</v>
      </c>
    </row>
    <row r="101" spans="1:6" x14ac:dyDescent="0.25">
      <c r="A101" s="59">
        <v>45390</v>
      </c>
      <c r="B101" s="14">
        <f t="shared" si="3"/>
        <v>0</v>
      </c>
      <c r="C101" s="59">
        <v>45450</v>
      </c>
      <c r="D101" s="14">
        <f t="shared" si="4"/>
        <v>0</v>
      </c>
      <c r="E101" s="59">
        <v>45484</v>
      </c>
      <c r="F101" s="25">
        <f t="shared" si="5"/>
        <v>0</v>
      </c>
    </row>
    <row r="102" spans="1:6" x14ac:dyDescent="0.25">
      <c r="A102" s="59">
        <v>45391</v>
      </c>
      <c r="B102" s="14">
        <f t="shared" si="3"/>
        <v>0</v>
      </c>
      <c r="C102" s="59">
        <v>45451</v>
      </c>
      <c r="D102" s="14">
        <f t="shared" si="4"/>
        <v>1</v>
      </c>
      <c r="E102" s="59">
        <v>45485</v>
      </c>
      <c r="F102" s="25">
        <f t="shared" si="5"/>
        <v>0</v>
      </c>
    </row>
    <row r="103" spans="1:6" x14ac:dyDescent="0.25">
      <c r="A103" s="59">
        <v>45392</v>
      </c>
      <c r="B103" s="14">
        <f t="shared" si="3"/>
        <v>0</v>
      </c>
      <c r="C103" s="59">
        <v>45452</v>
      </c>
      <c r="D103" s="14">
        <f t="shared" si="4"/>
        <v>1</v>
      </c>
      <c r="E103" s="59">
        <v>45486</v>
      </c>
      <c r="F103" s="25">
        <f t="shared" si="5"/>
        <v>1</v>
      </c>
    </row>
    <row r="104" spans="1:6" x14ac:dyDescent="0.25">
      <c r="A104" s="59">
        <v>45393</v>
      </c>
      <c r="B104" s="14">
        <f t="shared" si="3"/>
        <v>0</v>
      </c>
      <c r="C104" s="59">
        <v>45453</v>
      </c>
      <c r="D104" s="14">
        <f t="shared" si="4"/>
        <v>0</v>
      </c>
      <c r="E104" s="59">
        <v>45487</v>
      </c>
      <c r="F104" s="25">
        <f t="shared" si="5"/>
        <v>1</v>
      </c>
    </row>
    <row r="105" spans="1:6" x14ac:dyDescent="0.25">
      <c r="A105" s="59">
        <v>45394</v>
      </c>
      <c r="B105" s="14">
        <f t="shared" si="3"/>
        <v>0</v>
      </c>
      <c r="C105" s="59">
        <v>45454</v>
      </c>
      <c r="D105" s="14">
        <f t="shared" si="4"/>
        <v>0</v>
      </c>
      <c r="E105" s="59">
        <v>45488</v>
      </c>
      <c r="F105" s="25">
        <f t="shared" si="5"/>
        <v>0</v>
      </c>
    </row>
    <row r="106" spans="1:6" x14ac:dyDescent="0.25">
      <c r="A106" s="59">
        <v>45395</v>
      </c>
      <c r="B106" s="14">
        <f t="shared" si="3"/>
        <v>1</v>
      </c>
      <c r="C106" s="59">
        <v>45455</v>
      </c>
      <c r="D106" s="14">
        <f t="shared" si="4"/>
        <v>0</v>
      </c>
      <c r="E106" s="59">
        <v>45489</v>
      </c>
      <c r="F106" s="25">
        <f t="shared" si="5"/>
        <v>0</v>
      </c>
    </row>
    <row r="107" spans="1:6" x14ac:dyDescent="0.25">
      <c r="A107" s="59">
        <v>45396</v>
      </c>
      <c r="B107" s="14">
        <f t="shared" si="3"/>
        <v>1</v>
      </c>
      <c r="C107" s="59">
        <v>45456</v>
      </c>
      <c r="D107" s="14">
        <f t="shared" si="4"/>
        <v>0</v>
      </c>
      <c r="E107" s="59">
        <v>45490</v>
      </c>
      <c r="F107" s="25">
        <f t="shared" si="5"/>
        <v>0</v>
      </c>
    </row>
    <row r="108" spans="1:6" x14ac:dyDescent="0.25">
      <c r="A108" s="59">
        <v>45397</v>
      </c>
      <c r="B108" s="14">
        <f t="shared" si="3"/>
        <v>0</v>
      </c>
      <c r="C108" s="59">
        <v>45457</v>
      </c>
      <c r="D108" s="14">
        <f t="shared" si="4"/>
        <v>0</v>
      </c>
      <c r="E108" s="59">
        <v>45491</v>
      </c>
      <c r="F108" s="25">
        <f t="shared" si="5"/>
        <v>0</v>
      </c>
    </row>
    <row r="109" spans="1:6" x14ac:dyDescent="0.25">
      <c r="A109" s="59">
        <v>45398</v>
      </c>
      <c r="B109" s="14">
        <f t="shared" si="3"/>
        <v>0</v>
      </c>
      <c r="C109" s="59">
        <v>45458</v>
      </c>
      <c r="D109" s="14">
        <f t="shared" si="4"/>
        <v>1</v>
      </c>
      <c r="E109" s="59">
        <v>45492</v>
      </c>
      <c r="F109" s="25">
        <f t="shared" si="5"/>
        <v>0</v>
      </c>
    </row>
    <row r="110" spans="1:6" x14ac:dyDescent="0.25">
      <c r="A110" s="59">
        <v>45399</v>
      </c>
      <c r="B110" s="14">
        <f t="shared" si="3"/>
        <v>0</v>
      </c>
      <c r="C110" s="59">
        <v>45459</v>
      </c>
      <c r="D110" s="14">
        <f t="shared" si="4"/>
        <v>1</v>
      </c>
      <c r="E110" s="59">
        <v>45493</v>
      </c>
      <c r="F110" s="25">
        <f t="shared" si="5"/>
        <v>1</v>
      </c>
    </row>
    <row r="111" spans="1:6" x14ac:dyDescent="0.25">
      <c r="A111" s="59">
        <v>45400</v>
      </c>
      <c r="B111" s="14">
        <f t="shared" si="3"/>
        <v>0</v>
      </c>
      <c r="C111" s="59">
        <v>45460</v>
      </c>
      <c r="D111" s="14">
        <f t="shared" si="4"/>
        <v>0</v>
      </c>
      <c r="E111" s="59">
        <v>45494</v>
      </c>
      <c r="F111" s="25">
        <f t="shared" si="5"/>
        <v>1</v>
      </c>
    </row>
    <row r="112" spans="1:6" x14ac:dyDescent="0.25">
      <c r="A112" s="59">
        <v>45401</v>
      </c>
      <c r="B112" s="14">
        <f t="shared" si="3"/>
        <v>0</v>
      </c>
      <c r="C112" s="59">
        <v>45461</v>
      </c>
      <c r="D112" s="14">
        <f t="shared" si="4"/>
        <v>0</v>
      </c>
      <c r="E112" s="59">
        <v>45495</v>
      </c>
      <c r="F112" s="25">
        <f t="shared" si="5"/>
        <v>0</v>
      </c>
    </row>
    <row r="113" spans="1:6" x14ac:dyDescent="0.25">
      <c r="A113" s="59">
        <v>45402</v>
      </c>
      <c r="B113" s="14">
        <f t="shared" si="3"/>
        <v>1</v>
      </c>
      <c r="C113" s="59">
        <v>45462</v>
      </c>
      <c r="D113" s="14">
        <f t="shared" si="4"/>
        <v>0</v>
      </c>
      <c r="E113" s="59">
        <v>45496</v>
      </c>
      <c r="F113" s="25">
        <f t="shared" si="5"/>
        <v>0</v>
      </c>
    </row>
    <row r="114" spans="1:6" x14ac:dyDescent="0.25">
      <c r="A114" s="59">
        <v>45403</v>
      </c>
      <c r="B114" s="14">
        <f t="shared" si="3"/>
        <v>1</v>
      </c>
      <c r="C114" s="59">
        <v>45463</v>
      </c>
      <c r="D114" s="14">
        <f t="shared" si="4"/>
        <v>0</v>
      </c>
      <c r="E114" s="59">
        <v>45497</v>
      </c>
      <c r="F114" s="25">
        <f t="shared" si="5"/>
        <v>0</v>
      </c>
    </row>
    <row r="115" spans="1:6" x14ac:dyDescent="0.25">
      <c r="A115" s="59">
        <v>45404</v>
      </c>
      <c r="B115" s="14">
        <f t="shared" si="3"/>
        <v>0</v>
      </c>
      <c r="C115" s="59">
        <v>45464</v>
      </c>
      <c r="D115" s="14">
        <f t="shared" si="4"/>
        <v>0</v>
      </c>
      <c r="E115" s="59">
        <v>45498</v>
      </c>
      <c r="F115" s="25">
        <f t="shared" si="5"/>
        <v>0</v>
      </c>
    </row>
    <row r="116" spans="1:6" x14ac:dyDescent="0.25">
      <c r="A116" s="59">
        <v>45405</v>
      </c>
      <c r="B116" s="14">
        <f t="shared" si="3"/>
        <v>0</v>
      </c>
      <c r="C116" s="59">
        <v>45465</v>
      </c>
      <c r="D116" s="14">
        <f t="shared" si="4"/>
        <v>1</v>
      </c>
      <c r="E116" s="59">
        <v>45499</v>
      </c>
      <c r="F116" s="25">
        <f t="shared" si="5"/>
        <v>0</v>
      </c>
    </row>
    <row r="117" spans="1:6" x14ac:dyDescent="0.25">
      <c r="A117" s="59">
        <v>45406</v>
      </c>
      <c r="B117" s="14">
        <f t="shared" si="3"/>
        <v>0</v>
      </c>
      <c r="C117" s="59">
        <v>45466</v>
      </c>
      <c r="D117" s="14">
        <f t="shared" si="4"/>
        <v>1</v>
      </c>
      <c r="E117" s="59">
        <v>45500</v>
      </c>
      <c r="F117" s="25">
        <f t="shared" si="5"/>
        <v>1</v>
      </c>
    </row>
    <row r="118" spans="1:6" x14ac:dyDescent="0.25">
      <c r="A118" s="59">
        <v>45407</v>
      </c>
      <c r="B118" s="14">
        <f t="shared" si="3"/>
        <v>0</v>
      </c>
      <c r="C118" s="59">
        <v>45467</v>
      </c>
      <c r="D118" s="14">
        <f t="shared" si="4"/>
        <v>0</v>
      </c>
      <c r="E118" s="59">
        <v>45501</v>
      </c>
      <c r="F118" s="25">
        <f t="shared" si="5"/>
        <v>1</v>
      </c>
    </row>
    <row r="119" spans="1:6" x14ac:dyDescent="0.25">
      <c r="A119" s="59">
        <v>45408</v>
      </c>
      <c r="B119" s="14">
        <f t="shared" si="3"/>
        <v>0</v>
      </c>
      <c r="C119" s="59">
        <v>45468</v>
      </c>
      <c r="D119" s="14">
        <f t="shared" si="4"/>
        <v>0</v>
      </c>
      <c r="E119" s="59">
        <v>45502</v>
      </c>
      <c r="F119" s="25">
        <f t="shared" si="5"/>
        <v>0</v>
      </c>
    </row>
    <row r="120" spans="1:6" x14ac:dyDescent="0.25">
      <c r="A120" s="59">
        <v>45409</v>
      </c>
      <c r="B120" s="14">
        <f t="shared" si="3"/>
        <v>1</v>
      </c>
      <c r="C120" s="59">
        <v>45469</v>
      </c>
      <c r="D120" s="14">
        <f t="shared" si="4"/>
        <v>0</v>
      </c>
      <c r="E120" s="59">
        <v>45503</v>
      </c>
      <c r="F120" s="25">
        <f t="shared" si="5"/>
        <v>0</v>
      </c>
    </row>
    <row r="121" spans="1:6" x14ac:dyDescent="0.25">
      <c r="A121" s="59">
        <v>45410</v>
      </c>
      <c r="B121" s="14">
        <f t="shared" si="3"/>
        <v>1</v>
      </c>
      <c r="C121" s="59">
        <v>45470</v>
      </c>
      <c r="D121" s="14">
        <f t="shared" si="4"/>
        <v>0</v>
      </c>
      <c r="E121" s="59">
        <v>45504</v>
      </c>
      <c r="F121" s="25">
        <f t="shared" si="5"/>
        <v>0</v>
      </c>
    </row>
    <row r="122" spans="1:6" x14ac:dyDescent="0.25">
      <c r="A122" s="59">
        <v>45411</v>
      </c>
      <c r="B122" s="14">
        <f t="shared" si="3"/>
        <v>0</v>
      </c>
      <c r="C122" s="59">
        <v>45471</v>
      </c>
      <c r="D122" s="14">
        <f t="shared" si="4"/>
        <v>0</v>
      </c>
      <c r="E122" s="59">
        <v>45505</v>
      </c>
      <c r="F122" s="25">
        <f t="shared" si="5"/>
        <v>0</v>
      </c>
    </row>
    <row r="123" spans="1:6" x14ac:dyDescent="0.25">
      <c r="A123" s="59">
        <v>45412</v>
      </c>
      <c r="B123" s="14">
        <f t="shared" si="3"/>
        <v>0</v>
      </c>
      <c r="C123" s="59">
        <v>45472</v>
      </c>
      <c r="D123" s="14">
        <f t="shared" si="4"/>
        <v>1</v>
      </c>
      <c r="E123" s="59">
        <v>45506</v>
      </c>
      <c r="F123" s="25">
        <f t="shared" si="5"/>
        <v>0</v>
      </c>
    </row>
    <row r="124" spans="1:6" x14ac:dyDescent="0.25">
      <c r="A124" s="59">
        <v>45413</v>
      </c>
      <c r="B124" s="14">
        <f t="shared" si="3"/>
        <v>0</v>
      </c>
      <c r="C124" s="59">
        <v>45473</v>
      </c>
      <c r="D124" s="14">
        <f t="shared" si="4"/>
        <v>1</v>
      </c>
      <c r="E124" s="59">
        <v>45507</v>
      </c>
      <c r="F124" s="25">
        <f t="shared" si="5"/>
        <v>1</v>
      </c>
    </row>
    <row r="125" spans="1:6" x14ac:dyDescent="0.25">
      <c r="A125" s="59">
        <v>45414</v>
      </c>
      <c r="B125" s="14">
        <f t="shared" si="3"/>
        <v>0</v>
      </c>
      <c r="C125" s="59">
        <v>45474</v>
      </c>
      <c r="D125" s="14">
        <f t="shared" si="4"/>
        <v>0</v>
      </c>
      <c r="E125" s="59">
        <v>45508</v>
      </c>
      <c r="F125" s="25">
        <f t="shared" si="5"/>
        <v>1</v>
      </c>
    </row>
    <row r="126" spans="1:6" x14ac:dyDescent="0.25">
      <c r="A126" s="59">
        <v>45415</v>
      </c>
      <c r="B126" s="14">
        <f t="shared" si="3"/>
        <v>0</v>
      </c>
      <c r="C126" s="59">
        <v>45475</v>
      </c>
      <c r="D126" s="14">
        <f t="shared" si="4"/>
        <v>0</v>
      </c>
      <c r="E126" s="59">
        <v>45509</v>
      </c>
      <c r="F126" s="25">
        <f t="shared" si="5"/>
        <v>0</v>
      </c>
    </row>
    <row r="127" spans="1:6" x14ac:dyDescent="0.25">
      <c r="A127" s="59">
        <v>45416</v>
      </c>
      <c r="B127" s="14">
        <f t="shared" si="3"/>
        <v>1</v>
      </c>
      <c r="C127" s="59">
        <v>45476</v>
      </c>
      <c r="D127" s="14">
        <f t="shared" si="4"/>
        <v>0</v>
      </c>
      <c r="E127" s="59">
        <v>45510</v>
      </c>
      <c r="F127" s="25">
        <f t="shared" si="5"/>
        <v>0</v>
      </c>
    </row>
    <row r="128" spans="1:6" x14ac:dyDescent="0.25">
      <c r="A128" s="59">
        <v>45417</v>
      </c>
      <c r="B128" s="14">
        <f t="shared" si="3"/>
        <v>1</v>
      </c>
      <c r="C128" s="59">
        <v>45477</v>
      </c>
      <c r="D128" s="14">
        <f t="shared" si="4"/>
        <v>0</v>
      </c>
      <c r="E128" s="59">
        <v>45511</v>
      </c>
      <c r="F128" s="25">
        <f t="shared" si="5"/>
        <v>0</v>
      </c>
    </row>
    <row r="129" spans="1:6" x14ac:dyDescent="0.25">
      <c r="A129" s="59">
        <v>45418</v>
      </c>
      <c r="B129" s="14">
        <f t="shared" si="3"/>
        <v>0</v>
      </c>
      <c r="C129" s="59">
        <v>45478</v>
      </c>
      <c r="D129" s="14">
        <f t="shared" si="4"/>
        <v>0</v>
      </c>
      <c r="E129" s="59">
        <v>45512</v>
      </c>
      <c r="F129" s="25">
        <f t="shared" si="5"/>
        <v>0</v>
      </c>
    </row>
    <row r="130" spans="1:6" x14ac:dyDescent="0.25">
      <c r="A130" s="59">
        <v>45419</v>
      </c>
      <c r="B130" s="14">
        <f t="shared" si="3"/>
        <v>0</v>
      </c>
      <c r="C130" s="59">
        <v>45479</v>
      </c>
      <c r="D130" s="14">
        <f t="shared" si="4"/>
        <v>1</v>
      </c>
      <c r="E130" s="59">
        <v>45513</v>
      </c>
      <c r="F130" s="25">
        <f t="shared" si="5"/>
        <v>0</v>
      </c>
    </row>
    <row r="131" spans="1:6" x14ac:dyDescent="0.25">
      <c r="A131" s="59">
        <v>45420</v>
      </c>
      <c r="B131" s="14">
        <f t="shared" ref="B131:B194" si="6">1-IF(WEEKDAY(A131,2)&gt;5,0,1)</f>
        <v>0</v>
      </c>
      <c r="C131" s="59">
        <v>45480</v>
      </c>
      <c r="D131" s="14">
        <f t="shared" ref="D131:D194" si="7">1-IF(WEEKDAY(C131,2)&gt;5,0,1)</f>
        <v>1</v>
      </c>
      <c r="E131" s="59">
        <v>45514</v>
      </c>
      <c r="F131" s="25">
        <f t="shared" ref="F131:F194" si="8">1-IF(WEEKDAY(E131,2)&gt;5,0,1)</f>
        <v>1</v>
      </c>
    </row>
    <row r="132" spans="1:6" x14ac:dyDescent="0.25">
      <c r="A132" s="59">
        <v>45421</v>
      </c>
      <c r="B132" s="14">
        <f t="shared" si="6"/>
        <v>0</v>
      </c>
      <c r="C132" s="59">
        <v>45481</v>
      </c>
      <c r="D132" s="14">
        <f t="shared" si="7"/>
        <v>0</v>
      </c>
      <c r="E132" s="59">
        <v>45515</v>
      </c>
      <c r="F132" s="25">
        <f t="shared" si="8"/>
        <v>1</v>
      </c>
    </row>
    <row r="133" spans="1:6" x14ac:dyDescent="0.25">
      <c r="A133" s="59">
        <v>45422</v>
      </c>
      <c r="B133" s="14">
        <f t="shared" si="6"/>
        <v>0</v>
      </c>
      <c r="C133" s="59">
        <v>45482</v>
      </c>
      <c r="D133" s="14">
        <f t="shared" si="7"/>
        <v>0</v>
      </c>
      <c r="E133" s="59">
        <v>45516</v>
      </c>
      <c r="F133" s="25">
        <f t="shared" si="8"/>
        <v>0</v>
      </c>
    </row>
    <row r="134" spans="1:6" x14ac:dyDescent="0.25">
      <c r="A134" s="59">
        <v>45423</v>
      </c>
      <c r="B134" s="14">
        <f t="shared" si="6"/>
        <v>1</v>
      </c>
      <c r="C134" s="59">
        <v>45483</v>
      </c>
      <c r="D134" s="14">
        <f t="shared" si="7"/>
        <v>0</v>
      </c>
      <c r="E134" s="59">
        <v>45517</v>
      </c>
      <c r="F134" s="25">
        <f t="shared" si="8"/>
        <v>0</v>
      </c>
    </row>
    <row r="135" spans="1:6" x14ac:dyDescent="0.25">
      <c r="A135" s="59">
        <v>45424</v>
      </c>
      <c r="B135" s="14">
        <f t="shared" si="6"/>
        <v>1</v>
      </c>
      <c r="C135" s="59">
        <v>45484</v>
      </c>
      <c r="D135" s="14">
        <f t="shared" si="7"/>
        <v>0</v>
      </c>
      <c r="E135" s="59">
        <v>45518</v>
      </c>
      <c r="F135" s="25">
        <f t="shared" si="8"/>
        <v>0</v>
      </c>
    </row>
    <row r="136" spans="1:6" x14ac:dyDescent="0.25">
      <c r="A136" s="59">
        <v>45425</v>
      </c>
      <c r="B136" s="14">
        <f t="shared" si="6"/>
        <v>0</v>
      </c>
      <c r="C136" s="59">
        <v>45485</v>
      </c>
      <c r="D136" s="14">
        <f t="shared" si="7"/>
        <v>0</v>
      </c>
      <c r="E136" s="59">
        <v>45519</v>
      </c>
      <c r="F136" s="25">
        <f t="shared" si="8"/>
        <v>0</v>
      </c>
    </row>
    <row r="137" spans="1:6" x14ac:dyDescent="0.25">
      <c r="A137" s="59">
        <v>45426</v>
      </c>
      <c r="B137" s="14">
        <f t="shared" si="6"/>
        <v>0</v>
      </c>
      <c r="C137" s="59">
        <v>45486</v>
      </c>
      <c r="D137" s="14">
        <f t="shared" si="7"/>
        <v>1</v>
      </c>
      <c r="E137" s="59">
        <v>45520</v>
      </c>
      <c r="F137" s="25">
        <f t="shared" si="8"/>
        <v>0</v>
      </c>
    </row>
    <row r="138" spans="1:6" x14ac:dyDescent="0.25">
      <c r="A138" s="59">
        <v>45427</v>
      </c>
      <c r="B138" s="14">
        <f t="shared" si="6"/>
        <v>0</v>
      </c>
      <c r="C138" s="59">
        <v>45487</v>
      </c>
      <c r="D138" s="14">
        <f t="shared" si="7"/>
        <v>1</v>
      </c>
      <c r="E138" s="59">
        <v>45521</v>
      </c>
      <c r="F138" s="25">
        <f t="shared" si="8"/>
        <v>1</v>
      </c>
    </row>
    <row r="139" spans="1:6" x14ac:dyDescent="0.25">
      <c r="A139" s="59">
        <v>45428</v>
      </c>
      <c r="B139" s="14">
        <f t="shared" si="6"/>
        <v>0</v>
      </c>
      <c r="C139" s="59">
        <v>45488</v>
      </c>
      <c r="D139" s="14">
        <f t="shared" si="7"/>
        <v>0</v>
      </c>
      <c r="E139" s="59">
        <v>45522</v>
      </c>
      <c r="F139" s="25">
        <f t="shared" si="8"/>
        <v>1</v>
      </c>
    </row>
    <row r="140" spans="1:6" x14ac:dyDescent="0.25">
      <c r="A140" s="59">
        <v>45429</v>
      </c>
      <c r="B140" s="14">
        <f t="shared" si="6"/>
        <v>0</v>
      </c>
      <c r="C140" s="59">
        <v>45489</v>
      </c>
      <c r="D140" s="14">
        <f t="shared" si="7"/>
        <v>0</v>
      </c>
      <c r="E140" s="59">
        <v>45523</v>
      </c>
      <c r="F140" s="25">
        <f t="shared" si="8"/>
        <v>0</v>
      </c>
    </row>
    <row r="141" spans="1:6" x14ac:dyDescent="0.25">
      <c r="A141" s="59">
        <v>45430</v>
      </c>
      <c r="B141" s="14">
        <f t="shared" si="6"/>
        <v>1</v>
      </c>
      <c r="C141" s="59">
        <v>45490</v>
      </c>
      <c r="D141" s="14">
        <f t="shared" si="7"/>
        <v>0</v>
      </c>
      <c r="E141" s="59">
        <v>45524</v>
      </c>
      <c r="F141" s="25">
        <f t="shared" si="8"/>
        <v>0</v>
      </c>
    </row>
    <row r="142" spans="1:6" x14ac:dyDescent="0.25">
      <c r="A142" s="59">
        <v>45431</v>
      </c>
      <c r="B142" s="14">
        <f t="shared" si="6"/>
        <v>1</v>
      </c>
      <c r="C142" s="59">
        <v>45491</v>
      </c>
      <c r="D142" s="14">
        <f t="shared" si="7"/>
        <v>0</v>
      </c>
      <c r="E142" s="59">
        <v>45525</v>
      </c>
      <c r="F142" s="25">
        <f t="shared" si="8"/>
        <v>0</v>
      </c>
    </row>
    <row r="143" spans="1:6" x14ac:dyDescent="0.25">
      <c r="A143" s="59">
        <v>45432</v>
      </c>
      <c r="B143" s="14">
        <f t="shared" si="6"/>
        <v>0</v>
      </c>
      <c r="C143" s="59">
        <v>45492</v>
      </c>
      <c r="D143" s="14">
        <f t="shared" si="7"/>
        <v>0</v>
      </c>
      <c r="E143" s="59">
        <v>45526</v>
      </c>
      <c r="F143" s="25">
        <f t="shared" si="8"/>
        <v>0</v>
      </c>
    </row>
    <row r="144" spans="1:6" x14ac:dyDescent="0.25">
      <c r="A144" s="59">
        <v>45433</v>
      </c>
      <c r="B144" s="14">
        <f t="shared" si="6"/>
        <v>0</v>
      </c>
      <c r="C144" s="59">
        <v>45493</v>
      </c>
      <c r="D144" s="14">
        <f t="shared" si="7"/>
        <v>1</v>
      </c>
      <c r="E144" s="59">
        <v>45527</v>
      </c>
      <c r="F144" s="25">
        <f t="shared" si="8"/>
        <v>0</v>
      </c>
    </row>
    <row r="145" spans="1:6" x14ac:dyDescent="0.25">
      <c r="A145" s="59">
        <v>45434</v>
      </c>
      <c r="B145" s="14">
        <f t="shared" si="6"/>
        <v>0</v>
      </c>
      <c r="C145" s="59">
        <v>45494</v>
      </c>
      <c r="D145" s="14">
        <f t="shared" si="7"/>
        <v>1</v>
      </c>
      <c r="E145" s="59">
        <v>45528</v>
      </c>
      <c r="F145" s="25">
        <f t="shared" si="8"/>
        <v>1</v>
      </c>
    </row>
    <row r="146" spans="1:6" x14ac:dyDescent="0.25">
      <c r="A146" s="59">
        <v>45435</v>
      </c>
      <c r="B146" s="14">
        <f t="shared" si="6"/>
        <v>0</v>
      </c>
      <c r="C146" s="59">
        <v>45495</v>
      </c>
      <c r="D146" s="14">
        <f t="shared" si="7"/>
        <v>0</v>
      </c>
      <c r="E146" s="59">
        <v>45529</v>
      </c>
      <c r="F146" s="25">
        <f t="shared" si="8"/>
        <v>1</v>
      </c>
    </row>
    <row r="147" spans="1:6" x14ac:dyDescent="0.25">
      <c r="A147" s="59">
        <v>45436</v>
      </c>
      <c r="B147" s="14">
        <f t="shared" si="6"/>
        <v>0</v>
      </c>
      <c r="C147" s="59">
        <v>45496</v>
      </c>
      <c r="D147" s="14">
        <f t="shared" si="7"/>
        <v>0</v>
      </c>
      <c r="E147" s="59">
        <v>45530</v>
      </c>
      <c r="F147" s="25">
        <f t="shared" si="8"/>
        <v>0</v>
      </c>
    </row>
    <row r="148" spans="1:6" x14ac:dyDescent="0.25">
      <c r="A148" s="59">
        <v>45437</v>
      </c>
      <c r="B148" s="14">
        <f t="shared" si="6"/>
        <v>1</v>
      </c>
      <c r="C148" s="59">
        <v>45497</v>
      </c>
      <c r="D148" s="14">
        <f t="shared" si="7"/>
        <v>0</v>
      </c>
      <c r="E148" s="59">
        <v>45531</v>
      </c>
      <c r="F148" s="25">
        <f t="shared" si="8"/>
        <v>0</v>
      </c>
    </row>
    <row r="149" spans="1:6" x14ac:dyDescent="0.25">
      <c r="A149" s="59">
        <v>45438</v>
      </c>
      <c r="B149" s="14">
        <f t="shared" si="6"/>
        <v>1</v>
      </c>
      <c r="C149" s="59">
        <v>45498</v>
      </c>
      <c r="D149" s="14">
        <f t="shared" si="7"/>
        <v>0</v>
      </c>
      <c r="E149" s="59">
        <v>45532</v>
      </c>
      <c r="F149" s="25">
        <f t="shared" si="8"/>
        <v>0</v>
      </c>
    </row>
    <row r="150" spans="1:6" x14ac:dyDescent="0.25">
      <c r="A150" s="59">
        <v>45439</v>
      </c>
      <c r="B150" s="14">
        <f t="shared" si="6"/>
        <v>0</v>
      </c>
      <c r="C150" s="59">
        <v>45499</v>
      </c>
      <c r="D150" s="14">
        <f t="shared" si="7"/>
        <v>0</v>
      </c>
      <c r="E150" s="59">
        <v>45533</v>
      </c>
      <c r="F150" s="25">
        <f t="shared" si="8"/>
        <v>0</v>
      </c>
    </row>
    <row r="151" spans="1:6" x14ac:dyDescent="0.25">
      <c r="A151" s="59">
        <v>45440</v>
      </c>
      <c r="B151" s="14">
        <f t="shared" si="6"/>
        <v>0</v>
      </c>
      <c r="C151" s="59">
        <v>45500</v>
      </c>
      <c r="D151" s="14">
        <f t="shared" si="7"/>
        <v>1</v>
      </c>
      <c r="E151" s="59">
        <v>45534</v>
      </c>
      <c r="F151" s="25">
        <f t="shared" si="8"/>
        <v>0</v>
      </c>
    </row>
    <row r="152" spans="1:6" x14ac:dyDescent="0.25">
      <c r="A152" s="59">
        <v>45441</v>
      </c>
      <c r="B152" s="14">
        <f t="shared" si="6"/>
        <v>0</v>
      </c>
      <c r="C152" s="59">
        <v>45501</v>
      </c>
      <c r="D152" s="14">
        <f t="shared" si="7"/>
        <v>1</v>
      </c>
      <c r="E152" s="59">
        <v>45535</v>
      </c>
      <c r="F152" s="25">
        <f t="shared" si="8"/>
        <v>1</v>
      </c>
    </row>
    <row r="153" spans="1:6" x14ac:dyDescent="0.25">
      <c r="A153" s="59">
        <v>45442</v>
      </c>
      <c r="B153" s="14">
        <f t="shared" si="6"/>
        <v>0</v>
      </c>
      <c r="C153" s="59">
        <v>45502</v>
      </c>
      <c r="D153" s="14">
        <f t="shared" si="7"/>
        <v>0</v>
      </c>
      <c r="E153" s="59">
        <v>45536</v>
      </c>
      <c r="F153" s="25">
        <f t="shared" si="8"/>
        <v>1</v>
      </c>
    </row>
    <row r="154" spans="1:6" x14ac:dyDescent="0.25">
      <c r="A154" s="59">
        <v>45443</v>
      </c>
      <c r="B154" s="14">
        <f t="shared" si="6"/>
        <v>0</v>
      </c>
      <c r="C154" s="59">
        <v>45503</v>
      </c>
      <c r="D154" s="14">
        <f t="shared" si="7"/>
        <v>0</v>
      </c>
      <c r="E154" s="59">
        <v>45537</v>
      </c>
      <c r="F154" s="25">
        <f t="shared" si="8"/>
        <v>0</v>
      </c>
    </row>
    <row r="155" spans="1:6" x14ac:dyDescent="0.25">
      <c r="A155" s="59">
        <v>45444</v>
      </c>
      <c r="B155" s="14">
        <f t="shared" si="6"/>
        <v>1</v>
      </c>
      <c r="C155" s="59">
        <v>45504</v>
      </c>
      <c r="D155" s="14">
        <f t="shared" si="7"/>
        <v>0</v>
      </c>
      <c r="E155" s="59">
        <v>45538</v>
      </c>
      <c r="F155" s="25">
        <f t="shared" si="8"/>
        <v>0</v>
      </c>
    </row>
    <row r="156" spans="1:6" x14ac:dyDescent="0.25">
      <c r="A156" s="59">
        <v>45445</v>
      </c>
      <c r="B156" s="14">
        <f t="shared" si="6"/>
        <v>1</v>
      </c>
      <c r="C156" s="59">
        <v>45505</v>
      </c>
      <c r="D156" s="14">
        <f t="shared" si="7"/>
        <v>0</v>
      </c>
      <c r="E156" s="59">
        <v>45539</v>
      </c>
      <c r="F156" s="25">
        <f t="shared" si="8"/>
        <v>0</v>
      </c>
    </row>
    <row r="157" spans="1:6" x14ac:dyDescent="0.25">
      <c r="A157" s="59">
        <v>45446</v>
      </c>
      <c r="B157" s="14">
        <f t="shared" si="6"/>
        <v>0</v>
      </c>
      <c r="C157" s="59">
        <v>45506</v>
      </c>
      <c r="D157" s="14">
        <f t="shared" si="7"/>
        <v>0</v>
      </c>
      <c r="E157" s="59">
        <v>45540</v>
      </c>
      <c r="F157" s="25">
        <f t="shared" si="8"/>
        <v>0</v>
      </c>
    </row>
    <row r="158" spans="1:6" x14ac:dyDescent="0.25">
      <c r="A158" s="59">
        <v>45447</v>
      </c>
      <c r="B158" s="14">
        <f t="shared" si="6"/>
        <v>0</v>
      </c>
      <c r="C158" s="59">
        <v>45507</v>
      </c>
      <c r="D158" s="14">
        <f t="shared" si="7"/>
        <v>1</v>
      </c>
      <c r="E158" s="59">
        <v>45541</v>
      </c>
      <c r="F158" s="25">
        <f t="shared" si="8"/>
        <v>0</v>
      </c>
    </row>
    <row r="159" spans="1:6" x14ac:dyDescent="0.25">
      <c r="A159" s="59">
        <v>45448</v>
      </c>
      <c r="B159" s="14">
        <f t="shared" si="6"/>
        <v>0</v>
      </c>
      <c r="C159" s="59">
        <v>45508</v>
      </c>
      <c r="D159" s="14">
        <f t="shared" si="7"/>
        <v>1</v>
      </c>
      <c r="E159" s="59">
        <v>45542</v>
      </c>
      <c r="F159" s="25">
        <f t="shared" si="8"/>
        <v>1</v>
      </c>
    </row>
    <row r="160" spans="1:6" x14ac:dyDescent="0.25">
      <c r="A160" s="59">
        <v>45449</v>
      </c>
      <c r="B160" s="14">
        <f t="shared" si="6"/>
        <v>0</v>
      </c>
      <c r="C160" s="59">
        <v>45509</v>
      </c>
      <c r="D160" s="14">
        <f t="shared" si="7"/>
        <v>0</v>
      </c>
      <c r="E160" s="59">
        <v>45543</v>
      </c>
      <c r="F160" s="25">
        <f t="shared" si="8"/>
        <v>1</v>
      </c>
    </row>
    <row r="161" spans="1:6" x14ac:dyDescent="0.25">
      <c r="A161" s="59">
        <v>45450</v>
      </c>
      <c r="B161" s="14">
        <f t="shared" si="6"/>
        <v>0</v>
      </c>
      <c r="C161" s="59">
        <v>45510</v>
      </c>
      <c r="D161" s="14">
        <f t="shared" si="7"/>
        <v>0</v>
      </c>
      <c r="E161" s="59">
        <v>45544</v>
      </c>
      <c r="F161" s="25">
        <f t="shared" si="8"/>
        <v>0</v>
      </c>
    </row>
    <row r="162" spans="1:6" x14ac:dyDescent="0.25">
      <c r="A162" s="59">
        <v>45451</v>
      </c>
      <c r="B162" s="14">
        <f t="shared" si="6"/>
        <v>1</v>
      </c>
      <c r="C162" s="59">
        <v>45511</v>
      </c>
      <c r="D162" s="14">
        <f t="shared" si="7"/>
        <v>0</v>
      </c>
      <c r="E162" s="59">
        <v>45545</v>
      </c>
      <c r="F162" s="25">
        <f t="shared" si="8"/>
        <v>0</v>
      </c>
    </row>
    <row r="163" spans="1:6" x14ac:dyDescent="0.25">
      <c r="A163" s="59">
        <v>45452</v>
      </c>
      <c r="B163" s="14">
        <f t="shared" si="6"/>
        <v>1</v>
      </c>
      <c r="C163" s="59">
        <v>45512</v>
      </c>
      <c r="D163" s="14">
        <f t="shared" si="7"/>
        <v>0</v>
      </c>
      <c r="E163" s="59">
        <v>45546</v>
      </c>
      <c r="F163" s="25">
        <f t="shared" si="8"/>
        <v>0</v>
      </c>
    </row>
    <row r="164" spans="1:6" x14ac:dyDescent="0.25">
      <c r="A164" s="59">
        <v>45453</v>
      </c>
      <c r="B164" s="14">
        <f t="shared" si="6"/>
        <v>0</v>
      </c>
      <c r="C164" s="59">
        <v>45513</v>
      </c>
      <c r="D164" s="14">
        <f t="shared" si="7"/>
        <v>0</v>
      </c>
      <c r="E164" s="59">
        <v>45547</v>
      </c>
      <c r="F164" s="25">
        <f t="shared" si="8"/>
        <v>0</v>
      </c>
    </row>
    <row r="165" spans="1:6" x14ac:dyDescent="0.25">
      <c r="A165" s="59">
        <v>45454</v>
      </c>
      <c r="B165" s="14">
        <f t="shared" si="6"/>
        <v>0</v>
      </c>
      <c r="C165" s="59">
        <v>45514</v>
      </c>
      <c r="D165" s="14">
        <f t="shared" si="7"/>
        <v>1</v>
      </c>
      <c r="E165" s="59">
        <v>45548</v>
      </c>
      <c r="F165" s="25">
        <f t="shared" si="8"/>
        <v>0</v>
      </c>
    </row>
    <row r="166" spans="1:6" x14ac:dyDescent="0.25">
      <c r="A166" s="59">
        <v>45455</v>
      </c>
      <c r="B166" s="14">
        <f t="shared" si="6"/>
        <v>0</v>
      </c>
      <c r="C166" s="59">
        <v>45515</v>
      </c>
      <c r="D166" s="14">
        <f t="shared" si="7"/>
        <v>1</v>
      </c>
      <c r="E166" s="59">
        <v>45549</v>
      </c>
      <c r="F166" s="25">
        <f t="shared" si="8"/>
        <v>1</v>
      </c>
    </row>
    <row r="167" spans="1:6" x14ac:dyDescent="0.25">
      <c r="A167" s="59">
        <v>45456</v>
      </c>
      <c r="B167" s="14">
        <f t="shared" si="6"/>
        <v>0</v>
      </c>
      <c r="C167" s="59">
        <v>45516</v>
      </c>
      <c r="D167" s="14">
        <f t="shared" si="7"/>
        <v>0</v>
      </c>
      <c r="E167" s="59">
        <v>45550</v>
      </c>
      <c r="F167" s="25">
        <f t="shared" si="8"/>
        <v>1</v>
      </c>
    </row>
    <row r="168" spans="1:6" x14ac:dyDescent="0.25">
      <c r="A168" s="59">
        <v>45457</v>
      </c>
      <c r="B168" s="14">
        <f t="shared" si="6"/>
        <v>0</v>
      </c>
      <c r="C168" s="59">
        <v>45517</v>
      </c>
      <c r="D168" s="14">
        <f t="shared" si="7"/>
        <v>0</v>
      </c>
      <c r="E168" s="59">
        <v>45551</v>
      </c>
      <c r="F168" s="25">
        <f t="shared" si="8"/>
        <v>0</v>
      </c>
    </row>
    <row r="169" spans="1:6" x14ac:dyDescent="0.25">
      <c r="A169" s="59">
        <v>45458</v>
      </c>
      <c r="B169" s="14">
        <f t="shared" si="6"/>
        <v>1</v>
      </c>
      <c r="C169" s="59">
        <v>45518</v>
      </c>
      <c r="D169" s="14">
        <f t="shared" si="7"/>
        <v>0</v>
      </c>
      <c r="E169" s="59">
        <v>45552</v>
      </c>
      <c r="F169" s="25">
        <f t="shared" si="8"/>
        <v>0</v>
      </c>
    </row>
    <row r="170" spans="1:6" x14ac:dyDescent="0.25">
      <c r="A170" s="59">
        <v>45459</v>
      </c>
      <c r="B170" s="14">
        <f t="shared" si="6"/>
        <v>1</v>
      </c>
      <c r="C170" s="59">
        <v>45519</v>
      </c>
      <c r="D170" s="14">
        <f t="shared" si="7"/>
        <v>0</v>
      </c>
      <c r="E170" s="59">
        <v>45553</v>
      </c>
      <c r="F170" s="25">
        <f t="shared" si="8"/>
        <v>0</v>
      </c>
    </row>
    <row r="171" spans="1:6" x14ac:dyDescent="0.25">
      <c r="A171" s="59">
        <v>45460</v>
      </c>
      <c r="B171" s="14">
        <f t="shared" si="6"/>
        <v>0</v>
      </c>
      <c r="C171" s="59">
        <v>45520</v>
      </c>
      <c r="D171" s="14">
        <f t="shared" si="7"/>
        <v>0</v>
      </c>
      <c r="E171" s="59">
        <v>45554</v>
      </c>
      <c r="F171" s="25">
        <f t="shared" si="8"/>
        <v>0</v>
      </c>
    </row>
    <row r="172" spans="1:6" x14ac:dyDescent="0.25">
      <c r="A172" s="59">
        <v>45461</v>
      </c>
      <c r="B172" s="14">
        <f t="shared" si="6"/>
        <v>0</v>
      </c>
      <c r="C172" s="59">
        <v>45521</v>
      </c>
      <c r="D172" s="14">
        <f t="shared" si="7"/>
        <v>1</v>
      </c>
      <c r="E172" s="59">
        <v>45555</v>
      </c>
      <c r="F172" s="25">
        <f t="shared" si="8"/>
        <v>0</v>
      </c>
    </row>
    <row r="173" spans="1:6" x14ac:dyDescent="0.25">
      <c r="A173" s="59">
        <v>45462</v>
      </c>
      <c r="B173" s="14">
        <f t="shared" si="6"/>
        <v>0</v>
      </c>
      <c r="C173" s="59">
        <v>45522</v>
      </c>
      <c r="D173" s="14">
        <f t="shared" si="7"/>
        <v>1</v>
      </c>
      <c r="E173" s="59">
        <v>45556</v>
      </c>
      <c r="F173" s="25">
        <f t="shared" si="8"/>
        <v>1</v>
      </c>
    </row>
    <row r="174" spans="1:6" x14ac:dyDescent="0.25">
      <c r="A174" s="59">
        <v>45463</v>
      </c>
      <c r="B174" s="14">
        <f t="shared" si="6"/>
        <v>0</v>
      </c>
      <c r="C174" s="59">
        <v>45523</v>
      </c>
      <c r="D174" s="14">
        <f t="shared" si="7"/>
        <v>0</v>
      </c>
      <c r="E174" s="59">
        <v>45557</v>
      </c>
      <c r="F174" s="25">
        <f t="shared" si="8"/>
        <v>1</v>
      </c>
    </row>
    <row r="175" spans="1:6" x14ac:dyDescent="0.25">
      <c r="A175" s="59">
        <v>45464</v>
      </c>
      <c r="B175" s="14">
        <f t="shared" si="6"/>
        <v>0</v>
      </c>
      <c r="C175" s="59">
        <v>45524</v>
      </c>
      <c r="D175" s="14">
        <f t="shared" si="7"/>
        <v>0</v>
      </c>
      <c r="E175" s="59">
        <v>45558</v>
      </c>
      <c r="F175" s="25">
        <f t="shared" si="8"/>
        <v>0</v>
      </c>
    </row>
    <row r="176" spans="1:6" x14ac:dyDescent="0.25">
      <c r="A176" s="59">
        <v>45465</v>
      </c>
      <c r="B176" s="14">
        <f t="shared" si="6"/>
        <v>1</v>
      </c>
      <c r="C176" s="59">
        <v>45525</v>
      </c>
      <c r="D176" s="14">
        <f t="shared" si="7"/>
        <v>0</v>
      </c>
      <c r="E176" s="59">
        <v>45559</v>
      </c>
      <c r="F176" s="25">
        <f t="shared" si="8"/>
        <v>0</v>
      </c>
    </row>
    <row r="177" spans="1:6" x14ac:dyDescent="0.25">
      <c r="A177" s="59">
        <v>45466</v>
      </c>
      <c r="B177" s="14">
        <f t="shared" si="6"/>
        <v>1</v>
      </c>
      <c r="C177" s="59">
        <v>45526</v>
      </c>
      <c r="D177" s="14">
        <f t="shared" si="7"/>
        <v>0</v>
      </c>
      <c r="E177" s="59">
        <v>45560</v>
      </c>
      <c r="F177" s="25">
        <f t="shared" si="8"/>
        <v>0</v>
      </c>
    </row>
    <row r="178" spans="1:6" x14ac:dyDescent="0.25">
      <c r="A178" s="59">
        <v>45467</v>
      </c>
      <c r="B178" s="14">
        <f t="shared" si="6"/>
        <v>0</v>
      </c>
      <c r="C178" s="59">
        <v>45527</v>
      </c>
      <c r="D178" s="14">
        <f t="shared" si="7"/>
        <v>0</v>
      </c>
      <c r="E178" s="59">
        <v>45561</v>
      </c>
      <c r="F178" s="25">
        <f t="shared" si="8"/>
        <v>0</v>
      </c>
    </row>
    <row r="179" spans="1:6" x14ac:dyDescent="0.25">
      <c r="A179" s="59">
        <v>45468</v>
      </c>
      <c r="B179" s="14">
        <f t="shared" si="6"/>
        <v>0</v>
      </c>
      <c r="C179" s="59">
        <v>45528</v>
      </c>
      <c r="D179" s="14">
        <f t="shared" si="7"/>
        <v>1</v>
      </c>
      <c r="E179" s="59">
        <v>45562</v>
      </c>
      <c r="F179" s="25">
        <f t="shared" si="8"/>
        <v>0</v>
      </c>
    </row>
    <row r="180" spans="1:6" x14ac:dyDescent="0.25">
      <c r="A180" s="59">
        <v>45469</v>
      </c>
      <c r="B180" s="14">
        <f t="shared" si="6"/>
        <v>0</v>
      </c>
      <c r="C180" s="59">
        <v>45529</v>
      </c>
      <c r="D180" s="14">
        <f t="shared" si="7"/>
        <v>1</v>
      </c>
      <c r="E180" s="59">
        <v>45563</v>
      </c>
      <c r="F180" s="25">
        <f t="shared" si="8"/>
        <v>1</v>
      </c>
    </row>
    <row r="181" spans="1:6" x14ac:dyDescent="0.25">
      <c r="A181" s="59">
        <v>45470</v>
      </c>
      <c r="B181" s="14">
        <f t="shared" si="6"/>
        <v>0</v>
      </c>
      <c r="C181" s="59">
        <v>45530</v>
      </c>
      <c r="D181" s="14">
        <f t="shared" si="7"/>
        <v>0</v>
      </c>
      <c r="E181" s="59">
        <v>45564</v>
      </c>
      <c r="F181" s="25">
        <f t="shared" si="8"/>
        <v>1</v>
      </c>
    </row>
    <row r="182" spans="1:6" x14ac:dyDescent="0.25">
      <c r="A182" s="59">
        <v>45471</v>
      </c>
      <c r="B182" s="14">
        <f t="shared" si="6"/>
        <v>0</v>
      </c>
      <c r="C182" s="59">
        <v>45531</v>
      </c>
      <c r="D182" s="14">
        <f t="shared" si="7"/>
        <v>0</v>
      </c>
      <c r="E182" s="59">
        <v>45565</v>
      </c>
      <c r="F182" s="25">
        <f t="shared" si="8"/>
        <v>0</v>
      </c>
    </row>
    <row r="183" spans="1:6" x14ac:dyDescent="0.25">
      <c r="A183" s="59">
        <v>45472</v>
      </c>
      <c r="B183" s="14">
        <f t="shared" si="6"/>
        <v>1</v>
      </c>
      <c r="C183" s="59">
        <v>45532</v>
      </c>
      <c r="D183" s="14">
        <f t="shared" si="7"/>
        <v>0</v>
      </c>
      <c r="E183" s="59">
        <v>45566</v>
      </c>
      <c r="F183" s="25">
        <f t="shared" si="8"/>
        <v>0</v>
      </c>
    </row>
    <row r="184" spans="1:6" x14ac:dyDescent="0.25">
      <c r="A184" s="59">
        <v>45473</v>
      </c>
      <c r="B184" s="14">
        <f t="shared" si="6"/>
        <v>1</v>
      </c>
      <c r="C184" s="59">
        <v>45533</v>
      </c>
      <c r="D184" s="14">
        <f t="shared" si="7"/>
        <v>0</v>
      </c>
      <c r="E184" s="59">
        <v>45567</v>
      </c>
      <c r="F184" s="25">
        <f t="shared" si="8"/>
        <v>0</v>
      </c>
    </row>
    <row r="185" spans="1:6" x14ac:dyDescent="0.25">
      <c r="A185" s="59">
        <v>45474</v>
      </c>
      <c r="B185" s="14">
        <f t="shared" si="6"/>
        <v>0</v>
      </c>
      <c r="C185" s="59">
        <v>45534</v>
      </c>
      <c r="D185" s="14">
        <f t="shared" si="7"/>
        <v>0</v>
      </c>
      <c r="E185" s="59">
        <v>45568</v>
      </c>
      <c r="F185" s="25">
        <f t="shared" si="8"/>
        <v>0</v>
      </c>
    </row>
    <row r="186" spans="1:6" x14ac:dyDescent="0.25">
      <c r="A186" s="59">
        <v>45475</v>
      </c>
      <c r="B186" s="14">
        <f t="shared" si="6"/>
        <v>0</v>
      </c>
      <c r="C186" s="59">
        <v>45535</v>
      </c>
      <c r="D186" s="14">
        <f t="shared" si="7"/>
        <v>1</v>
      </c>
      <c r="E186" s="59">
        <v>45569</v>
      </c>
      <c r="F186" s="25">
        <f t="shared" si="8"/>
        <v>0</v>
      </c>
    </row>
    <row r="187" spans="1:6" x14ac:dyDescent="0.25">
      <c r="A187" s="59">
        <v>45476</v>
      </c>
      <c r="B187" s="14">
        <f t="shared" si="6"/>
        <v>0</v>
      </c>
      <c r="C187" s="59">
        <v>45536</v>
      </c>
      <c r="D187" s="14">
        <f t="shared" si="7"/>
        <v>1</v>
      </c>
      <c r="E187" s="59">
        <v>45570</v>
      </c>
      <c r="F187" s="25">
        <f t="shared" si="8"/>
        <v>1</v>
      </c>
    </row>
    <row r="188" spans="1:6" x14ac:dyDescent="0.25">
      <c r="A188" s="59">
        <v>45477</v>
      </c>
      <c r="B188" s="14">
        <f t="shared" si="6"/>
        <v>0</v>
      </c>
      <c r="C188" s="59">
        <v>45537</v>
      </c>
      <c r="D188" s="14">
        <f t="shared" si="7"/>
        <v>0</v>
      </c>
      <c r="E188" s="59">
        <v>45571</v>
      </c>
      <c r="F188" s="25">
        <f t="shared" si="8"/>
        <v>1</v>
      </c>
    </row>
    <row r="189" spans="1:6" x14ac:dyDescent="0.25">
      <c r="A189" s="59">
        <v>45478</v>
      </c>
      <c r="B189" s="14">
        <f t="shared" si="6"/>
        <v>0</v>
      </c>
      <c r="C189" s="59">
        <v>45538</v>
      </c>
      <c r="D189" s="14">
        <f t="shared" si="7"/>
        <v>0</v>
      </c>
      <c r="E189" s="59">
        <v>45572</v>
      </c>
      <c r="F189" s="25">
        <f t="shared" si="8"/>
        <v>0</v>
      </c>
    </row>
    <row r="190" spans="1:6" x14ac:dyDescent="0.25">
      <c r="A190" s="59">
        <v>45479</v>
      </c>
      <c r="B190" s="14">
        <f t="shared" si="6"/>
        <v>1</v>
      </c>
      <c r="C190" s="59">
        <v>45539</v>
      </c>
      <c r="D190" s="14">
        <f t="shared" si="7"/>
        <v>0</v>
      </c>
      <c r="E190" s="59">
        <v>45573</v>
      </c>
      <c r="F190" s="25">
        <f t="shared" si="8"/>
        <v>0</v>
      </c>
    </row>
    <row r="191" spans="1:6" x14ac:dyDescent="0.25">
      <c r="A191" s="59">
        <v>45480</v>
      </c>
      <c r="B191" s="14">
        <f t="shared" si="6"/>
        <v>1</v>
      </c>
      <c r="C191" s="59">
        <v>45540</v>
      </c>
      <c r="D191" s="14">
        <f t="shared" si="7"/>
        <v>0</v>
      </c>
      <c r="E191" s="59">
        <v>45574</v>
      </c>
      <c r="F191" s="25">
        <f t="shared" si="8"/>
        <v>0</v>
      </c>
    </row>
    <row r="192" spans="1:6" x14ac:dyDescent="0.25">
      <c r="A192" s="59">
        <v>45481</v>
      </c>
      <c r="B192" s="14">
        <f t="shared" si="6"/>
        <v>0</v>
      </c>
      <c r="C192" s="59">
        <v>45541</v>
      </c>
      <c r="D192" s="14">
        <f t="shared" si="7"/>
        <v>0</v>
      </c>
      <c r="E192" s="59">
        <v>45575</v>
      </c>
      <c r="F192" s="25">
        <f t="shared" si="8"/>
        <v>0</v>
      </c>
    </row>
    <row r="193" spans="1:6" x14ac:dyDescent="0.25">
      <c r="A193" s="59">
        <v>45482</v>
      </c>
      <c r="B193" s="14">
        <f t="shared" si="6"/>
        <v>0</v>
      </c>
      <c r="C193" s="59">
        <v>45542</v>
      </c>
      <c r="D193" s="14">
        <f t="shared" si="7"/>
        <v>1</v>
      </c>
      <c r="E193" s="59">
        <v>45576</v>
      </c>
      <c r="F193" s="25">
        <f t="shared" si="8"/>
        <v>0</v>
      </c>
    </row>
    <row r="194" spans="1:6" x14ac:dyDescent="0.25">
      <c r="A194" s="59">
        <v>45483</v>
      </c>
      <c r="B194" s="14">
        <f t="shared" si="6"/>
        <v>0</v>
      </c>
      <c r="C194" s="59">
        <v>45543</v>
      </c>
      <c r="D194" s="14">
        <f t="shared" si="7"/>
        <v>1</v>
      </c>
      <c r="E194" s="59">
        <v>45577</v>
      </c>
      <c r="F194" s="25">
        <f t="shared" si="8"/>
        <v>1</v>
      </c>
    </row>
    <row r="195" spans="1:6" x14ac:dyDescent="0.25">
      <c r="A195" s="59">
        <v>45484</v>
      </c>
      <c r="B195" s="14">
        <f t="shared" ref="B195:B258" si="9">1-IF(WEEKDAY(A195,2)&gt;5,0,1)</f>
        <v>0</v>
      </c>
      <c r="C195" s="59">
        <v>45544</v>
      </c>
      <c r="D195" s="14">
        <f t="shared" ref="D195:D258" si="10">1-IF(WEEKDAY(C195,2)&gt;5,0,1)</f>
        <v>0</v>
      </c>
      <c r="E195" s="59">
        <v>45578</v>
      </c>
      <c r="F195" s="25">
        <f t="shared" ref="F195:F258" si="11">1-IF(WEEKDAY(E195,2)&gt;5,0,1)</f>
        <v>1</v>
      </c>
    </row>
    <row r="196" spans="1:6" x14ac:dyDescent="0.25">
      <c r="A196" s="59">
        <v>45485</v>
      </c>
      <c r="B196" s="14">
        <f t="shared" si="9"/>
        <v>0</v>
      </c>
      <c r="C196" s="59">
        <v>45545</v>
      </c>
      <c r="D196" s="14">
        <f t="shared" si="10"/>
        <v>0</v>
      </c>
      <c r="E196" s="59">
        <v>45579</v>
      </c>
      <c r="F196" s="25">
        <f t="shared" si="11"/>
        <v>0</v>
      </c>
    </row>
    <row r="197" spans="1:6" x14ac:dyDescent="0.25">
      <c r="A197" s="59">
        <v>45486</v>
      </c>
      <c r="B197" s="14">
        <f t="shared" si="9"/>
        <v>1</v>
      </c>
      <c r="C197" s="59">
        <v>45546</v>
      </c>
      <c r="D197" s="14">
        <f t="shared" si="10"/>
        <v>0</v>
      </c>
      <c r="E197" s="59">
        <v>45580</v>
      </c>
      <c r="F197" s="25">
        <f t="shared" si="11"/>
        <v>0</v>
      </c>
    </row>
    <row r="198" spans="1:6" x14ac:dyDescent="0.25">
      <c r="A198" s="59">
        <v>45487</v>
      </c>
      <c r="B198" s="14">
        <f t="shared" si="9"/>
        <v>1</v>
      </c>
      <c r="C198" s="59">
        <v>45547</v>
      </c>
      <c r="D198" s="14">
        <f t="shared" si="10"/>
        <v>0</v>
      </c>
      <c r="E198" s="59">
        <v>45581</v>
      </c>
      <c r="F198" s="25">
        <f t="shared" si="11"/>
        <v>0</v>
      </c>
    </row>
    <row r="199" spans="1:6" x14ac:dyDescent="0.25">
      <c r="A199" s="59">
        <v>45488</v>
      </c>
      <c r="B199" s="14">
        <f t="shared" si="9"/>
        <v>0</v>
      </c>
      <c r="C199" s="59">
        <v>45548</v>
      </c>
      <c r="D199" s="14">
        <f t="shared" si="10"/>
        <v>0</v>
      </c>
      <c r="E199" s="59">
        <v>45582</v>
      </c>
      <c r="F199" s="25">
        <f t="shared" si="11"/>
        <v>0</v>
      </c>
    </row>
    <row r="200" spans="1:6" x14ac:dyDescent="0.25">
      <c r="A200" s="59">
        <v>45489</v>
      </c>
      <c r="B200" s="14">
        <f t="shared" si="9"/>
        <v>0</v>
      </c>
      <c r="C200" s="59">
        <v>45549</v>
      </c>
      <c r="D200" s="14">
        <f t="shared" si="10"/>
        <v>1</v>
      </c>
      <c r="E200" s="59">
        <v>45583</v>
      </c>
      <c r="F200" s="25">
        <f t="shared" si="11"/>
        <v>0</v>
      </c>
    </row>
    <row r="201" spans="1:6" x14ac:dyDescent="0.25">
      <c r="A201" s="59">
        <v>45490</v>
      </c>
      <c r="B201" s="14">
        <f t="shared" si="9"/>
        <v>0</v>
      </c>
      <c r="C201" s="59">
        <v>45550</v>
      </c>
      <c r="D201" s="14">
        <f t="shared" si="10"/>
        <v>1</v>
      </c>
      <c r="E201" s="59">
        <v>45584</v>
      </c>
      <c r="F201" s="25">
        <f t="shared" si="11"/>
        <v>1</v>
      </c>
    </row>
    <row r="202" spans="1:6" x14ac:dyDescent="0.25">
      <c r="A202" s="59">
        <v>45491</v>
      </c>
      <c r="B202" s="14">
        <f t="shared" si="9"/>
        <v>0</v>
      </c>
      <c r="C202" s="59">
        <v>45551</v>
      </c>
      <c r="D202" s="14">
        <f t="shared" si="10"/>
        <v>0</v>
      </c>
      <c r="E202" s="59">
        <v>45585</v>
      </c>
      <c r="F202" s="25">
        <f t="shared" si="11"/>
        <v>1</v>
      </c>
    </row>
    <row r="203" spans="1:6" x14ac:dyDescent="0.25">
      <c r="A203" s="59">
        <v>45492</v>
      </c>
      <c r="B203" s="14">
        <f t="shared" si="9"/>
        <v>0</v>
      </c>
      <c r="C203" s="59">
        <v>45552</v>
      </c>
      <c r="D203" s="14">
        <f t="shared" si="10"/>
        <v>0</v>
      </c>
      <c r="E203" s="59">
        <v>45586</v>
      </c>
      <c r="F203" s="25">
        <f t="shared" si="11"/>
        <v>0</v>
      </c>
    </row>
    <row r="204" spans="1:6" x14ac:dyDescent="0.25">
      <c r="A204" s="59">
        <v>45493</v>
      </c>
      <c r="B204" s="14">
        <f t="shared" si="9"/>
        <v>1</v>
      </c>
      <c r="C204" s="59">
        <v>45553</v>
      </c>
      <c r="D204" s="14">
        <f t="shared" si="10"/>
        <v>0</v>
      </c>
      <c r="E204" s="59">
        <v>45587</v>
      </c>
      <c r="F204" s="25">
        <f t="shared" si="11"/>
        <v>0</v>
      </c>
    </row>
    <row r="205" spans="1:6" x14ac:dyDescent="0.25">
      <c r="A205" s="59">
        <v>45494</v>
      </c>
      <c r="B205" s="14">
        <f t="shared" si="9"/>
        <v>1</v>
      </c>
      <c r="C205" s="59">
        <v>45554</v>
      </c>
      <c r="D205" s="14">
        <f t="shared" si="10"/>
        <v>0</v>
      </c>
      <c r="E205" s="59">
        <v>45588</v>
      </c>
      <c r="F205" s="25">
        <f t="shared" si="11"/>
        <v>0</v>
      </c>
    </row>
    <row r="206" spans="1:6" x14ac:dyDescent="0.25">
      <c r="A206" s="59">
        <v>45495</v>
      </c>
      <c r="B206" s="14">
        <f t="shared" si="9"/>
        <v>0</v>
      </c>
      <c r="C206" s="59">
        <v>45555</v>
      </c>
      <c r="D206" s="14">
        <f t="shared" si="10"/>
        <v>0</v>
      </c>
      <c r="E206" s="59">
        <v>45589</v>
      </c>
      <c r="F206" s="25">
        <f t="shared" si="11"/>
        <v>0</v>
      </c>
    </row>
    <row r="207" spans="1:6" x14ac:dyDescent="0.25">
      <c r="A207" s="59">
        <v>45496</v>
      </c>
      <c r="B207" s="14">
        <f t="shared" si="9"/>
        <v>0</v>
      </c>
      <c r="C207" s="59">
        <v>45556</v>
      </c>
      <c r="D207" s="14">
        <f t="shared" si="10"/>
        <v>1</v>
      </c>
      <c r="E207" s="59">
        <v>45590</v>
      </c>
      <c r="F207" s="25">
        <f t="shared" si="11"/>
        <v>0</v>
      </c>
    </row>
    <row r="208" spans="1:6" x14ac:dyDescent="0.25">
      <c r="A208" s="59">
        <v>45497</v>
      </c>
      <c r="B208" s="14">
        <f t="shared" si="9"/>
        <v>0</v>
      </c>
      <c r="C208" s="59">
        <v>45557</v>
      </c>
      <c r="D208" s="14">
        <f t="shared" si="10"/>
        <v>1</v>
      </c>
      <c r="E208" s="59">
        <v>45591</v>
      </c>
      <c r="F208" s="25">
        <f t="shared" si="11"/>
        <v>1</v>
      </c>
    </row>
    <row r="209" spans="1:6" x14ac:dyDescent="0.25">
      <c r="A209" s="59">
        <v>45498</v>
      </c>
      <c r="B209" s="14">
        <f t="shared" si="9"/>
        <v>0</v>
      </c>
      <c r="C209" s="59">
        <v>45558</v>
      </c>
      <c r="D209" s="14">
        <f t="shared" si="10"/>
        <v>0</v>
      </c>
      <c r="E209" s="59">
        <v>45592</v>
      </c>
      <c r="F209" s="25">
        <f t="shared" si="11"/>
        <v>1</v>
      </c>
    </row>
    <row r="210" spans="1:6" x14ac:dyDescent="0.25">
      <c r="A210" s="59">
        <v>45499</v>
      </c>
      <c r="B210" s="14">
        <f t="shared" si="9"/>
        <v>0</v>
      </c>
      <c r="C210" s="59">
        <v>45559</v>
      </c>
      <c r="D210" s="14">
        <f t="shared" si="10"/>
        <v>0</v>
      </c>
      <c r="E210" s="59">
        <v>45593</v>
      </c>
      <c r="F210" s="25">
        <f t="shared" si="11"/>
        <v>0</v>
      </c>
    </row>
    <row r="211" spans="1:6" x14ac:dyDescent="0.25">
      <c r="A211" s="59">
        <v>45500</v>
      </c>
      <c r="B211" s="14">
        <f t="shared" si="9"/>
        <v>1</v>
      </c>
      <c r="C211" s="59">
        <v>45560</v>
      </c>
      <c r="D211" s="14">
        <f t="shared" si="10"/>
        <v>0</v>
      </c>
      <c r="E211" s="59">
        <v>45594</v>
      </c>
      <c r="F211" s="25">
        <f t="shared" si="11"/>
        <v>0</v>
      </c>
    </row>
    <row r="212" spans="1:6" x14ac:dyDescent="0.25">
      <c r="A212" s="59">
        <v>45501</v>
      </c>
      <c r="B212" s="14">
        <f t="shared" si="9"/>
        <v>1</v>
      </c>
      <c r="C212" s="59">
        <v>45561</v>
      </c>
      <c r="D212" s="14">
        <f t="shared" si="10"/>
        <v>0</v>
      </c>
      <c r="E212" s="59">
        <v>45595</v>
      </c>
      <c r="F212" s="25">
        <f t="shared" si="11"/>
        <v>0</v>
      </c>
    </row>
    <row r="213" spans="1:6" x14ac:dyDescent="0.25">
      <c r="A213" s="59">
        <v>45502</v>
      </c>
      <c r="B213" s="14">
        <f t="shared" si="9"/>
        <v>0</v>
      </c>
      <c r="C213" s="59">
        <v>45562</v>
      </c>
      <c r="D213" s="14">
        <f t="shared" si="10"/>
        <v>0</v>
      </c>
      <c r="E213" s="59">
        <v>45596</v>
      </c>
      <c r="F213" s="25">
        <f t="shared" si="11"/>
        <v>0</v>
      </c>
    </row>
    <row r="214" spans="1:6" x14ac:dyDescent="0.25">
      <c r="A214" s="59">
        <v>45503</v>
      </c>
      <c r="B214" s="14">
        <f t="shared" si="9"/>
        <v>0</v>
      </c>
      <c r="C214" s="59">
        <v>45563</v>
      </c>
      <c r="D214" s="14">
        <f t="shared" si="10"/>
        <v>1</v>
      </c>
      <c r="E214" s="59">
        <v>45597</v>
      </c>
      <c r="F214" s="25">
        <f t="shared" si="11"/>
        <v>0</v>
      </c>
    </row>
    <row r="215" spans="1:6" x14ac:dyDescent="0.25">
      <c r="A215" s="59">
        <v>45504</v>
      </c>
      <c r="B215" s="14">
        <f t="shared" si="9"/>
        <v>0</v>
      </c>
      <c r="C215" s="59">
        <v>45564</v>
      </c>
      <c r="D215" s="14">
        <f t="shared" si="10"/>
        <v>1</v>
      </c>
      <c r="E215" s="59">
        <v>45598</v>
      </c>
      <c r="F215" s="25">
        <f t="shared" si="11"/>
        <v>1</v>
      </c>
    </row>
    <row r="216" spans="1:6" x14ac:dyDescent="0.25">
      <c r="A216" s="59">
        <v>45505</v>
      </c>
      <c r="B216" s="14">
        <f t="shared" si="9"/>
        <v>0</v>
      </c>
      <c r="C216" s="59">
        <v>45565</v>
      </c>
      <c r="D216" s="14">
        <f t="shared" si="10"/>
        <v>0</v>
      </c>
      <c r="E216" s="59">
        <v>45599</v>
      </c>
      <c r="F216" s="25">
        <f t="shared" si="11"/>
        <v>1</v>
      </c>
    </row>
    <row r="217" spans="1:6" x14ac:dyDescent="0.25">
      <c r="A217" s="59">
        <v>45506</v>
      </c>
      <c r="B217" s="14">
        <f t="shared" si="9"/>
        <v>0</v>
      </c>
      <c r="C217" s="59">
        <v>45566</v>
      </c>
      <c r="D217" s="14">
        <f t="shared" si="10"/>
        <v>0</v>
      </c>
      <c r="E217" s="59">
        <v>45600</v>
      </c>
      <c r="F217" s="25">
        <f t="shared" si="11"/>
        <v>0</v>
      </c>
    </row>
    <row r="218" spans="1:6" x14ac:dyDescent="0.25">
      <c r="A218" s="59">
        <v>45507</v>
      </c>
      <c r="B218" s="14">
        <f t="shared" si="9"/>
        <v>1</v>
      </c>
      <c r="C218" s="59">
        <v>45567</v>
      </c>
      <c r="D218" s="14">
        <f t="shared" si="10"/>
        <v>0</v>
      </c>
      <c r="E218" s="59">
        <v>45601</v>
      </c>
      <c r="F218" s="25">
        <f t="shared" si="11"/>
        <v>0</v>
      </c>
    </row>
    <row r="219" spans="1:6" x14ac:dyDescent="0.25">
      <c r="A219" s="59">
        <v>45508</v>
      </c>
      <c r="B219" s="14">
        <f t="shared" si="9"/>
        <v>1</v>
      </c>
      <c r="C219" s="59">
        <v>45568</v>
      </c>
      <c r="D219" s="14">
        <f t="shared" si="10"/>
        <v>0</v>
      </c>
      <c r="E219" s="59">
        <v>45602</v>
      </c>
      <c r="F219" s="25">
        <f t="shared" si="11"/>
        <v>0</v>
      </c>
    </row>
    <row r="220" spans="1:6" x14ac:dyDescent="0.25">
      <c r="A220" s="59">
        <v>45509</v>
      </c>
      <c r="B220" s="14">
        <f t="shared" si="9"/>
        <v>0</v>
      </c>
      <c r="C220" s="59">
        <v>45569</v>
      </c>
      <c r="D220" s="14">
        <f t="shared" si="10"/>
        <v>0</v>
      </c>
      <c r="E220" s="59">
        <v>45603</v>
      </c>
      <c r="F220" s="25">
        <f t="shared" si="11"/>
        <v>0</v>
      </c>
    </row>
    <row r="221" spans="1:6" x14ac:dyDescent="0.25">
      <c r="A221" s="59">
        <v>45510</v>
      </c>
      <c r="B221" s="14">
        <f t="shared" si="9"/>
        <v>0</v>
      </c>
      <c r="C221" s="59">
        <v>45570</v>
      </c>
      <c r="D221" s="14">
        <f t="shared" si="10"/>
        <v>1</v>
      </c>
      <c r="E221" s="59">
        <v>45604</v>
      </c>
      <c r="F221" s="25">
        <f t="shared" si="11"/>
        <v>0</v>
      </c>
    </row>
    <row r="222" spans="1:6" x14ac:dyDescent="0.25">
      <c r="A222" s="59">
        <v>45511</v>
      </c>
      <c r="B222" s="14">
        <f t="shared" si="9"/>
        <v>0</v>
      </c>
      <c r="C222" s="59">
        <v>45571</v>
      </c>
      <c r="D222" s="14">
        <f t="shared" si="10"/>
        <v>1</v>
      </c>
      <c r="E222" s="59">
        <v>45605</v>
      </c>
      <c r="F222" s="25">
        <f t="shared" si="11"/>
        <v>1</v>
      </c>
    </row>
    <row r="223" spans="1:6" x14ac:dyDescent="0.25">
      <c r="A223" s="59">
        <v>45512</v>
      </c>
      <c r="B223" s="14">
        <f t="shared" si="9"/>
        <v>0</v>
      </c>
      <c r="C223" s="59">
        <v>45572</v>
      </c>
      <c r="D223" s="14">
        <f t="shared" si="10"/>
        <v>0</v>
      </c>
      <c r="E223" s="59">
        <v>45606</v>
      </c>
      <c r="F223" s="25">
        <f t="shared" si="11"/>
        <v>1</v>
      </c>
    </row>
    <row r="224" spans="1:6" x14ac:dyDescent="0.25">
      <c r="A224" s="59">
        <v>45513</v>
      </c>
      <c r="B224" s="14">
        <f t="shared" si="9"/>
        <v>0</v>
      </c>
      <c r="C224" s="59">
        <v>45573</v>
      </c>
      <c r="D224" s="14">
        <f t="shared" si="10"/>
        <v>0</v>
      </c>
      <c r="E224" s="59">
        <v>45607</v>
      </c>
      <c r="F224" s="25">
        <f t="shared" si="11"/>
        <v>0</v>
      </c>
    </row>
    <row r="225" spans="1:6" x14ac:dyDescent="0.25">
      <c r="A225" s="59">
        <v>45514</v>
      </c>
      <c r="B225" s="14">
        <f t="shared" si="9"/>
        <v>1</v>
      </c>
      <c r="C225" s="59">
        <v>45574</v>
      </c>
      <c r="D225" s="14">
        <f t="shared" si="10"/>
        <v>0</v>
      </c>
      <c r="E225" s="59">
        <v>45608</v>
      </c>
      <c r="F225" s="25">
        <f t="shared" si="11"/>
        <v>0</v>
      </c>
    </row>
    <row r="226" spans="1:6" x14ac:dyDescent="0.25">
      <c r="A226" s="59">
        <v>45515</v>
      </c>
      <c r="B226" s="14">
        <f t="shared" si="9"/>
        <v>1</v>
      </c>
      <c r="C226" s="59">
        <v>45575</v>
      </c>
      <c r="D226" s="14">
        <f t="shared" si="10"/>
        <v>0</v>
      </c>
      <c r="E226" s="59">
        <v>45609</v>
      </c>
      <c r="F226" s="25">
        <f t="shared" si="11"/>
        <v>0</v>
      </c>
    </row>
    <row r="227" spans="1:6" x14ac:dyDescent="0.25">
      <c r="A227" s="59">
        <v>45516</v>
      </c>
      <c r="B227" s="14">
        <f t="shared" si="9"/>
        <v>0</v>
      </c>
      <c r="C227" s="59">
        <v>45576</v>
      </c>
      <c r="D227" s="14">
        <f t="shared" si="10"/>
        <v>0</v>
      </c>
      <c r="E227" s="59">
        <v>45610</v>
      </c>
      <c r="F227" s="25">
        <f t="shared" si="11"/>
        <v>0</v>
      </c>
    </row>
    <row r="228" spans="1:6" x14ac:dyDescent="0.25">
      <c r="A228" s="59">
        <v>45517</v>
      </c>
      <c r="B228" s="14">
        <f t="shared" si="9"/>
        <v>0</v>
      </c>
      <c r="C228" s="59">
        <v>45577</v>
      </c>
      <c r="D228" s="14">
        <f t="shared" si="10"/>
        <v>1</v>
      </c>
      <c r="E228" s="59">
        <v>45611</v>
      </c>
      <c r="F228" s="25">
        <f t="shared" si="11"/>
        <v>0</v>
      </c>
    </row>
    <row r="229" spans="1:6" x14ac:dyDescent="0.25">
      <c r="A229" s="59">
        <v>45518</v>
      </c>
      <c r="B229" s="14">
        <f t="shared" si="9"/>
        <v>0</v>
      </c>
      <c r="C229" s="59">
        <v>45578</v>
      </c>
      <c r="D229" s="14">
        <f t="shared" si="10"/>
        <v>1</v>
      </c>
      <c r="E229" s="59">
        <v>45612</v>
      </c>
      <c r="F229" s="25">
        <f t="shared" si="11"/>
        <v>1</v>
      </c>
    </row>
    <row r="230" spans="1:6" x14ac:dyDescent="0.25">
      <c r="A230" s="59">
        <v>45519</v>
      </c>
      <c r="B230" s="14">
        <f t="shared" si="9"/>
        <v>0</v>
      </c>
      <c r="C230" s="59">
        <v>45579</v>
      </c>
      <c r="D230" s="14">
        <f t="shared" si="10"/>
        <v>0</v>
      </c>
      <c r="E230" s="59">
        <v>45613</v>
      </c>
      <c r="F230" s="25">
        <f t="shared" si="11"/>
        <v>1</v>
      </c>
    </row>
    <row r="231" spans="1:6" x14ac:dyDescent="0.25">
      <c r="A231" s="59">
        <v>45520</v>
      </c>
      <c r="B231" s="14">
        <f t="shared" si="9"/>
        <v>0</v>
      </c>
      <c r="C231" s="59">
        <v>45580</v>
      </c>
      <c r="D231" s="14">
        <f t="shared" si="10"/>
        <v>0</v>
      </c>
      <c r="E231" s="59">
        <v>45614</v>
      </c>
      <c r="F231" s="25">
        <f t="shared" si="11"/>
        <v>0</v>
      </c>
    </row>
    <row r="232" spans="1:6" x14ac:dyDescent="0.25">
      <c r="A232" s="59">
        <v>45521</v>
      </c>
      <c r="B232" s="14">
        <f t="shared" si="9"/>
        <v>1</v>
      </c>
      <c r="C232" s="59">
        <v>45581</v>
      </c>
      <c r="D232" s="14">
        <f t="shared" si="10"/>
        <v>0</v>
      </c>
      <c r="E232" s="59">
        <v>45615</v>
      </c>
      <c r="F232" s="25">
        <f t="shared" si="11"/>
        <v>0</v>
      </c>
    </row>
    <row r="233" spans="1:6" x14ac:dyDescent="0.25">
      <c r="A233" s="59">
        <v>45522</v>
      </c>
      <c r="B233" s="14">
        <f t="shared" si="9"/>
        <v>1</v>
      </c>
      <c r="C233" s="59">
        <v>45582</v>
      </c>
      <c r="D233" s="14">
        <f t="shared" si="10"/>
        <v>0</v>
      </c>
      <c r="E233" s="59">
        <v>45616</v>
      </c>
      <c r="F233" s="25">
        <f t="shared" si="11"/>
        <v>0</v>
      </c>
    </row>
    <row r="234" spans="1:6" x14ac:dyDescent="0.25">
      <c r="A234" s="59">
        <v>45523</v>
      </c>
      <c r="B234" s="14">
        <f t="shared" si="9"/>
        <v>0</v>
      </c>
      <c r="C234" s="59">
        <v>45583</v>
      </c>
      <c r="D234" s="14">
        <f t="shared" si="10"/>
        <v>0</v>
      </c>
      <c r="E234" s="59">
        <v>45617</v>
      </c>
      <c r="F234" s="25">
        <f t="shared" si="11"/>
        <v>0</v>
      </c>
    </row>
    <row r="235" spans="1:6" x14ac:dyDescent="0.25">
      <c r="A235" s="59">
        <v>45524</v>
      </c>
      <c r="B235" s="14">
        <f t="shared" si="9"/>
        <v>0</v>
      </c>
      <c r="C235" s="59">
        <v>45584</v>
      </c>
      <c r="D235" s="14">
        <f t="shared" si="10"/>
        <v>1</v>
      </c>
      <c r="E235" s="59">
        <v>45618</v>
      </c>
      <c r="F235" s="25">
        <f t="shared" si="11"/>
        <v>0</v>
      </c>
    </row>
    <row r="236" spans="1:6" x14ac:dyDescent="0.25">
      <c r="A236" s="59">
        <v>45525</v>
      </c>
      <c r="B236" s="14">
        <f t="shared" si="9"/>
        <v>0</v>
      </c>
      <c r="C236" s="59">
        <v>45585</v>
      </c>
      <c r="D236" s="14">
        <f t="shared" si="10"/>
        <v>1</v>
      </c>
      <c r="E236" s="59">
        <v>45619</v>
      </c>
      <c r="F236" s="25">
        <f t="shared" si="11"/>
        <v>1</v>
      </c>
    </row>
    <row r="237" spans="1:6" x14ac:dyDescent="0.25">
      <c r="A237" s="59">
        <v>45526</v>
      </c>
      <c r="B237" s="14">
        <f t="shared" si="9"/>
        <v>0</v>
      </c>
      <c r="C237" s="59">
        <v>45586</v>
      </c>
      <c r="D237" s="14">
        <f t="shared" si="10"/>
        <v>0</v>
      </c>
      <c r="E237" s="59">
        <v>45620</v>
      </c>
      <c r="F237" s="25">
        <f t="shared" si="11"/>
        <v>1</v>
      </c>
    </row>
    <row r="238" spans="1:6" x14ac:dyDescent="0.25">
      <c r="A238" s="59">
        <v>45527</v>
      </c>
      <c r="B238" s="14">
        <f t="shared" si="9"/>
        <v>0</v>
      </c>
      <c r="C238" s="59">
        <v>45587</v>
      </c>
      <c r="D238" s="14">
        <f t="shared" si="10"/>
        <v>0</v>
      </c>
      <c r="E238" s="59">
        <v>45621</v>
      </c>
      <c r="F238" s="25">
        <f t="shared" si="11"/>
        <v>0</v>
      </c>
    </row>
    <row r="239" spans="1:6" x14ac:dyDescent="0.25">
      <c r="A239" s="59">
        <v>45528</v>
      </c>
      <c r="B239" s="14">
        <f t="shared" si="9"/>
        <v>1</v>
      </c>
      <c r="C239" s="59">
        <v>45588</v>
      </c>
      <c r="D239" s="14">
        <f t="shared" si="10"/>
        <v>0</v>
      </c>
      <c r="E239" s="59">
        <v>45622</v>
      </c>
      <c r="F239" s="25">
        <f t="shared" si="11"/>
        <v>0</v>
      </c>
    </row>
    <row r="240" spans="1:6" x14ac:dyDescent="0.25">
      <c r="A240" s="59">
        <v>45529</v>
      </c>
      <c r="B240" s="14">
        <f t="shared" si="9"/>
        <v>1</v>
      </c>
      <c r="C240" s="59">
        <v>45589</v>
      </c>
      <c r="D240" s="14">
        <f t="shared" si="10"/>
        <v>0</v>
      </c>
      <c r="E240" s="59">
        <v>45623</v>
      </c>
      <c r="F240" s="25">
        <f t="shared" si="11"/>
        <v>0</v>
      </c>
    </row>
    <row r="241" spans="1:6" x14ac:dyDescent="0.25">
      <c r="A241" s="59">
        <v>45530</v>
      </c>
      <c r="B241" s="14">
        <f t="shared" si="9"/>
        <v>0</v>
      </c>
      <c r="C241" s="59">
        <v>45590</v>
      </c>
      <c r="D241" s="14">
        <f t="shared" si="10"/>
        <v>0</v>
      </c>
      <c r="E241" s="59">
        <v>45624</v>
      </c>
      <c r="F241" s="25">
        <f t="shared" si="11"/>
        <v>0</v>
      </c>
    </row>
    <row r="242" spans="1:6" x14ac:dyDescent="0.25">
      <c r="A242" s="59">
        <v>45531</v>
      </c>
      <c r="B242" s="14">
        <f t="shared" si="9"/>
        <v>0</v>
      </c>
      <c r="C242" s="59">
        <v>45591</v>
      </c>
      <c r="D242" s="14">
        <f t="shared" si="10"/>
        <v>1</v>
      </c>
      <c r="E242" s="59">
        <v>45625</v>
      </c>
      <c r="F242" s="25">
        <f t="shared" si="11"/>
        <v>0</v>
      </c>
    </row>
    <row r="243" spans="1:6" x14ac:dyDescent="0.25">
      <c r="A243" s="59">
        <v>45532</v>
      </c>
      <c r="B243" s="14">
        <f t="shared" si="9"/>
        <v>0</v>
      </c>
      <c r="C243" s="59">
        <v>45592</v>
      </c>
      <c r="D243" s="14">
        <f t="shared" si="10"/>
        <v>1</v>
      </c>
      <c r="E243" s="59">
        <v>45626</v>
      </c>
      <c r="F243" s="25">
        <f t="shared" si="11"/>
        <v>1</v>
      </c>
    </row>
    <row r="244" spans="1:6" x14ac:dyDescent="0.25">
      <c r="A244" s="59">
        <v>45533</v>
      </c>
      <c r="B244" s="14">
        <f t="shared" si="9"/>
        <v>0</v>
      </c>
      <c r="C244" s="59">
        <v>45593</v>
      </c>
      <c r="D244" s="14">
        <f t="shared" si="10"/>
        <v>0</v>
      </c>
      <c r="E244" s="59">
        <v>45627</v>
      </c>
      <c r="F244" s="25">
        <f t="shared" si="11"/>
        <v>1</v>
      </c>
    </row>
    <row r="245" spans="1:6" x14ac:dyDescent="0.25">
      <c r="A245" s="59">
        <v>45534</v>
      </c>
      <c r="B245" s="14">
        <f t="shared" si="9"/>
        <v>0</v>
      </c>
      <c r="C245" s="59">
        <v>45594</v>
      </c>
      <c r="D245" s="14">
        <f t="shared" si="10"/>
        <v>0</v>
      </c>
      <c r="E245" s="59">
        <v>45628</v>
      </c>
      <c r="F245" s="25">
        <f t="shared" si="11"/>
        <v>0</v>
      </c>
    </row>
    <row r="246" spans="1:6" x14ac:dyDescent="0.25">
      <c r="A246" s="59">
        <v>45535</v>
      </c>
      <c r="B246" s="14">
        <f t="shared" si="9"/>
        <v>1</v>
      </c>
      <c r="C246" s="59">
        <v>45595</v>
      </c>
      <c r="D246" s="14">
        <f t="shared" si="10"/>
        <v>0</v>
      </c>
      <c r="E246" s="59">
        <v>45629</v>
      </c>
      <c r="F246" s="25">
        <f t="shared" si="11"/>
        <v>0</v>
      </c>
    </row>
    <row r="247" spans="1:6" x14ac:dyDescent="0.25">
      <c r="A247" s="59">
        <v>45536</v>
      </c>
      <c r="B247" s="14">
        <f t="shared" si="9"/>
        <v>1</v>
      </c>
      <c r="C247" s="59">
        <v>45596</v>
      </c>
      <c r="D247" s="14">
        <f t="shared" si="10"/>
        <v>0</v>
      </c>
      <c r="E247" s="59">
        <v>45630</v>
      </c>
      <c r="F247" s="25">
        <f t="shared" si="11"/>
        <v>0</v>
      </c>
    </row>
    <row r="248" spans="1:6" x14ac:dyDescent="0.25">
      <c r="A248" s="59">
        <v>45537</v>
      </c>
      <c r="B248" s="14">
        <f t="shared" si="9"/>
        <v>0</v>
      </c>
      <c r="C248" s="59">
        <v>45597</v>
      </c>
      <c r="D248" s="14">
        <f t="shared" si="10"/>
        <v>0</v>
      </c>
      <c r="E248" s="59">
        <v>45631</v>
      </c>
      <c r="F248" s="25">
        <f t="shared" si="11"/>
        <v>0</v>
      </c>
    </row>
    <row r="249" spans="1:6" x14ac:dyDescent="0.25">
      <c r="A249" s="59">
        <v>45538</v>
      </c>
      <c r="B249" s="14">
        <f t="shared" si="9"/>
        <v>0</v>
      </c>
      <c r="C249" s="59">
        <v>45598</v>
      </c>
      <c r="D249" s="14">
        <f t="shared" si="10"/>
        <v>1</v>
      </c>
      <c r="E249" s="59">
        <v>45632</v>
      </c>
      <c r="F249" s="25">
        <f t="shared" si="11"/>
        <v>0</v>
      </c>
    </row>
    <row r="250" spans="1:6" x14ac:dyDescent="0.25">
      <c r="A250" s="59">
        <v>45539</v>
      </c>
      <c r="B250" s="14">
        <f t="shared" si="9"/>
        <v>0</v>
      </c>
      <c r="C250" s="59">
        <v>45599</v>
      </c>
      <c r="D250" s="14">
        <f t="shared" si="10"/>
        <v>1</v>
      </c>
      <c r="E250" s="59">
        <v>45633</v>
      </c>
      <c r="F250" s="25">
        <f t="shared" si="11"/>
        <v>1</v>
      </c>
    </row>
    <row r="251" spans="1:6" x14ac:dyDescent="0.25">
      <c r="A251" s="59">
        <v>45540</v>
      </c>
      <c r="B251" s="14">
        <f t="shared" si="9"/>
        <v>0</v>
      </c>
      <c r="C251" s="59">
        <v>45600</v>
      </c>
      <c r="D251" s="14">
        <f t="shared" si="10"/>
        <v>0</v>
      </c>
      <c r="E251" s="59">
        <v>45634</v>
      </c>
      <c r="F251" s="25">
        <f t="shared" si="11"/>
        <v>1</v>
      </c>
    </row>
    <row r="252" spans="1:6" x14ac:dyDescent="0.25">
      <c r="A252" s="59">
        <v>45541</v>
      </c>
      <c r="B252" s="14">
        <f t="shared" si="9"/>
        <v>0</v>
      </c>
      <c r="C252" s="59">
        <v>45601</v>
      </c>
      <c r="D252" s="14">
        <f t="shared" si="10"/>
        <v>0</v>
      </c>
      <c r="E252" s="59">
        <v>45635</v>
      </c>
      <c r="F252" s="25">
        <f t="shared" si="11"/>
        <v>0</v>
      </c>
    </row>
    <row r="253" spans="1:6" x14ac:dyDescent="0.25">
      <c r="A253" s="59">
        <v>45542</v>
      </c>
      <c r="B253" s="14">
        <f t="shared" si="9"/>
        <v>1</v>
      </c>
      <c r="C253" s="59">
        <v>45602</v>
      </c>
      <c r="D253" s="14">
        <f t="shared" si="10"/>
        <v>0</v>
      </c>
      <c r="E253" s="59">
        <v>45636</v>
      </c>
      <c r="F253" s="25">
        <f t="shared" si="11"/>
        <v>0</v>
      </c>
    </row>
    <row r="254" spans="1:6" x14ac:dyDescent="0.25">
      <c r="A254" s="59">
        <v>45543</v>
      </c>
      <c r="B254" s="14">
        <f t="shared" si="9"/>
        <v>1</v>
      </c>
      <c r="C254" s="59">
        <v>45603</v>
      </c>
      <c r="D254" s="14">
        <f t="shared" si="10"/>
        <v>0</v>
      </c>
      <c r="E254" s="59">
        <v>45637</v>
      </c>
      <c r="F254" s="25">
        <f t="shared" si="11"/>
        <v>0</v>
      </c>
    </row>
    <row r="255" spans="1:6" x14ac:dyDescent="0.25">
      <c r="A255" s="59">
        <v>45544</v>
      </c>
      <c r="B255" s="14">
        <f t="shared" si="9"/>
        <v>0</v>
      </c>
      <c r="C255" s="59">
        <v>45604</v>
      </c>
      <c r="D255" s="14">
        <f t="shared" si="10"/>
        <v>0</v>
      </c>
      <c r="E255" s="59">
        <v>45638</v>
      </c>
      <c r="F255" s="25">
        <f t="shared" si="11"/>
        <v>0</v>
      </c>
    </row>
    <row r="256" spans="1:6" x14ac:dyDescent="0.25">
      <c r="A256" s="59">
        <v>45545</v>
      </c>
      <c r="B256" s="14">
        <f t="shared" si="9"/>
        <v>0</v>
      </c>
      <c r="C256" s="59">
        <v>45605</v>
      </c>
      <c r="D256" s="14">
        <f t="shared" si="10"/>
        <v>1</v>
      </c>
      <c r="E256" s="59">
        <v>45639</v>
      </c>
      <c r="F256" s="25">
        <f t="shared" si="11"/>
        <v>0</v>
      </c>
    </row>
    <row r="257" spans="1:6" x14ac:dyDescent="0.25">
      <c r="A257" s="59">
        <v>45546</v>
      </c>
      <c r="B257" s="14">
        <f t="shared" si="9"/>
        <v>0</v>
      </c>
      <c r="C257" s="59">
        <v>45606</v>
      </c>
      <c r="D257" s="14">
        <f t="shared" si="10"/>
        <v>1</v>
      </c>
      <c r="E257" s="59">
        <v>45640</v>
      </c>
      <c r="F257" s="25">
        <f t="shared" si="11"/>
        <v>1</v>
      </c>
    </row>
    <row r="258" spans="1:6" x14ac:dyDescent="0.25">
      <c r="A258" s="59">
        <v>45547</v>
      </c>
      <c r="B258" s="14">
        <f t="shared" si="9"/>
        <v>0</v>
      </c>
      <c r="C258" s="59">
        <v>45607</v>
      </c>
      <c r="D258" s="14">
        <f t="shared" si="10"/>
        <v>0</v>
      </c>
      <c r="E258" s="59">
        <v>45641</v>
      </c>
      <c r="F258" s="25">
        <f t="shared" si="11"/>
        <v>1</v>
      </c>
    </row>
    <row r="259" spans="1:6" x14ac:dyDescent="0.25">
      <c r="A259" s="59">
        <v>45548</v>
      </c>
      <c r="B259" s="14">
        <f t="shared" ref="B259:B322" si="12">1-IF(WEEKDAY(A259,2)&gt;5,0,1)</f>
        <v>0</v>
      </c>
      <c r="C259" s="59">
        <v>45608</v>
      </c>
      <c r="D259" s="14">
        <f t="shared" ref="D259:D322" si="13">1-IF(WEEKDAY(C259,2)&gt;5,0,1)</f>
        <v>0</v>
      </c>
      <c r="E259" s="59">
        <v>45642</v>
      </c>
      <c r="F259" s="25">
        <f t="shared" ref="F259:F322" si="14">1-IF(WEEKDAY(E259,2)&gt;5,0,1)</f>
        <v>0</v>
      </c>
    </row>
    <row r="260" spans="1:6" x14ac:dyDescent="0.25">
      <c r="A260" s="59">
        <v>45549</v>
      </c>
      <c r="B260" s="14">
        <f t="shared" si="12"/>
        <v>1</v>
      </c>
      <c r="C260" s="59">
        <v>45609</v>
      </c>
      <c r="D260" s="14">
        <f t="shared" si="13"/>
        <v>0</v>
      </c>
      <c r="E260" s="59">
        <v>45643</v>
      </c>
      <c r="F260" s="25">
        <f t="shared" si="14"/>
        <v>0</v>
      </c>
    </row>
    <row r="261" spans="1:6" x14ac:dyDescent="0.25">
      <c r="A261" s="59">
        <v>45550</v>
      </c>
      <c r="B261" s="14">
        <f t="shared" si="12"/>
        <v>1</v>
      </c>
      <c r="C261" s="59">
        <v>45610</v>
      </c>
      <c r="D261" s="14">
        <f t="shared" si="13"/>
        <v>0</v>
      </c>
      <c r="E261" s="59">
        <v>45644</v>
      </c>
      <c r="F261" s="25">
        <f t="shared" si="14"/>
        <v>0</v>
      </c>
    </row>
    <row r="262" spans="1:6" x14ac:dyDescent="0.25">
      <c r="A262" s="59">
        <v>45551</v>
      </c>
      <c r="B262" s="14">
        <f t="shared" si="12"/>
        <v>0</v>
      </c>
      <c r="C262" s="59">
        <v>45611</v>
      </c>
      <c r="D262" s="14">
        <f t="shared" si="13"/>
        <v>0</v>
      </c>
      <c r="E262" s="59">
        <v>45645</v>
      </c>
      <c r="F262" s="25">
        <f t="shared" si="14"/>
        <v>0</v>
      </c>
    </row>
    <row r="263" spans="1:6" x14ac:dyDescent="0.25">
      <c r="A263" s="59">
        <v>45552</v>
      </c>
      <c r="B263" s="14">
        <f t="shared" si="12"/>
        <v>0</v>
      </c>
      <c r="C263" s="59">
        <v>45612</v>
      </c>
      <c r="D263" s="14">
        <f t="shared" si="13"/>
        <v>1</v>
      </c>
      <c r="E263" s="59">
        <v>45646</v>
      </c>
      <c r="F263" s="25">
        <f t="shared" si="14"/>
        <v>0</v>
      </c>
    </row>
    <row r="264" spans="1:6" x14ac:dyDescent="0.25">
      <c r="A264" s="59">
        <v>45553</v>
      </c>
      <c r="B264" s="14">
        <f t="shared" si="12"/>
        <v>0</v>
      </c>
      <c r="C264" s="59">
        <v>45613</v>
      </c>
      <c r="D264" s="14">
        <f t="shared" si="13"/>
        <v>1</v>
      </c>
      <c r="E264" s="59">
        <v>45647</v>
      </c>
      <c r="F264" s="25">
        <f t="shared" si="14"/>
        <v>1</v>
      </c>
    </row>
    <row r="265" spans="1:6" x14ac:dyDescent="0.25">
      <c r="A265" s="59">
        <v>45554</v>
      </c>
      <c r="B265" s="14">
        <f t="shared" si="12"/>
        <v>0</v>
      </c>
      <c r="C265" s="59">
        <v>45614</v>
      </c>
      <c r="D265" s="14">
        <f t="shared" si="13"/>
        <v>0</v>
      </c>
      <c r="E265" s="59">
        <v>45648</v>
      </c>
      <c r="F265" s="25">
        <f t="shared" si="14"/>
        <v>1</v>
      </c>
    </row>
    <row r="266" spans="1:6" x14ac:dyDescent="0.25">
      <c r="A266" s="59">
        <v>45555</v>
      </c>
      <c r="B266" s="14">
        <f t="shared" si="12"/>
        <v>0</v>
      </c>
      <c r="C266" s="59">
        <v>45615</v>
      </c>
      <c r="D266" s="14">
        <f t="shared" si="13"/>
        <v>0</v>
      </c>
      <c r="E266" s="59">
        <v>45649</v>
      </c>
      <c r="F266" s="25">
        <f t="shared" si="14"/>
        <v>0</v>
      </c>
    </row>
    <row r="267" spans="1:6" x14ac:dyDescent="0.25">
      <c r="A267" s="59">
        <v>45556</v>
      </c>
      <c r="B267" s="14">
        <f t="shared" si="12"/>
        <v>1</v>
      </c>
      <c r="C267" s="59">
        <v>45616</v>
      </c>
      <c r="D267" s="14">
        <f t="shared" si="13"/>
        <v>0</v>
      </c>
      <c r="E267" s="59">
        <v>45650</v>
      </c>
      <c r="F267" s="25">
        <f t="shared" si="14"/>
        <v>0</v>
      </c>
    </row>
    <row r="268" spans="1:6" x14ac:dyDescent="0.25">
      <c r="A268" s="59">
        <v>45557</v>
      </c>
      <c r="B268" s="14">
        <f t="shared" si="12"/>
        <v>1</v>
      </c>
      <c r="C268" s="59">
        <v>45617</v>
      </c>
      <c r="D268" s="14">
        <f t="shared" si="13"/>
        <v>0</v>
      </c>
      <c r="E268" s="59">
        <v>45651</v>
      </c>
      <c r="F268" s="25">
        <f t="shared" si="14"/>
        <v>0</v>
      </c>
    </row>
    <row r="269" spans="1:6" x14ac:dyDescent="0.25">
      <c r="A269" s="59">
        <v>45558</v>
      </c>
      <c r="B269" s="14">
        <f t="shared" si="12"/>
        <v>0</v>
      </c>
      <c r="C269" s="59">
        <v>45618</v>
      </c>
      <c r="D269" s="14">
        <f t="shared" si="13"/>
        <v>0</v>
      </c>
      <c r="E269" s="59">
        <v>45652</v>
      </c>
      <c r="F269" s="25">
        <f t="shared" si="14"/>
        <v>0</v>
      </c>
    </row>
    <row r="270" spans="1:6" x14ac:dyDescent="0.25">
      <c r="A270" s="59">
        <v>45559</v>
      </c>
      <c r="B270" s="14">
        <f t="shared" si="12"/>
        <v>0</v>
      </c>
      <c r="C270" s="59">
        <v>45619</v>
      </c>
      <c r="D270" s="14">
        <f t="shared" si="13"/>
        <v>1</v>
      </c>
      <c r="E270" s="59">
        <v>45653</v>
      </c>
      <c r="F270" s="25">
        <f t="shared" si="14"/>
        <v>0</v>
      </c>
    </row>
    <row r="271" spans="1:6" x14ac:dyDescent="0.25">
      <c r="A271" s="59">
        <v>45560</v>
      </c>
      <c r="B271" s="14">
        <f t="shared" si="12"/>
        <v>0</v>
      </c>
      <c r="C271" s="59">
        <v>45620</v>
      </c>
      <c r="D271" s="14">
        <f t="shared" si="13"/>
        <v>1</v>
      </c>
      <c r="E271" s="59">
        <v>45654</v>
      </c>
      <c r="F271" s="25">
        <f t="shared" si="14"/>
        <v>1</v>
      </c>
    </row>
    <row r="272" spans="1:6" x14ac:dyDescent="0.25">
      <c r="A272" s="59">
        <v>45561</v>
      </c>
      <c r="B272" s="14">
        <f t="shared" si="12"/>
        <v>0</v>
      </c>
      <c r="C272" s="59">
        <v>45621</v>
      </c>
      <c r="D272" s="14">
        <f t="shared" si="13"/>
        <v>0</v>
      </c>
      <c r="E272" s="59">
        <v>45655</v>
      </c>
      <c r="F272" s="25">
        <f t="shared" si="14"/>
        <v>1</v>
      </c>
    </row>
    <row r="273" spans="1:6" x14ac:dyDescent="0.25">
      <c r="A273" s="59">
        <v>45562</v>
      </c>
      <c r="B273" s="14">
        <f t="shared" si="12"/>
        <v>0</v>
      </c>
      <c r="C273" s="59">
        <v>45622</v>
      </c>
      <c r="D273" s="14">
        <f t="shared" si="13"/>
        <v>0</v>
      </c>
      <c r="E273" s="59">
        <v>45656</v>
      </c>
      <c r="F273" s="25">
        <f t="shared" si="14"/>
        <v>0</v>
      </c>
    </row>
    <row r="274" spans="1:6" x14ac:dyDescent="0.25">
      <c r="A274" s="59">
        <v>45563</v>
      </c>
      <c r="B274" s="14">
        <f t="shared" si="12"/>
        <v>1</v>
      </c>
      <c r="C274" s="59">
        <v>45623</v>
      </c>
      <c r="D274" s="14">
        <f t="shared" si="13"/>
        <v>0</v>
      </c>
      <c r="E274" s="59">
        <v>45657</v>
      </c>
      <c r="F274" s="25">
        <f t="shared" si="14"/>
        <v>0</v>
      </c>
    </row>
    <row r="275" spans="1:6" x14ac:dyDescent="0.25">
      <c r="A275" s="59">
        <v>45564</v>
      </c>
      <c r="B275" s="14">
        <f t="shared" si="12"/>
        <v>1</v>
      </c>
      <c r="C275" s="59">
        <v>45624</v>
      </c>
      <c r="D275" s="14">
        <f t="shared" si="13"/>
        <v>0</v>
      </c>
      <c r="E275" s="59">
        <v>45658</v>
      </c>
      <c r="F275" s="25">
        <f t="shared" si="14"/>
        <v>0</v>
      </c>
    </row>
    <row r="276" spans="1:6" x14ac:dyDescent="0.25">
      <c r="A276" s="59">
        <v>45565</v>
      </c>
      <c r="B276" s="14">
        <f t="shared" si="12"/>
        <v>0</v>
      </c>
      <c r="C276" s="59">
        <v>45625</v>
      </c>
      <c r="D276" s="14">
        <f t="shared" si="13"/>
        <v>0</v>
      </c>
      <c r="E276" s="59">
        <v>45659</v>
      </c>
      <c r="F276" s="25">
        <f t="shared" si="14"/>
        <v>0</v>
      </c>
    </row>
    <row r="277" spans="1:6" x14ac:dyDescent="0.25">
      <c r="A277" s="59">
        <v>45566</v>
      </c>
      <c r="B277" s="14">
        <f t="shared" si="12"/>
        <v>0</v>
      </c>
      <c r="C277" s="59">
        <v>45626</v>
      </c>
      <c r="D277" s="14">
        <f t="shared" si="13"/>
        <v>1</v>
      </c>
      <c r="E277" s="59">
        <v>45660</v>
      </c>
      <c r="F277" s="25">
        <f t="shared" si="14"/>
        <v>0</v>
      </c>
    </row>
    <row r="278" spans="1:6" x14ac:dyDescent="0.25">
      <c r="A278" s="59">
        <v>45567</v>
      </c>
      <c r="B278" s="14">
        <f t="shared" si="12"/>
        <v>0</v>
      </c>
      <c r="C278" s="59">
        <v>45627</v>
      </c>
      <c r="D278" s="14">
        <f t="shared" si="13"/>
        <v>1</v>
      </c>
      <c r="E278" s="59">
        <v>45661</v>
      </c>
      <c r="F278" s="25">
        <f t="shared" si="14"/>
        <v>1</v>
      </c>
    </row>
    <row r="279" spans="1:6" x14ac:dyDescent="0.25">
      <c r="A279" s="59">
        <v>45568</v>
      </c>
      <c r="B279" s="14">
        <f t="shared" si="12"/>
        <v>0</v>
      </c>
      <c r="C279" s="59">
        <v>45628</v>
      </c>
      <c r="D279" s="14">
        <f t="shared" si="13"/>
        <v>0</v>
      </c>
      <c r="E279" s="59">
        <v>45662</v>
      </c>
      <c r="F279" s="25">
        <f t="shared" si="14"/>
        <v>1</v>
      </c>
    </row>
    <row r="280" spans="1:6" x14ac:dyDescent="0.25">
      <c r="A280" s="59">
        <v>45569</v>
      </c>
      <c r="B280" s="14">
        <f t="shared" si="12"/>
        <v>0</v>
      </c>
      <c r="C280" s="59">
        <v>45629</v>
      </c>
      <c r="D280" s="14">
        <f t="shared" si="13"/>
        <v>0</v>
      </c>
      <c r="E280" s="59">
        <v>45663</v>
      </c>
      <c r="F280" s="25">
        <f t="shared" si="14"/>
        <v>0</v>
      </c>
    </row>
    <row r="281" spans="1:6" x14ac:dyDescent="0.25">
      <c r="A281" s="59">
        <v>45570</v>
      </c>
      <c r="B281" s="14">
        <f t="shared" si="12"/>
        <v>1</v>
      </c>
      <c r="C281" s="59">
        <v>45630</v>
      </c>
      <c r="D281" s="14">
        <f t="shared" si="13"/>
        <v>0</v>
      </c>
      <c r="E281" s="59">
        <v>45664</v>
      </c>
      <c r="F281" s="25">
        <f t="shared" si="14"/>
        <v>0</v>
      </c>
    </row>
    <row r="282" spans="1:6" x14ac:dyDescent="0.25">
      <c r="A282" s="59">
        <v>45571</v>
      </c>
      <c r="B282" s="14">
        <f t="shared" si="12"/>
        <v>1</v>
      </c>
      <c r="C282" s="59">
        <v>45631</v>
      </c>
      <c r="D282" s="14">
        <f t="shared" si="13"/>
        <v>0</v>
      </c>
      <c r="E282" s="59">
        <v>45665</v>
      </c>
      <c r="F282" s="25">
        <f t="shared" si="14"/>
        <v>0</v>
      </c>
    </row>
    <row r="283" spans="1:6" x14ac:dyDescent="0.25">
      <c r="A283" s="59">
        <v>45572</v>
      </c>
      <c r="B283" s="14">
        <f t="shared" si="12"/>
        <v>0</v>
      </c>
      <c r="C283" s="59">
        <v>45632</v>
      </c>
      <c r="D283" s="14">
        <f t="shared" si="13"/>
        <v>0</v>
      </c>
      <c r="E283" s="59">
        <v>45666</v>
      </c>
      <c r="F283" s="25">
        <f t="shared" si="14"/>
        <v>0</v>
      </c>
    </row>
    <row r="284" spans="1:6" x14ac:dyDescent="0.25">
      <c r="A284" s="59">
        <v>45573</v>
      </c>
      <c r="B284" s="14">
        <f t="shared" si="12"/>
        <v>0</v>
      </c>
      <c r="C284" s="59">
        <v>45633</v>
      </c>
      <c r="D284" s="14">
        <f t="shared" si="13"/>
        <v>1</v>
      </c>
      <c r="E284" s="59">
        <v>45667</v>
      </c>
      <c r="F284" s="25">
        <f t="shared" si="14"/>
        <v>0</v>
      </c>
    </row>
    <row r="285" spans="1:6" x14ac:dyDescent="0.25">
      <c r="A285" s="59">
        <v>45574</v>
      </c>
      <c r="B285" s="14">
        <f t="shared" si="12"/>
        <v>0</v>
      </c>
      <c r="C285" s="59">
        <v>45634</v>
      </c>
      <c r="D285" s="14">
        <f t="shared" si="13"/>
        <v>1</v>
      </c>
      <c r="E285" s="59">
        <v>45668</v>
      </c>
      <c r="F285" s="25">
        <f t="shared" si="14"/>
        <v>1</v>
      </c>
    </row>
    <row r="286" spans="1:6" x14ac:dyDescent="0.25">
      <c r="A286" s="59">
        <v>45575</v>
      </c>
      <c r="B286" s="14">
        <f t="shared" si="12"/>
        <v>0</v>
      </c>
      <c r="C286" s="59">
        <v>45635</v>
      </c>
      <c r="D286" s="14">
        <f t="shared" si="13"/>
        <v>0</v>
      </c>
      <c r="E286" s="59">
        <v>45669</v>
      </c>
      <c r="F286" s="25">
        <f t="shared" si="14"/>
        <v>1</v>
      </c>
    </row>
    <row r="287" spans="1:6" x14ac:dyDescent="0.25">
      <c r="A287" s="59">
        <v>45576</v>
      </c>
      <c r="B287" s="14">
        <f t="shared" si="12"/>
        <v>0</v>
      </c>
      <c r="C287" s="59">
        <v>45636</v>
      </c>
      <c r="D287" s="14">
        <f t="shared" si="13"/>
        <v>0</v>
      </c>
      <c r="E287" s="59">
        <v>45670</v>
      </c>
      <c r="F287" s="25">
        <f t="shared" si="14"/>
        <v>0</v>
      </c>
    </row>
    <row r="288" spans="1:6" x14ac:dyDescent="0.25">
      <c r="A288" s="59">
        <v>45577</v>
      </c>
      <c r="B288" s="14">
        <f t="shared" si="12"/>
        <v>1</v>
      </c>
      <c r="C288" s="59">
        <v>45637</v>
      </c>
      <c r="D288" s="14">
        <f t="shared" si="13"/>
        <v>0</v>
      </c>
      <c r="E288" s="59">
        <v>45671</v>
      </c>
      <c r="F288" s="25">
        <f t="shared" si="14"/>
        <v>0</v>
      </c>
    </row>
    <row r="289" spans="1:6" x14ac:dyDescent="0.25">
      <c r="A289" s="59">
        <v>45578</v>
      </c>
      <c r="B289" s="14">
        <f t="shared" si="12"/>
        <v>1</v>
      </c>
      <c r="C289" s="59">
        <v>45638</v>
      </c>
      <c r="D289" s="14">
        <f t="shared" si="13"/>
        <v>0</v>
      </c>
      <c r="E289" s="59">
        <v>45672</v>
      </c>
      <c r="F289" s="25">
        <f t="shared" si="14"/>
        <v>0</v>
      </c>
    </row>
    <row r="290" spans="1:6" x14ac:dyDescent="0.25">
      <c r="A290" s="59">
        <v>45579</v>
      </c>
      <c r="B290" s="14">
        <f t="shared" si="12"/>
        <v>0</v>
      </c>
      <c r="C290" s="59">
        <v>45639</v>
      </c>
      <c r="D290" s="14">
        <f t="shared" si="13"/>
        <v>0</v>
      </c>
      <c r="E290" s="59">
        <v>45673</v>
      </c>
      <c r="F290" s="25">
        <f t="shared" si="14"/>
        <v>0</v>
      </c>
    </row>
    <row r="291" spans="1:6" x14ac:dyDescent="0.25">
      <c r="A291" s="59">
        <v>45580</v>
      </c>
      <c r="B291" s="14">
        <f t="shared" si="12"/>
        <v>0</v>
      </c>
      <c r="C291" s="59">
        <v>45640</v>
      </c>
      <c r="D291" s="14">
        <f t="shared" si="13"/>
        <v>1</v>
      </c>
      <c r="E291" s="59">
        <v>45674</v>
      </c>
      <c r="F291" s="25">
        <f t="shared" si="14"/>
        <v>0</v>
      </c>
    </row>
    <row r="292" spans="1:6" x14ac:dyDescent="0.25">
      <c r="A292" s="59">
        <v>45581</v>
      </c>
      <c r="B292" s="14">
        <f t="shared" si="12"/>
        <v>0</v>
      </c>
      <c r="C292" s="59">
        <v>45641</v>
      </c>
      <c r="D292" s="14">
        <f t="shared" si="13"/>
        <v>1</v>
      </c>
      <c r="E292" s="59">
        <v>45675</v>
      </c>
      <c r="F292" s="25">
        <f t="shared" si="14"/>
        <v>1</v>
      </c>
    </row>
    <row r="293" spans="1:6" x14ac:dyDescent="0.25">
      <c r="A293" s="59">
        <v>45582</v>
      </c>
      <c r="B293" s="14">
        <f t="shared" si="12"/>
        <v>0</v>
      </c>
      <c r="C293" s="59">
        <v>45642</v>
      </c>
      <c r="D293" s="14">
        <f t="shared" si="13"/>
        <v>0</v>
      </c>
      <c r="E293" s="59">
        <v>45676</v>
      </c>
      <c r="F293" s="25">
        <f t="shared" si="14"/>
        <v>1</v>
      </c>
    </row>
    <row r="294" spans="1:6" x14ac:dyDescent="0.25">
      <c r="A294" s="59">
        <v>45583</v>
      </c>
      <c r="B294" s="14">
        <f t="shared" si="12"/>
        <v>0</v>
      </c>
      <c r="C294" s="59">
        <v>45643</v>
      </c>
      <c r="D294" s="14">
        <f t="shared" si="13"/>
        <v>0</v>
      </c>
      <c r="E294" s="59">
        <v>45677</v>
      </c>
      <c r="F294" s="25">
        <f t="shared" si="14"/>
        <v>0</v>
      </c>
    </row>
    <row r="295" spans="1:6" x14ac:dyDescent="0.25">
      <c r="A295" s="59">
        <v>45584</v>
      </c>
      <c r="B295" s="14">
        <f t="shared" si="12"/>
        <v>1</v>
      </c>
      <c r="C295" s="59">
        <v>45644</v>
      </c>
      <c r="D295" s="14">
        <f t="shared" si="13"/>
        <v>0</v>
      </c>
      <c r="E295" s="59">
        <v>45678</v>
      </c>
      <c r="F295" s="25">
        <f t="shared" si="14"/>
        <v>0</v>
      </c>
    </row>
    <row r="296" spans="1:6" x14ac:dyDescent="0.25">
      <c r="A296" s="59">
        <v>45585</v>
      </c>
      <c r="B296" s="14">
        <f t="shared" si="12"/>
        <v>1</v>
      </c>
      <c r="C296" s="59">
        <v>45645</v>
      </c>
      <c r="D296" s="14">
        <f t="shared" si="13"/>
        <v>0</v>
      </c>
      <c r="E296" s="59">
        <v>45679</v>
      </c>
      <c r="F296" s="25">
        <f t="shared" si="14"/>
        <v>0</v>
      </c>
    </row>
    <row r="297" spans="1:6" x14ac:dyDescent="0.25">
      <c r="A297" s="59">
        <v>45586</v>
      </c>
      <c r="B297" s="14">
        <f t="shared" si="12"/>
        <v>0</v>
      </c>
      <c r="C297" s="59">
        <v>45646</v>
      </c>
      <c r="D297" s="14">
        <f t="shared" si="13"/>
        <v>0</v>
      </c>
      <c r="E297" s="59">
        <v>45680</v>
      </c>
      <c r="F297" s="25">
        <f t="shared" si="14"/>
        <v>0</v>
      </c>
    </row>
    <row r="298" spans="1:6" x14ac:dyDescent="0.25">
      <c r="A298" s="59">
        <v>45587</v>
      </c>
      <c r="B298" s="14">
        <f t="shared" si="12"/>
        <v>0</v>
      </c>
      <c r="C298" s="59">
        <v>45647</v>
      </c>
      <c r="D298" s="14">
        <f t="shared" si="13"/>
        <v>1</v>
      </c>
      <c r="E298" s="59">
        <v>45681</v>
      </c>
      <c r="F298" s="25">
        <f t="shared" si="14"/>
        <v>0</v>
      </c>
    </row>
    <row r="299" spans="1:6" x14ac:dyDescent="0.25">
      <c r="A299" s="59">
        <v>45588</v>
      </c>
      <c r="B299" s="14">
        <f t="shared" si="12"/>
        <v>0</v>
      </c>
      <c r="C299" s="59">
        <v>45648</v>
      </c>
      <c r="D299" s="14">
        <f t="shared" si="13"/>
        <v>1</v>
      </c>
      <c r="E299" s="59">
        <v>45682</v>
      </c>
      <c r="F299" s="25">
        <f t="shared" si="14"/>
        <v>1</v>
      </c>
    </row>
    <row r="300" spans="1:6" x14ac:dyDescent="0.25">
      <c r="A300" s="59">
        <v>45589</v>
      </c>
      <c r="B300" s="14">
        <f t="shared" si="12"/>
        <v>0</v>
      </c>
      <c r="C300" s="59">
        <v>45649</v>
      </c>
      <c r="D300" s="14">
        <f t="shared" si="13"/>
        <v>0</v>
      </c>
      <c r="E300" s="59">
        <v>45683</v>
      </c>
      <c r="F300" s="25">
        <f t="shared" si="14"/>
        <v>1</v>
      </c>
    </row>
    <row r="301" spans="1:6" x14ac:dyDescent="0.25">
      <c r="A301" s="59">
        <v>45590</v>
      </c>
      <c r="B301" s="14">
        <f t="shared" si="12"/>
        <v>0</v>
      </c>
      <c r="C301" s="59">
        <v>45650</v>
      </c>
      <c r="D301" s="14">
        <f t="shared" si="13"/>
        <v>0</v>
      </c>
      <c r="E301" s="59">
        <v>45684</v>
      </c>
      <c r="F301" s="25">
        <f t="shared" si="14"/>
        <v>0</v>
      </c>
    </row>
    <row r="302" spans="1:6" x14ac:dyDescent="0.25">
      <c r="A302" s="59">
        <v>45591</v>
      </c>
      <c r="B302" s="14">
        <f t="shared" si="12"/>
        <v>1</v>
      </c>
      <c r="C302" s="59">
        <v>45651</v>
      </c>
      <c r="D302" s="14">
        <f t="shared" si="13"/>
        <v>0</v>
      </c>
      <c r="E302" s="59">
        <v>45685</v>
      </c>
      <c r="F302" s="25">
        <f t="shared" si="14"/>
        <v>0</v>
      </c>
    </row>
    <row r="303" spans="1:6" x14ac:dyDescent="0.25">
      <c r="A303" s="59">
        <v>45592</v>
      </c>
      <c r="B303" s="14">
        <f t="shared" si="12"/>
        <v>1</v>
      </c>
      <c r="C303" s="59">
        <v>45652</v>
      </c>
      <c r="D303" s="14">
        <f t="shared" si="13"/>
        <v>0</v>
      </c>
      <c r="E303" s="59">
        <v>45686</v>
      </c>
      <c r="F303" s="25">
        <f t="shared" si="14"/>
        <v>0</v>
      </c>
    </row>
    <row r="304" spans="1:6" x14ac:dyDescent="0.25">
      <c r="A304" s="59">
        <v>45593</v>
      </c>
      <c r="B304" s="14">
        <f t="shared" si="12"/>
        <v>0</v>
      </c>
      <c r="C304" s="59">
        <v>45653</v>
      </c>
      <c r="D304" s="14">
        <f t="shared" si="13"/>
        <v>0</v>
      </c>
      <c r="E304" s="59">
        <v>45687</v>
      </c>
      <c r="F304" s="25">
        <f t="shared" si="14"/>
        <v>0</v>
      </c>
    </row>
    <row r="305" spans="1:6" x14ac:dyDescent="0.25">
      <c r="A305" s="59">
        <v>45594</v>
      </c>
      <c r="B305" s="14">
        <f t="shared" si="12"/>
        <v>0</v>
      </c>
      <c r="C305" s="59">
        <v>45654</v>
      </c>
      <c r="D305" s="14">
        <f t="shared" si="13"/>
        <v>1</v>
      </c>
      <c r="E305" s="59">
        <v>45688</v>
      </c>
      <c r="F305" s="25">
        <f t="shared" si="14"/>
        <v>0</v>
      </c>
    </row>
    <row r="306" spans="1:6" x14ac:dyDescent="0.25">
      <c r="A306" s="59">
        <v>45595</v>
      </c>
      <c r="B306" s="14">
        <f t="shared" si="12"/>
        <v>0</v>
      </c>
      <c r="C306" s="59">
        <v>45655</v>
      </c>
      <c r="D306" s="14">
        <f t="shared" si="13"/>
        <v>1</v>
      </c>
      <c r="E306" s="59">
        <v>45689</v>
      </c>
      <c r="F306" s="25">
        <f t="shared" si="14"/>
        <v>1</v>
      </c>
    </row>
    <row r="307" spans="1:6" x14ac:dyDescent="0.25">
      <c r="A307" s="59">
        <v>45596</v>
      </c>
      <c r="B307" s="14">
        <f t="shared" si="12"/>
        <v>0</v>
      </c>
      <c r="C307" s="59">
        <v>45656</v>
      </c>
      <c r="D307" s="14">
        <f t="shared" si="13"/>
        <v>0</v>
      </c>
      <c r="E307" s="59">
        <v>45690</v>
      </c>
      <c r="F307" s="25">
        <f t="shared" si="14"/>
        <v>1</v>
      </c>
    </row>
    <row r="308" spans="1:6" x14ac:dyDescent="0.25">
      <c r="A308" s="59">
        <v>45597</v>
      </c>
      <c r="B308" s="14">
        <f t="shared" si="12"/>
        <v>0</v>
      </c>
      <c r="C308" s="59">
        <v>45657</v>
      </c>
      <c r="D308" s="14">
        <f t="shared" si="13"/>
        <v>0</v>
      </c>
      <c r="E308" s="59">
        <v>45691</v>
      </c>
      <c r="F308" s="25">
        <f t="shared" si="14"/>
        <v>0</v>
      </c>
    </row>
    <row r="309" spans="1:6" x14ac:dyDescent="0.25">
      <c r="A309" s="59">
        <v>45598</v>
      </c>
      <c r="B309" s="14">
        <f t="shared" si="12"/>
        <v>1</v>
      </c>
      <c r="C309" s="59">
        <v>45658</v>
      </c>
      <c r="D309" s="14">
        <f t="shared" si="13"/>
        <v>0</v>
      </c>
      <c r="E309" s="59">
        <v>45692</v>
      </c>
      <c r="F309" s="25">
        <f t="shared" si="14"/>
        <v>0</v>
      </c>
    </row>
    <row r="310" spans="1:6" x14ac:dyDescent="0.25">
      <c r="A310" s="59">
        <v>45599</v>
      </c>
      <c r="B310" s="14">
        <f t="shared" si="12"/>
        <v>1</v>
      </c>
      <c r="C310" s="59">
        <v>45659</v>
      </c>
      <c r="D310" s="14">
        <f t="shared" si="13"/>
        <v>0</v>
      </c>
      <c r="E310" s="59">
        <v>45693</v>
      </c>
      <c r="F310" s="25">
        <f t="shared" si="14"/>
        <v>0</v>
      </c>
    </row>
    <row r="311" spans="1:6" x14ac:dyDescent="0.25">
      <c r="A311" s="59">
        <v>45600</v>
      </c>
      <c r="B311" s="14">
        <f t="shared" si="12"/>
        <v>0</v>
      </c>
      <c r="C311" s="59">
        <v>45660</v>
      </c>
      <c r="D311" s="14">
        <f t="shared" si="13"/>
        <v>0</v>
      </c>
      <c r="E311" s="59">
        <v>45694</v>
      </c>
      <c r="F311" s="25">
        <f t="shared" si="14"/>
        <v>0</v>
      </c>
    </row>
    <row r="312" spans="1:6" x14ac:dyDescent="0.25">
      <c r="A312" s="59">
        <v>45601</v>
      </c>
      <c r="B312" s="14">
        <f t="shared" si="12"/>
        <v>0</v>
      </c>
      <c r="C312" s="59">
        <v>45661</v>
      </c>
      <c r="D312" s="14">
        <f t="shared" si="13"/>
        <v>1</v>
      </c>
      <c r="E312" s="59">
        <v>45695</v>
      </c>
      <c r="F312" s="25">
        <f t="shared" si="14"/>
        <v>0</v>
      </c>
    </row>
    <row r="313" spans="1:6" x14ac:dyDescent="0.25">
      <c r="A313" s="59">
        <v>45602</v>
      </c>
      <c r="B313" s="14">
        <f t="shared" si="12"/>
        <v>0</v>
      </c>
      <c r="C313" s="59">
        <v>45662</v>
      </c>
      <c r="D313" s="14">
        <f t="shared" si="13"/>
        <v>1</v>
      </c>
      <c r="E313" s="59">
        <v>45696</v>
      </c>
      <c r="F313" s="25">
        <f t="shared" si="14"/>
        <v>1</v>
      </c>
    </row>
    <row r="314" spans="1:6" x14ac:dyDescent="0.25">
      <c r="A314" s="59">
        <v>45603</v>
      </c>
      <c r="B314" s="14">
        <f t="shared" si="12"/>
        <v>0</v>
      </c>
      <c r="C314" s="59">
        <v>45663</v>
      </c>
      <c r="D314" s="14">
        <f t="shared" si="13"/>
        <v>0</v>
      </c>
      <c r="E314" s="59">
        <v>45697</v>
      </c>
      <c r="F314" s="25">
        <f t="shared" si="14"/>
        <v>1</v>
      </c>
    </row>
    <row r="315" spans="1:6" x14ac:dyDescent="0.25">
      <c r="A315" s="59">
        <v>45604</v>
      </c>
      <c r="B315" s="14">
        <f t="shared" si="12"/>
        <v>0</v>
      </c>
      <c r="C315" s="59">
        <v>45664</v>
      </c>
      <c r="D315" s="14">
        <f t="shared" si="13"/>
        <v>0</v>
      </c>
      <c r="E315" s="59">
        <v>45698</v>
      </c>
      <c r="F315" s="25">
        <f t="shared" si="14"/>
        <v>0</v>
      </c>
    </row>
    <row r="316" spans="1:6" x14ac:dyDescent="0.25">
      <c r="A316" s="59">
        <v>45605</v>
      </c>
      <c r="B316" s="14">
        <f t="shared" si="12"/>
        <v>1</v>
      </c>
      <c r="C316" s="59">
        <v>45665</v>
      </c>
      <c r="D316" s="14">
        <f t="shared" si="13"/>
        <v>0</v>
      </c>
      <c r="E316" s="59">
        <v>45699</v>
      </c>
      <c r="F316" s="25">
        <f t="shared" si="14"/>
        <v>0</v>
      </c>
    </row>
    <row r="317" spans="1:6" x14ac:dyDescent="0.25">
      <c r="A317" s="59">
        <v>45606</v>
      </c>
      <c r="B317" s="14">
        <f t="shared" si="12"/>
        <v>1</v>
      </c>
      <c r="C317" s="59">
        <v>45666</v>
      </c>
      <c r="D317" s="14">
        <f t="shared" si="13"/>
        <v>0</v>
      </c>
      <c r="E317" s="59">
        <v>45700</v>
      </c>
      <c r="F317" s="25">
        <f t="shared" si="14"/>
        <v>0</v>
      </c>
    </row>
    <row r="318" spans="1:6" x14ac:dyDescent="0.25">
      <c r="A318" s="59">
        <v>45607</v>
      </c>
      <c r="B318" s="14">
        <f t="shared" si="12"/>
        <v>0</v>
      </c>
      <c r="C318" s="59">
        <v>45667</v>
      </c>
      <c r="D318" s="14">
        <f t="shared" si="13"/>
        <v>0</v>
      </c>
      <c r="E318" s="59">
        <v>45701</v>
      </c>
      <c r="F318" s="25">
        <f t="shared" si="14"/>
        <v>0</v>
      </c>
    </row>
    <row r="319" spans="1:6" x14ac:dyDescent="0.25">
      <c r="A319" s="59">
        <v>45608</v>
      </c>
      <c r="B319" s="14">
        <f t="shared" si="12"/>
        <v>0</v>
      </c>
      <c r="C319" s="59">
        <v>45668</v>
      </c>
      <c r="D319" s="14">
        <f t="shared" si="13"/>
        <v>1</v>
      </c>
      <c r="E319" s="59">
        <v>45702</v>
      </c>
      <c r="F319" s="25">
        <f t="shared" si="14"/>
        <v>0</v>
      </c>
    </row>
    <row r="320" spans="1:6" x14ac:dyDescent="0.25">
      <c r="A320" s="59">
        <v>45609</v>
      </c>
      <c r="B320" s="14">
        <f t="shared" si="12"/>
        <v>0</v>
      </c>
      <c r="C320" s="59">
        <v>45669</v>
      </c>
      <c r="D320" s="14">
        <f t="shared" si="13"/>
        <v>1</v>
      </c>
      <c r="E320" s="59">
        <v>45703</v>
      </c>
      <c r="F320" s="25">
        <f t="shared" si="14"/>
        <v>1</v>
      </c>
    </row>
    <row r="321" spans="1:6" x14ac:dyDescent="0.25">
      <c r="A321" s="59">
        <v>45610</v>
      </c>
      <c r="B321" s="14">
        <f t="shared" si="12"/>
        <v>0</v>
      </c>
      <c r="C321" s="59">
        <v>45670</v>
      </c>
      <c r="D321" s="14">
        <f t="shared" si="13"/>
        <v>0</v>
      </c>
      <c r="E321" s="59">
        <v>45704</v>
      </c>
      <c r="F321" s="25">
        <f t="shared" si="14"/>
        <v>1</v>
      </c>
    </row>
    <row r="322" spans="1:6" x14ac:dyDescent="0.25">
      <c r="A322" s="59">
        <v>45611</v>
      </c>
      <c r="B322" s="14">
        <f t="shared" si="12"/>
        <v>0</v>
      </c>
      <c r="C322" s="59">
        <v>45671</v>
      </c>
      <c r="D322" s="14">
        <f t="shared" si="13"/>
        <v>0</v>
      </c>
      <c r="E322" s="59">
        <v>45705</v>
      </c>
      <c r="F322" s="25">
        <f t="shared" si="14"/>
        <v>0</v>
      </c>
    </row>
    <row r="323" spans="1:6" x14ac:dyDescent="0.25">
      <c r="A323" s="59">
        <v>45612</v>
      </c>
      <c r="B323" s="14">
        <f t="shared" ref="B323:B386" si="15">1-IF(WEEKDAY(A323,2)&gt;5,0,1)</f>
        <v>1</v>
      </c>
      <c r="C323" s="59">
        <v>45672</v>
      </c>
      <c r="D323" s="14">
        <f t="shared" ref="D323:D386" si="16">1-IF(WEEKDAY(C323,2)&gt;5,0,1)</f>
        <v>0</v>
      </c>
      <c r="E323" s="59">
        <v>45706</v>
      </c>
      <c r="F323" s="25">
        <f t="shared" ref="F323:F386" si="17">1-IF(WEEKDAY(E323,2)&gt;5,0,1)</f>
        <v>0</v>
      </c>
    </row>
    <row r="324" spans="1:6" x14ac:dyDescent="0.25">
      <c r="A324" s="59">
        <v>45613</v>
      </c>
      <c r="B324" s="14">
        <f t="shared" si="15"/>
        <v>1</v>
      </c>
      <c r="C324" s="59">
        <v>45673</v>
      </c>
      <c r="D324" s="14">
        <f t="shared" si="16"/>
        <v>0</v>
      </c>
      <c r="E324" s="59">
        <v>45707</v>
      </c>
      <c r="F324" s="25">
        <f t="shared" si="17"/>
        <v>0</v>
      </c>
    </row>
    <row r="325" spans="1:6" x14ac:dyDescent="0.25">
      <c r="A325" s="59">
        <v>45614</v>
      </c>
      <c r="B325" s="14">
        <f t="shared" si="15"/>
        <v>0</v>
      </c>
      <c r="C325" s="59">
        <v>45674</v>
      </c>
      <c r="D325" s="14">
        <f t="shared" si="16"/>
        <v>0</v>
      </c>
      <c r="E325" s="59">
        <v>45708</v>
      </c>
      <c r="F325" s="25">
        <f t="shared" si="17"/>
        <v>0</v>
      </c>
    </row>
    <row r="326" spans="1:6" x14ac:dyDescent="0.25">
      <c r="A326" s="59">
        <v>45615</v>
      </c>
      <c r="B326" s="14">
        <f t="shared" si="15"/>
        <v>0</v>
      </c>
      <c r="C326" s="59">
        <v>45675</v>
      </c>
      <c r="D326" s="14">
        <f t="shared" si="16"/>
        <v>1</v>
      </c>
      <c r="E326" s="59">
        <v>45709</v>
      </c>
      <c r="F326" s="25">
        <f t="shared" si="17"/>
        <v>0</v>
      </c>
    </row>
    <row r="327" spans="1:6" x14ac:dyDescent="0.25">
      <c r="A327" s="59">
        <v>45616</v>
      </c>
      <c r="B327" s="14">
        <f t="shared" si="15"/>
        <v>0</v>
      </c>
      <c r="C327" s="59">
        <v>45676</v>
      </c>
      <c r="D327" s="14">
        <f t="shared" si="16"/>
        <v>1</v>
      </c>
      <c r="E327" s="59">
        <v>45710</v>
      </c>
      <c r="F327" s="25">
        <f t="shared" si="17"/>
        <v>1</v>
      </c>
    </row>
    <row r="328" spans="1:6" x14ac:dyDescent="0.25">
      <c r="A328" s="59">
        <v>45617</v>
      </c>
      <c r="B328" s="14">
        <f t="shared" si="15"/>
        <v>0</v>
      </c>
      <c r="C328" s="59">
        <v>45677</v>
      </c>
      <c r="D328" s="14">
        <f t="shared" si="16"/>
        <v>0</v>
      </c>
      <c r="E328" s="59">
        <v>45711</v>
      </c>
      <c r="F328" s="25">
        <f t="shared" si="17"/>
        <v>1</v>
      </c>
    </row>
    <row r="329" spans="1:6" x14ac:dyDescent="0.25">
      <c r="A329" s="59">
        <v>45618</v>
      </c>
      <c r="B329" s="14">
        <f t="shared" si="15"/>
        <v>0</v>
      </c>
      <c r="C329" s="59">
        <v>45678</v>
      </c>
      <c r="D329" s="14">
        <f t="shared" si="16"/>
        <v>0</v>
      </c>
      <c r="E329" s="59">
        <v>45712</v>
      </c>
      <c r="F329" s="25">
        <f t="shared" si="17"/>
        <v>0</v>
      </c>
    </row>
    <row r="330" spans="1:6" x14ac:dyDescent="0.25">
      <c r="A330" s="59">
        <v>45619</v>
      </c>
      <c r="B330" s="14">
        <f t="shared" si="15"/>
        <v>1</v>
      </c>
      <c r="C330" s="59">
        <v>45679</v>
      </c>
      <c r="D330" s="14">
        <f t="shared" si="16"/>
        <v>0</v>
      </c>
      <c r="E330" s="59">
        <v>45713</v>
      </c>
      <c r="F330" s="25">
        <f t="shared" si="17"/>
        <v>0</v>
      </c>
    </row>
    <row r="331" spans="1:6" x14ac:dyDescent="0.25">
      <c r="A331" s="59">
        <v>45620</v>
      </c>
      <c r="B331" s="14">
        <f t="shared" si="15"/>
        <v>1</v>
      </c>
      <c r="C331" s="59">
        <v>45680</v>
      </c>
      <c r="D331" s="14">
        <f t="shared" si="16"/>
        <v>0</v>
      </c>
      <c r="E331" s="59">
        <v>45714</v>
      </c>
      <c r="F331" s="25">
        <f t="shared" si="17"/>
        <v>0</v>
      </c>
    </row>
    <row r="332" spans="1:6" x14ac:dyDescent="0.25">
      <c r="A332" s="59">
        <v>45621</v>
      </c>
      <c r="B332" s="14">
        <f t="shared" si="15"/>
        <v>0</v>
      </c>
      <c r="C332" s="59">
        <v>45681</v>
      </c>
      <c r="D332" s="14">
        <f t="shared" si="16"/>
        <v>0</v>
      </c>
      <c r="E332" s="59">
        <v>45715</v>
      </c>
      <c r="F332" s="25">
        <f t="shared" si="17"/>
        <v>0</v>
      </c>
    </row>
    <row r="333" spans="1:6" x14ac:dyDescent="0.25">
      <c r="A333" s="59">
        <v>45622</v>
      </c>
      <c r="B333" s="14">
        <f t="shared" si="15"/>
        <v>0</v>
      </c>
      <c r="C333" s="59">
        <v>45682</v>
      </c>
      <c r="D333" s="14">
        <f t="shared" si="16"/>
        <v>1</v>
      </c>
      <c r="E333" s="59">
        <v>45716</v>
      </c>
      <c r="F333" s="25">
        <f t="shared" si="17"/>
        <v>0</v>
      </c>
    </row>
    <row r="334" spans="1:6" x14ac:dyDescent="0.25">
      <c r="A334" s="59">
        <v>45623</v>
      </c>
      <c r="B334" s="14">
        <f t="shared" si="15"/>
        <v>0</v>
      </c>
      <c r="C334" s="59">
        <v>45683</v>
      </c>
      <c r="D334" s="14">
        <f t="shared" si="16"/>
        <v>1</v>
      </c>
      <c r="E334" s="59">
        <v>45717</v>
      </c>
      <c r="F334" s="25">
        <f t="shared" si="17"/>
        <v>1</v>
      </c>
    </row>
    <row r="335" spans="1:6" x14ac:dyDescent="0.25">
      <c r="A335" s="59">
        <v>45624</v>
      </c>
      <c r="B335" s="14">
        <f t="shared" si="15"/>
        <v>0</v>
      </c>
      <c r="C335" s="59">
        <v>45684</v>
      </c>
      <c r="D335" s="14">
        <f t="shared" si="16"/>
        <v>0</v>
      </c>
      <c r="E335" s="59">
        <v>45718</v>
      </c>
      <c r="F335" s="25">
        <f t="shared" si="17"/>
        <v>1</v>
      </c>
    </row>
    <row r="336" spans="1:6" x14ac:dyDescent="0.25">
      <c r="A336" s="59">
        <v>45625</v>
      </c>
      <c r="B336" s="14">
        <f t="shared" si="15"/>
        <v>0</v>
      </c>
      <c r="C336" s="59">
        <v>45685</v>
      </c>
      <c r="D336" s="14">
        <f t="shared" si="16"/>
        <v>0</v>
      </c>
      <c r="E336" s="59">
        <v>45719</v>
      </c>
      <c r="F336" s="25">
        <f t="shared" si="17"/>
        <v>0</v>
      </c>
    </row>
    <row r="337" spans="1:6" x14ac:dyDescent="0.25">
      <c r="A337" s="59">
        <v>45626</v>
      </c>
      <c r="B337" s="14">
        <f t="shared" si="15"/>
        <v>1</v>
      </c>
      <c r="C337" s="59">
        <v>45686</v>
      </c>
      <c r="D337" s="14">
        <f t="shared" si="16"/>
        <v>0</v>
      </c>
      <c r="E337" s="59">
        <v>45720</v>
      </c>
      <c r="F337" s="25">
        <f t="shared" si="17"/>
        <v>0</v>
      </c>
    </row>
    <row r="338" spans="1:6" x14ac:dyDescent="0.25">
      <c r="A338" s="59">
        <v>45627</v>
      </c>
      <c r="B338" s="14">
        <f t="shared" si="15"/>
        <v>1</v>
      </c>
      <c r="C338" s="59">
        <v>45687</v>
      </c>
      <c r="D338" s="14">
        <f t="shared" si="16"/>
        <v>0</v>
      </c>
      <c r="E338" s="59">
        <v>45721</v>
      </c>
      <c r="F338" s="25">
        <f t="shared" si="17"/>
        <v>0</v>
      </c>
    </row>
    <row r="339" spans="1:6" x14ac:dyDescent="0.25">
      <c r="A339" s="59">
        <v>45628</v>
      </c>
      <c r="B339" s="14">
        <f t="shared" si="15"/>
        <v>0</v>
      </c>
      <c r="C339" s="59">
        <v>45688</v>
      </c>
      <c r="D339" s="14">
        <f t="shared" si="16"/>
        <v>0</v>
      </c>
      <c r="E339" s="59">
        <v>45722</v>
      </c>
      <c r="F339" s="25">
        <f t="shared" si="17"/>
        <v>0</v>
      </c>
    </row>
    <row r="340" spans="1:6" x14ac:dyDescent="0.25">
      <c r="A340" s="59">
        <v>45629</v>
      </c>
      <c r="B340" s="14">
        <f t="shared" si="15"/>
        <v>0</v>
      </c>
      <c r="C340" s="59">
        <v>45689</v>
      </c>
      <c r="D340" s="14">
        <f t="shared" si="16"/>
        <v>1</v>
      </c>
      <c r="E340" s="59">
        <v>45723</v>
      </c>
      <c r="F340" s="25">
        <f t="shared" si="17"/>
        <v>0</v>
      </c>
    </row>
    <row r="341" spans="1:6" x14ac:dyDescent="0.25">
      <c r="A341" s="59">
        <v>45630</v>
      </c>
      <c r="B341" s="14">
        <f t="shared" si="15"/>
        <v>0</v>
      </c>
      <c r="C341" s="59">
        <v>45690</v>
      </c>
      <c r="D341" s="14">
        <f t="shared" si="16"/>
        <v>1</v>
      </c>
      <c r="E341" s="59">
        <v>45724</v>
      </c>
      <c r="F341" s="25">
        <f t="shared" si="17"/>
        <v>1</v>
      </c>
    </row>
    <row r="342" spans="1:6" x14ac:dyDescent="0.25">
      <c r="A342" s="59">
        <v>45631</v>
      </c>
      <c r="B342" s="14">
        <f t="shared" si="15"/>
        <v>0</v>
      </c>
      <c r="C342" s="59">
        <v>45691</v>
      </c>
      <c r="D342" s="14">
        <f t="shared" si="16"/>
        <v>0</v>
      </c>
      <c r="E342" s="59">
        <v>45725</v>
      </c>
      <c r="F342" s="25">
        <f t="shared" si="17"/>
        <v>1</v>
      </c>
    </row>
    <row r="343" spans="1:6" x14ac:dyDescent="0.25">
      <c r="A343" s="59">
        <v>45632</v>
      </c>
      <c r="B343" s="14">
        <f t="shared" si="15"/>
        <v>0</v>
      </c>
      <c r="C343" s="59">
        <v>45692</v>
      </c>
      <c r="D343" s="14">
        <f t="shared" si="16"/>
        <v>0</v>
      </c>
      <c r="E343" s="59">
        <v>45726</v>
      </c>
      <c r="F343" s="25">
        <f t="shared" si="17"/>
        <v>0</v>
      </c>
    </row>
    <row r="344" spans="1:6" x14ac:dyDescent="0.25">
      <c r="A344" s="59">
        <v>45633</v>
      </c>
      <c r="B344" s="14">
        <f t="shared" si="15"/>
        <v>1</v>
      </c>
      <c r="C344" s="59">
        <v>45693</v>
      </c>
      <c r="D344" s="14">
        <f t="shared" si="16"/>
        <v>0</v>
      </c>
      <c r="E344" s="59">
        <v>45727</v>
      </c>
      <c r="F344" s="25">
        <f t="shared" si="17"/>
        <v>0</v>
      </c>
    </row>
    <row r="345" spans="1:6" x14ac:dyDescent="0.25">
      <c r="A345" s="59">
        <v>45634</v>
      </c>
      <c r="B345" s="14">
        <f t="shared" si="15"/>
        <v>1</v>
      </c>
      <c r="C345" s="59">
        <v>45694</v>
      </c>
      <c r="D345" s="14">
        <f t="shared" si="16"/>
        <v>0</v>
      </c>
      <c r="E345" s="59">
        <v>45728</v>
      </c>
      <c r="F345" s="25">
        <f t="shared" si="17"/>
        <v>0</v>
      </c>
    </row>
    <row r="346" spans="1:6" x14ac:dyDescent="0.25">
      <c r="A346" s="59">
        <v>45635</v>
      </c>
      <c r="B346" s="14">
        <f t="shared" si="15"/>
        <v>0</v>
      </c>
      <c r="C346" s="59">
        <v>45695</v>
      </c>
      <c r="D346" s="14">
        <f t="shared" si="16"/>
        <v>0</v>
      </c>
      <c r="E346" s="59">
        <v>45729</v>
      </c>
      <c r="F346" s="25">
        <f t="shared" si="17"/>
        <v>0</v>
      </c>
    </row>
    <row r="347" spans="1:6" x14ac:dyDescent="0.25">
      <c r="A347" s="59">
        <v>45636</v>
      </c>
      <c r="B347" s="14">
        <f t="shared" si="15"/>
        <v>0</v>
      </c>
      <c r="C347" s="59">
        <v>45696</v>
      </c>
      <c r="D347" s="14">
        <f t="shared" si="16"/>
        <v>1</v>
      </c>
      <c r="E347" s="59">
        <v>45730</v>
      </c>
      <c r="F347" s="25">
        <f t="shared" si="17"/>
        <v>0</v>
      </c>
    </row>
    <row r="348" spans="1:6" x14ac:dyDescent="0.25">
      <c r="A348" s="59">
        <v>45637</v>
      </c>
      <c r="B348" s="14">
        <f t="shared" si="15"/>
        <v>0</v>
      </c>
      <c r="C348" s="59">
        <v>45697</v>
      </c>
      <c r="D348" s="14">
        <f t="shared" si="16"/>
        <v>1</v>
      </c>
      <c r="E348" s="59">
        <v>45731</v>
      </c>
      <c r="F348" s="25">
        <f t="shared" si="17"/>
        <v>1</v>
      </c>
    </row>
    <row r="349" spans="1:6" x14ac:dyDescent="0.25">
      <c r="A349" s="59">
        <v>45638</v>
      </c>
      <c r="B349" s="14">
        <f t="shared" si="15"/>
        <v>0</v>
      </c>
      <c r="C349" s="59">
        <v>45698</v>
      </c>
      <c r="D349" s="14">
        <f t="shared" si="16"/>
        <v>0</v>
      </c>
      <c r="E349" s="59">
        <v>45732</v>
      </c>
      <c r="F349" s="25">
        <f t="shared" si="17"/>
        <v>1</v>
      </c>
    </row>
    <row r="350" spans="1:6" x14ac:dyDescent="0.25">
      <c r="A350" s="59">
        <v>45639</v>
      </c>
      <c r="B350" s="14">
        <f t="shared" si="15"/>
        <v>0</v>
      </c>
      <c r="C350" s="59">
        <v>45699</v>
      </c>
      <c r="D350" s="14">
        <f t="shared" si="16"/>
        <v>0</v>
      </c>
      <c r="E350" s="59">
        <v>45733</v>
      </c>
      <c r="F350" s="25">
        <f t="shared" si="17"/>
        <v>0</v>
      </c>
    </row>
    <row r="351" spans="1:6" x14ac:dyDescent="0.25">
      <c r="A351" s="59">
        <v>45640</v>
      </c>
      <c r="B351" s="14">
        <f t="shared" si="15"/>
        <v>1</v>
      </c>
      <c r="C351" s="59">
        <v>45700</v>
      </c>
      <c r="D351" s="14">
        <f t="shared" si="16"/>
        <v>0</v>
      </c>
      <c r="E351" s="59">
        <v>45734</v>
      </c>
      <c r="F351" s="25">
        <f t="shared" si="17"/>
        <v>0</v>
      </c>
    </row>
    <row r="352" spans="1:6" x14ac:dyDescent="0.25">
      <c r="A352" s="59">
        <v>45641</v>
      </c>
      <c r="B352" s="14">
        <f t="shared" si="15"/>
        <v>1</v>
      </c>
      <c r="C352" s="59">
        <v>45701</v>
      </c>
      <c r="D352" s="14">
        <f t="shared" si="16"/>
        <v>0</v>
      </c>
      <c r="E352" s="59">
        <v>45735</v>
      </c>
      <c r="F352" s="25">
        <f t="shared" si="17"/>
        <v>0</v>
      </c>
    </row>
    <row r="353" spans="1:6" x14ac:dyDescent="0.25">
      <c r="A353" s="59">
        <v>45642</v>
      </c>
      <c r="B353" s="14">
        <f t="shared" si="15"/>
        <v>0</v>
      </c>
      <c r="C353" s="59">
        <v>45702</v>
      </c>
      <c r="D353" s="14">
        <f t="shared" si="16"/>
        <v>0</v>
      </c>
      <c r="E353" s="59">
        <v>45736</v>
      </c>
      <c r="F353" s="25">
        <f t="shared" si="17"/>
        <v>0</v>
      </c>
    </row>
    <row r="354" spans="1:6" x14ac:dyDescent="0.25">
      <c r="A354" s="59">
        <v>45643</v>
      </c>
      <c r="B354" s="14">
        <f t="shared" si="15"/>
        <v>0</v>
      </c>
      <c r="C354" s="59">
        <v>45703</v>
      </c>
      <c r="D354" s="14">
        <f t="shared" si="16"/>
        <v>1</v>
      </c>
      <c r="E354" s="59">
        <v>45737</v>
      </c>
      <c r="F354" s="25">
        <f t="shared" si="17"/>
        <v>0</v>
      </c>
    </row>
    <row r="355" spans="1:6" x14ac:dyDescent="0.25">
      <c r="A355" s="59">
        <v>45644</v>
      </c>
      <c r="B355" s="14">
        <f t="shared" si="15"/>
        <v>0</v>
      </c>
      <c r="C355" s="59">
        <v>45704</v>
      </c>
      <c r="D355" s="14">
        <f t="shared" si="16"/>
        <v>1</v>
      </c>
      <c r="E355" s="59">
        <v>45738</v>
      </c>
      <c r="F355" s="25">
        <f t="shared" si="17"/>
        <v>1</v>
      </c>
    </row>
    <row r="356" spans="1:6" x14ac:dyDescent="0.25">
      <c r="A356" s="59">
        <v>45645</v>
      </c>
      <c r="B356" s="14">
        <f t="shared" si="15"/>
        <v>0</v>
      </c>
      <c r="C356" s="59">
        <v>45705</v>
      </c>
      <c r="D356" s="14">
        <f t="shared" si="16"/>
        <v>0</v>
      </c>
      <c r="E356" s="59">
        <v>45739</v>
      </c>
      <c r="F356" s="25">
        <f t="shared" si="17"/>
        <v>1</v>
      </c>
    </row>
    <row r="357" spans="1:6" x14ac:dyDescent="0.25">
      <c r="A357" s="59">
        <v>45646</v>
      </c>
      <c r="B357" s="14">
        <f t="shared" si="15"/>
        <v>0</v>
      </c>
      <c r="C357" s="59">
        <v>45706</v>
      </c>
      <c r="D357" s="14">
        <f t="shared" si="16"/>
        <v>0</v>
      </c>
      <c r="E357" s="59">
        <v>45740</v>
      </c>
      <c r="F357" s="25">
        <f t="shared" si="17"/>
        <v>0</v>
      </c>
    </row>
    <row r="358" spans="1:6" x14ac:dyDescent="0.25">
      <c r="A358" s="59">
        <v>45647</v>
      </c>
      <c r="B358" s="14">
        <f t="shared" si="15"/>
        <v>1</v>
      </c>
      <c r="C358" s="59">
        <v>45707</v>
      </c>
      <c r="D358" s="14">
        <f t="shared" si="16"/>
        <v>0</v>
      </c>
      <c r="E358" s="59">
        <v>45741</v>
      </c>
      <c r="F358" s="25">
        <f t="shared" si="17"/>
        <v>0</v>
      </c>
    </row>
    <row r="359" spans="1:6" x14ac:dyDescent="0.25">
      <c r="A359" s="59">
        <v>45648</v>
      </c>
      <c r="B359" s="14">
        <f t="shared" si="15"/>
        <v>1</v>
      </c>
      <c r="C359" s="59">
        <v>45708</v>
      </c>
      <c r="D359" s="14">
        <f t="shared" si="16"/>
        <v>0</v>
      </c>
      <c r="E359" s="59">
        <v>45742</v>
      </c>
      <c r="F359" s="25">
        <f t="shared" si="17"/>
        <v>0</v>
      </c>
    </row>
    <row r="360" spans="1:6" x14ac:dyDescent="0.25">
      <c r="A360" s="59">
        <v>45649</v>
      </c>
      <c r="B360" s="14">
        <f t="shared" si="15"/>
        <v>0</v>
      </c>
      <c r="C360" s="59">
        <v>45709</v>
      </c>
      <c r="D360" s="14">
        <f t="shared" si="16"/>
        <v>0</v>
      </c>
      <c r="E360" s="59">
        <v>45743</v>
      </c>
      <c r="F360" s="25">
        <f t="shared" si="17"/>
        <v>0</v>
      </c>
    </row>
    <row r="361" spans="1:6" x14ac:dyDescent="0.25">
      <c r="A361" s="59">
        <v>45650</v>
      </c>
      <c r="B361" s="14">
        <f t="shared" si="15"/>
        <v>0</v>
      </c>
      <c r="C361" s="59">
        <v>45710</v>
      </c>
      <c r="D361" s="14">
        <f t="shared" si="16"/>
        <v>1</v>
      </c>
      <c r="E361" s="59">
        <v>45744</v>
      </c>
      <c r="F361" s="25">
        <f t="shared" si="17"/>
        <v>0</v>
      </c>
    </row>
    <row r="362" spans="1:6" x14ac:dyDescent="0.25">
      <c r="A362" s="59">
        <v>45651</v>
      </c>
      <c r="B362" s="14">
        <f t="shared" si="15"/>
        <v>0</v>
      </c>
      <c r="C362" s="59">
        <v>45711</v>
      </c>
      <c r="D362" s="14">
        <f t="shared" si="16"/>
        <v>1</v>
      </c>
      <c r="E362" s="59">
        <v>45745</v>
      </c>
      <c r="F362" s="25">
        <f t="shared" si="17"/>
        <v>1</v>
      </c>
    </row>
    <row r="363" spans="1:6" x14ac:dyDescent="0.25">
      <c r="A363" s="59">
        <v>45652</v>
      </c>
      <c r="B363" s="14">
        <f t="shared" si="15"/>
        <v>0</v>
      </c>
      <c r="C363" s="59">
        <v>45712</v>
      </c>
      <c r="D363" s="14">
        <f t="shared" si="16"/>
        <v>0</v>
      </c>
      <c r="E363" s="59">
        <v>45746</v>
      </c>
      <c r="F363" s="25">
        <f t="shared" si="17"/>
        <v>1</v>
      </c>
    </row>
    <row r="364" spans="1:6" x14ac:dyDescent="0.25">
      <c r="A364" s="59">
        <v>45653</v>
      </c>
      <c r="B364" s="14">
        <f t="shared" si="15"/>
        <v>0</v>
      </c>
      <c r="C364" s="59">
        <v>45713</v>
      </c>
      <c r="D364" s="14">
        <f t="shared" si="16"/>
        <v>0</v>
      </c>
      <c r="E364" s="59">
        <v>45747</v>
      </c>
      <c r="F364" s="25">
        <f t="shared" si="17"/>
        <v>0</v>
      </c>
    </row>
    <row r="365" spans="1:6" x14ac:dyDescent="0.25">
      <c r="A365" s="59">
        <v>45654</v>
      </c>
      <c r="B365" s="14">
        <f t="shared" si="15"/>
        <v>1</v>
      </c>
      <c r="C365" s="59">
        <v>45714</v>
      </c>
      <c r="D365" s="14">
        <f t="shared" si="16"/>
        <v>0</v>
      </c>
      <c r="E365" s="59">
        <v>45748</v>
      </c>
      <c r="F365" s="25">
        <f t="shared" si="17"/>
        <v>0</v>
      </c>
    </row>
    <row r="366" spans="1:6" x14ac:dyDescent="0.25">
      <c r="A366" s="59">
        <v>45655</v>
      </c>
      <c r="B366" s="14">
        <f t="shared" si="15"/>
        <v>1</v>
      </c>
      <c r="C366" s="59">
        <v>45715</v>
      </c>
      <c r="D366" s="14">
        <f t="shared" si="16"/>
        <v>0</v>
      </c>
      <c r="E366" s="59">
        <v>45749</v>
      </c>
      <c r="F366" s="25">
        <f t="shared" si="17"/>
        <v>0</v>
      </c>
    </row>
    <row r="367" spans="1:6" x14ac:dyDescent="0.25">
      <c r="A367" s="59">
        <v>45656</v>
      </c>
      <c r="B367" s="14">
        <f t="shared" si="15"/>
        <v>0</v>
      </c>
      <c r="C367" s="59">
        <v>45716</v>
      </c>
      <c r="D367" s="14">
        <f t="shared" si="16"/>
        <v>0</v>
      </c>
      <c r="E367" s="59">
        <v>45750</v>
      </c>
      <c r="F367" s="25">
        <f t="shared" si="17"/>
        <v>0</v>
      </c>
    </row>
    <row r="368" spans="1:6" x14ac:dyDescent="0.25">
      <c r="A368" s="59">
        <v>45657</v>
      </c>
      <c r="B368" s="14">
        <f t="shared" si="15"/>
        <v>0</v>
      </c>
      <c r="C368" s="59">
        <v>45717</v>
      </c>
      <c r="D368" s="14">
        <f t="shared" si="16"/>
        <v>1</v>
      </c>
      <c r="E368" s="59">
        <v>45751</v>
      </c>
      <c r="F368" s="25">
        <f t="shared" si="17"/>
        <v>0</v>
      </c>
    </row>
    <row r="369" spans="1:6" x14ac:dyDescent="0.25">
      <c r="A369" s="59">
        <v>45658</v>
      </c>
      <c r="B369" s="14">
        <f t="shared" si="15"/>
        <v>0</v>
      </c>
      <c r="C369" s="59">
        <v>45718</v>
      </c>
      <c r="D369" s="14">
        <f t="shared" si="16"/>
        <v>1</v>
      </c>
      <c r="E369" s="59">
        <v>45752</v>
      </c>
      <c r="F369" s="25">
        <f t="shared" si="17"/>
        <v>1</v>
      </c>
    </row>
    <row r="370" spans="1:6" x14ac:dyDescent="0.25">
      <c r="A370" s="59">
        <v>45659</v>
      </c>
      <c r="B370" s="14">
        <f t="shared" si="15"/>
        <v>0</v>
      </c>
      <c r="C370" s="59">
        <v>45719</v>
      </c>
      <c r="D370" s="14">
        <f t="shared" si="16"/>
        <v>0</v>
      </c>
      <c r="E370" s="59">
        <v>45753</v>
      </c>
      <c r="F370" s="25">
        <f t="shared" si="17"/>
        <v>1</v>
      </c>
    </row>
    <row r="371" spans="1:6" x14ac:dyDescent="0.25">
      <c r="A371" s="59">
        <v>45660</v>
      </c>
      <c r="B371" s="14">
        <f t="shared" si="15"/>
        <v>0</v>
      </c>
      <c r="C371" s="59">
        <v>45720</v>
      </c>
      <c r="D371" s="14">
        <f t="shared" si="16"/>
        <v>0</v>
      </c>
      <c r="E371" s="59">
        <v>45754</v>
      </c>
      <c r="F371" s="25">
        <f t="shared" si="17"/>
        <v>0</v>
      </c>
    </row>
    <row r="372" spans="1:6" x14ac:dyDescent="0.25">
      <c r="A372" s="59">
        <v>45661</v>
      </c>
      <c r="B372" s="14">
        <f t="shared" si="15"/>
        <v>1</v>
      </c>
      <c r="C372" s="59">
        <v>45721</v>
      </c>
      <c r="D372" s="14">
        <f t="shared" si="16"/>
        <v>0</v>
      </c>
      <c r="E372" s="59">
        <v>45755</v>
      </c>
      <c r="F372" s="25">
        <f t="shared" si="17"/>
        <v>0</v>
      </c>
    </row>
    <row r="373" spans="1:6" x14ac:dyDescent="0.25">
      <c r="A373" s="59">
        <v>45662</v>
      </c>
      <c r="B373" s="14">
        <f t="shared" si="15"/>
        <v>1</v>
      </c>
      <c r="C373" s="59">
        <v>45722</v>
      </c>
      <c r="D373" s="14">
        <f t="shared" si="16"/>
        <v>0</v>
      </c>
      <c r="E373" s="59">
        <v>45756</v>
      </c>
      <c r="F373" s="25">
        <f t="shared" si="17"/>
        <v>0</v>
      </c>
    </row>
    <row r="374" spans="1:6" x14ac:dyDescent="0.25">
      <c r="A374" s="59">
        <v>45663</v>
      </c>
      <c r="B374" s="14">
        <f t="shared" si="15"/>
        <v>0</v>
      </c>
      <c r="C374" s="59">
        <v>45723</v>
      </c>
      <c r="D374" s="14">
        <f t="shared" si="16"/>
        <v>0</v>
      </c>
      <c r="E374" s="59">
        <v>45757</v>
      </c>
      <c r="F374" s="25">
        <f t="shared" si="17"/>
        <v>0</v>
      </c>
    </row>
    <row r="375" spans="1:6" x14ac:dyDescent="0.25">
      <c r="A375" s="59">
        <v>45664</v>
      </c>
      <c r="B375" s="14">
        <f t="shared" si="15"/>
        <v>0</v>
      </c>
      <c r="C375" s="59">
        <v>45724</v>
      </c>
      <c r="D375" s="14">
        <f t="shared" si="16"/>
        <v>1</v>
      </c>
      <c r="E375" s="59">
        <v>45758</v>
      </c>
      <c r="F375" s="25">
        <f t="shared" si="17"/>
        <v>0</v>
      </c>
    </row>
    <row r="376" spans="1:6" x14ac:dyDescent="0.25">
      <c r="A376" s="59">
        <v>45665</v>
      </c>
      <c r="B376" s="14">
        <f t="shared" si="15"/>
        <v>0</v>
      </c>
      <c r="C376" s="59">
        <v>45725</v>
      </c>
      <c r="D376" s="14">
        <f t="shared" si="16"/>
        <v>1</v>
      </c>
      <c r="E376" s="59">
        <v>45759</v>
      </c>
      <c r="F376" s="25">
        <f t="shared" si="17"/>
        <v>1</v>
      </c>
    </row>
    <row r="377" spans="1:6" x14ac:dyDescent="0.25">
      <c r="A377" s="59">
        <v>45666</v>
      </c>
      <c r="B377" s="14">
        <f t="shared" si="15"/>
        <v>0</v>
      </c>
      <c r="C377" s="59">
        <v>45726</v>
      </c>
      <c r="D377" s="14">
        <f t="shared" si="16"/>
        <v>0</v>
      </c>
      <c r="E377" s="59">
        <v>45760</v>
      </c>
      <c r="F377" s="25">
        <f t="shared" si="17"/>
        <v>1</v>
      </c>
    </row>
    <row r="378" spans="1:6" x14ac:dyDescent="0.25">
      <c r="A378" s="59">
        <v>45667</v>
      </c>
      <c r="B378" s="14">
        <f t="shared" si="15"/>
        <v>0</v>
      </c>
      <c r="C378" s="59">
        <v>45727</v>
      </c>
      <c r="D378" s="14">
        <f t="shared" si="16"/>
        <v>0</v>
      </c>
      <c r="E378" s="59">
        <v>45761</v>
      </c>
      <c r="F378" s="25">
        <f t="shared" si="17"/>
        <v>0</v>
      </c>
    </row>
    <row r="379" spans="1:6" x14ac:dyDescent="0.25">
      <c r="A379" s="59">
        <v>45668</v>
      </c>
      <c r="B379" s="14">
        <f t="shared" si="15"/>
        <v>1</v>
      </c>
      <c r="C379" s="59">
        <v>45728</v>
      </c>
      <c r="D379" s="14">
        <f t="shared" si="16"/>
        <v>0</v>
      </c>
      <c r="E379" s="59">
        <v>45762</v>
      </c>
      <c r="F379" s="25">
        <f t="shared" si="17"/>
        <v>0</v>
      </c>
    </row>
    <row r="380" spans="1:6" x14ac:dyDescent="0.25">
      <c r="A380" s="59">
        <v>45669</v>
      </c>
      <c r="B380" s="14">
        <f t="shared" si="15"/>
        <v>1</v>
      </c>
      <c r="C380" s="59">
        <v>45729</v>
      </c>
      <c r="D380" s="14">
        <f t="shared" si="16"/>
        <v>0</v>
      </c>
      <c r="E380" s="59">
        <v>45763</v>
      </c>
      <c r="F380" s="25">
        <f t="shared" si="17"/>
        <v>0</v>
      </c>
    </row>
    <row r="381" spans="1:6" x14ac:dyDescent="0.25">
      <c r="A381" s="59">
        <v>45670</v>
      </c>
      <c r="B381" s="14">
        <f t="shared" si="15"/>
        <v>0</v>
      </c>
      <c r="C381" s="59">
        <v>45730</v>
      </c>
      <c r="D381" s="14">
        <f t="shared" si="16"/>
        <v>0</v>
      </c>
      <c r="E381" s="59">
        <v>45764</v>
      </c>
      <c r="F381" s="25">
        <f t="shared" si="17"/>
        <v>0</v>
      </c>
    </row>
    <row r="382" spans="1:6" x14ac:dyDescent="0.25">
      <c r="A382" s="59">
        <v>45671</v>
      </c>
      <c r="B382" s="14">
        <f t="shared" si="15"/>
        <v>0</v>
      </c>
      <c r="C382" s="59">
        <v>45731</v>
      </c>
      <c r="D382" s="14">
        <f t="shared" si="16"/>
        <v>1</v>
      </c>
      <c r="E382" s="59">
        <v>45765</v>
      </c>
      <c r="F382" s="25">
        <f t="shared" si="17"/>
        <v>0</v>
      </c>
    </row>
    <row r="383" spans="1:6" x14ac:dyDescent="0.25">
      <c r="A383" s="59">
        <v>45672</v>
      </c>
      <c r="B383" s="14">
        <f t="shared" si="15"/>
        <v>0</v>
      </c>
      <c r="C383" s="59">
        <v>45732</v>
      </c>
      <c r="D383" s="14">
        <f t="shared" si="16"/>
        <v>1</v>
      </c>
      <c r="E383" s="59">
        <v>45766</v>
      </c>
      <c r="F383" s="25">
        <f t="shared" si="17"/>
        <v>1</v>
      </c>
    </row>
    <row r="384" spans="1:6" x14ac:dyDescent="0.25">
      <c r="A384" s="59">
        <v>45673</v>
      </c>
      <c r="B384" s="14">
        <f t="shared" si="15"/>
        <v>0</v>
      </c>
      <c r="C384" s="59">
        <v>45733</v>
      </c>
      <c r="D384" s="14">
        <f t="shared" si="16"/>
        <v>0</v>
      </c>
      <c r="E384" s="59">
        <v>45767</v>
      </c>
      <c r="F384" s="25">
        <f t="shared" si="17"/>
        <v>1</v>
      </c>
    </row>
    <row r="385" spans="1:6" x14ac:dyDescent="0.25">
      <c r="A385" s="59">
        <v>45674</v>
      </c>
      <c r="B385" s="14">
        <f t="shared" si="15"/>
        <v>0</v>
      </c>
      <c r="C385" s="59">
        <v>45734</v>
      </c>
      <c r="D385" s="14">
        <f t="shared" si="16"/>
        <v>0</v>
      </c>
      <c r="E385" s="59">
        <v>45768</v>
      </c>
      <c r="F385" s="25">
        <f t="shared" si="17"/>
        <v>0</v>
      </c>
    </row>
    <row r="386" spans="1:6" x14ac:dyDescent="0.25">
      <c r="A386" s="59">
        <v>45675</v>
      </c>
      <c r="B386" s="14">
        <f t="shared" si="15"/>
        <v>1</v>
      </c>
      <c r="C386" s="59">
        <v>45735</v>
      </c>
      <c r="D386" s="14">
        <f t="shared" si="16"/>
        <v>0</v>
      </c>
      <c r="E386" s="59">
        <v>45769</v>
      </c>
      <c r="F386" s="25">
        <f t="shared" si="17"/>
        <v>0</v>
      </c>
    </row>
    <row r="387" spans="1:6" x14ac:dyDescent="0.25">
      <c r="A387" s="59">
        <v>45676</v>
      </c>
      <c r="B387" s="14">
        <f t="shared" ref="B387:B450" si="18">1-IF(WEEKDAY(A387,2)&gt;5,0,1)</f>
        <v>1</v>
      </c>
      <c r="C387" s="59">
        <v>45736</v>
      </c>
      <c r="D387" s="14">
        <f t="shared" ref="D387:D450" si="19">1-IF(WEEKDAY(C387,2)&gt;5,0,1)</f>
        <v>0</v>
      </c>
      <c r="E387" s="59">
        <v>45770</v>
      </c>
      <c r="F387" s="25">
        <f t="shared" ref="F387:F450" si="20">1-IF(WEEKDAY(E387,2)&gt;5,0,1)</f>
        <v>0</v>
      </c>
    </row>
    <row r="388" spans="1:6" x14ac:dyDescent="0.25">
      <c r="A388" s="59">
        <v>45677</v>
      </c>
      <c r="B388" s="14">
        <f t="shared" si="18"/>
        <v>0</v>
      </c>
      <c r="C388" s="59">
        <v>45737</v>
      </c>
      <c r="D388" s="14">
        <f t="shared" si="19"/>
        <v>0</v>
      </c>
      <c r="E388" s="59">
        <v>45771</v>
      </c>
      <c r="F388" s="25">
        <f t="shared" si="20"/>
        <v>0</v>
      </c>
    </row>
    <row r="389" spans="1:6" x14ac:dyDescent="0.25">
      <c r="A389" s="59">
        <v>45678</v>
      </c>
      <c r="B389" s="14">
        <f t="shared" si="18"/>
        <v>0</v>
      </c>
      <c r="C389" s="59">
        <v>45738</v>
      </c>
      <c r="D389" s="14">
        <f t="shared" si="19"/>
        <v>1</v>
      </c>
      <c r="E389" s="59">
        <v>45772</v>
      </c>
      <c r="F389" s="25">
        <f t="shared" si="20"/>
        <v>0</v>
      </c>
    </row>
    <row r="390" spans="1:6" x14ac:dyDescent="0.25">
      <c r="A390" s="59">
        <v>45679</v>
      </c>
      <c r="B390" s="14">
        <f t="shared" si="18"/>
        <v>0</v>
      </c>
      <c r="C390" s="59">
        <v>45739</v>
      </c>
      <c r="D390" s="14">
        <f t="shared" si="19"/>
        <v>1</v>
      </c>
      <c r="E390" s="59">
        <v>45773</v>
      </c>
      <c r="F390" s="25">
        <f t="shared" si="20"/>
        <v>1</v>
      </c>
    </row>
    <row r="391" spans="1:6" x14ac:dyDescent="0.25">
      <c r="A391" s="59">
        <v>45680</v>
      </c>
      <c r="B391" s="14">
        <f t="shared" si="18"/>
        <v>0</v>
      </c>
      <c r="C391" s="59">
        <v>45740</v>
      </c>
      <c r="D391" s="14">
        <f t="shared" si="19"/>
        <v>0</v>
      </c>
      <c r="E391" s="59">
        <v>45774</v>
      </c>
      <c r="F391" s="25">
        <f t="shared" si="20"/>
        <v>1</v>
      </c>
    </row>
    <row r="392" spans="1:6" x14ac:dyDescent="0.25">
      <c r="A392" s="59">
        <v>45681</v>
      </c>
      <c r="B392" s="14">
        <f t="shared" si="18"/>
        <v>0</v>
      </c>
      <c r="C392" s="59">
        <v>45741</v>
      </c>
      <c r="D392" s="14">
        <f t="shared" si="19"/>
        <v>0</v>
      </c>
      <c r="E392" s="59">
        <v>45775</v>
      </c>
      <c r="F392" s="25">
        <f t="shared" si="20"/>
        <v>0</v>
      </c>
    </row>
    <row r="393" spans="1:6" x14ac:dyDescent="0.25">
      <c r="A393" s="59">
        <v>45682</v>
      </c>
      <c r="B393" s="14">
        <f t="shared" si="18"/>
        <v>1</v>
      </c>
      <c r="C393" s="59">
        <v>45742</v>
      </c>
      <c r="D393" s="14">
        <f t="shared" si="19"/>
        <v>0</v>
      </c>
      <c r="E393" s="59">
        <v>45776</v>
      </c>
      <c r="F393" s="25">
        <f t="shared" si="20"/>
        <v>0</v>
      </c>
    </row>
    <row r="394" spans="1:6" x14ac:dyDescent="0.25">
      <c r="A394" s="59">
        <v>45683</v>
      </c>
      <c r="B394" s="14">
        <f t="shared" si="18"/>
        <v>1</v>
      </c>
      <c r="C394" s="59">
        <v>45743</v>
      </c>
      <c r="D394" s="14">
        <f t="shared" si="19"/>
        <v>0</v>
      </c>
      <c r="E394" s="59">
        <v>45777</v>
      </c>
      <c r="F394" s="25">
        <f t="shared" si="20"/>
        <v>0</v>
      </c>
    </row>
    <row r="395" spans="1:6" x14ac:dyDescent="0.25">
      <c r="A395" s="59">
        <v>45684</v>
      </c>
      <c r="B395" s="14">
        <f t="shared" si="18"/>
        <v>0</v>
      </c>
      <c r="C395" s="59">
        <v>45744</v>
      </c>
      <c r="D395" s="14">
        <f t="shared" si="19"/>
        <v>0</v>
      </c>
      <c r="E395" s="59">
        <v>45778</v>
      </c>
      <c r="F395" s="25">
        <f t="shared" si="20"/>
        <v>0</v>
      </c>
    </row>
    <row r="396" spans="1:6" x14ac:dyDescent="0.25">
      <c r="A396" s="59">
        <v>45685</v>
      </c>
      <c r="B396" s="14">
        <f t="shared" si="18"/>
        <v>0</v>
      </c>
      <c r="C396" s="59">
        <v>45745</v>
      </c>
      <c r="D396" s="14">
        <f t="shared" si="19"/>
        <v>1</v>
      </c>
      <c r="E396" s="59">
        <v>45779</v>
      </c>
      <c r="F396" s="25">
        <f t="shared" si="20"/>
        <v>0</v>
      </c>
    </row>
    <row r="397" spans="1:6" x14ac:dyDescent="0.25">
      <c r="A397" s="59">
        <v>45686</v>
      </c>
      <c r="B397" s="14">
        <f t="shared" si="18"/>
        <v>0</v>
      </c>
      <c r="C397" s="59">
        <v>45746</v>
      </c>
      <c r="D397" s="14">
        <f t="shared" si="19"/>
        <v>1</v>
      </c>
      <c r="E397" s="59">
        <v>45780</v>
      </c>
      <c r="F397" s="25">
        <f t="shared" si="20"/>
        <v>1</v>
      </c>
    </row>
    <row r="398" spans="1:6" x14ac:dyDescent="0.25">
      <c r="A398" s="59">
        <v>45687</v>
      </c>
      <c r="B398" s="14">
        <f t="shared" si="18"/>
        <v>0</v>
      </c>
      <c r="C398" s="59">
        <v>45747</v>
      </c>
      <c r="D398" s="14">
        <f t="shared" si="19"/>
        <v>0</v>
      </c>
      <c r="E398" s="59">
        <v>45781</v>
      </c>
      <c r="F398" s="25">
        <f t="shared" si="20"/>
        <v>1</v>
      </c>
    </row>
    <row r="399" spans="1:6" x14ac:dyDescent="0.25">
      <c r="A399" s="59">
        <v>45688</v>
      </c>
      <c r="B399" s="14">
        <f t="shared" si="18"/>
        <v>0</v>
      </c>
      <c r="C399" s="59">
        <v>45748</v>
      </c>
      <c r="D399" s="14">
        <f t="shared" si="19"/>
        <v>0</v>
      </c>
      <c r="E399" s="59">
        <v>45782</v>
      </c>
      <c r="F399" s="25">
        <f t="shared" si="20"/>
        <v>0</v>
      </c>
    </row>
    <row r="400" spans="1:6" x14ac:dyDescent="0.25">
      <c r="A400" s="59">
        <v>45689</v>
      </c>
      <c r="B400" s="14">
        <f t="shared" si="18"/>
        <v>1</v>
      </c>
      <c r="C400" s="59">
        <v>45749</v>
      </c>
      <c r="D400" s="14">
        <f t="shared" si="19"/>
        <v>0</v>
      </c>
      <c r="E400" s="59">
        <v>45783</v>
      </c>
      <c r="F400" s="25">
        <f t="shared" si="20"/>
        <v>0</v>
      </c>
    </row>
    <row r="401" spans="1:6" x14ac:dyDescent="0.25">
      <c r="A401" s="59">
        <v>45690</v>
      </c>
      <c r="B401" s="14">
        <f t="shared" si="18"/>
        <v>1</v>
      </c>
      <c r="C401" s="59">
        <v>45750</v>
      </c>
      <c r="D401" s="14">
        <f t="shared" si="19"/>
        <v>0</v>
      </c>
      <c r="E401" s="59">
        <v>45784</v>
      </c>
      <c r="F401" s="25">
        <f t="shared" si="20"/>
        <v>0</v>
      </c>
    </row>
    <row r="402" spans="1:6" x14ac:dyDescent="0.25">
      <c r="A402" s="59">
        <v>45691</v>
      </c>
      <c r="B402" s="14">
        <f t="shared" si="18"/>
        <v>0</v>
      </c>
      <c r="C402" s="59">
        <v>45751</v>
      </c>
      <c r="D402" s="14">
        <f t="shared" si="19"/>
        <v>0</v>
      </c>
      <c r="E402" s="59">
        <v>45785</v>
      </c>
      <c r="F402" s="25">
        <f t="shared" si="20"/>
        <v>0</v>
      </c>
    </row>
    <row r="403" spans="1:6" x14ac:dyDescent="0.25">
      <c r="A403" s="59">
        <v>45692</v>
      </c>
      <c r="B403" s="14">
        <f t="shared" si="18"/>
        <v>0</v>
      </c>
      <c r="C403" s="59">
        <v>45752</v>
      </c>
      <c r="D403" s="14">
        <f t="shared" si="19"/>
        <v>1</v>
      </c>
      <c r="E403" s="59">
        <v>45786</v>
      </c>
      <c r="F403" s="25">
        <f t="shared" si="20"/>
        <v>0</v>
      </c>
    </row>
    <row r="404" spans="1:6" x14ac:dyDescent="0.25">
      <c r="A404" s="59">
        <v>45693</v>
      </c>
      <c r="B404" s="14">
        <f t="shared" si="18"/>
        <v>0</v>
      </c>
      <c r="C404" s="59">
        <v>45753</v>
      </c>
      <c r="D404" s="14">
        <f t="shared" si="19"/>
        <v>1</v>
      </c>
      <c r="E404" s="59">
        <v>45787</v>
      </c>
      <c r="F404" s="25">
        <f t="shared" si="20"/>
        <v>1</v>
      </c>
    </row>
    <row r="405" spans="1:6" x14ac:dyDescent="0.25">
      <c r="A405" s="59">
        <v>45694</v>
      </c>
      <c r="B405" s="14">
        <f t="shared" si="18"/>
        <v>0</v>
      </c>
      <c r="C405" s="59">
        <v>45754</v>
      </c>
      <c r="D405" s="14">
        <f t="shared" si="19"/>
        <v>0</v>
      </c>
      <c r="E405" s="59">
        <v>45788</v>
      </c>
      <c r="F405" s="25">
        <f t="shared" si="20"/>
        <v>1</v>
      </c>
    </row>
    <row r="406" spans="1:6" x14ac:dyDescent="0.25">
      <c r="A406" s="59">
        <v>45695</v>
      </c>
      <c r="B406" s="14">
        <f t="shared" si="18"/>
        <v>0</v>
      </c>
      <c r="C406" s="59">
        <v>45755</v>
      </c>
      <c r="D406" s="14">
        <f t="shared" si="19"/>
        <v>0</v>
      </c>
      <c r="E406" s="59">
        <v>45789</v>
      </c>
      <c r="F406" s="25">
        <f t="shared" si="20"/>
        <v>0</v>
      </c>
    </row>
    <row r="407" spans="1:6" x14ac:dyDescent="0.25">
      <c r="A407" s="59">
        <v>45696</v>
      </c>
      <c r="B407" s="14">
        <f t="shared" si="18"/>
        <v>1</v>
      </c>
      <c r="C407" s="59">
        <v>45756</v>
      </c>
      <c r="D407" s="14">
        <f t="shared" si="19"/>
        <v>0</v>
      </c>
      <c r="E407" s="59">
        <v>45790</v>
      </c>
      <c r="F407" s="25">
        <f t="shared" si="20"/>
        <v>0</v>
      </c>
    </row>
    <row r="408" spans="1:6" x14ac:dyDescent="0.25">
      <c r="A408" s="59">
        <v>45697</v>
      </c>
      <c r="B408" s="14">
        <f t="shared" si="18"/>
        <v>1</v>
      </c>
      <c r="C408" s="59">
        <v>45757</v>
      </c>
      <c r="D408" s="14">
        <f t="shared" si="19"/>
        <v>0</v>
      </c>
      <c r="E408" s="59">
        <v>45791</v>
      </c>
      <c r="F408" s="25">
        <f t="shared" si="20"/>
        <v>0</v>
      </c>
    </row>
    <row r="409" spans="1:6" x14ac:dyDescent="0.25">
      <c r="A409" s="59">
        <v>45698</v>
      </c>
      <c r="B409" s="14">
        <f t="shared" si="18"/>
        <v>0</v>
      </c>
      <c r="C409" s="59">
        <v>45758</v>
      </c>
      <c r="D409" s="14">
        <f t="shared" si="19"/>
        <v>0</v>
      </c>
      <c r="E409" s="59">
        <v>45792</v>
      </c>
      <c r="F409" s="25">
        <f t="shared" si="20"/>
        <v>0</v>
      </c>
    </row>
    <row r="410" spans="1:6" x14ac:dyDescent="0.25">
      <c r="A410" s="59">
        <v>45699</v>
      </c>
      <c r="B410" s="14">
        <f t="shared" si="18"/>
        <v>0</v>
      </c>
      <c r="C410" s="59">
        <v>45759</v>
      </c>
      <c r="D410" s="14">
        <f t="shared" si="19"/>
        <v>1</v>
      </c>
      <c r="E410" s="59">
        <v>45793</v>
      </c>
      <c r="F410" s="25">
        <f t="shared" si="20"/>
        <v>0</v>
      </c>
    </row>
    <row r="411" spans="1:6" x14ac:dyDescent="0.25">
      <c r="A411" s="59">
        <v>45700</v>
      </c>
      <c r="B411" s="14">
        <f t="shared" si="18"/>
        <v>0</v>
      </c>
      <c r="C411" s="59">
        <v>45760</v>
      </c>
      <c r="D411" s="14">
        <f t="shared" si="19"/>
        <v>1</v>
      </c>
      <c r="E411" s="59">
        <v>45794</v>
      </c>
      <c r="F411" s="25">
        <f t="shared" si="20"/>
        <v>1</v>
      </c>
    </row>
    <row r="412" spans="1:6" x14ac:dyDescent="0.25">
      <c r="A412" s="59">
        <v>45701</v>
      </c>
      <c r="B412" s="14">
        <f t="shared" si="18"/>
        <v>0</v>
      </c>
      <c r="C412" s="59">
        <v>45761</v>
      </c>
      <c r="D412" s="14">
        <f t="shared" si="19"/>
        <v>0</v>
      </c>
      <c r="E412" s="59">
        <v>45795</v>
      </c>
      <c r="F412" s="25">
        <f t="shared" si="20"/>
        <v>1</v>
      </c>
    </row>
    <row r="413" spans="1:6" x14ac:dyDescent="0.25">
      <c r="A413" s="59">
        <v>45702</v>
      </c>
      <c r="B413" s="14">
        <f t="shared" si="18"/>
        <v>0</v>
      </c>
      <c r="C413" s="59">
        <v>45762</v>
      </c>
      <c r="D413" s="14">
        <f t="shared" si="19"/>
        <v>0</v>
      </c>
      <c r="E413" s="59">
        <v>45796</v>
      </c>
      <c r="F413" s="25">
        <f t="shared" si="20"/>
        <v>0</v>
      </c>
    </row>
    <row r="414" spans="1:6" x14ac:dyDescent="0.25">
      <c r="A414" s="59">
        <v>45703</v>
      </c>
      <c r="B414" s="14">
        <f t="shared" si="18"/>
        <v>1</v>
      </c>
      <c r="C414" s="59">
        <v>45763</v>
      </c>
      <c r="D414" s="14">
        <f t="shared" si="19"/>
        <v>0</v>
      </c>
      <c r="E414" s="59">
        <v>45797</v>
      </c>
      <c r="F414" s="25">
        <f t="shared" si="20"/>
        <v>0</v>
      </c>
    </row>
    <row r="415" spans="1:6" x14ac:dyDescent="0.25">
      <c r="A415" s="59">
        <v>45704</v>
      </c>
      <c r="B415" s="14">
        <f t="shared" si="18"/>
        <v>1</v>
      </c>
      <c r="C415" s="59">
        <v>45764</v>
      </c>
      <c r="D415" s="14">
        <f t="shared" si="19"/>
        <v>0</v>
      </c>
      <c r="E415" s="59">
        <v>45798</v>
      </c>
      <c r="F415" s="25">
        <f t="shared" si="20"/>
        <v>0</v>
      </c>
    </row>
    <row r="416" spans="1:6" x14ac:dyDescent="0.25">
      <c r="A416" s="59">
        <v>45705</v>
      </c>
      <c r="B416" s="14">
        <f t="shared" si="18"/>
        <v>0</v>
      </c>
      <c r="C416" s="59">
        <v>45765</v>
      </c>
      <c r="D416" s="14">
        <f t="shared" si="19"/>
        <v>0</v>
      </c>
      <c r="E416" s="59">
        <v>45799</v>
      </c>
      <c r="F416" s="25">
        <f t="shared" si="20"/>
        <v>0</v>
      </c>
    </row>
    <row r="417" spans="1:6" x14ac:dyDescent="0.25">
      <c r="A417" s="59">
        <v>45706</v>
      </c>
      <c r="B417" s="14">
        <f t="shared" si="18"/>
        <v>0</v>
      </c>
      <c r="C417" s="59">
        <v>45766</v>
      </c>
      <c r="D417" s="14">
        <f t="shared" si="19"/>
        <v>1</v>
      </c>
      <c r="E417" s="59">
        <v>45800</v>
      </c>
      <c r="F417" s="25">
        <f t="shared" si="20"/>
        <v>0</v>
      </c>
    </row>
    <row r="418" spans="1:6" x14ac:dyDescent="0.25">
      <c r="A418" s="59">
        <v>45707</v>
      </c>
      <c r="B418" s="14">
        <f t="shared" si="18"/>
        <v>0</v>
      </c>
      <c r="C418" s="59">
        <v>45767</v>
      </c>
      <c r="D418" s="14">
        <f t="shared" si="19"/>
        <v>1</v>
      </c>
      <c r="E418" s="59">
        <v>45801</v>
      </c>
      <c r="F418" s="25">
        <f t="shared" si="20"/>
        <v>1</v>
      </c>
    </row>
    <row r="419" spans="1:6" x14ac:dyDescent="0.25">
      <c r="A419" s="59">
        <v>45708</v>
      </c>
      <c r="B419" s="14">
        <f t="shared" si="18"/>
        <v>0</v>
      </c>
      <c r="C419" s="59">
        <v>45768</v>
      </c>
      <c r="D419" s="14">
        <f t="shared" si="19"/>
        <v>0</v>
      </c>
      <c r="E419" s="59">
        <v>45802</v>
      </c>
      <c r="F419" s="25">
        <f t="shared" si="20"/>
        <v>1</v>
      </c>
    </row>
    <row r="420" spans="1:6" x14ac:dyDescent="0.25">
      <c r="A420" s="59">
        <v>45709</v>
      </c>
      <c r="B420" s="14">
        <f t="shared" si="18"/>
        <v>0</v>
      </c>
      <c r="C420" s="59">
        <v>45769</v>
      </c>
      <c r="D420" s="14">
        <f t="shared" si="19"/>
        <v>0</v>
      </c>
      <c r="E420" s="59">
        <v>45803</v>
      </c>
      <c r="F420" s="25">
        <f t="shared" si="20"/>
        <v>0</v>
      </c>
    </row>
    <row r="421" spans="1:6" x14ac:dyDescent="0.25">
      <c r="A421" s="59">
        <v>45710</v>
      </c>
      <c r="B421" s="14">
        <f t="shared" si="18"/>
        <v>1</v>
      </c>
      <c r="C421" s="59">
        <v>45770</v>
      </c>
      <c r="D421" s="14">
        <f t="shared" si="19"/>
        <v>0</v>
      </c>
      <c r="E421" s="59">
        <v>45804</v>
      </c>
      <c r="F421" s="25">
        <f t="shared" si="20"/>
        <v>0</v>
      </c>
    </row>
    <row r="422" spans="1:6" x14ac:dyDescent="0.25">
      <c r="A422" s="59">
        <v>45711</v>
      </c>
      <c r="B422" s="14">
        <f t="shared" si="18"/>
        <v>1</v>
      </c>
      <c r="C422" s="59">
        <v>45771</v>
      </c>
      <c r="D422" s="14">
        <f t="shared" si="19"/>
        <v>0</v>
      </c>
      <c r="E422" s="59">
        <v>45805</v>
      </c>
      <c r="F422" s="25">
        <f t="shared" si="20"/>
        <v>0</v>
      </c>
    </row>
    <row r="423" spans="1:6" x14ac:dyDescent="0.25">
      <c r="A423" s="59">
        <v>45712</v>
      </c>
      <c r="B423" s="14">
        <f t="shared" si="18"/>
        <v>0</v>
      </c>
      <c r="C423" s="59">
        <v>45772</v>
      </c>
      <c r="D423" s="14">
        <f t="shared" si="19"/>
        <v>0</v>
      </c>
      <c r="E423" s="59">
        <v>45806</v>
      </c>
      <c r="F423" s="25">
        <f t="shared" si="20"/>
        <v>0</v>
      </c>
    </row>
    <row r="424" spans="1:6" x14ac:dyDescent="0.25">
      <c r="A424" s="59">
        <v>45713</v>
      </c>
      <c r="B424" s="14">
        <f t="shared" si="18"/>
        <v>0</v>
      </c>
      <c r="C424" s="59">
        <v>45773</v>
      </c>
      <c r="D424" s="14">
        <f t="shared" si="19"/>
        <v>1</v>
      </c>
      <c r="E424" s="59">
        <v>45807</v>
      </c>
      <c r="F424" s="25">
        <f t="shared" si="20"/>
        <v>0</v>
      </c>
    </row>
    <row r="425" spans="1:6" x14ac:dyDescent="0.25">
      <c r="A425" s="59">
        <v>45714</v>
      </c>
      <c r="B425" s="14">
        <f t="shared" si="18"/>
        <v>0</v>
      </c>
      <c r="C425" s="59">
        <v>45774</v>
      </c>
      <c r="D425" s="14">
        <f t="shared" si="19"/>
        <v>1</v>
      </c>
      <c r="E425" s="59">
        <v>45808</v>
      </c>
      <c r="F425" s="25">
        <f t="shared" si="20"/>
        <v>1</v>
      </c>
    </row>
    <row r="426" spans="1:6" x14ac:dyDescent="0.25">
      <c r="A426" s="59">
        <v>45715</v>
      </c>
      <c r="B426" s="14">
        <f t="shared" si="18"/>
        <v>0</v>
      </c>
      <c r="C426" s="59">
        <v>45775</v>
      </c>
      <c r="D426" s="14">
        <f t="shared" si="19"/>
        <v>0</v>
      </c>
      <c r="E426" s="59">
        <v>45809</v>
      </c>
      <c r="F426" s="25">
        <f t="shared" si="20"/>
        <v>1</v>
      </c>
    </row>
    <row r="427" spans="1:6" x14ac:dyDescent="0.25">
      <c r="A427" s="59">
        <v>45716</v>
      </c>
      <c r="B427" s="14">
        <f t="shared" si="18"/>
        <v>0</v>
      </c>
      <c r="C427" s="59">
        <v>45776</v>
      </c>
      <c r="D427" s="14">
        <f t="shared" si="19"/>
        <v>0</v>
      </c>
      <c r="E427" s="59">
        <v>45810</v>
      </c>
      <c r="F427" s="25">
        <f t="shared" si="20"/>
        <v>0</v>
      </c>
    </row>
    <row r="428" spans="1:6" x14ac:dyDescent="0.25">
      <c r="A428" s="59">
        <v>45717</v>
      </c>
      <c r="B428" s="14">
        <f t="shared" si="18"/>
        <v>1</v>
      </c>
      <c r="C428" s="59">
        <v>45777</v>
      </c>
      <c r="D428" s="14">
        <f t="shared" si="19"/>
        <v>0</v>
      </c>
      <c r="E428" s="59">
        <v>45811</v>
      </c>
      <c r="F428" s="25">
        <f t="shared" si="20"/>
        <v>0</v>
      </c>
    </row>
    <row r="429" spans="1:6" x14ac:dyDescent="0.25">
      <c r="A429" s="59">
        <v>45718</v>
      </c>
      <c r="B429" s="14">
        <f t="shared" si="18"/>
        <v>1</v>
      </c>
      <c r="C429" s="59">
        <v>45778</v>
      </c>
      <c r="D429" s="14">
        <f t="shared" si="19"/>
        <v>0</v>
      </c>
      <c r="E429" s="59">
        <v>45812</v>
      </c>
      <c r="F429" s="25">
        <f t="shared" si="20"/>
        <v>0</v>
      </c>
    </row>
    <row r="430" spans="1:6" x14ac:dyDescent="0.25">
      <c r="A430" s="59">
        <v>45719</v>
      </c>
      <c r="B430" s="14">
        <f t="shared" si="18"/>
        <v>0</v>
      </c>
      <c r="C430" s="59">
        <v>45779</v>
      </c>
      <c r="D430" s="14">
        <f t="shared" si="19"/>
        <v>0</v>
      </c>
      <c r="E430" s="59">
        <v>45813</v>
      </c>
      <c r="F430" s="25">
        <f t="shared" si="20"/>
        <v>0</v>
      </c>
    </row>
    <row r="431" spans="1:6" x14ac:dyDescent="0.25">
      <c r="A431" s="59">
        <v>45720</v>
      </c>
      <c r="B431" s="14">
        <f t="shared" si="18"/>
        <v>0</v>
      </c>
      <c r="C431" s="59">
        <v>45780</v>
      </c>
      <c r="D431" s="14">
        <f t="shared" si="19"/>
        <v>1</v>
      </c>
      <c r="E431" s="59">
        <v>45814</v>
      </c>
      <c r="F431" s="25">
        <f t="shared" si="20"/>
        <v>0</v>
      </c>
    </row>
    <row r="432" spans="1:6" x14ac:dyDescent="0.25">
      <c r="A432" s="59">
        <v>45721</v>
      </c>
      <c r="B432" s="14">
        <f t="shared" si="18"/>
        <v>0</v>
      </c>
      <c r="C432" s="59">
        <v>45781</v>
      </c>
      <c r="D432" s="14">
        <f t="shared" si="19"/>
        <v>1</v>
      </c>
      <c r="E432" s="59">
        <v>45815</v>
      </c>
      <c r="F432" s="25">
        <f t="shared" si="20"/>
        <v>1</v>
      </c>
    </row>
    <row r="433" spans="1:6" x14ac:dyDescent="0.25">
      <c r="A433" s="59">
        <v>45722</v>
      </c>
      <c r="B433" s="14">
        <f t="shared" si="18"/>
        <v>0</v>
      </c>
      <c r="C433" s="59">
        <v>45782</v>
      </c>
      <c r="D433" s="14">
        <f t="shared" si="19"/>
        <v>0</v>
      </c>
      <c r="E433" s="59">
        <v>45816</v>
      </c>
      <c r="F433" s="25">
        <f t="shared" si="20"/>
        <v>1</v>
      </c>
    </row>
    <row r="434" spans="1:6" x14ac:dyDescent="0.25">
      <c r="A434" s="59">
        <v>45723</v>
      </c>
      <c r="B434" s="14">
        <f t="shared" si="18"/>
        <v>0</v>
      </c>
      <c r="C434" s="59">
        <v>45783</v>
      </c>
      <c r="D434" s="14">
        <f t="shared" si="19"/>
        <v>0</v>
      </c>
      <c r="E434" s="59">
        <v>45817</v>
      </c>
      <c r="F434" s="25">
        <f t="shared" si="20"/>
        <v>0</v>
      </c>
    </row>
    <row r="435" spans="1:6" x14ac:dyDescent="0.25">
      <c r="A435" s="59">
        <v>45724</v>
      </c>
      <c r="B435" s="14">
        <f t="shared" si="18"/>
        <v>1</v>
      </c>
      <c r="C435" s="59">
        <v>45784</v>
      </c>
      <c r="D435" s="14">
        <f t="shared" si="19"/>
        <v>0</v>
      </c>
      <c r="E435" s="59">
        <v>45818</v>
      </c>
      <c r="F435" s="25">
        <f t="shared" si="20"/>
        <v>0</v>
      </c>
    </row>
    <row r="436" spans="1:6" x14ac:dyDescent="0.25">
      <c r="A436" s="59">
        <v>45725</v>
      </c>
      <c r="B436" s="14">
        <f t="shared" si="18"/>
        <v>1</v>
      </c>
      <c r="C436" s="59">
        <v>45785</v>
      </c>
      <c r="D436" s="14">
        <f t="shared" si="19"/>
        <v>0</v>
      </c>
      <c r="E436" s="59">
        <v>45819</v>
      </c>
      <c r="F436" s="25">
        <f t="shared" si="20"/>
        <v>0</v>
      </c>
    </row>
    <row r="437" spans="1:6" x14ac:dyDescent="0.25">
      <c r="A437" s="59">
        <v>45726</v>
      </c>
      <c r="B437" s="14">
        <f t="shared" si="18"/>
        <v>0</v>
      </c>
      <c r="C437" s="59">
        <v>45786</v>
      </c>
      <c r="D437" s="14">
        <f t="shared" si="19"/>
        <v>0</v>
      </c>
      <c r="E437" s="59">
        <v>45820</v>
      </c>
      <c r="F437" s="25">
        <f t="shared" si="20"/>
        <v>0</v>
      </c>
    </row>
    <row r="438" spans="1:6" x14ac:dyDescent="0.25">
      <c r="A438" s="59">
        <v>45727</v>
      </c>
      <c r="B438" s="14">
        <f t="shared" si="18"/>
        <v>0</v>
      </c>
      <c r="C438" s="59">
        <v>45787</v>
      </c>
      <c r="D438" s="14">
        <f t="shared" si="19"/>
        <v>1</v>
      </c>
      <c r="E438" s="59">
        <v>45821</v>
      </c>
      <c r="F438" s="25">
        <f t="shared" si="20"/>
        <v>0</v>
      </c>
    </row>
    <row r="439" spans="1:6" x14ac:dyDescent="0.25">
      <c r="A439" s="59">
        <v>45728</v>
      </c>
      <c r="B439" s="14">
        <f t="shared" si="18"/>
        <v>0</v>
      </c>
      <c r="C439" s="59">
        <v>45788</v>
      </c>
      <c r="D439" s="14">
        <f t="shared" si="19"/>
        <v>1</v>
      </c>
      <c r="E439" s="59">
        <v>45822</v>
      </c>
      <c r="F439" s="25">
        <f t="shared" si="20"/>
        <v>1</v>
      </c>
    </row>
    <row r="440" spans="1:6" x14ac:dyDescent="0.25">
      <c r="A440" s="59">
        <v>45729</v>
      </c>
      <c r="B440" s="14">
        <f t="shared" si="18"/>
        <v>0</v>
      </c>
      <c r="C440" s="59">
        <v>45789</v>
      </c>
      <c r="D440" s="14">
        <f t="shared" si="19"/>
        <v>0</v>
      </c>
      <c r="E440" s="59">
        <v>45823</v>
      </c>
      <c r="F440" s="25">
        <f t="shared" si="20"/>
        <v>1</v>
      </c>
    </row>
    <row r="441" spans="1:6" x14ac:dyDescent="0.25">
      <c r="A441" s="59">
        <v>45730</v>
      </c>
      <c r="B441" s="14">
        <f t="shared" si="18"/>
        <v>0</v>
      </c>
      <c r="C441" s="59">
        <v>45790</v>
      </c>
      <c r="D441" s="14">
        <f t="shared" si="19"/>
        <v>0</v>
      </c>
      <c r="E441" s="59">
        <v>45824</v>
      </c>
      <c r="F441" s="25">
        <f t="shared" si="20"/>
        <v>0</v>
      </c>
    </row>
    <row r="442" spans="1:6" x14ac:dyDescent="0.25">
      <c r="A442" s="59">
        <v>45731</v>
      </c>
      <c r="B442" s="14">
        <f t="shared" si="18"/>
        <v>1</v>
      </c>
      <c r="C442" s="59">
        <v>45791</v>
      </c>
      <c r="D442" s="14">
        <f t="shared" si="19"/>
        <v>0</v>
      </c>
      <c r="E442" s="59">
        <v>45825</v>
      </c>
      <c r="F442" s="25">
        <f t="shared" si="20"/>
        <v>0</v>
      </c>
    </row>
    <row r="443" spans="1:6" x14ac:dyDescent="0.25">
      <c r="A443" s="59">
        <v>45732</v>
      </c>
      <c r="B443" s="14">
        <f t="shared" si="18"/>
        <v>1</v>
      </c>
      <c r="C443" s="59">
        <v>45792</v>
      </c>
      <c r="D443" s="14">
        <f t="shared" si="19"/>
        <v>0</v>
      </c>
      <c r="E443" s="59">
        <v>45826</v>
      </c>
      <c r="F443" s="25">
        <f t="shared" si="20"/>
        <v>0</v>
      </c>
    </row>
    <row r="444" spans="1:6" x14ac:dyDescent="0.25">
      <c r="A444" s="59">
        <v>45733</v>
      </c>
      <c r="B444" s="14">
        <f t="shared" si="18"/>
        <v>0</v>
      </c>
      <c r="C444" s="59">
        <v>45793</v>
      </c>
      <c r="D444" s="14">
        <f t="shared" si="19"/>
        <v>0</v>
      </c>
      <c r="E444" s="59">
        <v>45827</v>
      </c>
      <c r="F444" s="25">
        <f t="shared" si="20"/>
        <v>0</v>
      </c>
    </row>
    <row r="445" spans="1:6" x14ac:dyDescent="0.25">
      <c r="A445" s="59">
        <v>45734</v>
      </c>
      <c r="B445" s="14">
        <f t="shared" si="18"/>
        <v>0</v>
      </c>
      <c r="C445" s="59">
        <v>45794</v>
      </c>
      <c r="D445" s="14">
        <f t="shared" si="19"/>
        <v>1</v>
      </c>
      <c r="E445" s="59">
        <v>45828</v>
      </c>
      <c r="F445" s="25">
        <f t="shared" si="20"/>
        <v>0</v>
      </c>
    </row>
    <row r="446" spans="1:6" x14ac:dyDescent="0.25">
      <c r="A446" s="59">
        <v>45735</v>
      </c>
      <c r="B446" s="14">
        <f t="shared" si="18"/>
        <v>0</v>
      </c>
      <c r="C446" s="59">
        <v>45795</v>
      </c>
      <c r="D446" s="14">
        <f t="shared" si="19"/>
        <v>1</v>
      </c>
      <c r="E446" s="59">
        <v>45829</v>
      </c>
      <c r="F446" s="25">
        <f t="shared" si="20"/>
        <v>1</v>
      </c>
    </row>
    <row r="447" spans="1:6" x14ac:dyDescent="0.25">
      <c r="A447" s="59">
        <v>45736</v>
      </c>
      <c r="B447" s="14">
        <f t="shared" si="18"/>
        <v>0</v>
      </c>
      <c r="C447" s="59">
        <v>45796</v>
      </c>
      <c r="D447" s="14">
        <f t="shared" si="19"/>
        <v>0</v>
      </c>
      <c r="E447" s="59">
        <v>45830</v>
      </c>
      <c r="F447" s="25">
        <f t="shared" si="20"/>
        <v>1</v>
      </c>
    </row>
    <row r="448" spans="1:6" x14ac:dyDescent="0.25">
      <c r="A448" s="59">
        <v>45737</v>
      </c>
      <c r="B448" s="14">
        <f t="shared" si="18"/>
        <v>0</v>
      </c>
      <c r="C448" s="59">
        <v>45797</v>
      </c>
      <c r="D448" s="14">
        <f t="shared" si="19"/>
        <v>0</v>
      </c>
      <c r="E448" s="59">
        <v>45831</v>
      </c>
      <c r="F448" s="25">
        <f t="shared" si="20"/>
        <v>0</v>
      </c>
    </row>
    <row r="449" spans="1:6" x14ac:dyDescent="0.25">
      <c r="A449" s="59">
        <v>45738</v>
      </c>
      <c r="B449" s="14">
        <f t="shared" si="18"/>
        <v>1</v>
      </c>
      <c r="C449" s="59">
        <v>45798</v>
      </c>
      <c r="D449" s="14">
        <f t="shared" si="19"/>
        <v>0</v>
      </c>
      <c r="E449" s="59">
        <v>45832</v>
      </c>
      <c r="F449" s="25">
        <f t="shared" si="20"/>
        <v>0</v>
      </c>
    </row>
    <row r="450" spans="1:6" x14ac:dyDescent="0.25">
      <c r="A450" s="59">
        <v>45739</v>
      </c>
      <c r="B450" s="14">
        <f t="shared" si="18"/>
        <v>1</v>
      </c>
      <c r="C450" s="59">
        <v>45799</v>
      </c>
      <c r="D450" s="14">
        <f t="shared" si="19"/>
        <v>0</v>
      </c>
      <c r="E450" s="59">
        <v>45833</v>
      </c>
      <c r="F450" s="25">
        <f t="shared" si="20"/>
        <v>0</v>
      </c>
    </row>
    <row r="451" spans="1:6" x14ac:dyDescent="0.25">
      <c r="A451" s="59">
        <v>45740</v>
      </c>
      <c r="B451" s="14">
        <f t="shared" ref="B451:B514" si="21">1-IF(WEEKDAY(A451,2)&gt;5,0,1)</f>
        <v>0</v>
      </c>
      <c r="C451" s="59">
        <v>45800</v>
      </c>
      <c r="D451" s="14">
        <f t="shared" ref="D451:D514" si="22">1-IF(WEEKDAY(C451,2)&gt;5,0,1)</f>
        <v>0</v>
      </c>
      <c r="E451" s="59">
        <v>45834</v>
      </c>
      <c r="F451" s="25">
        <f t="shared" ref="F451:F514" si="23">1-IF(WEEKDAY(E451,2)&gt;5,0,1)</f>
        <v>0</v>
      </c>
    </row>
    <row r="452" spans="1:6" x14ac:dyDescent="0.25">
      <c r="A452" s="59">
        <v>45741</v>
      </c>
      <c r="B452" s="14">
        <f t="shared" si="21"/>
        <v>0</v>
      </c>
      <c r="C452" s="59">
        <v>45801</v>
      </c>
      <c r="D452" s="14">
        <f t="shared" si="22"/>
        <v>1</v>
      </c>
      <c r="E452" s="59">
        <v>45835</v>
      </c>
      <c r="F452" s="25">
        <f t="shared" si="23"/>
        <v>0</v>
      </c>
    </row>
    <row r="453" spans="1:6" x14ac:dyDescent="0.25">
      <c r="A453" s="59">
        <v>45742</v>
      </c>
      <c r="B453" s="14">
        <f t="shared" si="21"/>
        <v>0</v>
      </c>
      <c r="C453" s="59">
        <v>45802</v>
      </c>
      <c r="D453" s="14">
        <f t="shared" si="22"/>
        <v>1</v>
      </c>
      <c r="E453" s="59">
        <v>45836</v>
      </c>
      <c r="F453" s="25">
        <f t="shared" si="23"/>
        <v>1</v>
      </c>
    </row>
    <row r="454" spans="1:6" x14ac:dyDescent="0.25">
      <c r="A454" s="59">
        <v>45743</v>
      </c>
      <c r="B454" s="14">
        <f t="shared" si="21"/>
        <v>0</v>
      </c>
      <c r="C454" s="59">
        <v>45803</v>
      </c>
      <c r="D454" s="14">
        <f t="shared" si="22"/>
        <v>0</v>
      </c>
      <c r="E454" s="59">
        <v>45837</v>
      </c>
      <c r="F454" s="25">
        <f t="shared" si="23"/>
        <v>1</v>
      </c>
    </row>
    <row r="455" spans="1:6" x14ac:dyDescent="0.25">
      <c r="A455" s="59">
        <v>45744</v>
      </c>
      <c r="B455" s="14">
        <f t="shared" si="21"/>
        <v>0</v>
      </c>
      <c r="C455" s="59">
        <v>45804</v>
      </c>
      <c r="D455" s="14">
        <f t="shared" si="22"/>
        <v>0</v>
      </c>
      <c r="E455" s="59">
        <v>45838</v>
      </c>
      <c r="F455" s="25">
        <f t="shared" si="23"/>
        <v>0</v>
      </c>
    </row>
    <row r="456" spans="1:6" x14ac:dyDescent="0.25">
      <c r="A456" s="59">
        <v>45745</v>
      </c>
      <c r="B456" s="14">
        <f t="shared" si="21"/>
        <v>1</v>
      </c>
      <c r="C456" s="59">
        <v>45805</v>
      </c>
      <c r="D456" s="14">
        <f t="shared" si="22"/>
        <v>0</v>
      </c>
      <c r="E456" s="59">
        <v>45839</v>
      </c>
      <c r="F456" s="25">
        <f t="shared" si="23"/>
        <v>0</v>
      </c>
    </row>
    <row r="457" spans="1:6" x14ac:dyDescent="0.25">
      <c r="A457" s="59">
        <v>45746</v>
      </c>
      <c r="B457" s="14">
        <f t="shared" si="21"/>
        <v>1</v>
      </c>
      <c r="C457" s="59">
        <v>45806</v>
      </c>
      <c r="D457" s="14">
        <f t="shared" si="22"/>
        <v>0</v>
      </c>
      <c r="E457" s="59">
        <v>45840</v>
      </c>
      <c r="F457" s="25">
        <f t="shared" si="23"/>
        <v>0</v>
      </c>
    </row>
    <row r="458" spans="1:6" x14ac:dyDescent="0.25">
      <c r="A458" s="59">
        <v>45747</v>
      </c>
      <c r="B458" s="14">
        <f t="shared" si="21"/>
        <v>0</v>
      </c>
      <c r="C458" s="59">
        <v>45807</v>
      </c>
      <c r="D458" s="14">
        <f t="shared" si="22"/>
        <v>0</v>
      </c>
      <c r="E458" s="59">
        <v>45841</v>
      </c>
      <c r="F458" s="25">
        <f t="shared" si="23"/>
        <v>0</v>
      </c>
    </row>
    <row r="459" spans="1:6" x14ac:dyDescent="0.25">
      <c r="A459" s="59">
        <v>45748</v>
      </c>
      <c r="B459" s="14">
        <f t="shared" si="21"/>
        <v>0</v>
      </c>
      <c r="C459" s="59">
        <v>45808</v>
      </c>
      <c r="D459" s="14">
        <f t="shared" si="22"/>
        <v>1</v>
      </c>
      <c r="E459" s="59">
        <v>45842</v>
      </c>
      <c r="F459" s="25">
        <f t="shared" si="23"/>
        <v>0</v>
      </c>
    </row>
    <row r="460" spans="1:6" x14ac:dyDescent="0.25">
      <c r="A460" s="59">
        <v>45749</v>
      </c>
      <c r="B460" s="14">
        <f t="shared" si="21"/>
        <v>0</v>
      </c>
      <c r="C460" s="59">
        <v>45809</v>
      </c>
      <c r="D460" s="14">
        <f t="shared" si="22"/>
        <v>1</v>
      </c>
      <c r="E460" s="59">
        <v>45843</v>
      </c>
      <c r="F460" s="25">
        <f t="shared" si="23"/>
        <v>1</v>
      </c>
    </row>
    <row r="461" spans="1:6" x14ac:dyDescent="0.25">
      <c r="A461" s="59">
        <v>45750</v>
      </c>
      <c r="B461" s="14">
        <f t="shared" si="21"/>
        <v>0</v>
      </c>
      <c r="C461" s="59">
        <v>45810</v>
      </c>
      <c r="D461" s="14">
        <f t="shared" si="22"/>
        <v>0</v>
      </c>
      <c r="E461" s="59">
        <v>45844</v>
      </c>
      <c r="F461" s="25">
        <f t="shared" si="23"/>
        <v>1</v>
      </c>
    </row>
    <row r="462" spans="1:6" x14ac:dyDescent="0.25">
      <c r="A462" s="59">
        <v>45751</v>
      </c>
      <c r="B462" s="14">
        <f t="shared" si="21"/>
        <v>0</v>
      </c>
      <c r="C462" s="59">
        <v>45811</v>
      </c>
      <c r="D462" s="14">
        <f t="shared" si="22"/>
        <v>0</v>
      </c>
      <c r="E462" s="59">
        <v>45845</v>
      </c>
      <c r="F462" s="25">
        <f t="shared" si="23"/>
        <v>0</v>
      </c>
    </row>
    <row r="463" spans="1:6" x14ac:dyDescent="0.25">
      <c r="A463" s="59">
        <v>45752</v>
      </c>
      <c r="B463" s="14">
        <f t="shared" si="21"/>
        <v>1</v>
      </c>
      <c r="C463" s="59">
        <v>45812</v>
      </c>
      <c r="D463" s="14">
        <f t="shared" si="22"/>
        <v>0</v>
      </c>
      <c r="E463" s="59">
        <v>45846</v>
      </c>
      <c r="F463" s="25">
        <f t="shared" si="23"/>
        <v>0</v>
      </c>
    </row>
    <row r="464" spans="1:6" x14ac:dyDescent="0.25">
      <c r="A464" s="59">
        <v>45753</v>
      </c>
      <c r="B464" s="14">
        <f t="shared" si="21"/>
        <v>1</v>
      </c>
      <c r="C464" s="59">
        <v>45813</v>
      </c>
      <c r="D464" s="14">
        <f t="shared" si="22"/>
        <v>0</v>
      </c>
      <c r="E464" s="59">
        <v>45847</v>
      </c>
      <c r="F464" s="25">
        <f t="shared" si="23"/>
        <v>0</v>
      </c>
    </row>
    <row r="465" spans="1:6" x14ac:dyDescent="0.25">
      <c r="A465" s="59">
        <v>45754</v>
      </c>
      <c r="B465" s="14">
        <f t="shared" si="21"/>
        <v>0</v>
      </c>
      <c r="C465" s="59">
        <v>45814</v>
      </c>
      <c r="D465" s="14">
        <f t="shared" si="22"/>
        <v>0</v>
      </c>
      <c r="E465" s="59">
        <v>45848</v>
      </c>
      <c r="F465" s="25">
        <f t="shared" si="23"/>
        <v>0</v>
      </c>
    </row>
    <row r="466" spans="1:6" x14ac:dyDescent="0.25">
      <c r="A466" s="59">
        <v>45755</v>
      </c>
      <c r="B466" s="14">
        <f t="shared" si="21"/>
        <v>0</v>
      </c>
      <c r="C466" s="59">
        <v>45815</v>
      </c>
      <c r="D466" s="14">
        <f t="shared" si="22"/>
        <v>1</v>
      </c>
      <c r="E466" s="59">
        <v>45849</v>
      </c>
      <c r="F466" s="25">
        <f t="shared" si="23"/>
        <v>0</v>
      </c>
    </row>
    <row r="467" spans="1:6" x14ac:dyDescent="0.25">
      <c r="A467" s="59">
        <v>45756</v>
      </c>
      <c r="B467" s="14">
        <f t="shared" si="21"/>
        <v>0</v>
      </c>
      <c r="C467" s="59">
        <v>45816</v>
      </c>
      <c r="D467" s="14">
        <f t="shared" si="22"/>
        <v>1</v>
      </c>
      <c r="E467" s="59">
        <v>45850</v>
      </c>
      <c r="F467" s="25">
        <f t="shared" si="23"/>
        <v>1</v>
      </c>
    </row>
    <row r="468" spans="1:6" x14ac:dyDescent="0.25">
      <c r="A468" s="59">
        <v>45757</v>
      </c>
      <c r="B468" s="14">
        <f t="shared" si="21"/>
        <v>0</v>
      </c>
      <c r="C468" s="59">
        <v>45817</v>
      </c>
      <c r="D468" s="14">
        <f t="shared" si="22"/>
        <v>0</v>
      </c>
      <c r="E468" s="59">
        <v>45851</v>
      </c>
      <c r="F468" s="25">
        <f t="shared" si="23"/>
        <v>1</v>
      </c>
    </row>
    <row r="469" spans="1:6" x14ac:dyDescent="0.25">
      <c r="A469" s="59">
        <v>45758</v>
      </c>
      <c r="B469" s="14">
        <f t="shared" si="21"/>
        <v>0</v>
      </c>
      <c r="C469" s="59">
        <v>45818</v>
      </c>
      <c r="D469" s="14">
        <f t="shared" si="22"/>
        <v>0</v>
      </c>
      <c r="E469" s="59">
        <v>45852</v>
      </c>
      <c r="F469" s="25">
        <f t="shared" si="23"/>
        <v>0</v>
      </c>
    </row>
    <row r="470" spans="1:6" x14ac:dyDescent="0.25">
      <c r="A470" s="59">
        <v>45759</v>
      </c>
      <c r="B470" s="14">
        <f t="shared" si="21"/>
        <v>1</v>
      </c>
      <c r="C470" s="59">
        <v>45819</v>
      </c>
      <c r="D470" s="14">
        <f t="shared" si="22"/>
        <v>0</v>
      </c>
      <c r="E470" s="59">
        <v>45853</v>
      </c>
      <c r="F470" s="25">
        <f t="shared" si="23"/>
        <v>0</v>
      </c>
    </row>
    <row r="471" spans="1:6" x14ac:dyDescent="0.25">
      <c r="A471" s="59">
        <v>45760</v>
      </c>
      <c r="B471" s="14">
        <f t="shared" si="21"/>
        <v>1</v>
      </c>
      <c r="C471" s="59">
        <v>45820</v>
      </c>
      <c r="D471" s="14">
        <f t="shared" si="22"/>
        <v>0</v>
      </c>
      <c r="E471" s="59">
        <v>45854</v>
      </c>
      <c r="F471" s="25">
        <f t="shared" si="23"/>
        <v>0</v>
      </c>
    </row>
    <row r="472" spans="1:6" x14ac:dyDescent="0.25">
      <c r="A472" s="59">
        <v>45761</v>
      </c>
      <c r="B472" s="14">
        <f t="shared" si="21"/>
        <v>0</v>
      </c>
      <c r="C472" s="59">
        <v>45821</v>
      </c>
      <c r="D472" s="14">
        <f t="shared" si="22"/>
        <v>0</v>
      </c>
      <c r="E472" s="59">
        <v>45855</v>
      </c>
      <c r="F472" s="25">
        <f t="shared" si="23"/>
        <v>0</v>
      </c>
    </row>
    <row r="473" spans="1:6" x14ac:dyDescent="0.25">
      <c r="A473" s="59">
        <v>45762</v>
      </c>
      <c r="B473" s="14">
        <f t="shared" si="21"/>
        <v>0</v>
      </c>
      <c r="C473" s="59">
        <v>45822</v>
      </c>
      <c r="D473" s="14">
        <f t="shared" si="22"/>
        <v>1</v>
      </c>
      <c r="E473" s="59">
        <v>45856</v>
      </c>
      <c r="F473" s="25">
        <f t="shared" si="23"/>
        <v>0</v>
      </c>
    </row>
    <row r="474" spans="1:6" x14ac:dyDescent="0.25">
      <c r="A474" s="59">
        <v>45763</v>
      </c>
      <c r="B474" s="14">
        <f t="shared" si="21"/>
        <v>0</v>
      </c>
      <c r="C474" s="59">
        <v>45823</v>
      </c>
      <c r="D474" s="14">
        <f t="shared" si="22"/>
        <v>1</v>
      </c>
      <c r="E474" s="59">
        <v>45857</v>
      </c>
      <c r="F474" s="25">
        <f t="shared" si="23"/>
        <v>1</v>
      </c>
    </row>
    <row r="475" spans="1:6" x14ac:dyDescent="0.25">
      <c r="A475" s="59">
        <v>45764</v>
      </c>
      <c r="B475" s="14">
        <f t="shared" si="21"/>
        <v>0</v>
      </c>
      <c r="C475" s="59">
        <v>45824</v>
      </c>
      <c r="D475" s="14">
        <f t="shared" si="22"/>
        <v>0</v>
      </c>
      <c r="E475" s="59">
        <v>45858</v>
      </c>
      <c r="F475" s="25">
        <f t="shared" si="23"/>
        <v>1</v>
      </c>
    </row>
    <row r="476" spans="1:6" x14ac:dyDescent="0.25">
      <c r="A476" s="59">
        <v>45765</v>
      </c>
      <c r="B476" s="14">
        <f t="shared" si="21"/>
        <v>0</v>
      </c>
      <c r="C476" s="59">
        <v>45825</v>
      </c>
      <c r="D476" s="14">
        <f t="shared" si="22"/>
        <v>0</v>
      </c>
      <c r="E476" s="59">
        <v>45859</v>
      </c>
      <c r="F476" s="25">
        <f t="shared" si="23"/>
        <v>0</v>
      </c>
    </row>
    <row r="477" spans="1:6" x14ac:dyDescent="0.25">
      <c r="A477" s="59">
        <v>45766</v>
      </c>
      <c r="B477" s="14">
        <f t="shared" si="21"/>
        <v>1</v>
      </c>
      <c r="C477" s="59">
        <v>45826</v>
      </c>
      <c r="D477" s="14">
        <f t="shared" si="22"/>
        <v>0</v>
      </c>
      <c r="E477" s="59">
        <v>45860</v>
      </c>
      <c r="F477" s="25">
        <f t="shared" si="23"/>
        <v>0</v>
      </c>
    </row>
    <row r="478" spans="1:6" x14ac:dyDescent="0.25">
      <c r="A478" s="59">
        <v>45767</v>
      </c>
      <c r="B478" s="14">
        <f t="shared" si="21"/>
        <v>1</v>
      </c>
      <c r="C478" s="59">
        <v>45827</v>
      </c>
      <c r="D478" s="14">
        <f t="shared" si="22"/>
        <v>0</v>
      </c>
      <c r="E478" s="59">
        <v>45861</v>
      </c>
      <c r="F478" s="25">
        <f t="shared" si="23"/>
        <v>0</v>
      </c>
    </row>
    <row r="479" spans="1:6" x14ac:dyDescent="0.25">
      <c r="A479" s="59">
        <v>45768</v>
      </c>
      <c r="B479" s="14">
        <f t="shared" si="21"/>
        <v>0</v>
      </c>
      <c r="C479" s="59">
        <v>45828</v>
      </c>
      <c r="D479" s="14">
        <f t="shared" si="22"/>
        <v>0</v>
      </c>
      <c r="E479" s="59">
        <v>45862</v>
      </c>
      <c r="F479" s="25">
        <f t="shared" si="23"/>
        <v>0</v>
      </c>
    </row>
    <row r="480" spans="1:6" x14ac:dyDescent="0.25">
      <c r="A480" s="59">
        <v>45769</v>
      </c>
      <c r="B480" s="14">
        <f t="shared" si="21"/>
        <v>0</v>
      </c>
      <c r="C480" s="59">
        <v>45829</v>
      </c>
      <c r="D480" s="14">
        <f t="shared" si="22"/>
        <v>1</v>
      </c>
      <c r="E480" s="59">
        <v>45863</v>
      </c>
      <c r="F480" s="25">
        <f t="shared" si="23"/>
        <v>0</v>
      </c>
    </row>
    <row r="481" spans="1:6" x14ac:dyDescent="0.25">
      <c r="A481" s="59">
        <v>45770</v>
      </c>
      <c r="B481" s="14">
        <f t="shared" si="21"/>
        <v>0</v>
      </c>
      <c r="C481" s="59">
        <v>45830</v>
      </c>
      <c r="D481" s="14">
        <f t="shared" si="22"/>
        <v>1</v>
      </c>
      <c r="E481" s="59">
        <v>45864</v>
      </c>
      <c r="F481" s="25">
        <f t="shared" si="23"/>
        <v>1</v>
      </c>
    </row>
    <row r="482" spans="1:6" x14ac:dyDescent="0.25">
      <c r="A482" s="59">
        <v>45771</v>
      </c>
      <c r="B482" s="14">
        <f t="shared" si="21"/>
        <v>0</v>
      </c>
      <c r="C482" s="59">
        <v>45831</v>
      </c>
      <c r="D482" s="14">
        <f t="shared" si="22"/>
        <v>0</v>
      </c>
      <c r="E482" s="59">
        <v>45865</v>
      </c>
      <c r="F482" s="25">
        <f t="shared" si="23"/>
        <v>1</v>
      </c>
    </row>
    <row r="483" spans="1:6" x14ac:dyDescent="0.25">
      <c r="A483" s="59">
        <v>45772</v>
      </c>
      <c r="B483" s="14">
        <f t="shared" si="21"/>
        <v>0</v>
      </c>
      <c r="C483" s="59">
        <v>45832</v>
      </c>
      <c r="D483" s="14">
        <f t="shared" si="22"/>
        <v>0</v>
      </c>
      <c r="E483" s="59">
        <v>45866</v>
      </c>
      <c r="F483" s="25">
        <f t="shared" si="23"/>
        <v>0</v>
      </c>
    </row>
    <row r="484" spans="1:6" x14ac:dyDescent="0.25">
      <c r="A484" s="59">
        <v>45773</v>
      </c>
      <c r="B484" s="14">
        <f t="shared" si="21"/>
        <v>1</v>
      </c>
      <c r="C484" s="59">
        <v>45833</v>
      </c>
      <c r="D484" s="14">
        <f t="shared" si="22"/>
        <v>0</v>
      </c>
      <c r="E484" s="59">
        <v>45867</v>
      </c>
      <c r="F484" s="25">
        <f t="shared" si="23"/>
        <v>0</v>
      </c>
    </row>
    <row r="485" spans="1:6" x14ac:dyDescent="0.25">
      <c r="A485" s="59">
        <v>45774</v>
      </c>
      <c r="B485" s="14">
        <f t="shared" si="21"/>
        <v>1</v>
      </c>
      <c r="C485" s="59">
        <v>45834</v>
      </c>
      <c r="D485" s="14">
        <f t="shared" si="22"/>
        <v>0</v>
      </c>
      <c r="E485" s="59">
        <v>45868</v>
      </c>
      <c r="F485" s="25">
        <f t="shared" si="23"/>
        <v>0</v>
      </c>
    </row>
    <row r="486" spans="1:6" x14ac:dyDescent="0.25">
      <c r="A486" s="59">
        <v>45775</v>
      </c>
      <c r="B486" s="14">
        <f t="shared" si="21"/>
        <v>0</v>
      </c>
      <c r="C486" s="59">
        <v>45835</v>
      </c>
      <c r="D486" s="14">
        <f t="shared" si="22"/>
        <v>0</v>
      </c>
      <c r="E486" s="59">
        <v>45869</v>
      </c>
      <c r="F486" s="25">
        <f t="shared" si="23"/>
        <v>0</v>
      </c>
    </row>
    <row r="487" spans="1:6" x14ac:dyDescent="0.25">
      <c r="A487" s="59">
        <v>45776</v>
      </c>
      <c r="B487" s="14">
        <f t="shared" si="21"/>
        <v>0</v>
      </c>
      <c r="C487" s="59">
        <v>45836</v>
      </c>
      <c r="D487" s="14">
        <f t="shared" si="22"/>
        <v>1</v>
      </c>
      <c r="E487" s="59">
        <v>45870</v>
      </c>
      <c r="F487" s="25">
        <f t="shared" si="23"/>
        <v>0</v>
      </c>
    </row>
    <row r="488" spans="1:6" x14ac:dyDescent="0.25">
      <c r="A488" s="59">
        <v>45777</v>
      </c>
      <c r="B488" s="14">
        <f t="shared" si="21"/>
        <v>0</v>
      </c>
      <c r="C488" s="59">
        <v>45837</v>
      </c>
      <c r="D488" s="14">
        <f t="shared" si="22"/>
        <v>1</v>
      </c>
      <c r="E488" s="59">
        <v>45871</v>
      </c>
      <c r="F488" s="25">
        <f t="shared" si="23"/>
        <v>1</v>
      </c>
    </row>
    <row r="489" spans="1:6" x14ac:dyDescent="0.25">
      <c r="A489" s="59">
        <v>45778</v>
      </c>
      <c r="B489" s="14">
        <f t="shared" si="21"/>
        <v>0</v>
      </c>
      <c r="C489" s="59">
        <v>45838</v>
      </c>
      <c r="D489" s="14">
        <f t="shared" si="22"/>
        <v>0</v>
      </c>
      <c r="E489" s="59">
        <v>45872</v>
      </c>
      <c r="F489" s="25">
        <f t="shared" si="23"/>
        <v>1</v>
      </c>
    </row>
    <row r="490" spans="1:6" x14ac:dyDescent="0.25">
      <c r="A490" s="59">
        <v>45779</v>
      </c>
      <c r="B490" s="14">
        <f t="shared" si="21"/>
        <v>0</v>
      </c>
      <c r="C490" s="59">
        <v>45839</v>
      </c>
      <c r="D490" s="14">
        <f t="shared" si="22"/>
        <v>0</v>
      </c>
      <c r="E490" s="59">
        <v>45873</v>
      </c>
      <c r="F490" s="25">
        <f t="shared" si="23"/>
        <v>0</v>
      </c>
    </row>
    <row r="491" spans="1:6" x14ac:dyDescent="0.25">
      <c r="A491" s="59">
        <v>45780</v>
      </c>
      <c r="B491" s="14">
        <f t="shared" si="21"/>
        <v>1</v>
      </c>
      <c r="C491" s="59">
        <v>45840</v>
      </c>
      <c r="D491" s="14">
        <f t="shared" si="22"/>
        <v>0</v>
      </c>
      <c r="E491" s="59">
        <v>45874</v>
      </c>
      <c r="F491" s="25">
        <f t="shared" si="23"/>
        <v>0</v>
      </c>
    </row>
    <row r="492" spans="1:6" x14ac:dyDescent="0.25">
      <c r="A492" s="59">
        <v>45781</v>
      </c>
      <c r="B492" s="14">
        <f t="shared" si="21"/>
        <v>1</v>
      </c>
      <c r="C492" s="59">
        <v>45841</v>
      </c>
      <c r="D492" s="14">
        <f t="shared" si="22"/>
        <v>0</v>
      </c>
      <c r="E492" s="59">
        <v>45875</v>
      </c>
      <c r="F492" s="25">
        <f t="shared" si="23"/>
        <v>0</v>
      </c>
    </row>
    <row r="493" spans="1:6" x14ac:dyDescent="0.25">
      <c r="A493" s="59">
        <v>45782</v>
      </c>
      <c r="B493" s="14">
        <f t="shared" si="21"/>
        <v>0</v>
      </c>
      <c r="C493" s="59">
        <v>45842</v>
      </c>
      <c r="D493" s="14">
        <f t="shared" si="22"/>
        <v>0</v>
      </c>
      <c r="E493" s="59">
        <v>45876</v>
      </c>
      <c r="F493" s="25">
        <f t="shared" si="23"/>
        <v>0</v>
      </c>
    </row>
    <row r="494" spans="1:6" x14ac:dyDescent="0.25">
      <c r="A494" s="59">
        <v>45783</v>
      </c>
      <c r="B494" s="14">
        <f t="shared" si="21"/>
        <v>0</v>
      </c>
      <c r="C494" s="59">
        <v>45843</v>
      </c>
      <c r="D494" s="14">
        <f t="shared" si="22"/>
        <v>1</v>
      </c>
      <c r="E494" s="59">
        <v>45877</v>
      </c>
      <c r="F494" s="25">
        <f t="shared" si="23"/>
        <v>0</v>
      </c>
    </row>
    <row r="495" spans="1:6" x14ac:dyDescent="0.25">
      <c r="A495" s="59">
        <v>45784</v>
      </c>
      <c r="B495" s="14">
        <f t="shared" si="21"/>
        <v>0</v>
      </c>
      <c r="C495" s="59">
        <v>45844</v>
      </c>
      <c r="D495" s="14">
        <f t="shared" si="22"/>
        <v>1</v>
      </c>
      <c r="E495" s="59">
        <v>45878</v>
      </c>
      <c r="F495" s="25">
        <f t="shared" si="23"/>
        <v>1</v>
      </c>
    </row>
    <row r="496" spans="1:6" x14ac:dyDescent="0.25">
      <c r="A496" s="59">
        <v>45785</v>
      </c>
      <c r="B496" s="14">
        <f t="shared" si="21"/>
        <v>0</v>
      </c>
      <c r="C496" s="59">
        <v>45845</v>
      </c>
      <c r="D496" s="14">
        <f t="shared" si="22"/>
        <v>0</v>
      </c>
      <c r="E496" s="59">
        <v>45879</v>
      </c>
      <c r="F496" s="25">
        <f t="shared" si="23"/>
        <v>1</v>
      </c>
    </row>
    <row r="497" spans="1:6" x14ac:dyDescent="0.25">
      <c r="A497" s="59">
        <v>45786</v>
      </c>
      <c r="B497" s="14">
        <f t="shared" si="21"/>
        <v>0</v>
      </c>
      <c r="C497" s="59">
        <v>45846</v>
      </c>
      <c r="D497" s="14">
        <f t="shared" si="22"/>
        <v>0</v>
      </c>
      <c r="E497" s="59">
        <v>45880</v>
      </c>
      <c r="F497" s="25">
        <f t="shared" si="23"/>
        <v>0</v>
      </c>
    </row>
    <row r="498" spans="1:6" x14ac:dyDescent="0.25">
      <c r="A498" s="59">
        <v>45787</v>
      </c>
      <c r="B498" s="14">
        <f t="shared" si="21"/>
        <v>1</v>
      </c>
      <c r="C498" s="59">
        <v>45847</v>
      </c>
      <c r="D498" s="14">
        <f t="shared" si="22"/>
        <v>0</v>
      </c>
      <c r="E498" s="59">
        <v>45881</v>
      </c>
      <c r="F498" s="25">
        <f t="shared" si="23"/>
        <v>0</v>
      </c>
    </row>
    <row r="499" spans="1:6" x14ac:dyDescent="0.25">
      <c r="A499" s="59">
        <v>45788</v>
      </c>
      <c r="B499" s="14">
        <f t="shared" si="21"/>
        <v>1</v>
      </c>
      <c r="C499" s="59">
        <v>45848</v>
      </c>
      <c r="D499" s="14">
        <f t="shared" si="22"/>
        <v>0</v>
      </c>
      <c r="E499" s="59">
        <v>45882</v>
      </c>
      <c r="F499" s="25">
        <f t="shared" si="23"/>
        <v>0</v>
      </c>
    </row>
    <row r="500" spans="1:6" x14ac:dyDescent="0.25">
      <c r="A500" s="59">
        <v>45789</v>
      </c>
      <c r="B500" s="14">
        <f t="shared" si="21"/>
        <v>0</v>
      </c>
      <c r="C500" s="59">
        <v>45849</v>
      </c>
      <c r="D500" s="14">
        <f t="shared" si="22"/>
        <v>0</v>
      </c>
      <c r="E500" s="59">
        <v>45883</v>
      </c>
      <c r="F500" s="25">
        <f t="shared" si="23"/>
        <v>0</v>
      </c>
    </row>
    <row r="501" spans="1:6" x14ac:dyDescent="0.25">
      <c r="A501" s="59">
        <v>45790</v>
      </c>
      <c r="B501" s="14">
        <f t="shared" si="21"/>
        <v>0</v>
      </c>
      <c r="C501" s="59">
        <v>45850</v>
      </c>
      <c r="D501" s="14">
        <f t="shared" si="22"/>
        <v>1</v>
      </c>
      <c r="E501" s="59">
        <v>45884</v>
      </c>
      <c r="F501" s="25">
        <f t="shared" si="23"/>
        <v>0</v>
      </c>
    </row>
    <row r="502" spans="1:6" x14ac:dyDescent="0.25">
      <c r="A502" s="59">
        <v>45791</v>
      </c>
      <c r="B502" s="14">
        <f t="shared" si="21"/>
        <v>0</v>
      </c>
      <c r="C502" s="59">
        <v>45851</v>
      </c>
      <c r="D502" s="14">
        <f t="shared" si="22"/>
        <v>1</v>
      </c>
      <c r="E502" s="59">
        <v>45885</v>
      </c>
      <c r="F502" s="25">
        <f t="shared" si="23"/>
        <v>1</v>
      </c>
    </row>
    <row r="503" spans="1:6" x14ac:dyDescent="0.25">
      <c r="A503" s="59">
        <v>45792</v>
      </c>
      <c r="B503" s="14">
        <f t="shared" si="21"/>
        <v>0</v>
      </c>
      <c r="C503" s="59">
        <v>45852</v>
      </c>
      <c r="D503" s="14">
        <f t="shared" si="22"/>
        <v>0</v>
      </c>
      <c r="E503" s="59">
        <v>45886</v>
      </c>
      <c r="F503" s="25">
        <f t="shared" si="23"/>
        <v>1</v>
      </c>
    </row>
    <row r="504" spans="1:6" x14ac:dyDescent="0.25">
      <c r="A504" s="59">
        <v>45793</v>
      </c>
      <c r="B504" s="14">
        <f t="shared" si="21"/>
        <v>0</v>
      </c>
      <c r="C504" s="59">
        <v>45853</v>
      </c>
      <c r="D504" s="14">
        <f t="shared" si="22"/>
        <v>0</v>
      </c>
      <c r="E504" s="59">
        <v>45887</v>
      </c>
      <c r="F504" s="25">
        <f t="shared" si="23"/>
        <v>0</v>
      </c>
    </row>
    <row r="505" spans="1:6" x14ac:dyDescent="0.25">
      <c r="A505" s="59">
        <v>45794</v>
      </c>
      <c r="B505" s="14">
        <f t="shared" si="21"/>
        <v>1</v>
      </c>
      <c r="C505" s="59">
        <v>45854</v>
      </c>
      <c r="D505" s="14">
        <f t="shared" si="22"/>
        <v>0</v>
      </c>
      <c r="E505" s="59">
        <v>45888</v>
      </c>
      <c r="F505" s="25">
        <f t="shared" si="23"/>
        <v>0</v>
      </c>
    </row>
    <row r="506" spans="1:6" x14ac:dyDescent="0.25">
      <c r="A506" s="59">
        <v>45795</v>
      </c>
      <c r="B506" s="14">
        <f t="shared" si="21"/>
        <v>1</v>
      </c>
      <c r="C506" s="59">
        <v>45855</v>
      </c>
      <c r="D506" s="14">
        <f t="shared" si="22"/>
        <v>0</v>
      </c>
      <c r="E506" s="59">
        <v>45889</v>
      </c>
      <c r="F506" s="25">
        <f t="shared" si="23"/>
        <v>0</v>
      </c>
    </row>
    <row r="507" spans="1:6" x14ac:dyDescent="0.25">
      <c r="A507" s="59">
        <v>45796</v>
      </c>
      <c r="B507" s="14">
        <f t="shared" si="21"/>
        <v>0</v>
      </c>
      <c r="C507" s="59">
        <v>45856</v>
      </c>
      <c r="D507" s="14">
        <f t="shared" si="22"/>
        <v>0</v>
      </c>
      <c r="E507" s="59">
        <v>45890</v>
      </c>
      <c r="F507" s="25">
        <f t="shared" si="23"/>
        <v>0</v>
      </c>
    </row>
    <row r="508" spans="1:6" x14ac:dyDescent="0.25">
      <c r="A508" s="59">
        <v>45797</v>
      </c>
      <c r="B508" s="14">
        <f t="shared" si="21"/>
        <v>0</v>
      </c>
      <c r="C508" s="59">
        <v>45857</v>
      </c>
      <c r="D508" s="14">
        <f t="shared" si="22"/>
        <v>1</v>
      </c>
      <c r="E508" s="59">
        <v>45891</v>
      </c>
      <c r="F508" s="25">
        <f t="shared" si="23"/>
        <v>0</v>
      </c>
    </row>
    <row r="509" spans="1:6" x14ac:dyDescent="0.25">
      <c r="A509" s="59">
        <v>45798</v>
      </c>
      <c r="B509" s="14">
        <f t="shared" si="21"/>
        <v>0</v>
      </c>
      <c r="C509" s="59">
        <v>45858</v>
      </c>
      <c r="D509" s="14">
        <f t="shared" si="22"/>
        <v>1</v>
      </c>
      <c r="E509" s="59">
        <v>45892</v>
      </c>
      <c r="F509" s="25">
        <f t="shared" si="23"/>
        <v>1</v>
      </c>
    </row>
    <row r="510" spans="1:6" x14ac:dyDescent="0.25">
      <c r="A510" s="59">
        <v>45799</v>
      </c>
      <c r="B510" s="14">
        <f t="shared" si="21"/>
        <v>0</v>
      </c>
      <c r="C510" s="59">
        <v>45859</v>
      </c>
      <c r="D510" s="14">
        <f t="shared" si="22"/>
        <v>0</v>
      </c>
      <c r="E510" s="59">
        <v>45893</v>
      </c>
      <c r="F510" s="25">
        <f t="shared" si="23"/>
        <v>1</v>
      </c>
    </row>
    <row r="511" spans="1:6" x14ac:dyDescent="0.25">
      <c r="A511" s="59">
        <v>45800</v>
      </c>
      <c r="B511" s="14">
        <f t="shared" si="21"/>
        <v>0</v>
      </c>
      <c r="C511" s="59">
        <v>45860</v>
      </c>
      <c r="D511" s="14">
        <f t="shared" si="22"/>
        <v>0</v>
      </c>
      <c r="E511" s="59">
        <v>45894</v>
      </c>
      <c r="F511" s="25">
        <f t="shared" si="23"/>
        <v>0</v>
      </c>
    </row>
    <row r="512" spans="1:6" x14ac:dyDescent="0.25">
      <c r="A512" s="59">
        <v>45801</v>
      </c>
      <c r="B512" s="14">
        <f t="shared" si="21"/>
        <v>1</v>
      </c>
      <c r="C512" s="59">
        <v>45861</v>
      </c>
      <c r="D512" s="14">
        <f t="shared" si="22"/>
        <v>0</v>
      </c>
      <c r="E512" s="59">
        <v>45895</v>
      </c>
      <c r="F512" s="25">
        <f t="shared" si="23"/>
        <v>0</v>
      </c>
    </row>
    <row r="513" spans="1:6" x14ac:dyDescent="0.25">
      <c r="A513" s="59">
        <v>45802</v>
      </c>
      <c r="B513" s="14">
        <f t="shared" si="21"/>
        <v>1</v>
      </c>
      <c r="C513" s="59">
        <v>45862</v>
      </c>
      <c r="D513" s="14">
        <f t="shared" si="22"/>
        <v>0</v>
      </c>
      <c r="E513" s="59">
        <v>45896</v>
      </c>
      <c r="F513" s="25">
        <f t="shared" si="23"/>
        <v>0</v>
      </c>
    </row>
    <row r="514" spans="1:6" x14ac:dyDescent="0.25">
      <c r="A514" s="59">
        <v>45803</v>
      </c>
      <c r="B514" s="14">
        <f t="shared" si="21"/>
        <v>0</v>
      </c>
      <c r="C514" s="59">
        <v>45863</v>
      </c>
      <c r="D514" s="14">
        <f t="shared" si="22"/>
        <v>0</v>
      </c>
      <c r="E514" s="59">
        <v>45897</v>
      </c>
      <c r="F514" s="25">
        <f t="shared" si="23"/>
        <v>0</v>
      </c>
    </row>
    <row r="515" spans="1:6" x14ac:dyDescent="0.25">
      <c r="A515" s="59">
        <v>45804</v>
      </c>
      <c r="B515" s="14">
        <f t="shared" ref="B515:B578" si="24">1-IF(WEEKDAY(A515,2)&gt;5,0,1)</f>
        <v>0</v>
      </c>
      <c r="C515" s="59">
        <v>45864</v>
      </c>
      <c r="D515" s="14">
        <f t="shared" ref="D515:D578" si="25">1-IF(WEEKDAY(C515,2)&gt;5,0,1)</f>
        <v>1</v>
      </c>
      <c r="E515" s="59">
        <v>45898</v>
      </c>
      <c r="F515" s="25">
        <f t="shared" ref="F515:F578" si="26">1-IF(WEEKDAY(E515,2)&gt;5,0,1)</f>
        <v>0</v>
      </c>
    </row>
    <row r="516" spans="1:6" x14ac:dyDescent="0.25">
      <c r="A516" s="59">
        <v>45805</v>
      </c>
      <c r="B516" s="14">
        <f t="shared" si="24"/>
        <v>0</v>
      </c>
      <c r="C516" s="59">
        <v>45865</v>
      </c>
      <c r="D516" s="14">
        <f t="shared" si="25"/>
        <v>1</v>
      </c>
      <c r="E516" s="59">
        <v>45899</v>
      </c>
      <c r="F516" s="25">
        <f t="shared" si="26"/>
        <v>1</v>
      </c>
    </row>
    <row r="517" spans="1:6" x14ac:dyDescent="0.25">
      <c r="A517" s="59">
        <v>45806</v>
      </c>
      <c r="B517" s="14">
        <f t="shared" si="24"/>
        <v>0</v>
      </c>
      <c r="C517" s="59">
        <v>45866</v>
      </c>
      <c r="D517" s="14">
        <f t="shared" si="25"/>
        <v>0</v>
      </c>
      <c r="E517" s="59">
        <v>45900</v>
      </c>
      <c r="F517" s="25">
        <f t="shared" si="26"/>
        <v>1</v>
      </c>
    </row>
    <row r="518" spans="1:6" x14ac:dyDescent="0.25">
      <c r="A518" s="59">
        <v>45807</v>
      </c>
      <c r="B518" s="14">
        <f t="shared" si="24"/>
        <v>0</v>
      </c>
      <c r="C518" s="59">
        <v>45867</v>
      </c>
      <c r="D518" s="14">
        <f t="shared" si="25"/>
        <v>0</v>
      </c>
      <c r="E518" s="59">
        <v>45901</v>
      </c>
      <c r="F518" s="25">
        <f t="shared" si="26"/>
        <v>0</v>
      </c>
    </row>
    <row r="519" spans="1:6" x14ac:dyDescent="0.25">
      <c r="A519" s="59">
        <v>45808</v>
      </c>
      <c r="B519" s="14">
        <f t="shared" si="24"/>
        <v>1</v>
      </c>
      <c r="C519" s="59">
        <v>45868</v>
      </c>
      <c r="D519" s="14">
        <f t="shared" si="25"/>
        <v>0</v>
      </c>
      <c r="E519" s="59">
        <v>45902</v>
      </c>
      <c r="F519" s="25">
        <f t="shared" si="26"/>
        <v>0</v>
      </c>
    </row>
    <row r="520" spans="1:6" x14ac:dyDescent="0.25">
      <c r="A520" s="59">
        <v>45809</v>
      </c>
      <c r="B520" s="14">
        <f t="shared" si="24"/>
        <v>1</v>
      </c>
      <c r="C520" s="59">
        <v>45869</v>
      </c>
      <c r="D520" s="14">
        <f t="shared" si="25"/>
        <v>0</v>
      </c>
      <c r="E520" s="59">
        <v>45903</v>
      </c>
      <c r="F520" s="25">
        <f t="shared" si="26"/>
        <v>0</v>
      </c>
    </row>
    <row r="521" spans="1:6" x14ac:dyDescent="0.25">
      <c r="A521" s="59">
        <v>45810</v>
      </c>
      <c r="B521" s="14">
        <f t="shared" si="24"/>
        <v>0</v>
      </c>
      <c r="C521" s="59">
        <v>45870</v>
      </c>
      <c r="D521" s="14">
        <f t="shared" si="25"/>
        <v>0</v>
      </c>
      <c r="E521" s="59">
        <v>45904</v>
      </c>
      <c r="F521" s="25">
        <f t="shared" si="26"/>
        <v>0</v>
      </c>
    </row>
    <row r="522" spans="1:6" x14ac:dyDescent="0.25">
      <c r="A522" s="59">
        <v>45811</v>
      </c>
      <c r="B522" s="14">
        <f t="shared" si="24"/>
        <v>0</v>
      </c>
      <c r="C522" s="59">
        <v>45871</v>
      </c>
      <c r="D522" s="14">
        <f t="shared" si="25"/>
        <v>1</v>
      </c>
      <c r="E522" s="59">
        <v>45905</v>
      </c>
      <c r="F522" s="25">
        <f t="shared" si="26"/>
        <v>0</v>
      </c>
    </row>
    <row r="523" spans="1:6" x14ac:dyDescent="0.25">
      <c r="A523" s="59">
        <v>45812</v>
      </c>
      <c r="B523" s="14">
        <f t="shared" si="24"/>
        <v>0</v>
      </c>
      <c r="C523" s="59">
        <v>45872</v>
      </c>
      <c r="D523" s="14">
        <f t="shared" si="25"/>
        <v>1</v>
      </c>
      <c r="E523" s="59">
        <v>45906</v>
      </c>
      <c r="F523" s="25">
        <f t="shared" si="26"/>
        <v>1</v>
      </c>
    </row>
    <row r="524" spans="1:6" x14ac:dyDescent="0.25">
      <c r="A524" s="59">
        <v>45813</v>
      </c>
      <c r="B524" s="14">
        <f t="shared" si="24"/>
        <v>0</v>
      </c>
      <c r="C524" s="59">
        <v>45873</v>
      </c>
      <c r="D524" s="14">
        <f t="shared" si="25"/>
        <v>0</v>
      </c>
      <c r="E524" s="59">
        <v>45907</v>
      </c>
      <c r="F524" s="25">
        <f t="shared" si="26"/>
        <v>1</v>
      </c>
    </row>
    <row r="525" spans="1:6" x14ac:dyDescent="0.25">
      <c r="A525" s="59">
        <v>45814</v>
      </c>
      <c r="B525" s="14">
        <f t="shared" si="24"/>
        <v>0</v>
      </c>
      <c r="C525" s="59">
        <v>45874</v>
      </c>
      <c r="D525" s="14">
        <f t="shared" si="25"/>
        <v>0</v>
      </c>
      <c r="E525" s="59">
        <v>45908</v>
      </c>
      <c r="F525" s="25">
        <f t="shared" si="26"/>
        <v>0</v>
      </c>
    </row>
    <row r="526" spans="1:6" x14ac:dyDescent="0.25">
      <c r="A526" s="59">
        <v>45815</v>
      </c>
      <c r="B526" s="14">
        <f t="shared" si="24"/>
        <v>1</v>
      </c>
      <c r="C526" s="59">
        <v>45875</v>
      </c>
      <c r="D526" s="14">
        <f t="shared" si="25"/>
        <v>0</v>
      </c>
      <c r="E526" s="59">
        <v>45909</v>
      </c>
      <c r="F526" s="25">
        <f t="shared" si="26"/>
        <v>0</v>
      </c>
    </row>
    <row r="527" spans="1:6" x14ac:dyDescent="0.25">
      <c r="A527" s="59">
        <v>45816</v>
      </c>
      <c r="B527" s="14">
        <f t="shared" si="24"/>
        <v>1</v>
      </c>
      <c r="C527" s="59">
        <v>45876</v>
      </c>
      <c r="D527" s="14">
        <f t="shared" si="25"/>
        <v>0</v>
      </c>
      <c r="E527" s="59">
        <v>45910</v>
      </c>
      <c r="F527" s="25">
        <f t="shared" si="26"/>
        <v>0</v>
      </c>
    </row>
    <row r="528" spans="1:6" x14ac:dyDescent="0.25">
      <c r="A528" s="59">
        <v>45817</v>
      </c>
      <c r="B528" s="14">
        <f t="shared" si="24"/>
        <v>0</v>
      </c>
      <c r="C528" s="59">
        <v>45877</v>
      </c>
      <c r="D528" s="14">
        <f t="shared" si="25"/>
        <v>0</v>
      </c>
      <c r="E528" s="59">
        <v>45911</v>
      </c>
      <c r="F528" s="25">
        <f t="shared" si="26"/>
        <v>0</v>
      </c>
    </row>
    <row r="529" spans="1:6" x14ac:dyDescent="0.25">
      <c r="A529" s="59">
        <v>45818</v>
      </c>
      <c r="B529" s="14">
        <f t="shared" si="24"/>
        <v>0</v>
      </c>
      <c r="C529" s="59">
        <v>45878</v>
      </c>
      <c r="D529" s="14">
        <f t="shared" si="25"/>
        <v>1</v>
      </c>
      <c r="E529" s="59">
        <v>45912</v>
      </c>
      <c r="F529" s="25">
        <f t="shared" si="26"/>
        <v>0</v>
      </c>
    </row>
    <row r="530" spans="1:6" x14ac:dyDescent="0.25">
      <c r="A530" s="59">
        <v>45819</v>
      </c>
      <c r="B530" s="14">
        <f t="shared" si="24"/>
        <v>0</v>
      </c>
      <c r="C530" s="59">
        <v>45879</v>
      </c>
      <c r="D530" s="14">
        <f t="shared" si="25"/>
        <v>1</v>
      </c>
      <c r="E530" s="59">
        <v>45913</v>
      </c>
      <c r="F530" s="25">
        <f t="shared" si="26"/>
        <v>1</v>
      </c>
    </row>
    <row r="531" spans="1:6" x14ac:dyDescent="0.25">
      <c r="A531" s="59">
        <v>45820</v>
      </c>
      <c r="B531" s="14">
        <f t="shared" si="24"/>
        <v>0</v>
      </c>
      <c r="C531" s="59">
        <v>45880</v>
      </c>
      <c r="D531" s="14">
        <f t="shared" si="25"/>
        <v>0</v>
      </c>
      <c r="E531" s="59">
        <v>45914</v>
      </c>
      <c r="F531" s="25">
        <f t="shared" si="26"/>
        <v>1</v>
      </c>
    </row>
    <row r="532" spans="1:6" x14ac:dyDescent="0.25">
      <c r="A532" s="59">
        <v>45821</v>
      </c>
      <c r="B532" s="14">
        <f t="shared" si="24"/>
        <v>0</v>
      </c>
      <c r="C532" s="59">
        <v>45881</v>
      </c>
      <c r="D532" s="14">
        <f t="shared" si="25"/>
        <v>0</v>
      </c>
      <c r="E532" s="59">
        <v>45915</v>
      </c>
      <c r="F532" s="25">
        <f t="shared" si="26"/>
        <v>0</v>
      </c>
    </row>
    <row r="533" spans="1:6" x14ac:dyDescent="0.25">
      <c r="A533" s="59">
        <v>45822</v>
      </c>
      <c r="B533" s="14">
        <f t="shared" si="24"/>
        <v>1</v>
      </c>
      <c r="C533" s="59">
        <v>45882</v>
      </c>
      <c r="D533" s="14">
        <f t="shared" si="25"/>
        <v>0</v>
      </c>
      <c r="E533" s="59">
        <v>45916</v>
      </c>
      <c r="F533" s="25">
        <f t="shared" si="26"/>
        <v>0</v>
      </c>
    </row>
    <row r="534" spans="1:6" x14ac:dyDescent="0.25">
      <c r="A534" s="59">
        <v>45823</v>
      </c>
      <c r="B534" s="14">
        <f t="shared" si="24"/>
        <v>1</v>
      </c>
      <c r="C534" s="59">
        <v>45883</v>
      </c>
      <c r="D534" s="14">
        <f t="shared" si="25"/>
        <v>0</v>
      </c>
      <c r="E534" s="59">
        <v>45917</v>
      </c>
      <c r="F534" s="25">
        <f t="shared" si="26"/>
        <v>0</v>
      </c>
    </row>
    <row r="535" spans="1:6" x14ac:dyDescent="0.25">
      <c r="A535" s="59">
        <v>45824</v>
      </c>
      <c r="B535" s="14">
        <f t="shared" si="24"/>
        <v>0</v>
      </c>
      <c r="C535" s="59">
        <v>45884</v>
      </c>
      <c r="D535" s="14">
        <f t="shared" si="25"/>
        <v>0</v>
      </c>
      <c r="E535" s="59">
        <v>45918</v>
      </c>
      <c r="F535" s="25">
        <f t="shared" si="26"/>
        <v>0</v>
      </c>
    </row>
    <row r="536" spans="1:6" x14ac:dyDescent="0.25">
      <c r="A536" s="59">
        <v>45825</v>
      </c>
      <c r="B536" s="14">
        <f t="shared" si="24"/>
        <v>0</v>
      </c>
      <c r="C536" s="59">
        <v>45885</v>
      </c>
      <c r="D536" s="14">
        <f t="shared" si="25"/>
        <v>1</v>
      </c>
      <c r="E536" s="59">
        <v>45919</v>
      </c>
      <c r="F536" s="25">
        <f t="shared" si="26"/>
        <v>0</v>
      </c>
    </row>
    <row r="537" spans="1:6" x14ac:dyDescent="0.25">
      <c r="A537" s="59">
        <v>45826</v>
      </c>
      <c r="B537" s="14">
        <f t="shared" si="24"/>
        <v>0</v>
      </c>
      <c r="C537" s="59">
        <v>45886</v>
      </c>
      <c r="D537" s="14">
        <f t="shared" si="25"/>
        <v>1</v>
      </c>
      <c r="E537" s="59">
        <v>45920</v>
      </c>
      <c r="F537" s="25">
        <f t="shared" si="26"/>
        <v>1</v>
      </c>
    </row>
    <row r="538" spans="1:6" x14ac:dyDescent="0.25">
      <c r="A538" s="59">
        <v>45827</v>
      </c>
      <c r="B538" s="14">
        <f t="shared" si="24"/>
        <v>0</v>
      </c>
      <c r="C538" s="59">
        <v>45887</v>
      </c>
      <c r="D538" s="14">
        <f t="shared" si="25"/>
        <v>0</v>
      </c>
      <c r="E538" s="59">
        <v>45921</v>
      </c>
      <c r="F538" s="25">
        <f t="shared" si="26"/>
        <v>1</v>
      </c>
    </row>
    <row r="539" spans="1:6" x14ac:dyDescent="0.25">
      <c r="A539" s="59">
        <v>45828</v>
      </c>
      <c r="B539" s="14">
        <f t="shared" si="24"/>
        <v>0</v>
      </c>
      <c r="C539" s="59">
        <v>45888</v>
      </c>
      <c r="D539" s="14">
        <f t="shared" si="25"/>
        <v>0</v>
      </c>
      <c r="E539" s="59">
        <v>45922</v>
      </c>
      <c r="F539" s="25">
        <f t="shared" si="26"/>
        <v>0</v>
      </c>
    </row>
    <row r="540" spans="1:6" x14ac:dyDescent="0.25">
      <c r="A540" s="59">
        <v>45829</v>
      </c>
      <c r="B540" s="14">
        <f t="shared" si="24"/>
        <v>1</v>
      </c>
      <c r="C540" s="59">
        <v>45889</v>
      </c>
      <c r="D540" s="14">
        <f t="shared" si="25"/>
        <v>0</v>
      </c>
      <c r="E540" s="59">
        <v>45923</v>
      </c>
      <c r="F540" s="25">
        <f t="shared" si="26"/>
        <v>0</v>
      </c>
    </row>
    <row r="541" spans="1:6" x14ac:dyDescent="0.25">
      <c r="A541" s="59">
        <v>45830</v>
      </c>
      <c r="B541" s="14">
        <f t="shared" si="24"/>
        <v>1</v>
      </c>
      <c r="C541" s="59">
        <v>45890</v>
      </c>
      <c r="D541" s="14">
        <f t="shared" si="25"/>
        <v>0</v>
      </c>
      <c r="E541" s="59">
        <v>45924</v>
      </c>
      <c r="F541" s="25">
        <f t="shared" si="26"/>
        <v>0</v>
      </c>
    </row>
    <row r="542" spans="1:6" x14ac:dyDescent="0.25">
      <c r="A542" s="59">
        <v>45831</v>
      </c>
      <c r="B542" s="14">
        <f t="shared" si="24"/>
        <v>0</v>
      </c>
      <c r="C542" s="59">
        <v>45891</v>
      </c>
      <c r="D542" s="14">
        <f t="shared" si="25"/>
        <v>0</v>
      </c>
      <c r="E542" s="59">
        <v>45925</v>
      </c>
      <c r="F542" s="25">
        <f t="shared" si="26"/>
        <v>0</v>
      </c>
    </row>
    <row r="543" spans="1:6" x14ac:dyDescent="0.25">
      <c r="A543" s="59">
        <v>45832</v>
      </c>
      <c r="B543" s="14">
        <f t="shared" si="24"/>
        <v>0</v>
      </c>
      <c r="C543" s="59">
        <v>45892</v>
      </c>
      <c r="D543" s="14">
        <f t="shared" si="25"/>
        <v>1</v>
      </c>
      <c r="E543" s="59">
        <v>45926</v>
      </c>
      <c r="F543" s="25">
        <f t="shared" si="26"/>
        <v>0</v>
      </c>
    </row>
    <row r="544" spans="1:6" x14ac:dyDescent="0.25">
      <c r="A544" s="59">
        <v>45833</v>
      </c>
      <c r="B544" s="14">
        <f t="shared" si="24"/>
        <v>0</v>
      </c>
      <c r="C544" s="59">
        <v>45893</v>
      </c>
      <c r="D544" s="14">
        <f t="shared" si="25"/>
        <v>1</v>
      </c>
      <c r="E544" s="59">
        <v>45927</v>
      </c>
      <c r="F544" s="25">
        <f t="shared" si="26"/>
        <v>1</v>
      </c>
    </row>
    <row r="545" spans="1:6" x14ac:dyDescent="0.25">
      <c r="A545" s="59">
        <v>45834</v>
      </c>
      <c r="B545" s="14">
        <f t="shared" si="24"/>
        <v>0</v>
      </c>
      <c r="C545" s="59">
        <v>45894</v>
      </c>
      <c r="D545" s="14">
        <f t="shared" si="25"/>
        <v>0</v>
      </c>
      <c r="E545" s="59">
        <v>45928</v>
      </c>
      <c r="F545" s="25">
        <f t="shared" si="26"/>
        <v>1</v>
      </c>
    </row>
    <row r="546" spans="1:6" x14ac:dyDescent="0.25">
      <c r="A546" s="59">
        <v>45835</v>
      </c>
      <c r="B546" s="14">
        <f t="shared" si="24"/>
        <v>0</v>
      </c>
      <c r="C546" s="59">
        <v>45895</v>
      </c>
      <c r="D546" s="14">
        <f t="shared" si="25"/>
        <v>0</v>
      </c>
      <c r="E546" s="59">
        <v>45929</v>
      </c>
      <c r="F546" s="25">
        <f t="shared" si="26"/>
        <v>0</v>
      </c>
    </row>
    <row r="547" spans="1:6" x14ac:dyDescent="0.25">
      <c r="A547" s="59">
        <v>45836</v>
      </c>
      <c r="B547" s="14">
        <f t="shared" si="24"/>
        <v>1</v>
      </c>
      <c r="C547" s="59">
        <v>45896</v>
      </c>
      <c r="D547" s="14">
        <f t="shared" si="25"/>
        <v>0</v>
      </c>
      <c r="E547" s="59">
        <v>45930</v>
      </c>
      <c r="F547" s="25">
        <f t="shared" si="26"/>
        <v>0</v>
      </c>
    </row>
    <row r="548" spans="1:6" x14ac:dyDescent="0.25">
      <c r="A548" s="59">
        <v>45837</v>
      </c>
      <c r="B548" s="14">
        <f t="shared" si="24"/>
        <v>1</v>
      </c>
      <c r="C548" s="59">
        <v>45897</v>
      </c>
      <c r="D548" s="14">
        <f t="shared" si="25"/>
        <v>0</v>
      </c>
      <c r="E548" s="59">
        <v>45931</v>
      </c>
      <c r="F548" s="25">
        <f t="shared" si="26"/>
        <v>0</v>
      </c>
    </row>
    <row r="549" spans="1:6" x14ac:dyDescent="0.25">
      <c r="A549" s="59">
        <v>45838</v>
      </c>
      <c r="B549" s="14">
        <f t="shared" si="24"/>
        <v>0</v>
      </c>
      <c r="C549" s="59">
        <v>45898</v>
      </c>
      <c r="D549" s="14">
        <f t="shared" si="25"/>
        <v>0</v>
      </c>
      <c r="E549" s="59">
        <v>45932</v>
      </c>
      <c r="F549" s="25">
        <f t="shared" si="26"/>
        <v>0</v>
      </c>
    </row>
    <row r="550" spans="1:6" x14ac:dyDescent="0.25">
      <c r="A550" s="59">
        <v>45839</v>
      </c>
      <c r="B550" s="14">
        <f t="shared" si="24"/>
        <v>0</v>
      </c>
      <c r="C550" s="59">
        <v>45899</v>
      </c>
      <c r="D550" s="14">
        <f t="shared" si="25"/>
        <v>1</v>
      </c>
      <c r="E550" s="59">
        <v>45933</v>
      </c>
      <c r="F550" s="25">
        <f t="shared" si="26"/>
        <v>0</v>
      </c>
    </row>
    <row r="551" spans="1:6" x14ac:dyDescent="0.25">
      <c r="A551" s="59">
        <v>45840</v>
      </c>
      <c r="B551" s="14">
        <f t="shared" si="24"/>
        <v>0</v>
      </c>
      <c r="C551" s="59">
        <v>45900</v>
      </c>
      <c r="D551" s="14">
        <f t="shared" si="25"/>
        <v>1</v>
      </c>
      <c r="E551" s="59">
        <v>45934</v>
      </c>
      <c r="F551" s="25">
        <f t="shared" si="26"/>
        <v>1</v>
      </c>
    </row>
    <row r="552" spans="1:6" x14ac:dyDescent="0.25">
      <c r="A552" s="59">
        <v>45841</v>
      </c>
      <c r="B552" s="14">
        <f t="shared" si="24"/>
        <v>0</v>
      </c>
      <c r="C552" s="59">
        <v>45901</v>
      </c>
      <c r="D552" s="14">
        <f t="shared" si="25"/>
        <v>0</v>
      </c>
      <c r="E552" s="59">
        <v>45935</v>
      </c>
      <c r="F552" s="25">
        <f t="shared" si="26"/>
        <v>1</v>
      </c>
    </row>
    <row r="553" spans="1:6" x14ac:dyDescent="0.25">
      <c r="A553" s="59">
        <v>45842</v>
      </c>
      <c r="B553" s="14">
        <f t="shared" si="24"/>
        <v>0</v>
      </c>
      <c r="C553" s="59">
        <v>45902</v>
      </c>
      <c r="D553" s="14">
        <f t="shared" si="25"/>
        <v>0</v>
      </c>
      <c r="E553" s="59">
        <v>45936</v>
      </c>
      <c r="F553" s="25">
        <f t="shared" si="26"/>
        <v>0</v>
      </c>
    </row>
    <row r="554" spans="1:6" x14ac:dyDescent="0.25">
      <c r="A554" s="59">
        <v>45843</v>
      </c>
      <c r="B554" s="14">
        <f t="shared" si="24"/>
        <v>1</v>
      </c>
      <c r="C554" s="59">
        <v>45903</v>
      </c>
      <c r="D554" s="14">
        <f t="shared" si="25"/>
        <v>0</v>
      </c>
      <c r="E554" s="59">
        <v>45937</v>
      </c>
      <c r="F554" s="25">
        <f t="shared" si="26"/>
        <v>0</v>
      </c>
    </row>
    <row r="555" spans="1:6" x14ac:dyDescent="0.25">
      <c r="A555" s="59">
        <v>45844</v>
      </c>
      <c r="B555" s="14">
        <f t="shared" si="24"/>
        <v>1</v>
      </c>
      <c r="C555" s="59">
        <v>45904</v>
      </c>
      <c r="D555" s="14">
        <f t="shared" si="25"/>
        <v>0</v>
      </c>
      <c r="E555" s="59">
        <v>45938</v>
      </c>
      <c r="F555" s="25">
        <f t="shared" si="26"/>
        <v>0</v>
      </c>
    </row>
    <row r="556" spans="1:6" x14ac:dyDescent="0.25">
      <c r="A556" s="59">
        <v>45845</v>
      </c>
      <c r="B556" s="14">
        <f t="shared" si="24"/>
        <v>0</v>
      </c>
      <c r="C556" s="59">
        <v>45905</v>
      </c>
      <c r="D556" s="14">
        <f t="shared" si="25"/>
        <v>0</v>
      </c>
      <c r="E556" s="59">
        <v>45939</v>
      </c>
      <c r="F556" s="25">
        <f t="shared" si="26"/>
        <v>0</v>
      </c>
    </row>
    <row r="557" spans="1:6" x14ac:dyDescent="0.25">
      <c r="A557" s="59">
        <v>45846</v>
      </c>
      <c r="B557" s="14">
        <f t="shared" si="24"/>
        <v>0</v>
      </c>
      <c r="C557" s="59">
        <v>45906</v>
      </c>
      <c r="D557" s="14">
        <f t="shared" si="25"/>
        <v>1</v>
      </c>
      <c r="E557" s="59">
        <v>45940</v>
      </c>
      <c r="F557" s="25">
        <f t="shared" si="26"/>
        <v>0</v>
      </c>
    </row>
    <row r="558" spans="1:6" x14ac:dyDescent="0.25">
      <c r="A558" s="59">
        <v>45847</v>
      </c>
      <c r="B558" s="14">
        <f t="shared" si="24"/>
        <v>0</v>
      </c>
      <c r="C558" s="59">
        <v>45907</v>
      </c>
      <c r="D558" s="14">
        <f t="shared" si="25"/>
        <v>1</v>
      </c>
      <c r="E558" s="59">
        <v>45941</v>
      </c>
      <c r="F558" s="25">
        <f t="shared" si="26"/>
        <v>1</v>
      </c>
    </row>
    <row r="559" spans="1:6" x14ac:dyDescent="0.25">
      <c r="A559" s="59">
        <v>45848</v>
      </c>
      <c r="B559" s="14">
        <f t="shared" si="24"/>
        <v>0</v>
      </c>
      <c r="C559" s="59">
        <v>45908</v>
      </c>
      <c r="D559" s="14">
        <f t="shared" si="25"/>
        <v>0</v>
      </c>
      <c r="E559" s="59">
        <v>45942</v>
      </c>
      <c r="F559" s="25">
        <f t="shared" si="26"/>
        <v>1</v>
      </c>
    </row>
    <row r="560" spans="1:6" x14ac:dyDescent="0.25">
      <c r="A560" s="59">
        <v>45849</v>
      </c>
      <c r="B560" s="14">
        <f t="shared" si="24"/>
        <v>0</v>
      </c>
      <c r="C560" s="59">
        <v>45909</v>
      </c>
      <c r="D560" s="14">
        <f t="shared" si="25"/>
        <v>0</v>
      </c>
      <c r="E560" s="59">
        <v>45943</v>
      </c>
      <c r="F560" s="25">
        <f t="shared" si="26"/>
        <v>0</v>
      </c>
    </row>
    <row r="561" spans="1:6" x14ac:dyDescent="0.25">
      <c r="A561" s="59">
        <v>45850</v>
      </c>
      <c r="B561" s="14">
        <f t="shared" si="24"/>
        <v>1</v>
      </c>
      <c r="C561" s="59">
        <v>45910</v>
      </c>
      <c r="D561" s="14">
        <f t="shared" si="25"/>
        <v>0</v>
      </c>
      <c r="E561" s="59">
        <v>45944</v>
      </c>
      <c r="F561" s="25">
        <f t="shared" si="26"/>
        <v>0</v>
      </c>
    </row>
    <row r="562" spans="1:6" x14ac:dyDescent="0.25">
      <c r="A562" s="59">
        <v>45851</v>
      </c>
      <c r="B562" s="14">
        <f t="shared" si="24"/>
        <v>1</v>
      </c>
      <c r="C562" s="59">
        <v>45911</v>
      </c>
      <c r="D562" s="14">
        <f t="shared" si="25"/>
        <v>0</v>
      </c>
      <c r="E562" s="59">
        <v>45945</v>
      </c>
      <c r="F562" s="25">
        <f t="shared" si="26"/>
        <v>0</v>
      </c>
    </row>
    <row r="563" spans="1:6" x14ac:dyDescent="0.25">
      <c r="A563" s="59">
        <v>45852</v>
      </c>
      <c r="B563" s="14">
        <f t="shared" si="24"/>
        <v>0</v>
      </c>
      <c r="C563" s="59">
        <v>45912</v>
      </c>
      <c r="D563" s="14">
        <f t="shared" si="25"/>
        <v>0</v>
      </c>
      <c r="E563" s="59">
        <v>45946</v>
      </c>
      <c r="F563" s="25">
        <f t="shared" si="26"/>
        <v>0</v>
      </c>
    </row>
    <row r="564" spans="1:6" x14ac:dyDescent="0.25">
      <c r="A564" s="59">
        <v>45853</v>
      </c>
      <c r="B564" s="14">
        <f t="shared" si="24"/>
        <v>0</v>
      </c>
      <c r="C564" s="59">
        <v>45913</v>
      </c>
      <c r="D564" s="14">
        <f t="shared" si="25"/>
        <v>1</v>
      </c>
      <c r="E564" s="59">
        <v>45947</v>
      </c>
      <c r="F564" s="25">
        <f t="shared" si="26"/>
        <v>0</v>
      </c>
    </row>
    <row r="565" spans="1:6" x14ac:dyDescent="0.25">
      <c r="A565" s="59">
        <v>45854</v>
      </c>
      <c r="B565" s="14">
        <f t="shared" si="24"/>
        <v>0</v>
      </c>
      <c r="C565" s="59">
        <v>45914</v>
      </c>
      <c r="D565" s="14">
        <f t="shared" si="25"/>
        <v>1</v>
      </c>
      <c r="E565" s="59">
        <v>45948</v>
      </c>
      <c r="F565" s="25">
        <f t="shared" si="26"/>
        <v>1</v>
      </c>
    </row>
    <row r="566" spans="1:6" x14ac:dyDescent="0.25">
      <c r="A566" s="59">
        <v>45855</v>
      </c>
      <c r="B566" s="14">
        <f t="shared" si="24"/>
        <v>0</v>
      </c>
      <c r="C566" s="59">
        <v>45915</v>
      </c>
      <c r="D566" s="14">
        <f t="shared" si="25"/>
        <v>0</v>
      </c>
      <c r="E566" s="59">
        <v>45949</v>
      </c>
      <c r="F566" s="25">
        <f t="shared" si="26"/>
        <v>1</v>
      </c>
    </row>
    <row r="567" spans="1:6" x14ac:dyDescent="0.25">
      <c r="A567" s="59">
        <v>45856</v>
      </c>
      <c r="B567" s="14">
        <f t="shared" si="24"/>
        <v>0</v>
      </c>
      <c r="C567" s="59">
        <v>45916</v>
      </c>
      <c r="D567" s="14">
        <f t="shared" si="25"/>
        <v>0</v>
      </c>
      <c r="E567" s="59">
        <v>45950</v>
      </c>
      <c r="F567" s="25">
        <f t="shared" si="26"/>
        <v>0</v>
      </c>
    </row>
    <row r="568" spans="1:6" x14ac:dyDescent="0.25">
      <c r="A568" s="59">
        <v>45857</v>
      </c>
      <c r="B568" s="14">
        <f t="shared" si="24"/>
        <v>1</v>
      </c>
      <c r="C568" s="59">
        <v>45917</v>
      </c>
      <c r="D568" s="14">
        <f t="shared" si="25"/>
        <v>0</v>
      </c>
      <c r="E568" s="59">
        <v>45951</v>
      </c>
      <c r="F568" s="25">
        <f t="shared" si="26"/>
        <v>0</v>
      </c>
    </row>
    <row r="569" spans="1:6" x14ac:dyDescent="0.25">
      <c r="A569" s="59">
        <v>45858</v>
      </c>
      <c r="B569" s="14">
        <f t="shared" si="24"/>
        <v>1</v>
      </c>
      <c r="C569" s="59">
        <v>45918</v>
      </c>
      <c r="D569" s="14">
        <f t="shared" si="25"/>
        <v>0</v>
      </c>
      <c r="E569" s="59">
        <v>45952</v>
      </c>
      <c r="F569" s="25">
        <f t="shared" si="26"/>
        <v>0</v>
      </c>
    </row>
    <row r="570" spans="1:6" x14ac:dyDescent="0.25">
      <c r="A570" s="59">
        <v>45859</v>
      </c>
      <c r="B570" s="14">
        <f t="shared" si="24"/>
        <v>0</v>
      </c>
      <c r="C570" s="59">
        <v>45919</v>
      </c>
      <c r="D570" s="14">
        <f t="shared" si="25"/>
        <v>0</v>
      </c>
      <c r="E570" s="59">
        <v>45953</v>
      </c>
      <c r="F570" s="25">
        <f t="shared" si="26"/>
        <v>0</v>
      </c>
    </row>
    <row r="571" spans="1:6" x14ac:dyDescent="0.25">
      <c r="A571" s="59">
        <v>45860</v>
      </c>
      <c r="B571" s="14">
        <f t="shared" si="24"/>
        <v>0</v>
      </c>
      <c r="C571" s="59">
        <v>45920</v>
      </c>
      <c r="D571" s="14">
        <f t="shared" si="25"/>
        <v>1</v>
      </c>
      <c r="E571" s="59">
        <v>45954</v>
      </c>
      <c r="F571" s="25">
        <f t="shared" si="26"/>
        <v>0</v>
      </c>
    </row>
    <row r="572" spans="1:6" x14ac:dyDescent="0.25">
      <c r="A572" s="59">
        <v>45861</v>
      </c>
      <c r="B572" s="14">
        <f t="shared" si="24"/>
        <v>0</v>
      </c>
      <c r="C572" s="59">
        <v>45921</v>
      </c>
      <c r="D572" s="14">
        <f t="shared" si="25"/>
        <v>1</v>
      </c>
      <c r="E572" s="59">
        <v>45955</v>
      </c>
      <c r="F572" s="25">
        <f t="shared" si="26"/>
        <v>1</v>
      </c>
    </row>
    <row r="573" spans="1:6" x14ac:dyDescent="0.25">
      <c r="A573" s="59">
        <v>45862</v>
      </c>
      <c r="B573" s="14">
        <f t="shared" si="24"/>
        <v>0</v>
      </c>
      <c r="C573" s="59">
        <v>45922</v>
      </c>
      <c r="D573" s="14">
        <f t="shared" si="25"/>
        <v>0</v>
      </c>
      <c r="E573" s="59">
        <v>45956</v>
      </c>
      <c r="F573" s="25">
        <f t="shared" si="26"/>
        <v>1</v>
      </c>
    </row>
    <row r="574" spans="1:6" x14ac:dyDescent="0.25">
      <c r="A574" s="59">
        <v>45863</v>
      </c>
      <c r="B574" s="14">
        <f t="shared" si="24"/>
        <v>0</v>
      </c>
      <c r="C574" s="59">
        <v>45923</v>
      </c>
      <c r="D574" s="14">
        <f t="shared" si="25"/>
        <v>0</v>
      </c>
      <c r="E574" s="59">
        <v>45957</v>
      </c>
      <c r="F574" s="25">
        <f t="shared" si="26"/>
        <v>0</v>
      </c>
    </row>
    <row r="575" spans="1:6" x14ac:dyDescent="0.25">
      <c r="A575" s="59">
        <v>45864</v>
      </c>
      <c r="B575" s="14">
        <f t="shared" si="24"/>
        <v>1</v>
      </c>
      <c r="C575" s="59">
        <v>45924</v>
      </c>
      <c r="D575" s="14">
        <f t="shared" si="25"/>
        <v>0</v>
      </c>
      <c r="E575" s="59">
        <v>45958</v>
      </c>
      <c r="F575" s="25">
        <f t="shared" si="26"/>
        <v>0</v>
      </c>
    </row>
    <row r="576" spans="1:6" x14ac:dyDescent="0.25">
      <c r="A576" s="59">
        <v>45865</v>
      </c>
      <c r="B576" s="14">
        <f t="shared" si="24"/>
        <v>1</v>
      </c>
      <c r="C576" s="59">
        <v>45925</v>
      </c>
      <c r="D576" s="14">
        <f t="shared" si="25"/>
        <v>0</v>
      </c>
      <c r="E576" s="59">
        <v>45959</v>
      </c>
      <c r="F576" s="25">
        <f t="shared" si="26"/>
        <v>0</v>
      </c>
    </row>
    <row r="577" spans="1:6" x14ac:dyDescent="0.25">
      <c r="A577" s="59">
        <v>45866</v>
      </c>
      <c r="B577" s="14">
        <f t="shared" si="24"/>
        <v>0</v>
      </c>
      <c r="C577" s="59">
        <v>45926</v>
      </c>
      <c r="D577" s="14">
        <f t="shared" si="25"/>
        <v>0</v>
      </c>
      <c r="E577" s="59">
        <v>45960</v>
      </c>
      <c r="F577" s="25">
        <f t="shared" si="26"/>
        <v>0</v>
      </c>
    </row>
    <row r="578" spans="1:6" x14ac:dyDescent="0.25">
      <c r="A578" s="59">
        <v>45867</v>
      </c>
      <c r="B578" s="14">
        <f t="shared" si="24"/>
        <v>0</v>
      </c>
      <c r="C578" s="59">
        <v>45927</v>
      </c>
      <c r="D578" s="14">
        <f t="shared" si="25"/>
        <v>1</v>
      </c>
      <c r="E578" s="59">
        <v>45961</v>
      </c>
      <c r="F578" s="25">
        <f t="shared" si="26"/>
        <v>0</v>
      </c>
    </row>
    <row r="579" spans="1:6" x14ac:dyDescent="0.25">
      <c r="A579" s="59">
        <v>45868</v>
      </c>
      <c r="B579" s="14">
        <f t="shared" ref="B579:B642" si="27">1-IF(WEEKDAY(A579,2)&gt;5,0,1)</f>
        <v>0</v>
      </c>
      <c r="C579" s="59">
        <v>45928</v>
      </c>
      <c r="D579" s="14">
        <f t="shared" ref="D579:D642" si="28">1-IF(WEEKDAY(C579,2)&gt;5,0,1)</f>
        <v>1</v>
      </c>
      <c r="E579" s="59">
        <v>45962</v>
      </c>
      <c r="F579" s="25">
        <f t="shared" ref="F579:F642" si="29">1-IF(WEEKDAY(E579,2)&gt;5,0,1)</f>
        <v>1</v>
      </c>
    </row>
    <row r="580" spans="1:6" x14ac:dyDescent="0.25">
      <c r="A580" s="59">
        <v>45869</v>
      </c>
      <c r="B580" s="14">
        <f t="shared" si="27"/>
        <v>0</v>
      </c>
      <c r="C580" s="59">
        <v>45929</v>
      </c>
      <c r="D580" s="14">
        <f t="shared" si="28"/>
        <v>0</v>
      </c>
      <c r="E580" s="59">
        <v>45963</v>
      </c>
      <c r="F580" s="25">
        <f t="shared" si="29"/>
        <v>1</v>
      </c>
    </row>
    <row r="581" spans="1:6" x14ac:dyDescent="0.25">
      <c r="A581" s="59">
        <v>45870</v>
      </c>
      <c r="B581" s="14">
        <f t="shared" si="27"/>
        <v>0</v>
      </c>
      <c r="C581" s="59">
        <v>45930</v>
      </c>
      <c r="D581" s="14">
        <f t="shared" si="28"/>
        <v>0</v>
      </c>
      <c r="E581" s="59">
        <v>45964</v>
      </c>
      <c r="F581" s="25">
        <f t="shared" si="29"/>
        <v>0</v>
      </c>
    </row>
    <row r="582" spans="1:6" x14ac:dyDescent="0.25">
      <c r="A582" s="59">
        <v>45871</v>
      </c>
      <c r="B582" s="14">
        <f t="shared" si="27"/>
        <v>1</v>
      </c>
      <c r="C582" s="59">
        <v>45931</v>
      </c>
      <c r="D582" s="14">
        <f t="shared" si="28"/>
        <v>0</v>
      </c>
      <c r="E582" s="59">
        <v>45965</v>
      </c>
      <c r="F582" s="25">
        <f t="shared" si="29"/>
        <v>0</v>
      </c>
    </row>
    <row r="583" spans="1:6" x14ac:dyDescent="0.25">
      <c r="A583" s="59">
        <v>45872</v>
      </c>
      <c r="B583" s="14">
        <f t="shared" si="27"/>
        <v>1</v>
      </c>
      <c r="C583" s="59">
        <v>45932</v>
      </c>
      <c r="D583" s="14">
        <f t="shared" si="28"/>
        <v>0</v>
      </c>
      <c r="E583" s="59">
        <v>45966</v>
      </c>
      <c r="F583" s="25">
        <f t="shared" si="29"/>
        <v>0</v>
      </c>
    </row>
    <row r="584" spans="1:6" x14ac:dyDescent="0.25">
      <c r="A584" s="59">
        <v>45873</v>
      </c>
      <c r="B584" s="14">
        <f t="shared" si="27"/>
        <v>0</v>
      </c>
      <c r="C584" s="59">
        <v>45933</v>
      </c>
      <c r="D584" s="14">
        <f t="shared" si="28"/>
        <v>0</v>
      </c>
      <c r="E584" s="59">
        <v>45967</v>
      </c>
      <c r="F584" s="25">
        <f t="shared" si="29"/>
        <v>0</v>
      </c>
    </row>
    <row r="585" spans="1:6" x14ac:dyDescent="0.25">
      <c r="A585" s="59">
        <v>45874</v>
      </c>
      <c r="B585" s="14">
        <f t="shared" si="27"/>
        <v>0</v>
      </c>
      <c r="C585" s="59">
        <v>45934</v>
      </c>
      <c r="D585" s="14">
        <f t="shared" si="28"/>
        <v>1</v>
      </c>
      <c r="E585" s="59">
        <v>45968</v>
      </c>
      <c r="F585" s="25">
        <f t="shared" si="29"/>
        <v>0</v>
      </c>
    </row>
    <row r="586" spans="1:6" x14ac:dyDescent="0.25">
      <c r="A586" s="59">
        <v>45875</v>
      </c>
      <c r="B586" s="14">
        <f t="shared" si="27"/>
        <v>0</v>
      </c>
      <c r="C586" s="59">
        <v>45935</v>
      </c>
      <c r="D586" s="14">
        <f t="shared" si="28"/>
        <v>1</v>
      </c>
      <c r="E586" s="59">
        <v>45969</v>
      </c>
      <c r="F586" s="25">
        <f t="shared" si="29"/>
        <v>1</v>
      </c>
    </row>
    <row r="587" spans="1:6" x14ac:dyDescent="0.25">
      <c r="A587" s="59">
        <v>45876</v>
      </c>
      <c r="B587" s="14">
        <f t="shared" si="27"/>
        <v>0</v>
      </c>
      <c r="C587" s="59">
        <v>45936</v>
      </c>
      <c r="D587" s="14">
        <f t="shared" si="28"/>
        <v>0</v>
      </c>
      <c r="E587" s="59">
        <v>45970</v>
      </c>
      <c r="F587" s="25">
        <f t="shared" si="29"/>
        <v>1</v>
      </c>
    </row>
    <row r="588" spans="1:6" x14ac:dyDescent="0.25">
      <c r="A588" s="59">
        <v>45877</v>
      </c>
      <c r="B588" s="14">
        <f t="shared" si="27"/>
        <v>0</v>
      </c>
      <c r="C588" s="59">
        <v>45937</v>
      </c>
      <c r="D588" s="14">
        <f t="shared" si="28"/>
        <v>0</v>
      </c>
      <c r="E588" s="59">
        <v>45971</v>
      </c>
      <c r="F588" s="25">
        <f t="shared" si="29"/>
        <v>0</v>
      </c>
    </row>
    <row r="589" spans="1:6" x14ac:dyDescent="0.25">
      <c r="A589" s="59">
        <v>45878</v>
      </c>
      <c r="B589" s="14">
        <f t="shared" si="27"/>
        <v>1</v>
      </c>
      <c r="C589" s="59">
        <v>45938</v>
      </c>
      <c r="D589" s="14">
        <f t="shared" si="28"/>
        <v>0</v>
      </c>
      <c r="E589" s="59">
        <v>45972</v>
      </c>
      <c r="F589" s="25">
        <f t="shared" si="29"/>
        <v>0</v>
      </c>
    </row>
    <row r="590" spans="1:6" x14ac:dyDescent="0.25">
      <c r="A590" s="59">
        <v>45879</v>
      </c>
      <c r="B590" s="14">
        <f t="shared" si="27"/>
        <v>1</v>
      </c>
      <c r="C590" s="59">
        <v>45939</v>
      </c>
      <c r="D590" s="14">
        <f t="shared" si="28"/>
        <v>0</v>
      </c>
      <c r="E590" s="59">
        <v>45973</v>
      </c>
      <c r="F590" s="25">
        <f t="shared" si="29"/>
        <v>0</v>
      </c>
    </row>
    <row r="591" spans="1:6" x14ac:dyDescent="0.25">
      <c r="A591" s="59">
        <v>45880</v>
      </c>
      <c r="B591" s="14">
        <f t="shared" si="27"/>
        <v>0</v>
      </c>
      <c r="C591" s="59">
        <v>45940</v>
      </c>
      <c r="D591" s="14">
        <f t="shared" si="28"/>
        <v>0</v>
      </c>
      <c r="E591" s="59">
        <v>45974</v>
      </c>
      <c r="F591" s="25">
        <f t="shared" si="29"/>
        <v>0</v>
      </c>
    </row>
    <row r="592" spans="1:6" x14ac:dyDescent="0.25">
      <c r="A592" s="59">
        <v>45881</v>
      </c>
      <c r="B592" s="14">
        <f t="shared" si="27"/>
        <v>0</v>
      </c>
      <c r="C592" s="59">
        <v>45941</v>
      </c>
      <c r="D592" s="14">
        <f t="shared" si="28"/>
        <v>1</v>
      </c>
      <c r="E592" s="59">
        <v>45975</v>
      </c>
      <c r="F592" s="25">
        <f t="shared" si="29"/>
        <v>0</v>
      </c>
    </row>
    <row r="593" spans="1:6" x14ac:dyDescent="0.25">
      <c r="A593" s="59">
        <v>45882</v>
      </c>
      <c r="B593" s="14">
        <f t="shared" si="27"/>
        <v>0</v>
      </c>
      <c r="C593" s="59">
        <v>45942</v>
      </c>
      <c r="D593" s="14">
        <f t="shared" si="28"/>
        <v>1</v>
      </c>
      <c r="E593" s="59">
        <v>45976</v>
      </c>
      <c r="F593" s="25">
        <f t="shared" si="29"/>
        <v>1</v>
      </c>
    </row>
    <row r="594" spans="1:6" x14ac:dyDescent="0.25">
      <c r="A594" s="59">
        <v>45883</v>
      </c>
      <c r="B594" s="14">
        <f t="shared" si="27"/>
        <v>0</v>
      </c>
      <c r="C594" s="59">
        <v>45943</v>
      </c>
      <c r="D594" s="14">
        <f t="shared" si="28"/>
        <v>0</v>
      </c>
      <c r="E594" s="59">
        <v>45977</v>
      </c>
      <c r="F594" s="25">
        <f t="shared" si="29"/>
        <v>1</v>
      </c>
    </row>
    <row r="595" spans="1:6" x14ac:dyDescent="0.25">
      <c r="A595" s="59">
        <v>45884</v>
      </c>
      <c r="B595" s="14">
        <f t="shared" si="27"/>
        <v>0</v>
      </c>
      <c r="C595" s="59">
        <v>45944</v>
      </c>
      <c r="D595" s="14">
        <f t="shared" si="28"/>
        <v>0</v>
      </c>
      <c r="E595" s="59">
        <v>45978</v>
      </c>
      <c r="F595" s="25">
        <f t="shared" si="29"/>
        <v>0</v>
      </c>
    </row>
    <row r="596" spans="1:6" x14ac:dyDescent="0.25">
      <c r="A596" s="59">
        <v>45885</v>
      </c>
      <c r="B596" s="14">
        <f t="shared" si="27"/>
        <v>1</v>
      </c>
      <c r="C596" s="59">
        <v>45945</v>
      </c>
      <c r="D596" s="14">
        <f t="shared" si="28"/>
        <v>0</v>
      </c>
      <c r="E596" s="59">
        <v>45979</v>
      </c>
      <c r="F596" s="25">
        <f t="shared" si="29"/>
        <v>0</v>
      </c>
    </row>
    <row r="597" spans="1:6" x14ac:dyDescent="0.25">
      <c r="A597" s="59">
        <v>45886</v>
      </c>
      <c r="B597" s="14">
        <f t="shared" si="27"/>
        <v>1</v>
      </c>
      <c r="C597" s="59">
        <v>45946</v>
      </c>
      <c r="D597" s="14">
        <f t="shared" si="28"/>
        <v>0</v>
      </c>
      <c r="E597" s="59">
        <v>45980</v>
      </c>
      <c r="F597" s="25">
        <f t="shared" si="29"/>
        <v>0</v>
      </c>
    </row>
    <row r="598" spans="1:6" x14ac:dyDescent="0.25">
      <c r="A598" s="59">
        <v>45887</v>
      </c>
      <c r="B598" s="14">
        <f t="shared" si="27"/>
        <v>0</v>
      </c>
      <c r="C598" s="59">
        <v>45947</v>
      </c>
      <c r="D598" s="14">
        <f t="shared" si="28"/>
        <v>0</v>
      </c>
      <c r="E598" s="59">
        <v>45981</v>
      </c>
      <c r="F598" s="25">
        <f t="shared" si="29"/>
        <v>0</v>
      </c>
    </row>
    <row r="599" spans="1:6" x14ac:dyDescent="0.25">
      <c r="A599" s="59">
        <v>45888</v>
      </c>
      <c r="B599" s="14">
        <f t="shared" si="27"/>
        <v>0</v>
      </c>
      <c r="C599" s="59">
        <v>45948</v>
      </c>
      <c r="D599" s="14">
        <f t="shared" si="28"/>
        <v>1</v>
      </c>
      <c r="E599" s="59">
        <v>45982</v>
      </c>
      <c r="F599" s="25">
        <f t="shared" si="29"/>
        <v>0</v>
      </c>
    </row>
    <row r="600" spans="1:6" x14ac:dyDescent="0.25">
      <c r="A600" s="59">
        <v>45889</v>
      </c>
      <c r="B600" s="14">
        <f t="shared" si="27"/>
        <v>0</v>
      </c>
      <c r="C600" s="59">
        <v>45949</v>
      </c>
      <c r="D600" s="14">
        <f t="shared" si="28"/>
        <v>1</v>
      </c>
      <c r="E600" s="59">
        <v>45983</v>
      </c>
      <c r="F600" s="25">
        <f t="shared" si="29"/>
        <v>1</v>
      </c>
    </row>
    <row r="601" spans="1:6" x14ac:dyDescent="0.25">
      <c r="A601" s="59">
        <v>45890</v>
      </c>
      <c r="B601" s="14">
        <f t="shared" si="27"/>
        <v>0</v>
      </c>
      <c r="C601" s="59">
        <v>45950</v>
      </c>
      <c r="D601" s="14">
        <f t="shared" si="28"/>
        <v>0</v>
      </c>
      <c r="E601" s="59">
        <v>45984</v>
      </c>
      <c r="F601" s="25">
        <f t="shared" si="29"/>
        <v>1</v>
      </c>
    </row>
    <row r="602" spans="1:6" x14ac:dyDescent="0.25">
      <c r="A602" s="59">
        <v>45891</v>
      </c>
      <c r="B602" s="14">
        <f t="shared" si="27"/>
        <v>0</v>
      </c>
      <c r="C602" s="59">
        <v>45951</v>
      </c>
      <c r="D602" s="14">
        <f t="shared" si="28"/>
        <v>0</v>
      </c>
      <c r="E602" s="59">
        <v>45985</v>
      </c>
      <c r="F602" s="25">
        <f t="shared" si="29"/>
        <v>0</v>
      </c>
    </row>
    <row r="603" spans="1:6" x14ac:dyDescent="0.25">
      <c r="A603" s="59">
        <v>45892</v>
      </c>
      <c r="B603" s="14">
        <f t="shared" si="27"/>
        <v>1</v>
      </c>
      <c r="C603" s="59">
        <v>45952</v>
      </c>
      <c r="D603" s="14">
        <f t="shared" si="28"/>
        <v>0</v>
      </c>
      <c r="E603" s="59">
        <v>45986</v>
      </c>
      <c r="F603" s="25">
        <f t="shared" si="29"/>
        <v>0</v>
      </c>
    </row>
    <row r="604" spans="1:6" x14ac:dyDescent="0.25">
      <c r="A604" s="59">
        <v>45893</v>
      </c>
      <c r="B604" s="14">
        <f t="shared" si="27"/>
        <v>1</v>
      </c>
      <c r="C604" s="59">
        <v>45953</v>
      </c>
      <c r="D604" s="14">
        <f t="shared" si="28"/>
        <v>0</v>
      </c>
      <c r="E604" s="59">
        <v>45987</v>
      </c>
      <c r="F604" s="25">
        <f t="shared" si="29"/>
        <v>0</v>
      </c>
    </row>
    <row r="605" spans="1:6" x14ac:dyDescent="0.25">
      <c r="A605" s="59">
        <v>45894</v>
      </c>
      <c r="B605" s="14">
        <f t="shared" si="27"/>
        <v>0</v>
      </c>
      <c r="C605" s="59">
        <v>45954</v>
      </c>
      <c r="D605" s="14">
        <f t="shared" si="28"/>
        <v>0</v>
      </c>
      <c r="E605" s="59">
        <v>45988</v>
      </c>
      <c r="F605" s="25">
        <f t="shared" si="29"/>
        <v>0</v>
      </c>
    </row>
    <row r="606" spans="1:6" x14ac:dyDescent="0.25">
      <c r="A606" s="59">
        <v>45895</v>
      </c>
      <c r="B606" s="14">
        <f t="shared" si="27"/>
        <v>0</v>
      </c>
      <c r="C606" s="59">
        <v>45955</v>
      </c>
      <c r="D606" s="14">
        <f t="shared" si="28"/>
        <v>1</v>
      </c>
      <c r="E606" s="59">
        <v>45989</v>
      </c>
      <c r="F606" s="25">
        <f t="shared" si="29"/>
        <v>0</v>
      </c>
    </row>
    <row r="607" spans="1:6" x14ac:dyDescent="0.25">
      <c r="A607" s="59">
        <v>45896</v>
      </c>
      <c r="B607" s="14">
        <f t="shared" si="27"/>
        <v>0</v>
      </c>
      <c r="C607" s="59">
        <v>45956</v>
      </c>
      <c r="D607" s="14">
        <f t="shared" si="28"/>
        <v>1</v>
      </c>
      <c r="E607" s="59">
        <v>45990</v>
      </c>
      <c r="F607" s="25">
        <f t="shared" si="29"/>
        <v>1</v>
      </c>
    </row>
    <row r="608" spans="1:6" x14ac:dyDescent="0.25">
      <c r="A608" s="59">
        <v>45897</v>
      </c>
      <c r="B608" s="14">
        <f t="shared" si="27"/>
        <v>0</v>
      </c>
      <c r="C608" s="59">
        <v>45957</v>
      </c>
      <c r="D608" s="14">
        <f t="shared" si="28"/>
        <v>0</v>
      </c>
      <c r="E608" s="59">
        <v>45991</v>
      </c>
      <c r="F608" s="25">
        <f t="shared" si="29"/>
        <v>1</v>
      </c>
    </row>
    <row r="609" spans="1:6" x14ac:dyDescent="0.25">
      <c r="A609" s="59">
        <v>45898</v>
      </c>
      <c r="B609" s="14">
        <f t="shared" si="27"/>
        <v>0</v>
      </c>
      <c r="C609" s="59">
        <v>45958</v>
      </c>
      <c r="D609" s="14">
        <f t="shared" si="28"/>
        <v>0</v>
      </c>
      <c r="E609" s="59">
        <v>45992</v>
      </c>
      <c r="F609" s="25">
        <f t="shared" si="29"/>
        <v>0</v>
      </c>
    </row>
    <row r="610" spans="1:6" x14ac:dyDescent="0.25">
      <c r="A610" s="59">
        <v>45899</v>
      </c>
      <c r="B610" s="14">
        <f t="shared" si="27"/>
        <v>1</v>
      </c>
      <c r="C610" s="59">
        <v>45959</v>
      </c>
      <c r="D610" s="14">
        <f t="shared" si="28"/>
        <v>0</v>
      </c>
      <c r="E610" s="59">
        <v>45993</v>
      </c>
      <c r="F610" s="25">
        <f t="shared" si="29"/>
        <v>0</v>
      </c>
    </row>
    <row r="611" spans="1:6" x14ac:dyDescent="0.25">
      <c r="A611" s="59">
        <v>45900</v>
      </c>
      <c r="B611" s="14">
        <f t="shared" si="27"/>
        <v>1</v>
      </c>
      <c r="C611" s="59">
        <v>45960</v>
      </c>
      <c r="D611" s="14">
        <f t="shared" si="28"/>
        <v>0</v>
      </c>
      <c r="E611" s="59">
        <v>45994</v>
      </c>
      <c r="F611" s="25">
        <f t="shared" si="29"/>
        <v>0</v>
      </c>
    </row>
    <row r="612" spans="1:6" x14ac:dyDescent="0.25">
      <c r="A612" s="59">
        <v>45901</v>
      </c>
      <c r="B612" s="14">
        <f t="shared" si="27"/>
        <v>0</v>
      </c>
      <c r="C612" s="59">
        <v>45961</v>
      </c>
      <c r="D612" s="14">
        <f t="shared" si="28"/>
        <v>0</v>
      </c>
      <c r="E612" s="59">
        <v>45995</v>
      </c>
      <c r="F612" s="25">
        <f t="shared" si="29"/>
        <v>0</v>
      </c>
    </row>
    <row r="613" spans="1:6" x14ac:dyDescent="0.25">
      <c r="A613" s="59">
        <v>45902</v>
      </c>
      <c r="B613" s="14">
        <f t="shared" si="27"/>
        <v>0</v>
      </c>
      <c r="C613" s="59">
        <v>45962</v>
      </c>
      <c r="D613" s="14">
        <f t="shared" si="28"/>
        <v>1</v>
      </c>
      <c r="E613" s="59">
        <v>45996</v>
      </c>
      <c r="F613" s="25">
        <f t="shared" si="29"/>
        <v>0</v>
      </c>
    </row>
    <row r="614" spans="1:6" x14ac:dyDescent="0.25">
      <c r="A614" s="59">
        <v>45903</v>
      </c>
      <c r="B614" s="14">
        <f t="shared" si="27"/>
        <v>0</v>
      </c>
      <c r="C614" s="59">
        <v>45963</v>
      </c>
      <c r="D614" s="14">
        <f t="shared" si="28"/>
        <v>1</v>
      </c>
      <c r="E614" s="59">
        <v>45997</v>
      </c>
      <c r="F614" s="25">
        <f t="shared" si="29"/>
        <v>1</v>
      </c>
    </row>
    <row r="615" spans="1:6" x14ac:dyDescent="0.25">
      <c r="A615" s="59">
        <v>45904</v>
      </c>
      <c r="B615" s="14">
        <f t="shared" si="27"/>
        <v>0</v>
      </c>
      <c r="C615" s="59">
        <v>45964</v>
      </c>
      <c r="D615" s="14">
        <f t="shared" si="28"/>
        <v>0</v>
      </c>
      <c r="E615" s="59">
        <v>45998</v>
      </c>
      <c r="F615" s="25">
        <f t="shared" si="29"/>
        <v>1</v>
      </c>
    </row>
    <row r="616" spans="1:6" x14ac:dyDescent="0.25">
      <c r="A616" s="59">
        <v>45905</v>
      </c>
      <c r="B616" s="14">
        <f t="shared" si="27"/>
        <v>0</v>
      </c>
      <c r="C616" s="59">
        <v>45965</v>
      </c>
      <c r="D616" s="14">
        <f t="shared" si="28"/>
        <v>0</v>
      </c>
      <c r="E616" s="59">
        <v>45999</v>
      </c>
      <c r="F616" s="25">
        <f t="shared" si="29"/>
        <v>0</v>
      </c>
    </row>
    <row r="617" spans="1:6" x14ac:dyDescent="0.25">
      <c r="A617" s="59">
        <v>45906</v>
      </c>
      <c r="B617" s="14">
        <f t="shared" si="27"/>
        <v>1</v>
      </c>
      <c r="C617" s="59">
        <v>45966</v>
      </c>
      <c r="D617" s="14">
        <f t="shared" si="28"/>
        <v>0</v>
      </c>
      <c r="E617" s="59">
        <v>46000</v>
      </c>
      <c r="F617" s="25">
        <f t="shared" si="29"/>
        <v>0</v>
      </c>
    </row>
    <row r="618" spans="1:6" x14ac:dyDescent="0.25">
      <c r="A618" s="59">
        <v>45907</v>
      </c>
      <c r="B618" s="14">
        <f t="shared" si="27"/>
        <v>1</v>
      </c>
      <c r="C618" s="59">
        <v>45967</v>
      </c>
      <c r="D618" s="14">
        <f t="shared" si="28"/>
        <v>0</v>
      </c>
      <c r="E618" s="59">
        <v>46001</v>
      </c>
      <c r="F618" s="25">
        <f t="shared" si="29"/>
        <v>0</v>
      </c>
    </row>
    <row r="619" spans="1:6" x14ac:dyDescent="0.25">
      <c r="A619" s="59">
        <v>45908</v>
      </c>
      <c r="B619" s="14">
        <f t="shared" si="27"/>
        <v>0</v>
      </c>
      <c r="C619" s="59">
        <v>45968</v>
      </c>
      <c r="D619" s="14">
        <f t="shared" si="28"/>
        <v>0</v>
      </c>
      <c r="E619" s="59">
        <v>46002</v>
      </c>
      <c r="F619" s="25">
        <f t="shared" si="29"/>
        <v>0</v>
      </c>
    </row>
    <row r="620" spans="1:6" x14ac:dyDescent="0.25">
      <c r="A620" s="59">
        <v>45909</v>
      </c>
      <c r="B620" s="14">
        <f t="shared" si="27"/>
        <v>0</v>
      </c>
      <c r="C620" s="59">
        <v>45969</v>
      </c>
      <c r="D620" s="14">
        <f t="shared" si="28"/>
        <v>1</v>
      </c>
      <c r="E620" s="59">
        <v>46003</v>
      </c>
      <c r="F620" s="25">
        <f t="shared" si="29"/>
        <v>0</v>
      </c>
    </row>
    <row r="621" spans="1:6" x14ac:dyDescent="0.25">
      <c r="A621" s="59">
        <v>45910</v>
      </c>
      <c r="B621" s="14">
        <f t="shared" si="27"/>
        <v>0</v>
      </c>
      <c r="C621" s="59">
        <v>45970</v>
      </c>
      <c r="D621" s="14">
        <f t="shared" si="28"/>
        <v>1</v>
      </c>
      <c r="E621" s="59">
        <v>46004</v>
      </c>
      <c r="F621" s="25">
        <f t="shared" si="29"/>
        <v>1</v>
      </c>
    </row>
    <row r="622" spans="1:6" x14ac:dyDescent="0.25">
      <c r="A622" s="59">
        <v>45911</v>
      </c>
      <c r="B622" s="14">
        <f t="shared" si="27"/>
        <v>0</v>
      </c>
      <c r="C622" s="59">
        <v>45971</v>
      </c>
      <c r="D622" s="14">
        <f t="shared" si="28"/>
        <v>0</v>
      </c>
      <c r="E622" s="59">
        <v>46005</v>
      </c>
      <c r="F622" s="25">
        <f t="shared" si="29"/>
        <v>1</v>
      </c>
    </row>
    <row r="623" spans="1:6" x14ac:dyDescent="0.25">
      <c r="A623" s="59">
        <v>45912</v>
      </c>
      <c r="B623" s="14">
        <f t="shared" si="27"/>
        <v>0</v>
      </c>
      <c r="C623" s="59">
        <v>45972</v>
      </c>
      <c r="D623" s="14">
        <f t="shared" si="28"/>
        <v>0</v>
      </c>
      <c r="E623" s="59">
        <v>46006</v>
      </c>
      <c r="F623" s="25">
        <f t="shared" si="29"/>
        <v>0</v>
      </c>
    </row>
    <row r="624" spans="1:6" x14ac:dyDescent="0.25">
      <c r="A624" s="59">
        <v>45913</v>
      </c>
      <c r="B624" s="14">
        <f t="shared" si="27"/>
        <v>1</v>
      </c>
      <c r="C624" s="59">
        <v>45973</v>
      </c>
      <c r="D624" s="14">
        <f t="shared" si="28"/>
        <v>0</v>
      </c>
      <c r="E624" s="59">
        <v>46007</v>
      </c>
      <c r="F624" s="25">
        <f t="shared" si="29"/>
        <v>0</v>
      </c>
    </row>
    <row r="625" spans="1:6" x14ac:dyDescent="0.25">
      <c r="A625" s="59">
        <v>45914</v>
      </c>
      <c r="B625" s="14">
        <f t="shared" si="27"/>
        <v>1</v>
      </c>
      <c r="C625" s="59">
        <v>45974</v>
      </c>
      <c r="D625" s="14">
        <f t="shared" si="28"/>
        <v>0</v>
      </c>
      <c r="E625" s="59">
        <v>46008</v>
      </c>
      <c r="F625" s="25">
        <f t="shared" si="29"/>
        <v>0</v>
      </c>
    </row>
    <row r="626" spans="1:6" x14ac:dyDescent="0.25">
      <c r="A626" s="59">
        <v>45915</v>
      </c>
      <c r="B626" s="14">
        <f t="shared" si="27"/>
        <v>0</v>
      </c>
      <c r="C626" s="59">
        <v>45975</v>
      </c>
      <c r="D626" s="14">
        <f t="shared" si="28"/>
        <v>0</v>
      </c>
      <c r="E626" s="59">
        <v>46009</v>
      </c>
      <c r="F626" s="25">
        <f t="shared" si="29"/>
        <v>0</v>
      </c>
    </row>
    <row r="627" spans="1:6" x14ac:dyDescent="0.25">
      <c r="A627" s="59">
        <v>45916</v>
      </c>
      <c r="B627" s="14">
        <f t="shared" si="27"/>
        <v>0</v>
      </c>
      <c r="C627" s="59">
        <v>45976</v>
      </c>
      <c r="D627" s="14">
        <f t="shared" si="28"/>
        <v>1</v>
      </c>
      <c r="E627" s="59">
        <v>46010</v>
      </c>
      <c r="F627" s="25">
        <f t="shared" si="29"/>
        <v>0</v>
      </c>
    </row>
    <row r="628" spans="1:6" x14ac:dyDescent="0.25">
      <c r="A628" s="59">
        <v>45917</v>
      </c>
      <c r="B628" s="14">
        <f t="shared" si="27"/>
        <v>0</v>
      </c>
      <c r="C628" s="59">
        <v>45977</v>
      </c>
      <c r="D628" s="14">
        <f t="shared" si="28"/>
        <v>1</v>
      </c>
      <c r="E628" s="59">
        <v>46011</v>
      </c>
      <c r="F628" s="25">
        <f t="shared" si="29"/>
        <v>1</v>
      </c>
    </row>
    <row r="629" spans="1:6" x14ac:dyDescent="0.25">
      <c r="A629" s="59">
        <v>45918</v>
      </c>
      <c r="B629" s="14">
        <f t="shared" si="27"/>
        <v>0</v>
      </c>
      <c r="C629" s="59">
        <v>45978</v>
      </c>
      <c r="D629" s="14">
        <f t="shared" si="28"/>
        <v>0</v>
      </c>
      <c r="E629" s="59">
        <v>46012</v>
      </c>
      <c r="F629" s="25">
        <f t="shared" si="29"/>
        <v>1</v>
      </c>
    </row>
    <row r="630" spans="1:6" x14ac:dyDescent="0.25">
      <c r="A630" s="59">
        <v>45919</v>
      </c>
      <c r="B630" s="14">
        <f t="shared" si="27"/>
        <v>0</v>
      </c>
      <c r="C630" s="59">
        <v>45979</v>
      </c>
      <c r="D630" s="14">
        <f t="shared" si="28"/>
        <v>0</v>
      </c>
      <c r="E630" s="59">
        <v>46013</v>
      </c>
      <c r="F630" s="25">
        <f t="shared" si="29"/>
        <v>0</v>
      </c>
    </row>
    <row r="631" spans="1:6" x14ac:dyDescent="0.25">
      <c r="A631" s="59">
        <v>45920</v>
      </c>
      <c r="B631" s="14">
        <f t="shared" si="27"/>
        <v>1</v>
      </c>
      <c r="C631" s="59">
        <v>45980</v>
      </c>
      <c r="D631" s="14">
        <f t="shared" si="28"/>
        <v>0</v>
      </c>
      <c r="E631" s="59">
        <v>46014</v>
      </c>
      <c r="F631" s="25">
        <f t="shared" si="29"/>
        <v>0</v>
      </c>
    </row>
    <row r="632" spans="1:6" x14ac:dyDescent="0.25">
      <c r="A632" s="59">
        <v>45921</v>
      </c>
      <c r="B632" s="14">
        <f t="shared" si="27"/>
        <v>1</v>
      </c>
      <c r="C632" s="59">
        <v>45981</v>
      </c>
      <c r="D632" s="14">
        <f t="shared" si="28"/>
        <v>0</v>
      </c>
      <c r="E632" s="59">
        <v>46015</v>
      </c>
      <c r="F632" s="25">
        <f t="shared" si="29"/>
        <v>0</v>
      </c>
    </row>
    <row r="633" spans="1:6" x14ac:dyDescent="0.25">
      <c r="A633" s="59">
        <v>45922</v>
      </c>
      <c r="B633" s="14">
        <f t="shared" si="27"/>
        <v>0</v>
      </c>
      <c r="C633" s="59">
        <v>45982</v>
      </c>
      <c r="D633" s="14">
        <f t="shared" si="28"/>
        <v>0</v>
      </c>
      <c r="E633" s="59">
        <v>46016</v>
      </c>
      <c r="F633" s="25">
        <f t="shared" si="29"/>
        <v>0</v>
      </c>
    </row>
    <row r="634" spans="1:6" x14ac:dyDescent="0.25">
      <c r="A634" s="59">
        <v>45923</v>
      </c>
      <c r="B634" s="14">
        <f t="shared" si="27"/>
        <v>0</v>
      </c>
      <c r="C634" s="59">
        <v>45983</v>
      </c>
      <c r="D634" s="14">
        <f t="shared" si="28"/>
        <v>1</v>
      </c>
      <c r="E634" s="59">
        <v>46017</v>
      </c>
      <c r="F634" s="25">
        <f t="shared" si="29"/>
        <v>0</v>
      </c>
    </row>
    <row r="635" spans="1:6" x14ac:dyDescent="0.25">
      <c r="A635" s="59">
        <v>45924</v>
      </c>
      <c r="B635" s="14">
        <f t="shared" si="27"/>
        <v>0</v>
      </c>
      <c r="C635" s="59">
        <v>45984</v>
      </c>
      <c r="D635" s="14">
        <f t="shared" si="28"/>
        <v>1</v>
      </c>
      <c r="E635" s="59">
        <v>46018</v>
      </c>
      <c r="F635" s="25">
        <f t="shared" si="29"/>
        <v>1</v>
      </c>
    </row>
    <row r="636" spans="1:6" x14ac:dyDescent="0.25">
      <c r="A636" s="59">
        <v>45925</v>
      </c>
      <c r="B636" s="14">
        <f t="shared" si="27"/>
        <v>0</v>
      </c>
      <c r="C636" s="59">
        <v>45985</v>
      </c>
      <c r="D636" s="14">
        <f t="shared" si="28"/>
        <v>0</v>
      </c>
      <c r="E636" s="59">
        <v>46019</v>
      </c>
      <c r="F636" s="25">
        <f t="shared" si="29"/>
        <v>1</v>
      </c>
    </row>
    <row r="637" spans="1:6" x14ac:dyDescent="0.25">
      <c r="A637" s="59">
        <v>45926</v>
      </c>
      <c r="B637" s="14">
        <f t="shared" si="27"/>
        <v>0</v>
      </c>
      <c r="C637" s="59">
        <v>45986</v>
      </c>
      <c r="D637" s="14">
        <f t="shared" si="28"/>
        <v>0</v>
      </c>
      <c r="E637" s="59">
        <v>46020</v>
      </c>
      <c r="F637" s="25">
        <f t="shared" si="29"/>
        <v>0</v>
      </c>
    </row>
    <row r="638" spans="1:6" x14ac:dyDescent="0.25">
      <c r="A638" s="59">
        <v>45927</v>
      </c>
      <c r="B638" s="14">
        <f t="shared" si="27"/>
        <v>1</v>
      </c>
      <c r="C638" s="59">
        <v>45987</v>
      </c>
      <c r="D638" s="14">
        <f t="shared" si="28"/>
        <v>0</v>
      </c>
      <c r="E638" s="59">
        <v>46021</v>
      </c>
      <c r="F638" s="25">
        <f t="shared" si="29"/>
        <v>0</v>
      </c>
    </row>
    <row r="639" spans="1:6" x14ac:dyDescent="0.25">
      <c r="A639" s="59">
        <v>45928</v>
      </c>
      <c r="B639" s="14">
        <f t="shared" si="27"/>
        <v>1</v>
      </c>
      <c r="C639" s="59">
        <v>45988</v>
      </c>
      <c r="D639" s="14">
        <f t="shared" si="28"/>
        <v>0</v>
      </c>
      <c r="E639" s="59">
        <v>46022</v>
      </c>
      <c r="F639" s="25">
        <f t="shared" si="29"/>
        <v>0</v>
      </c>
    </row>
    <row r="640" spans="1:6" x14ac:dyDescent="0.25">
      <c r="A640" s="59">
        <v>45929</v>
      </c>
      <c r="B640" s="14">
        <f t="shared" si="27"/>
        <v>0</v>
      </c>
      <c r="C640" s="59">
        <v>45989</v>
      </c>
      <c r="D640" s="14">
        <f t="shared" si="28"/>
        <v>0</v>
      </c>
      <c r="E640" s="59">
        <v>46023</v>
      </c>
      <c r="F640" s="25">
        <f t="shared" si="29"/>
        <v>0</v>
      </c>
    </row>
    <row r="641" spans="1:6" x14ac:dyDescent="0.25">
      <c r="A641" s="59">
        <v>45930</v>
      </c>
      <c r="B641" s="14">
        <f t="shared" si="27"/>
        <v>0</v>
      </c>
      <c r="C641" s="59">
        <v>45990</v>
      </c>
      <c r="D641" s="14">
        <f t="shared" si="28"/>
        <v>1</v>
      </c>
      <c r="E641" s="59">
        <v>46024</v>
      </c>
      <c r="F641" s="25">
        <f t="shared" si="29"/>
        <v>0</v>
      </c>
    </row>
    <row r="642" spans="1:6" x14ac:dyDescent="0.25">
      <c r="A642" s="59">
        <v>45931</v>
      </c>
      <c r="B642" s="14">
        <f t="shared" si="27"/>
        <v>0</v>
      </c>
      <c r="C642" s="59">
        <v>45991</v>
      </c>
      <c r="D642" s="14">
        <f t="shared" si="28"/>
        <v>1</v>
      </c>
      <c r="E642" s="59">
        <v>46025</v>
      </c>
      <c r="F642" s="25">
        <f t="shared" si="29"/>
        <v>1</v>
      </c>
    </row>
    <row r="643" spans="1:6" x14ac:dyDescent="0.25">
      <c r="A643" s="59">
        <v>45932</v>
      </c>
      <c r="B643" s="14">
        <f t="shared" ref="B643:B706" si="30">1-IF(WEEKDAY(A643,2)&gt;5,0,1)</f>
        <v>0</v>
      </c>
      <c r="C643" s="59">
        <v>45992</v>
      </c>
      <c r="D643" s="14">
        <f t="shared" ref="D643:D706" si="31">1-IF(WEEKDAY(C643,2)&gt;5,0,1)</f>
        <v>0</v>
      </c>
      <c r="E643" s="59">
        <v>46026</v>
      </c>
      <c r="F643" s="25">
        <f t="shared" ref="F643:F706" si="32">1-IF(WEEKDAY(E643,2)&gt;5,0,1)</f>
        <v>1</v>
      </c>
    </row>
    <row r="644" spans="1:6" x14ac:dyDescent="0.25">
      <c r="A644" s="59">
        <v>45933</v>
      </c>
      <c r="B644" s="14">
        <f t="shared" si="30"/>
        <v>0</v>
      </c>
      <c r="C644" s="59">
        <v>45993</v>
      </c>
      <c r="D644" s="14">
        <f t="shared" si="31"/>
        <v>0</v>
      </c>
      <c r="E644" s="59">
        <v>46027</v>
      </c>
      <c r="F644" s="25">
        <f t="shared" si="32"/>
        <v>0</v>
      </c>
    </row>
    <row r="645" spans="1:6" x14ac:dyDescent="0.25">
      <c r="A645" s="59">
        <v>45934</v>
      </c>
      <c r="B645" s="14">
        <f t="shared" si="30"/>
        <v>1</v>
      </c>
      <c r="C645" s="59">
        <v>45994</v>
      </c>
      <c r="D645" s="14">
        <f t="shared" si="31"/>
        <v>0</v>
      </c>
      <c r="E645" s="59">
        <v>46028</v>
      </c>
      <c r="F645" s="25">
        <f t="shared" si="32"/>
        <v>0</v>
      </c>
    </row>
    <row r="646" spans="1:6" x14ac:dyDescent="0.25">
      <c r="A646" s="59">
        <v>45935</v>
      </c>
      <c r="B646" s="14">
        <f t="shared" si="30"/>
        <v>1</v>
      </c>
      <c r="C646" s="59">
        <v>45995</v>
      </c>
      <c r="D646" s="14">
        <f t="shared" si="31"/>
        <v>0</v>
      </c>
      <c r="E646" s="59">
        <v>46029</v>
      </c>
      <c r="F646" s="25">
        <f t="shared" si="32"/>
        <v>0</v>
      </c>
    </row>
    <row r="647" spans="1:6" x14ac:dyDescent="0.25">
      <c r="A647" s="59">
        <v>45936</v>
      </c>
      <c r="B647" s="14">
        <f t="shared" si="30"/>
        <v>0</v>
      </c>
      <c r="C647" s="59">
        <v>45996</v>
      </c>
      <c r="D647" s="14">
        <f t="shared" si="31"/>
        <v>0</v>
      </c>
      <c r="E647" s="59">
        <v>46030</v>
      </c>
      <c r="F647" s="25">
        <f t="shared" si="32"/>
        <v>0</v>
      </c>
    </row>
    <row r="648" spans="1:6" x14ac:dyDescent="0.25">
      <c r="A648" s="59">
        <v>45937</v>
      </c>
      <c r="B648" s="14">
        <f t="shared" si="30"/>
        <v>0</v>
      </c>
      <c r="C648" s="59">
        <v>45997</v>
      </c>
      <c r="D648" s="14">
        <f t="shared" si="31"/>
        <v>1</v>
      </c>
      <c r="E648" s="59">
        <v>46031</v>
      </c>
      <c r="F648" s="25">
        <f t="shared" si="32"/>
        <v>0</v>
      </c>
    </row>
    <row r="649" spans="1:6" x14ac:dyDescent="0.25">
      <c r="A649" s="59">
        <v>45938</v>
      </c>
      <c r="B649" s="14">
        <f t="shared" si="30"/>
        <v>0</v>
      </c>
      <c r="C649" s="59">
        <v>45998</v>
      </c>
      <c r="D649" s="14">
        <f t="shared" si="31"/>
        <v>1</v>
      </c>
      <c r="E649" s="59">
        <v>46032</v>
      </c>
      <c r="F649" s="25">
        <f t="shared" si="32"/>
        <v>1</v>
      </c>
    </row>
    <row r="650" spans="1:6" x14ac:dyDescent="0.25">
      <c r="A650" s="59">
        <v>45939</v>
      </c>
      <c r="B650" s="14">
        <f t="shared" si="30"/>
        <v>0</v>
      </c>
      <c r="C650" s="59">
        <v>45999</v>
      </c>
      <c r="D650" s="14">
        <f t="shared" si="31"/>
        <v>0</v>
      </c>
      <c r="E650" s="59">
        <v>46033</v>
      </c>
      <c r="F650" s="25">
        <f t="shared" si="32"/>
        <v>1</v>
      </c>
    </row>
    <row r="651" spans="1:6" x14ac:dyDescent="0.25">
      <c r="A651" s="59">
        <v>45940</v>
      </c>
      <c r="B651" s="14">
        <f t="shared" si="30"/>
        <v>0</v>
      </c>
      <c r="C651" s="59">
        <v>46000</v>
      </c>
      <c r="D651" s="14">
        <f t="shared" si="31"/>
        <v>0</v>
      </c>
      <c r="E651" s="59">
        <v>46034</v>
      </c>
      <c r="F651" s="25">
        <f t="shared" si="32"/>
        <v>0</v>
      </c>
    </row>
    <row r="652" spans="1:6" x14ac:dyDescent="0.25">
      <c r="A652" s="59">
        <v>45941</v>
      </c>
      <c r="B652" s="14">
        <f t="shared" si="30"/>
        <v>1</v>
      </c>
      <c r="C652" s="59">
        <v>46001</v>
      </c>
      <c r="D652" s="14">
        <f t="shared" si="31"/>
        <v>0</v>
      </c>
      <c r="E652" s="59">
        <v>46035</v>
      </c>
      <c r="F652" s="25">
        <f t="shared" si="32"/>
        <v>0</v>
      </c>
    </row>
    <row r="653" spans="1:6" x14ac:dyDescent="0.25">
      <c r="A653" s="59">
        <v>45942</v>
      </c>
      <c r="B653" s="14">
        <f t="shared" si="30"/>
        <v>1</v>
      </c>
      <c r="C653" s="59">
        <v>46002</v>
      </c>
      <c r="D653" s="14">
        <f t="shared" si="31"/>
        <v>0</v>
      </c>
      <c r="E653" s="59">
        <v>46036</v>
      </c>
      <c r="F653" s="25">
        <f t="shared" si="32"/>
        <v>0</v>
      </c>
    </row>
    <row r="654" spans="1:6" x14ac:dyDescent="0.25">
      <c r="A654" s="59">
        <v>45943</v>
      </c>
      <c r="B654" s="14">
        <f t="shared" si="30"/>
        <v>0</v>
      </c>
      <c r="C654" s="59">
        <v>46003</v>
      </c>
      <c r="D654" s="14">
        <f t="shared" si="31"/>
        <v>0</v>
      </c>
      <c r="E654" s="59">
        <v>46037</v>
      </c>
      <c r="F654" s="25">
        <f t="shared" si="32"/>
        <v>0</v>
      </c>
    </row>
    <row r="655" spans="1:6" x14ac:dyDescent="0.25">
      <c r="A655" s="59">
        <v>45944</v>
      </c>
      <c r="B655" s="14">
        <f t="shared" si="30"/>
        <v>0</v>
      </c>
      <c r="C655" s="59">
        <v>46004</v>
      </c>
      <c r="D655" s="14">
        <f t="shared" si="31"/>
        <v>1</v>
      </c>
      <c r="E655" s="59">
        <v>46038</v>
      </c>
      <c r="F655" s="25">
        <f t="shared" si="32"/>
        <v>0</v>
      </c>
    </row>
    <row r="656" spans="1:6" x14ac:dyDescent="0.25">
      <c r="A656" s="59">
        <v>45945</v>
      </c>
      <c r="B656" s="14">
        <f t="shared" si="30"/>
        <v>0</v>
      </c>
      <c r="C656" s="59">
        <v>46005</v>
      </c>
      <c r="D656" s="14">
        <f t="shared" si="31"/>
        <v>1</v>
      </c>
      <c r="E656" s="59">
        <v>46039</v>
      </c>
      <c r="F656" s="25">
        <f t="shared" si="32"/>
        <v>1</v>
      </c>
    </row>
    <row r="657" spans="1:6" x14ac:dyDescent="0.25">
      <c r="A657" s="59">
        <v>45946</v>
      </c>
      <c r="B657" s="14">
        <f t="shared" si="30"/>
        <v>0</v>
      </c>
      <c r="C657" s="59">
        <v>46006</v>
      </c>
      <c r="D657" s="14">
        <f t="shared" si="31"/>
        <v>0</v>
      </c>
      <c r="E657" s="59">
        <v>46040</v>
      </c>
      <c r="F657" s="25">
        <f t="shared" si="32"/>
        <v>1</v>
      </c>
    </row>
    <row r="658" spans="1:6" x14ac:dyDescent="0.25">
      <c r="A658" s="59">
        <v>45947</v>
      </c>
      <c r="B658" s="14">
        <f t="shared" si="30"/>
        <v>0</v>
      </c>
      <c r="C658" s="59">
        <v>46007</v>
      </c>
      <c r="D658" s="14">
        <f t="shared" si="31"/>
        <v>0</v>
      </c>
      <c r="E658" s="59">
        <v>46041</v>
      </c>
      <c r="F658" s="25">
        <f t="shared" si="32"/>
        <v>0</v>
      </c>
    </row>
    <row r="659" spans="1:6" x14ac:dyDescent="0.25">
      <c r="A659" s="59">
        <v>45948</v>
      </c>
      <c r="B659" s="14">
        <f t="shared" si="30"/>
        <v>1</v>
      </c>
      <c r="C659" s="59">
        <v>46008</v>
      </c>
      <c r="D659" s="14">
        <f t="shared" si="31"/>
        <v>0</v>
      </c>
      <c r="E659" s="59">
        <v>46042</v>
      </c>
      <c r="F659" s="25">
        <f t="shared" si="32"/>
        <v>0</v>
      </c>
    </row>
    <row r="660" spans="1:6" x14ac:dyDescent="0.25">
      <c r="A660" s="59">
        <v>45949</v>
      </c>
      <c r="B660" s="14">
        <f t="shared" si="30"/>
        <v>1</v>
      </c>
      <c r="C660" s="59">
        <v>46009</v>
      </c>
      <c r="D660" s="14">
        <f t="shared" si="31"/>
        <v>0</v>
      </c>
      <c r="E660" s="59">
        <v>46043</v>
      </c>
      <c r="F660" s="25">
        <f t="shared" si="32"/>
        <v>0</v>
      </c>
    </row>
    <row r="661" spans="1:6" x14ac:dyDescent="0.25">
      <c r="A661" s="59">
        <v>45950</v>
      </c>
      <c r="B661" s="14">
        <f t="shared" si="30"/>
        <v>0</v>
      </c>
      <c r="C661" s="59">
        <v>46010</v>
      </c>
      <c r="D661" s="14">
        <f t="shared" si="31"/>
        <v>0</v>
      </c>
      <c r="E661" s="59">
        <v>46044</v>
      </c>
      <c r="F661" s="25">
        <f t="shared" si="32"/>
        <v>0</v>
      </c>
    </row>
    <row r="662" spans="1:6" x14ac:dyDescent="0.25">
      <c r="A662" s="59">
        <v>45951</v>
      </c>
      <c r="B662" s="14">
        <f t="shared" si="30"/>
        <v>0</v>
      </c>
      <c r="C662" s="59">
        <v>46011</v>
      </c>
      <c r="D662" s="14">
        <f t="shared" si="31"/>
        <v>1</v>
      </c>
      <c r="E662" s="59">
        <v>46045</v>
      </c>
      <c r="F662" s="25">
        <f t="shared" si="32"/>
        <v>0</v>
      </c>
    </row>
    <row r="663" spans="1:6" x14ac:dyDescent="0.25">
      <c r="A663" s="59">
        <v>45952</v>
      </c>
      <c r="B663" s="14">
        <f t="shared" si="30"/>
        <v>0</v>
      </c>
      <c r="C663" s="59">
        <v>46012</v>
      </c>
      <c r="D663" s="14">
        <f t="shared" si="31"/>
        <v>1</v>
      </c>
      <c r="E663" s="59">
        <v>46046</v>
      </c>
      <c r="F663" s="25">
        <f t="shared" si="32"/>
        <v>1</v>
      </c>
    </row>
    <row r="664" spans="1:6" x14ac:dyDescent="0.25">
      <c r="A664" s="59">
        <v>45953</v>
      </c>
      <c r="B664" s="14">
        <f t="shared" si="30"/>
        <v>0</v>
      </c>
      <c r="C664" s="59">
        <v>46013</v>
      </c>
      <c r="D664" s="14">
        <f t="shared" si="31"/>
        <v>0</v>
      </c>
      <c r="E664" s="59">
        <v>46047</v>
      </c>
      <c r="F664" s="25">
        <f t="shared" si="32"/>
        <v>1</v>
      </c>
    </row>
    <row r="665" spans="1:6" x14ac:dyDescent="0.25">
      <c r="A665" s="59">
        <v>45954</v>
      </c>
      <c r="B665" s="14">
        <f t="shared" si="30"/>
        <v>0</v>
      </c>
      <c r="C665" s="59">
        <v>46014</v>
      </c>
      <c r="D665" s="14">
        <f t="shared" si="31"/>
        <v>0</v>
      </c>
      <c r="E665" s="59">
        <v>46048</v>
      </c>
      <c r="F665" s="25">
        <f t="shared" si="32"/>
        <v>0</v>
      </c>
    </row>
    <row r="666" spans="1:6" x14ac:dyDescent="0.25">
      <c r="A666" s="59">
        <v>45955</v>
      </c>
      <c r="B666" s="14">
        <f t="shared" si="30"/>
        <v>1</v>
      </c>
      <c r="C666" s="59">
        <v>46015</v>
      </c>
      <c r="D666" s="14">
        <f t="shared" si="31"/>
        <v>0</v>
      </c>
      <c r="E666" s="59">
        <v>46049</v>
      </c>
      <c r="F666" s="25">
        <f t="shared" si="32"/>
        <v>0</v>
      </c>
    </row>
    <row r="667" spans="1:6" x14ac:dyDescent="0.25">
      <c r="A667" s="59">
        <v>45956</v>
      </c>
      <c r="B667" s="14">
        <f t="shared" si="30"/>
        <v>1</v>
      </c>
      <c r="C667" s="59">
        <v>46016</v>
      </c>
      <c r="D667" s="14">
        <f t="shared" si="31"/>
        <v>0</v>
      </c>
      <c r="E667" s="59">
        <v>46050</v>
      </c>
      <c r="F667" s="25">
        <f t="shared" si="32"/>
        <v>0</v>
      </c>
    </row>
    <row r="668" spans="1:6" x14ac:dyDescent="0.25">
      <c r="A668" s="59">
        <v>45957</v>
      </c>
      <c r="B668" s="14">
        <f t="shared" si="30"/>
        <v>0</v>
      </c>
      <c r="C668" s="59">
        <v>46017</v>
      </c>
      <c r="D668" s="14">
        <f t="shared" si="31"/>
        <v>0</v>
      </c>
      <c r="E668" s="59">
        <v>46051</v>
      </c>
      <c r="F668" s="25">
        <f t="shared" si="32"/>
        <v>0</v>
      </c>
    </row>
    <row r="669" spans="1:6" x14ac:dyDescent="0.25">
      <c r="A669" s="59">
        <v>45958</v>
      </c>
      <c r="B669" s="14">
        <f t="shared" si="30"/>
        <v>0</v>
      </c>
      <c r="C669" s="59">
        <v>46018</v>
      </c>
      <c r="D669" s="14">
        <f t="shared" si="31"/>
        <v>1</v>
      </c>
      <c r="E669" s="59">
        <v>46052</v>
      </c>
      <c r="F669" s="25">
        <f t="shared" si="32"/>
        <v>0</v>
      </c>
    </row>
    <row r="670" spans="1:6" x14ac:dyDescent="0.25">
      <c r="A670" s="59">
        <v>45959</v>
      </c>
      <c r="B670" s="14">
        <f t="shared" si="30"/>
        <v>0</v>
      </c>
      <c r="C670" s="59">
        <v>46019</v>
      </c>
      <c r="D670" s="14">
        <f t="shared" si="31"/>
        <v>1</v>
      </c>
      <c r="E670" s="59">
        <v>46053</v>
      </c>
      <c r="F670" s="25">
        <f t="shared" si="32"/>
        <v>1</v>
      </c>
    </row>
    <row r="671" spans="1:6" x14ac:dyDescent="0.25">
      <c r="A671" s="59">
        <v>45960</v>
      </c>
      <c r="B671" s="14">
        <f t="shared" si="30"/>
        <v>0</v>
      </c>
      <c r="C671" s="59">
        <v>46020</v>
      </c>
      <c r="D671" s="14">
        <f t="shared" si="31"/>
        <v>0</v>
      </c>
      <c r="E671" s="59">
        <v>46054</v>
      </c>
      <c r="F671" s="25">
        <f t="shared" si="32"/>
        <v>1</v>
      </c>
    </row>
    <row r="672" spans="1:6" x14ac:dyDescent="0.25">
      <c r="A672" s="59">
        <v>45961</v>
      </c>
      <c r="B672" s="14">
        <f t="shared" si="30"/>
        <v>0</v>
      </c>
      <c r="C672" s="59">
        <v>46021</v>
      </c>
      <c r="D672" s="14">
        <f t="shared" si="31"/>
        <v>0</v>
      </c>
      <c r="E672" s="59">
        <v>46055</v>
      </c>
      <c r="F672" s="25">
        <f t="shared" si="32"/>
        <v>0</v>
      </c>
    </row>
    <row r="673" spans="1:6" x14ac:dyDescent="0.25">
      <c r="A673" s="59">
        <v>45962</v>
      </c>
      <c r="B673" s="14">
        <f t="shared" si="30"/>
        <v>1</v>
      </c>
      <c r="C673" s="59">
        <v>46022</v>
      </c>
      <c r="D673" s="14">
        <f t="shared" si="31"/>
        <v>0</v>
      </c>
      <c r="E673" s="59">
        <v>46056</v>
      </c>
      <c r="F673" s="25">
        <f t="shared" si="32"/>
        <v>0</v>
      </c>
    </row>
    <row r="674" spans="1:6" x14ac:dyDescent="0.25">
      <c r="A674" s="59">
        <v>45963</v>
      </c>
      <c r="B674" s="14">
        <f t="shared" si="30"/>
        <v>1</v>
      </c>
      <c r="C674" s="59">
        <v>46023</v>
      </c>
      <c r="D674" s="14">
        <f t="shared" si="31"/>
        <v>0</v>
      </c>
      <c r="E674" s="59">
        <v>46057</v>
      </c>
      <c r="F674" s="25">
        <f t="shared" si="32"/>
        <v>0</v>
      </c>
    </row>
    <row r="675" spans="1:6" x14ac:dyDescent="0.25">
      <c r="A675" s="59">
        <v>45964</v>
      </c>
      <c r="B675" s="14">
        <f t="shared" si="30"/>
        <v>0</v>
      </c>
      <c r="C675" s="59">
        <v>46024</v>
      </c>
      <c r="D675" s="14">
        <f t="shared" si="31"/>
        <v>0</v>
      </c>
      <c r="E675" s="59">
        <v>46058</v>
      </c>
      <c r="F675" s="25">
        <f t="shared" si="32"/>
        <v>0</v>
      </c>
    </row>
    <row r="676" spans="1:6" x14ac:dyDescent="0.25">
      <c r="A676" s="59">
        <v>45965</v>
      </c>
      <c r="B676" s="14">
        <f t="shared" si="30"/>
        <v>0</v>
      </c>
      <c r="C676" s="59">
        <v>46025</v>
      </c>
      <c r="D676" s="14">
        <f t="shared" si="31"/>
        <v>1</v>
      </c>
      <c r="E676" s="59">
        <v>46059</v>
      </c>
      <c r="F676" s="25">
        <f t="shared" si="32"/>
        <v>0</v>
      </c>
    </row>
    <row r="677" spans="1:6" x14ac:dyDescent="0.25">
      <c r="A677" s="59">
        <v>45966</v>
      </c>
      <c r="B677" s="14">
        <f t="shared" si="30"/>
        <v>0</v>
      </c>
      <c r="C677" s="59">
        <v>46026</v>
      </c>
      <c r="D677" s="14">
        <f t="shared" si="31"/>
        <v>1</v>
      </c>
      <c r="E677" s="59">
        <v>46060</v>
      </c>
      <c r="F677" s="25">
        <f t="shared" si="32"/>
        <v>1</v>
      </c>
    </row>
    <row r="678" spans="1:6" x14ac:dyDescent="0.25">
      <c r="A678" s="59">
        <v>45967</v>
      </c>
      <c r="B678" s="14">
        <f t="shared" si="30"/>
        <v>0</v>
      </c>
      <c r="C678" s="59">
        <v>46027</v>
      </c>
      <c r="D678" s="14">
        <f t="shared" si="31"/>
        <v>0</v>
      </c>
      <c r="E678" s="59">
        <v>46061</v>
      </c>
      <c r="F678" s="25">
        <f t="shared" si="32"/>
        <v>1</v>
      </c>
    </row>
    <row r="679" spans="1:6" x14ac:dyDescent="0.25">
      <c r="A679" s="59">
        <v>45968</v>
      </c>
      <c r="B679" s="14">
        <f t="shared" si="30"/>
        <v>0</v>
      </c>
      <c r="C679" s="59">
        <v>46028</v>
      </c>
      <c r="D679" s="14">
        <f t="shared" si="31"/>
        <v>0</v>
      </c>
      <c r="E679" s="59">
        <v>46062</v>
      </c>
      <c r="F679" s="25">
        <f t="shared" si="32"/>
        <v>0</v>
      </c>
    </row>
    <row r="680" spans="1:6" x14ac:dyDescent="0.25">
      <c r="A680" s="59">
        <v>45969</v>
      </c>
      <c r="B680" s="14">
        <f t="shared" si="30"/>
        <v>1</v>
      </c>
      <c r="C680" s="59">
        <v>46029</v>
      </c>
      <c r="D680" s="14">
        <f t="shared" si="31"/>
        <v>0</v>
      </c>
      <c r="E680" s="59">
        <v>46063</v>
      </c>
      <c r="F680" s="25">
        <f t="shared" si="32"/>
        <v>0</v>
      </c>
    </row>
    <row r="681" spans="1:6" x14ac:dyDescent="0.25">
      <c r="A681" s="59">
        <v>45970</v>
      </c>
      <c r="B681" s="14">
        <f t="shared" si="30"/>
        <v>1</v>
      </c>
      <c r="C681" s="59">
        <v>46030</v>
      </c>
      <c r="D681" s="14">
        <f t="shared" si="31"/>
        <v>0</v>
      </c>
      <c r="E681" s="59">
        <v>46064</v>
      </c>
      <c r="F681" s="25">
        <f t="shared" si="32"/>
        <v>0</v>
      </c>
    </row>
    <row r="682" spans="1:6" x14ac:dyDescent="0.25">
      <c r="A682" s="59">
        <v>45971</v>
      </c>
      <c r="B682" s="14">
        <f t="shared" si="30"/>
        <v>0</v>
      </c>
      <c r="C682" s="59">
        <v>46031</v>
      </c>
      <c r="D682" s="14">
        <f t="shared" si="31"/>
        <v>0</v>
      </c>
      <c r="E682" s="59">
        <v>46065</v>
      </c>
      <c r="F682" s="25">
        <f t="shared" si="32"/>
        <v>0</v>
      </c>
    </row>
    <row r="683" spans="1:6" x14ac:dyDescent="0.25">
      <c r="A683" s="59">
        <v>45972</v>
      </c>
      <c r="B683" s="14">
        <f t="shared" si="30"/>
        <v>0</v>
      </c>
      <c r="C683" s="59">
        <v>46032</v>
      </c>
      <c r="D683" s="14">
        <f t="shared" si="31"/>
        <v>1</v>
      </c>
      <c r="E683" s="59">
        <v>46066</v>
      </c>
      <c r="F683" s="25">
        <f t="shared" si="32"/>
        <v>0</v>
      </c>
    </row>
    <row r="684" spans="1:6" x14ac:dyDescent="0.25">
      <c r="A684" s="59">
        <v>45973</v>
      </c>
      <c r="B684" s="14">
        <f t="shared" si="30"/>
        <v>0</v>
      </c>
      <c r="C684" s="59">
        <v>46033</v>
      </c>
      <c r="D684" s="14">
        <f t="shared" si="31"/>
        <v>1</v>
      </c>
      <c r="E684" s="59">
        <v>46067</v>
      </c>
      <c r="F684" s="25">
        <f t="shared" si="32"/>
        <v>1</v>
      </c>
    </row>
    <row r="685" spans="1:6" x14ac:dyDescent="0.25">
      <c r="A685" s="59">
        <v>45974</v>
      </c>
      <c r="B685" s="14">
        <f t="shared" si="30"/>
        <v>0</v>
      </c>
      <c r="C685" s="59">
        <v>46034</v>
      </c>
      <c r="D685" s="14">
        <f t="shared" si="31"/>
        <v>0</v>
      </c>
      <c r="E685" s="59">
        <v>46068</v>
      </c>
      <c r="F685" s="25">
        <f t="shared" si="32"/>
        <v>1</v>
      </c>
    </row>
    <row r="686" spans="1:6" x14ac:dyDescent="0.25">
      <c r="A686" s="59">
        <v>45975</v>
      </c>
      <c r="B686" s="14">
        <f t="shared" si="30"/>
        <v>0</v>
      </c>
      <c r="C686" s="59">
        <v>46035</v>
      </c>
      <c r="D686" s="14">
        <f t="shared" si="31"/>
        <v>0</v>
      </c>
      <c r="E686" s="59">
        <v>46069</v>
      </c>
      <c r="F686" s="25">
        <f t="shared" si="32"/>
        <v>0</v>
      </c>
    </row>
    <row r="687" spans="1:6" x14ac:dyDescent="0.25">
      <c r="A687" s="59">
        <v>45976</v>
      </c>
      <c r="B687" s="14">
        <f t="shared" si="30"/>
        <v>1</v>
      </c>
      <c r="C687" s="59">
        <v>46036</v>
      </c>
      <c r="D687" s="14">
        <f t="shared" si="31"/>
        <v>0</v>
      </c>
      <c r="E687" s="59">
        <v>46070</v>
      </c>
      <c r="F687" s="25">
        <f t="shared" si="32"/>
        <v>0</v>
      </c>
    </row>
    <row r="688" spans="1:6" x14ac:dyDescent="0.25">
      <c r="A688" s="59">
        <v>45977</v>
      </c>
      <c r="B688" s="14">
        <f t="shared" si="30"/>
        <v>1</v>
      </c>
      <c r="C688" s="59">
        <v>46037</v>
      </c>
      <c r="D688" s="14">
        <f t="shared" si="31"/>
        <v>0</v>
      </c>
      <c r="E688" s="59">
        <v>46071</v>
      </c>
      <c r="F688" s="25">
        <f t="shared" si="32"/>
        <v>0</v>
      </c>
    </row>
    <row r="689" spans="1:6" x14ac:dyDescent="0.25">
      <c r="A689" s="59">
        <v>45978</v>
      </c>
      <c r="B689" s="14">
        <f t="shared" si="30"/>
        <v>0</v>
      </c>
      <c r="C689" s="59">
        <v>46038</v>
      </c>
      <c r="D689" s="14">
        <f t="shared" si="31"/>
        <v>0</v>
      </c>
      <c r="E689" s="59">
        <v>46072</v>
      </c>
      <c r="F689" s="25">
        <f t="shared" si="32"/>
        <v>0</v>
      </c>
    </row>
    <row r="690" spans="1:6" x14ac:dyDescent="0.25">
      <c r="A690" s="59">
        <v>45979</v>
      </c>
      <c r="B690" s="14">
        <f t="shared" si="30"/>
        <v>0</v>
      </c>
      <c r="C690" s="59">
        <v>46039</v>
      </c>
      <c r="D690" s="14">
        <f t="shared" si="31"/>
        <v>1</v>
      </c>
      <c r="E690" s="59">
        <v>46073</v>
      </c>
      <c r="F690" s="25">
        <f t="shared" si="32"/>
        <v>0</v>
      </c>
    </row>
    <row r="691" spans="1:6" x14ac:dyDescent="0.25">
      <c r="A691" s="59">
        <v>45980</v>
      </c>
      <c r="B691" s="14">
        <f t="shared" si="30"/>
        <v>0</v>
      </c>
      <c r="C691" s="59">
        <v>46040</v>
      </c>
      <c r="D691" s="14">
        <f t="shared" si="31"/>
        <v>1</v>
      </c>
      <c r="E691" s="59">
        <v>46074</v>
      </c>
      <c r="F691" s="25">
        <f t="shared" si="32"/>
        <v>1</v>
      </c>
    </row>
    <row r="692" spans="1:6" x14ac:dyDescent="0.25">
      <c r="A692" s="59">
        <v>45981</v>
      </c>
      <c r="B692" s="14">
        <f t="shared" si="30"/>
        <v>0</v>
      </c>
      <c r="C692" s="59">
        <v>46041</v>
      </c>
      <c r="D692" s="14">
        <f t="shared" si="31"/>
        <v>0</v>
      </c>
      <c r="E692" s="59">
        <v>46075</v>
      </c>
      <c r="F692" s="25">
        <f t="shared" si="32"/>
        <v>1</v>
      </c>
    </row>
    <row r="693" spans="1:6" x14ac:dyDescent="0.25">
      <c r="A693" s="59">
        <v>45982</v>
      </c>
      <c r="B693" s="14">
        <f t="shared" si="30"/>
        <v>0</v>
      </c>
      <c r="C693" s="59">
        <v>46042</v>
      </c>
      <c r="D693" s="14">
        <f t="shared" si="31"/>
        <v>0</v>
      </c>
      <c r="E693" s="59">
        <v>46076</v>
      </c>
      <c r="F693" s="25">
        <f t="shared" si="32"/>
        <v>0</v>
      </c>
    </row>
    <row r="694" spans="1:6" x14ac:dyDescent="0.25">
      <c r="A694" s="59">
        <v>45983</v>
      </c>
      <c r="B694" s="14">
        <f t="shared" si="30"/>
        <v>1</v>
      </c>
      <c r="C694" s="59">
        <v>46043</v>
      </c>
      <c r="D694" s="14">
        <f t="shared" si="31"/>
        <v>0</v>
      </c>
      <c r="E694" s="59">
        <v>46077</v>
      </c>
      <c r="F694" s="25">
        <f t="shared" si="32"/>
        <v>0</v>
      </c>
    </row>
    <row r="695" spans="1:6" x14ac:dyDescent="0.25">
      <c r="A695" s="59">
        <v>45984</v>
      </c>
      <c r="B695" s="14">
        <f t="shared" si="30"/>
        <v>1</v>
      </c>
      <c r="C695" s="59">
        <v>46044</v>
      </c>
      <c r="D695" s="14">
        <f t="shared" si="31"/>
        <v>0</v>
      </c>
      <c r="E695" s="59">
        <v>46078</v>
      </c>
      <c r="F695" s="25">
        <f t="shared" si="32"/>
        <v>0</v>
      </c>
    </row>
    <row r="696" spans="1:6" x14ac:dyDescent="0.25">
      <c r="A696" s="59">
        <v>45985</v>
      </c>
      <c r="B696" s="14">
        <f t="shared" si="30"/>
        <v>0</v>
      </c>
      <c r="C696" s="59">
        <v>46045</v>
      </c>
      <c r="D696" s="14">
        <f t="shared" si="31"/>
        <v>0</v>
      </c>
      <c r="E696" s="59">
        <v>46079</v>
      </c>
      <c r="F696" s="25">
        <f t="shared" si="32"/>
        <v>0</v>
      </c>
    </row>
    <row r="697" spans="1:6" x14ac:dyDescent="0.25">
      <c r="A697" s="59">
        <v>45986</v>
      </c>
      <c r="B697" s="14">
        <f t="shared" si="30"/>
        <v>0</v>
      </c>
      <c r="C697" s="59">
        <v>46046</v>
      </c>
      <c r="D697" s="14">
        <f t="shared" si="31"/>
        <v>1</v>
      </c>
      <c r="E697" s="59">
        <v>46080</v>
      </c>
      <c r="F697" s="25">
        <f t="shared" si="32"/>
        <v>0</v>
      </c>
    </row>
    <row r="698" spans="1:6" x14ac:dyDescent="0.25">
      <c r="A698" s="59">
        <v>45987</v>
      </c>
      <c r="B698" s="14">
        <f t="shared" si="30"/>
        <v>0</v>
      </c>
      <c r="C698" s="59">
        <v>46047</v>
      </c>
      <c r="D698" s="14">
        <f t="shared" si="31"/>
        <v>1</v>
      </c>
      <c r="E698" s="59">
        <v>46081</v>
      </c>
      <c r="F698" s="25">
        <f t="shared" si="32"/>
        <v>1</v>
      </c>
    </row>
    <row r="699" spans="1:6" x14ac:dyDescent="0.25">
      <c r="A699" s="59">
        <v>45988</v>
      </c>
      <c r="B699" s="14">
        <f t="shared" si="30"/>
        <v>0</v>
      </c>
      <c r="C699" s="59">
        <v>46048</v>
      </c>
      <c r="D699" s="14">
        <f t="shared" si="31"/>
        <v>0</v>
      </c>
      <c r="E699" s="59">
        <v>46082</v>
      </c>
      <c r="F699" s="25">
        <f t="shared" si="32"/>
        <v>1</v>
      </c>
    </row>
    <row r="700" spans="1:6" x14ac:dyDescent="0.25">
      <c r="A700" s="59">
        <v>45989</v>
      </c>
      <c r="B700" s="14">
        <f t="shared" si="30"/>
        <v>0</v>
      </c>
      <c r="C700" s="59">
        <v>46049</v>
      </c>
      <c r="D700" s="14">
        <f t="shared" si="31"/>
        <v>0</v>
      </c>
      <c r="E700" s="59">
        <v>46083</v>
      </c>
      <c r="F700" s="25">
        <f t="shared" si="32"/>
        <v>0</v>
      </c>
    </row>
    <row r="701" spans="1:6" x14ac:dyDescent="0.25">
      <c r="A701" s="59">
        <v>45990</v>
      </c>
      <c r="B701" s="14">
        <f t="shared" si="30"/>
        <v>1</v>
      </c>
      <c r="C701" s="59">
        <v>46050</v>
      </c>
      <c r="D701" s="14">
        <f t="shared" si="31"/>
        <v>0</v>
      </c>
      <c r="E701" s="59">
        <v>46084</v>
      </c>
      <c r="F701" s="25">
        <f t="shared" si="32"/>
        <v>0</v>
      </c>
    </row>
    <row r="702" spans="1:6" x14ac:dyDescent="0.25">
      <c r="A702" s="59">
        <v>45991</v>
      </c>
      <c r="B702" s="14">
        <f t="shared" si="30"/>
        <v>1</v>
      </c>
      <c r="C702" s="59">
        <v>46051</v>
      </c>
      <c r="D702" s="14">
        <f t="shared" si="31"/>
        <v>0</v>
      </c>
      <c r="E702" s="59">
        <v>46085</v>
      </c>
      <c r="F702" s="25">
        <f t="shared" si="32"/>
        <v>0</v>
      </c>
    </row>
    <row r="703" spans="1:6" x14ac:dyDescent="0.25">
      <c r="A703" s="59">
        <v>45992</v>
      </c>
      <c r="B703" s="14">
        <f t="shared" si="30"/>
        <v>0</v>
      </c>
      <c r="C703" s="59">
        <v>46052</v>
      </c>
      <c r="D703" s="14">
        <f t="shared" si="31"/>
        <v>0</v>
      </c>
      <c r="E703" s="59">
        <v>46086</v>
      </c>
      <c r="F703" s="25">
        <f t="shared" si="32"/>
        <v>0</v>
      </c>
    </row>
    <row r="704" spans="1:6" x14ac:dyDescent="0.25">
      <c r="A704" s="59">
        <v>45993</v>
      </c>
      <c r="B704" s="14">
        <f t="shared" si="30"/>
        <v>0</v>
      </c>
      <c r="C704" s="59">
        <v>46053</v>
      </c>
      <c r="D704" s="14">
        <f t="shared" si="31"/>
        <v>1</v>
      </c>
      <c r="E704" s="59">
        <v>46087</v>
      </c>
      <c r="F704" s="25">
        <f t="shared" si="32"/>
        <v>0</v>
      </c>
    </row>
    <row r="705" spans="1:6" x14ac:dyDescent="0.25">
      <c r="A705" s="59">
        <v>45994</v>
      </c>
      <c r="B705" s="14">
        <f t="shared" si="30"/>
        <v>0</v>
      </c>
      <c r="C705" s="59">
        <v>46054</v>
      </c>
      <c r="D705" s="14">
        <f t="shared" si="31"/>
        <v>1</v>
      </c>
      <c r="E705" s="59">
        <v>46088</v>
      </c>
      <c r="F705" s="25">
        <f t="shared" si="32"/>
        <v>1</v>
      </c>
    </row>
    <row r="706" spans="1:6" x14ac:dyDescent="0.25">
      <c r="A706" s="59">
        <v>45995</v>
      </c>
      <c r="B706" s="14">
        <f t="shared" si="30"/>
        <v>0</v>
      </c>
      <c r="C706" s="59">
        <v>46055</v>
      </c>
      <c r="D706" s="14">
        <f t="shared" si="31"/>
        <v>0</v>
      </c>
      <c r="E706" s="59">
        <v>46089</v>
      </c>
      <c r="F706" s="25">
        <f t="shared" si="32"/>
        <v>1</v>
      </c>
    </row>
    <row r="707" spans="1:6" x14ac:dyDescent="0.25">
      <c r="A707" s="59">
        <v>45996</v>
      </c>
      <c r="B707" s="14">
        <f t="shared" ref="B707:B770" si="33">1-IF(WEEKDAY(A707,2)&gt;5,0,1)</f>
        <v>0</v>
      </c>
      <c r="C707" s="59">
        <v>46056</v>
      </c>
      <c r="D707" s="14">
        <f t="shared" ref="D707:D770" si="34">1-IF(WEEKDAY(C707,2)&gt;5,0,1)</f>
        <v>0</v>
      </c>
      <c r="E707" s="59">
        <v>46090</v>
      </c>
      <c r="F707" s="25">
        <f t="shared" ref="F707:F770" si="35">1-IF(WEEKDAY(E707,2)&gt;5,0,1)</f>
        <v>0</v>
      </c>
    </row>
    <row r="708" spans="1:6" x14ac:dyDescent="0.25">
      <c r="A708" s="59">
        <v>45997</v>
      </c>
      <c r="B708" s="14">
        <f t="shared" si="33"/>
        <v>1</v>
      </c>
      <c r="C708" s="59">
        <v>46057</v>
      </c>
      <c r="D708" s="14">
        <f t="shared" si="34"/>
        <v>0</v>
      </c>
      <c r="E708" s="59">
        <v>46091</v>
      </c>
      <c r="F708" s="25">
        <f t="shared" si="35"/>
        <v>0</v>
      </c>
    </row>
    <row r="709" spans="1:6" x14ac:dyDescent="0.25">
      <c r="A709" s="59">
        <v>45998</v>
      </c>
      <c r="B709" s="14">
        <f t="shared" si="33"/>
        <v>1</v>
      </c>
      <c r="C709" s="59">
        <v>46058</v>
      </c>
      <c r="D709" s="14">
        <f t="shared" si="34"/>
        <v>0</v>
      </c>
      <c r="E709" s="59">
        <v>46092</v>
      </c>
      <c r="F709" s="25">
        <f t="shared" si="35"/>
        <v>0</v>
      </c>
    </row>
    <row r="710" spans="1:6" x14ac:dyDescent="0.25">
      <c r="A710" s="59">
        <v>45999</v>
      </c>
      <c r="B710" s="14">
        <f t="shared" si="33"/>
        <v>0</v>
      </c>
      <c r="C710" s="59">
        <v>46059</v>
      </c>
      <c r="D710" s="14">
        <f t="shared" si="34"/>
        <v>0</v>
      </c>
      <c r="E710" s="59">
        <v>46093</v>
      </c>
      <c r="F710" s="25">
        <f t="shared" si="35"/>
        <v>0</v>
      </c>
    </row>
    <row r="711" spans="1:6" x14ac:dyDescent="0.25">
      <c r="A711" s="59">
        <v>46000</v>
      </c>
      <c r="B711" s="14">
        <f t="shared" si="33"/>
        <v>0</v>
      </c>
      <c r="C711" s="59">
        <v>46060</v>
      </c>
      <c r="D711" s="14">
        <f t="shared" si="34"/>
        <v>1</v>
      </c>
      <c r="E711" s="59">
        <v>46094</v>
      </c>
      <c r="F711" s="25">
        <f t="shared" si="35"/>
        <v>0</v>
      </c>
    </row>
    <row r="712" spans="1:6" x14ac:dyDescent="0.25">
      <c r="A712" s="59">
        <v>46001</v>
      </c>
      <c r="B712" s="14">
        <f t="shared" si="33"/>
        <v>0</v>
      </c>
      <c r="C712" s="59">
        <v>46061</v>
      </c>
      <c r="D712" s="14">
        <f t="shared" si="34"/>
        <v>1</v>
      </c>
      <c r="E712" s="59">
        <v>46095</v>
      </c>
      <c r="F712" s="25">
        <f t="shared" si="35"/>
        <v>1</v>
      </c>
    </row>
    <row r="713" spans="1:6" x14ac:dyDescent="0.25">
      <c r="A713" s="59">
        <v>46002</v>
      </c>
      <c r="B713" s="14">
        <f t="shared" si="33"/>
        <v>0</v>
      </c>
      <c r="C713" s="59">
        <v>46062</v>
      </c>
      <c r="D713" s="14">
        <f t="shared" si="34"/>
        <v>0</v>
      </c>
      <c r="E713" s="59">
        <v>46096</v>
      </c>
      <c r="F713" s="25">
        <f t="shared" si="35"/>
        <v>1</v>
      </c>
    </row>
    <row r="714" spans="1:6" x14ac:dyDescent="0.25">
      <c r="A714" s="59">
        <v>46003</v>
      </c>
      <c r="B714" s="14">
        <f t="shared" si="33"/>
        <v>0</v>
      </c>
      <c r="C714" s="59">
        <v>46063</v>
      </c>
      <c r="D714" s="14">
        <f t="shared" si="34"/>
        <v>0</v>
      </c>
      <c r="E714" s="59">
        <v>46097</v>
      </c>
      <c r="F714" s="25">
        <f t="shared" si="35"/>
        <v>0</v>
      </c>
    </row>
    <row r="715" spans="1:6" x14ac:dyDescent="0.25">
      <c r="A715" s="59">
        <v>46004</v>
      </c>
      <c r="B715" s="14">
        <f t="shared" si="33"/>
        <v>1</v>
      </c>
      <c r="C715" s="59">
        <v>46064</v>
      </c>
      <c r="D715" s="14">
        <f t="shared" si="34"/>
        <v>0</v>
      </c>
      <c r="E715" s="59">
        <v>46098</v>
      </c>
      <c r="F715" s="25">
        <f t="shared" si="35"/>
        <v>0</v>
      </c>
    </row>
    <row r="716" spans="1:6" x14ac:dyDescent="0.25">
      <c r="A716" s="59">
        <v>46005</v>
      </c>
      <c r="B716" s="14">
        <f t="shared" si="33"/>
        <v>1</v>
      </c>
      <c r="C716" s="59">
        <v>46065</v>
      </c>
      <c r="D716" s="14">
        <f t="shared" si="34"/>
        <v>0</v>
      </c>
      <c r="E716" s="59">
        <v>46099</v>
      </c>
      <c r="F716" s="25">
        <f t="shared" si="35"/>
        <v>0</v>
      </c>
    </row>
    <row r="717" spans="1:6" x14ac:dyDescent="0.25">
      <c r="A717" s="59">
        <v>46006</v>
      </c>
      <c r="B717" s="14">
        <f t="shared" si="33"/>
        <v>0</v>
      </c>
      <c r="C717" s="59">
        <v>46066</v>
      </c>
      <c r="D717" s="14">
        <f t="shared" si="34"/>
        <v>0</v>
      </c>
      <c r="E717" s="59">
        <v>46100</v>
      </c>
      <c r="F717" s="25">
        <f t="shared" si="35"/>
        <v>0</v>
      </c>
    </row>
    <row r="718" spans="1:6" x14ac:dyDescent="0.25">
      <c r="A718" s="59">
        <v>46007</v>
      </c>
      <c r="B718" s="14">
        <f t="shared" si="33"/>
        <v>0</v>
      </c>
      <c r="C718" s="59">
        <v>46067</v>
      </c>
      <c r="D718" s="14">
        <f t="shared" si="34"/>
        <v>1</v>
      </c>
      <c r="E718" s="59">
        <v>46101</v>
      </c>
      <c r="F718" s="25">
        <f t="shared" si="35"/>
        <v>0</v>
      </c>
    </row>
    <row r="719" spans="1:6" x14ac:dyDescent="0.25">
      <c r="A719" s="59">
        <v>46008</v>
      </c>
      <c r="B719" s="14">
        <f t="shared" si="33"/>
        <v>0</v>
      </c>
      <c r="C719" s="59">
        <v>46068</v>
      </c>
      <c r="D719" s="14">
        <f t="shared" si="34"/>
        <v>1</v>
      </c>
      <c r="E719" s="59">
        <v>46102</v>
      </c>
      <c r="F719" s="25">
        <f t="shared" si="35"/>
        <v>1</v>
      </c>
    </row>
    <row r="720" spans="1:6" x14ac:dyDescent="0.25">
      <c r="A720" s="59">
        <v>46009</v>
      </c>
      <c r="B720" s="14">
        <f t="shared" si="33"/>
        <v>0</v>
      </c>
      <c r="C720" s="59">
        <v>46069</v>
      </c>
      <c r="D720" s="14">
        <f t="shared" si="34"/>
        <v>0</v>
      </c>
      <c r="E720" s="59">
        <v>46103</v>
      </c>
      <c r="F720" s="25">
        <f t="shared" si="35"/>
        <v>1</v>
      </c>
    </row>
    <row r="721" spans="1:6" x14ac:dyDescent="0.25">
      <c r="A721" s="59">
        <v>46010</v>
      </c>
      <c r="B721" s="14">
        <f t="shared" si="33"/>
        <v>0</v>
      </c>
      <c r="C721" s="59">
        <v>46070</v>
      </c>
      <c r="D721" s="14">
        <f t="shared" si="34"/>
        <v>0</v>
      </c>
      <c r="E721" s="59">
        <v>46104</v>
      </c>
      <c r="F721" s="25">
        <f t="shared" si="35"/>
        <v>0</v>
      </c>
    </row>
    <row r="722" spans="1:6" x14ac:dyDescent="0.25">
      <c r="A722" s="59">
        <v>46011</v>
      </c>
      <c r="B722" s="14">
        <f t="shared" si="33"/>
        <v>1</v>
      </c>
      <c r="C722" s="59">
        <v>46071</v>
      </c>
      <c r="D722" s="14">
        <f t="shared" si="34"/>
        <v>0</v>
      </c>
      <c r="E722" s="59">
        <v>46105</v>
      </c>
      <c r="F722" s="25">
        <f t="shared" si="35"/>
        <v>0</v>
      </c>
    </row>
    <row r="723" spans="1:6" x14ac:dyDescent="0.25">
      <c r="A723" s="59">
        <v>46012</v>
      </c>
      <c r="B723" s="14">
        <f t="shared" si="33"/>
        <v>1</v>
      </c>
      <c r="C723" s="59">
        <v>46072</v>
      </c>
      <c r="D723" s="14">
        <f t="shared" si="34"/>
        <v>0</v>
      </c>
      <c r="E723" s="59">
        <v>46106</v>
      </c>
      <c r="F723" s="25">
        <f t="shared" si="35"/>
        <v>0</v>
      </c>
    </row>
    <row r="724" spans="1:6" x14ac:dyDescent="0.25">
      <c r="A724" s="59">
        <v>46013</v>
      </c>
      <c r="B724" s="14">
        <f t="shared" si="33"/>
        <v>0</v>
      </c>
      <c r="C724" s="59">
        <v>46073</v>
      </c>
      <c r="D724" s="14">
        <f t="shared" si="34"/>
        <v>0</v>
      </c>
      <c r="E724" s="59">
        <v>46107</v>
      </c>
      <c r="F724" s="25">
        <f t="shared" si="35"/>
        <v>0</v>
      </c>
    </row>
    <row r="725" spans="1:6" x14ac:dyDescent="0.25">
      <c r="A725" s="59">
        <v>46014</v>
      </c>
      <c r="B725" s="14">
        <f t="shared" si="33"/>
        <v>0</v>
      </c>
      <c r="C725" s="59">
        <v>46074</v>
      </c>
      <c r="D725" s="14">
        <f t="shared" si="34"/>
        <v>1</v>
      </c>
      <c r="E725" s="59">
        <v>46108</v>
      </c>
      <c r="F725" s="25">
        <f t="shared" si="35"/>
        <v>0</v>
      </c>
    </row>
    <row r="726" spans="1:6" x14ac:dyDescent="0.25">
      <c r="A726" s="59">
        <v>46015</v>
      </c>
      <c r="B726" s="14">
        <f t="shared" si="33"/>
        <v>0</v>
      </c>
      <c r="C726" s="59">
        <v>46075</v>
      </c>
      <c r="D726" s="14">
        <f t="shared" si="34"/>
        <v>1</v>
      </c>
      <c r="E726" s="59">
        <v>46109</v>
      </c>
      <c r="F726" s="25">
        <f t="shared" si="35"/>
        <v>1</v>
      </c>
    </row>
    <row r="727" spans="1:6" x14ac:dyDescent="0.25">
      <c r="A727" s="59">
        <v>46016</v>
      </c>
      <c r="B727" s="14">
        <f t="shared" si="33"/>
        <v>0</v>
      </c>
      <c r="C727" s="59">
        <v>46076</v>
      </c>
      <c r="D727" s="14">
        <f t="shared" si="34"/>
        <v>0</v>
      </c>
      <c r="E727" s="59">
        <v>46110</v>
      </c>
      <c r="F727" s="25">
        <f t="shared" si="35"/>
        <v>1</v>
      </c>
    </row>
    <row r="728" spans="1:6" x14ac:dyDescent="0.25">
      <c r="A728" s="59">
        <v>46017</v>
      </c>
      <c r="B728" s="14">
        <f t="shared" si="33"/>
        <v>0</v>
      </c>
      <c r="C728" s="59">
        <v>46077</v>
      </c>
      <c r="D728" s="14">
        <f t="shared" si="34"/>
        <v>0</v>
      </c>
      <c r="E728" s="59">
        <v>46111</v>
      </c>
      <c r="F728" s="25">
        <f t="shared" si="35"/>
        <v>0</v>
      </c>
    </row>
    <row r="729" spans="1:6" x14ac:dyDescent="0.25">
      <c r="A729" s="59">
        <v>46018</v>
      </c>
      <c r="B729" s="14">
        <f t="shared" si="33"/>
        <v>1</v>
      </c>
      <c r="C729" s="59">
        <v>46078</v>
      </c>
      <c r="D729" s="14">
        <f t="shared" si="34"/>
        <v>0</v>
      </c>
      <c r="E729" s="59">
        <v>46112</v>
      </c>
      <c r="F729" s="25">
        <f t="shared" si="35"/>
        <v>0</v>
      </c>
    </row>
    <row r="730" spans="1:6" x14ac:dyDescent="0.25">
      <c r="A730" s="59">
        <v>46019</v>
      </c>
      <c r="B730" s="14">
        <f t="shared" si="33"/>
        <v>1</v>
      </c>
      <c r="C730" s="59">
        <v>46079</v>
      </c>
      <c r="D730" s="14">
        <f t="shared" si="34"/>
        <v>0</v>
      </c>
      <c r="E730" s="59">
        <v>46113</v>
      </c>
      <c r="F730" s="25">
        <f t="shared" si="35"/>
        <v>0</v>
      </c>
    </row>
    <row r="731" spans="1:6" x14ac:dyDescent="0.25">
      <c r="A731" s="59">
        <v>46020</v>
      </c>
      <c r="B731" s="14">
        <f t="shared" si="33"/>
        <v>0</v>
      </c>
      <c r="C731" s="59">
        <v>46080</v>
      </c>
      <c r="D731" s="14">
        <f t="shared" si="34"/>
        <v>0</v>
      </c>
      <c r="E731" s="59">
        <v>46114</v>
      </c>
      <c r="F731" s="25">
        <f t="shared" si="35"/>
        <v>0</v>
      </c>
    </row>
    <row r="732" spans="1:6" x14ac:dyDescent="0.25">
      <c r="A732" s="59">
        <v>46021</v>
      </c>
      <c r="B732" s="14">
        <f t="shared" si="33"/>
        <v>0</v>
      </c>
      <c r="C732" s="59">
        <v>46081</v>
      </c>
      <c r="D732" s="14">
        <f t="shared" si="34"/>
        <v>1</v>
      </c>
      <c r="E732" s="59">
        <v>46115</v>
      </c>
      <c r="F732" s="25">
        <f t="shared" si="35"/>
        <v>0</v>
      </c>
    </row>
    <row r="733" spans="1:6" x14ac:dyDescent="0.25">
      <c r="A733" s="59">
        <v>46022</v>
      </c>
      <c r="B733" s="14">
        <f t="shared" si="33"/>
        <v>0</v>
      </c>
      <c r="C733" s="59">
        <v>46082</v>
      </c>
      <c r="D733" s="14">
        <f t="shared" si="34"/>
        <v>1</v>
      </c>
      <c r="E733" s="59">
        <v>46116</v>
      </c>
      <c r="F733" s="25">
        <f t="shared" si="35"/>
        <v>1</v>
      </c>
    </row>
    <row r="734" spans="1:6" x14ac:dyDescent="0.25">
      <c r="A734" s="59">
        <v>46023</v>
      </c>
      <c r="B734" s="14">
        <f t="shared" si="33"/>
        <v>0</v>
      </c>
      <c r="C734" s="59">
        <v>46083</v>
      </c>
      <c r="D734" s="14">
        <f t="shared" si="34"/>
        <v>0</v>
      </c>
      <c r="E734" s="59">
        <v>46117</v>
      </c>
      <c r="F734" s="25">
        <f t="shared" si="35"/>
        <v>1</v>
      </c>
    </row>
    <row r="735" spans="1:6" x14ac:dyDescent="0.25">
      <c r="A735" s="59">
        <v>46024</v>
      </c>
      <c r="B735" s="14">
        <f t="shared" si="33"/>
        <v>0</v>
      </c>
      <c r="C735" s="59">
        <v>46084</v>
      </c>
      <c r="D735" s="14">
        <f t="shared" si="34"/>
        <v>0</v>
      </c>
      <c r="E735" s="59">
        <v>46118</v>
      </c>
      <c r="F735" s="25">
        <f t="shared" si="35"/>
        <v>0</v>
      </c>
    </row>
    <row r="736" spans="1:6" x14ac:dyDescent="0.25">
      <c r="A736" s="59">
        <v>46025</v>
      </c>
      <c r="B736" s="14">
        <f t="shared" si="33"/>
        <v>1</v>
      </c>
      <c r="C736" s="59">
        <v>46085</v>
      </c>
      <c r="D736" s="14">
        <f t="shared" si="34"/>
        <v>0</v>
      </c>
      <c r="E736" s="59">
        <v>46119</v>
      </c>
      <c r="F736" s="25">
        <f t="shared" si="35"/>
        <v>0</v>
      </c>
    </row>
    <row r="737" spans="1:6" x14ac:dyDescent="0.25">
      <c r="A737" s="59">
        <v>46026</v>
      </c>
      <c r="B737" s="14">
        <f t="shared" si="33"/>
        <v>1</v>
      </c>
      <c r="C737" s="59">
        <v>46086</v>
      </c>
      <c r="D737" s="14">
        <f t="shared" si="34"/>
        <v>0</v>
      </c>
      <c r="E737" s="59">
        <v>46120</v>
      </c>
      <c r="F737" s="25">
        <f t="shared" si="35"/>
        <v>0</v>
      </c>
    </row>
    <row r="738" spans="1:6" x14ac:dyDescent="0.25">
      <c r="A738" s="59">
        <v>46027</v>
      </c>
      <c r="B738" s="14">
        <f t="shared" si="33"/>
        <v>0</v>
      </c>
      <c r="C738" s="59">
        <v>46087</v>
      </c>
      <c r="D738" s="14">
        <f t="shared" si="34"/>
        <v>0</v>
      </c>
      <c r="E738" s="59">
        <v>46121</v>
      </c>
      <c r="F738" s="25">
        <f t="shared" si="35"/>
        <v>0</v>
      </c>
    </row>
    <row r="739" spans="1:6" x14ac:dyDescent="0.25">
      <c r="A739" s="59">
        <v>46028</v>
      </c>
      <c r="B739" s="14">
        <f t="shared" si="33"/>
        <v>0</v>
      </c>
      <c r="C739" s="59">
        <v>46088</v>
      </c>
      <c r="D739" s="14">
        <f t="shared" si="34"/>
        <v>1</v>
      </c>
      <c r="E739" s="60">
        <v>46122</v>
      </c>
      <c r="F739" s="27">
        <f t="shared" si="35"/>
        <v>0</v>
      </c>
    </row>
    <row r="740" spans="1:6" x14ac:dyDescent="0.25">
      <c r="A740" s="59">
        <v>46029</v>
      </c>
      <c r="B740" s="14">
        <f t="shared" si="33"/>
        <v>0</v>
      </c>
      <c r="C740" s="59">
        <v>46089</v>
      </c>
      <c r="D740" s="25">
        <f t="shared" si="34"/>
        <v>1</v>
      </c>
      <c r="E740" s="14"/>
      <c r="F740" s="14">
        <f t="shared" si="35"/>
        <v>1</v>
      </c>
    </row>
    <row r="741" spans="1:6" x14ac:dyDescent="0.25">
      <c r="A741" s="59">
        <v>46030</v>
      </c>
      <c r="B741" s="14">
        <f t="shared" si="33"/>
        <v>0</v>
      </c>
      <c r="C741" s="59">
        <v>46090</v>
      </c>
      <c r="D741" s="25">
        <f t="shared" si="34"/>
        <v>0</v>
      </c>
      <c r="E741" s="14"/>
      <c r="F741" s="14">
        <f t="shared" si="35"/>
        <v>1</v>
      </c>
    </row>
    <row r="742" spans="1:6" x14ac:dyDescent="0.25">
      <c r="A742" s="59">
        <v>46031</v>
      </c>
      <c r="B742" s="14">
        <f t="shared" si="33"/>
        <v>0</v>
      </c>
      <c r="C742" s="59">
        <v>46091</v>
      </c>
      <c r="D742" s="25">
        <f t="shared" si="34"/>
        <v>0</v>
      </c>
      <c r="E742" s="14"/>
      <c r="F742" s="14">
        <f t="shared" si="35"/>
        <v>1</v>
      </c>
    </row>
    <row r="743" spans="1:6" x14ac:dyDescent="0.25">
      <c r="A743" s="59">
        <v>46032</v>
      </c>
      <c r="B743" s="14">
        <f t="shared" si="33"/>
        <v>1</v>
      </c>
      <c r="C743" s="59">
        <v>46092</v>
      </c>
      <c r="D743" s="25">
        <f t="shared" si="34"/>
        <v>0</v>
      </c>
      <c r="E743" s="14"/>
      <c r="F743" s="14">
        <f t="shared" si="35"/>
        <v>1</v>
      </c>
    </row>
    <row r="744" spans="1:6" x14ac:dyDescent="0.25">
      <c r="A744" s="59">
        <v>46033</v>
      </c>
      <c r="B744" s="14">
        <f t="shared" si="33"/>
        <v>1</v>
      </c>
      <c r="C744" s="59">
        <v>46093</v>
      </c>
      <c r="D744" s="25">
        <f t="shared" si="34"/>
        <v>0</v>
      </c>
      <c r="E744" s="14"/>
      <c r="F744" s="14">
        <f t="shared" si="35"/>
        <v>1</v>
      </c>
    </row>
    <row r="745" spans="1:6" x14ac:dyDescent="0.25">
      <c r="A745" s="59">
        <v>46034</v>
      </c>
      <c r="B745" s="14">
        <f t="shared" si="33"/>
        <v>0</v>
      </c>
      <c r="C745" s="59">
        <v>46094</v>
      </c>
      <c r="D745" s="25">
        <f t="shared" si="34"/>
        <v>0</v>
      </c>
      <c r="E745" s="14"/>
      <c r="F745" s="14">
        <f t="shared" si="35"/>
        <v>1</v>
      </c>
    </row>
    <row r="746" spans="1:6" x14ac:dyDescent="0.25">
      <c r="A746" s="59">
        <v>46035</v>
      </c>
      <c r="B746" s="14">
        <f t="shared" si="33"/>
        <v>0</v>
      </c>
      <c r="C746" s="59">
        <v>46095</v>
      </c>
      <c r="D746" s="25">
        <f t="shared" si="34"/>
        <v>1</v>
      </c>
      <c r="E746" s="14"/>
      <c r="F746" s="14">
        <f t="shared" si="35"/>
        <v>1</v>
      </c>
    </row>
    <row r="747" spans="1:6" x14ac:dyDescent="0.25">
      <c r="A747" s="59">
        <v>46036</v>
      </c>
      <c r="B747" s="14">
        <f t="shared" si="33"/>
        <v>0</v>
      </c>
      <c r="C747" s="59">
        <v>46096</v>
      </c>
      <c r="D747" s="25">
        <f t="shared" si="34"/>
        <v>1</v>
      </c>
      <c r="E747" s="14"/>
      <c r="F747" s="14">
        <f t="shared" si="35"/>
        <v>1</v>
      </c>
    </row>
    <row r="748" spans="1:6" x14ac:dyDescent="0.25">
      <c r="A748" s="59">
        <v>46037</v>
      </c>
      <c r="B748" s="14">
        <f t="shared" si="33"/>
        <v>0</v>
      </c>
      <c r="C748" s="59">
        <v>46097</v>
      </c>
      <c r="D748" s="25">
        <f t="shared" si="34"/>
        <v>0</v>
      </c>
      <c r="E748" s="14"/>
      <c r="F748" s="14">
        <f t="shared" si="35"/>
        <v>1</v>
      </c>
    </row>
    <row r="749" spans="1:6" x14ac:dyDescent="0.25">
      <c r="A749" s="59">
        <v>46038</v>
      </c>
      <c r="B749" s="14">
        <f t="shared" si="33"/>
        <v>0</v>
      </c>
      <c r="C749" s="59">
        <v>46098</v>
      </c>
      <c r="D749" s="25">
        <f t="shared" si="34"/>
        <v>0</v>
      </c>
      <c r="E749" s="14"/>
      <c r="F749" s="14">
        <f t="shared" si="35"/>
        <v>1</v>
      </c>
    </row>
    <row r="750" spans="1:6" x14ac:dyDescent="0.25">
      <c r="A750" s="59">
        <v>46039</v>
      </c>
      <c r="B750" s="14">
        <f t="shared" si="33"/>
        <v>1</v>
      </c>
      <c r="C750" s="59">
        <v>46099</v>
      </c>
      <c r="D750" s="25">
        <f t="shared" si="34"/>
        <v>0</v>
      </c>
      <c r="E750" s="14"/>
      <c r="F750" s="14">
        <f t="shared" si="35"/>
        <v>1</v>
      </c>
    </row>
    <row r="751" spans="1:6" x14ac:dyDescent="0.25">
      <c r="A751" s="59">
        <v>46040</v>
      </c>
      <c r="B751" s="14">
        <f t="shared" si="33"/>
        <v>1</v>
      </c>
      <c r="C751" s="59">
        <v>46100</v>
      </c>
      <c r="D751" s="25">
        <f t="shared" si="34"/>
        <v>0</v>
      </c>
      <c r="E751" s="14"/>
      <c r="F751" s="14">
        <f t="shared" si="35"/>
        <v>1</v>
      </c>
    </row>
    <row r="752" spans="1:6" x14ac:dyDescent="0.25">
      <c r="A752" s="59">
        <v>46041</v>
      </c>
      <c r="B752" s="14">
        <f t="shared" si="33"/>
        <v>0</v>
      </c>
      <c r="C752" s="59">
        <v>46101</v>
      </c>
      <c r="D752" s="25">
        <f t="shared" si="34"/>
        <v>0</v>
      </c>
      <c r="E752" s="14"/>
      <c r="F752" s="14">
        <f t="shared" si="35"/>
        <v>1</v>
      </c>
    </row>
    <row r="753" spans="1:6" x14ac:dyDescent="0.25">
      <c r="A753" s="59">
        <v>46042</v>
      </c>
      <c r="B753" s="14">
        <f t="shared" si="33"/>
        <v>0</v>
      </c>
      <c r="C753" s="59">
        <v>46102</v>
      </c>
      <c r="D753" s="25">
        <f t="shared" si="34"/>
        <v>1</v>
      </c>
      <c r="E753" s="14"/>
      <c r="F753" s="14">
        <f t="shared" si="35"/>
        <v>1</v>
      </c>
    </row>
    <row r="754" spans="1:6" x14ac:dyDescent="0.25">
      <c r="A754" s="59">
        <v>46043</v>
      </c>
      <c r="B754" s="14">
        <f t="shared" si="33"/>
        <v>0</v>
      </c>
      <c r="C754" s="59">
        <v>46103</v>
      </c>
      <c r="D754" s="25">
        <f t="shared" si="34"/>
        <v>1</v>
      </c>
      <c r="E754" s="14"/>
      <c r="F754" s="14">
        <f t="shared" si="35"/>
        <v>1</v>
      </c>
    </row>
    <row r="755" spans="1:6" x14ac:dyDescent="0.25">
      <c r="A755" s="59">
        <v>46044</v>
      </c>
      <c r="B755" s="14">
        <f t="shared" si="33"/>
        <v>0</v>
      </c>
      <c r="C755" s="59">
        <v>46104</v>
      </c>
      <c r="D755" s="25">
        <f t="shared" si="34"/>
        <v>0</v>
      </c>
      <c r="E755" s="14"/>
      <c r="F755" s="14">
        <f t="shared" si="35"/>
        <v>1</v>
      </c>
    </row>
    <row r="756" spans="1:6" x14ac:dyDescent="0.25">
      <c r="A756" s="59">
        <v>46045</v>
      </c>
      <c r="B756" s="14">
        <f t="shared" si="33"/>
        <v>0</v>
      </c>
      <c r="C756" s="59">
        <v>46105</v>
      </c>
      <c r="D756" s="25">
        <f t="shared" si="34"/>
        <v>0</v>
      </c>
      <c r="E756" s="14"/>
      <c r="F756" s="14">
        <f t="shared" si="35"/>
        <v>1</v>
      </c>
    </row>
    <row r="757" spans="1:6" x14ac:dyDescent="0.25">
      <c r="A757" s="59">
        <v>46046</v>
      </c>
      <c r="B757" s="14">
        <f t="shared" si="33"/>
        <v>1</v>
      </c>
      <c r="C757" s="59">
        <v>46106</v>
      </c>
      <c r="D757" s="25">
        <f t="shared" si="34"/>
        <v>0</v>
      </c>
      <c r="E757" s="14"/>
      <c r="F757" s="14">
        <f t="shared" si="35"/>
        <v>1</v>
      </c>
    </row>
    <row r="758" spans="1:6" x14ac:dyDescent="0.25">
      <c r="A758" s="59">
        <v>46047</v>
      </c>
      <c r="B758" s="14">
        <f t="shared" si="33"/>
        <v>1</v>
      </c>
      <c r="C758" s="59">
        <v>46107</v>
      </c>
      <c r="D758" s="25">
        <f t="shared" si="34"/>
        <v>0</v>
      </c>
      <c r="E758" s="14"/>
      <c r="F758" s="14">
        <f t="shared" si="35"/>
        <v>1</v>
      </c>
    </row>
    <row r="759" spans="1:6" x14ac:dyDescent="0.25">
      <c r="A759" s="59">
        <v>46048</v>
      </c>
      <c r="B759" s="14">
        <f t="shared" si="33"/>
        <v>0</v>
      </c>
      <c r="C759" s="59">
        <v>46108</v>
      </c>
      <c r="D759" s="25">
        <f t="shared" si="34"/>
        <v>0</v>
      </c>
      <c r="E759" s="14"/>
      <c r="F759" s="14">
        <f t="shared" si="35"/>
        <v>1</v>
      </c>
    </row>
    <row r="760" spans="1:6" x14ac:dyDescent="0.25">
      <c r="A760" s="59">
        <v>46049</v>
      </c>
      <c r="B760" s="14">
        <f t="shared" si="33"/>
        <v>0</v>
      </c>
      <c r="C760" s="59">
        <v>46109</v>
      </c>
      <c r="D760" s="25">
        <f t="shared" si="34"/>
        <v>1</v>
      </c>
      <c r="E760" s="14"/>
      <c r="F760" s="14">
        <f t="shared" si="35"/>
        <v>1</v>
      </c>
    </row>
    <row r="761" spans="1:6" x14ac:dyDescent="0.25">
      <c r="A761" s="59">
        <v>46050</v>
      </c>
      <c r="B761" s="14">
        <f t="shared" si="33"/>
        <v>0</v>
      </c>
      <c r="C761" s="59">
        <v>46110</v>
      </c>
      <c r="D761" s="25">
        <f t="shared" si="34"/>
        <v>1</v>
      </c>
      <c r="E761" s="14"/>
      <c r="F761" s="14">
        <f t="shared" si="35"/>
        <v>1</v>
      </c>
    </row>
    <row r="762" spans="1:6" x14ac:dyDescent="0.25">
      <c r="A762" s="59">
        <v>46051</v>
      </c>
      <c r="B762" s="14">
        <f t="shared" si="33"/>
        <v>0</v>
      </c>
      <c r="C762" s="59">
        <v>46111</v>
      </c>
      <c r="D762" s="25">
        <f t="shared" si="34"/>
        <v>0</v>
      </c>
      <c r="E762" s="14"/>
      <c r="F762" s="14">
        <f t="shared" si="35"/>
        <v>1</v>
      </c>
    </row>
    <row r="763" spans="1:6" x14ac:dyDescent="0.25">
      <c r="A763" s="59">
        <v>46052</v>
      </c>
      <c r="B763" s="14">
        <f t="shared" si="33"/>
        <v>0</v>
      </c>
      <c r="C763" s="59">
        <v>46112</v>
      </c>
      <c r="D763" s="25">
        <f t="shared" si="34"/>
        <v>0</v>
      </c>
      <c r="E763" s="14"/>
      <c r="F763" s="14">
        <f t="shared" si="35"/>
        <v>1</v>
      </c>
    </row>
    <row r="764" spans="1:6" x14ac:dyDescent="0.25">
      <c r="A764" s="59">
        <v>46053</v>
      </c>
      <c r="B764" s="14">
        <f t="shared" si="33"/>
        <v>1</v>
      </c>
      <c r="C764" s="59">
        <v>46113</v>
      </c>
      <c r="D764" s="25">
        <f t="shared" si="34"/>
        <v>0</v>
      </c>
      <c r="E764" s="14"/>
      <c r="F764" s="14">
        <f t="shared" si="35"/>
        <v>1</v>
      </c>
    </row>
    <row r="765" spans="1:6" x14ac:dyDescent="0.25">
      <c r="A765" s="59">
        <v>46054</v>
      </c>
      <c r="B765" s="14">
        <f t="shared" si="33"/>
        <v>1</v>
      </c>
      <c r="C765" s="59">
        <v>46114</v>
      </c>
      <c r="D765" s="25">
        <f t="shared" si="34"/>
        <v>0</v>
      </c>
      <c r="E765" s="14"/>
      <c r="F765" s="14">
        <f t="shared" si="35"/>
        <v>1</v>
      </c>
    </row>
    <row r="766" spans="1:6" x14ac:dyDescent="0.25">
      <c r="A766" s="59">
        <v>46055</v>
      </c>
      <c r="B766" s="14">
        <f t="shared" si="33"/>
        <v>0</v>
      </c>
      <c r="C766" s="59">
        <v>46115</v>
      </c>
      <c r="D766" s="25">
        <f t="shared" si="34"/>
        <v>0</v>
      </c>
      <c r="E766" s="14"/>
      <c r="F766" s="14">
        <f t="shared" si="35"/>
        <v>1</v>
      </c>
    </row>
    <row r="767" spans="1:6" x14ac:dyDescent="0.25">
      <c r="A767" s="59">
        <v>46056</v>
      </c>
      <c r="B767" s="14">
        <f t="shared" si="33"/>
        <v>0</v>
      </c>
      <c r="C767" s="59">
        <v>46116</v>
      </c>
      <c r="D767" s="25">
        <f t="shared" si="34"/>
        <v>1</v>
      </c>
      <c r="E767" s="14"/>
      <c r="F767" s="14">
        <f t="shared" si="35"/>
        <v>1</v>
      </c>
    </row>
    <row r="768" spans="1:6" x14ac:dyDescent="0.25">
      <c r="A768" s="59">
        <v>46057</v>
      </c>
      <c r="B768" s="14">
        <f t="shared" si="33"/>
        <v>0</v>
      </c>
      <c r="C768" s="59">
        <v>46117</v>
      </c>
      <c r="D768" s="25">
        <f t="shared" si="34"/>
        <v>1</v>
      </c>
      <c r="E768" s="14"/>
      <c r="F768" s="14">
        <f t="shared" si="35"/>
        <v>1</v>
      </c>
    </row>
    <row r="769" spans="1:6" x14ac:dyDescent="0.25">
      <c r="A769" s="59">
        <v>46058</v>
      </c>
      <c r="B769" s="14">
        <f t="shared" si="33"/>
        <v>0</v>
      </c>
      <c r="C769" s="59">
        <v>46118</v>
      </c>
      <c r="D769" s="25">
        <f t="shared" si="34"/>
        <v>0</v>
      </c>
      <c r="E769" s="14"/>
      <c r="F769" s="14">
        <f t="shared" si="35"/>
        <v>1</v>
      </c>
    </row>
    <row r="770" spans="1:6" x14ac:dyDescent="0.25">
      <c r="A770" s="59">
        <v>46059</v>
      </c>
      <c r="B770" s="14">
        <f t="shared" si="33"/>
        <v>0</v>
      </c>
      <c r="C770" s="59">
        <v>46119</v>
      </c>
      <c r="D770" s="25">
        <f t="shared" si="34"/>
        <v>0</v>
      </c>
      <c r="E770" s="14"/>
      <c r="F770" s="14">
        <f t="shared" si="35"/>
        <v>1</v>
      </c>
    </row>
    <row r="771" spans="1:6" x14ac:dyDescent="0.25">
      <c r="A771" s="59">
        <v>46060</v>
      </c>
      <c r="B771" s="14">
        <f t="shared" ref="B771:B833" si="36">1-IF(WEEKDAY(A771,2)&gt;5,0,1)</f>
        <v>1</v>
      </c>
      <c r="C771" s="59">
        <v>46120</v>
      </c>
      <c r="D771" s="25">
        <f t="shared" ref="D771:D833" si="37">1-IF(WEEKDAY(C771,2)&gt;5,0,1)</f>
        <v>0</v>
      </c>
      <c r="E771" s="14"/>
      <c r="F771" s="14">
        <f t="shared" ref="F771:F833" si="38">1-IF(WEEKDAY(E771,2)&gt;5,0,1)</f>
        <v>1</v>
      </c>
    </row>
    <row r="772" spans="1:6" x14ac:dyDescent="0.25">
      <c r="A772" s="59">
        <v>46061</v>
      </c>
      <c r="B772" s="14">
        <f t="shared" si="36"/>
        <v>1</v>
      </c>
      <c r="C772" s="59">
        <v>46121</v>
      </c>
      <c r="D772" s="25">
        <f t="shared" si="37"/>
        <v>0</v>
      </c>
      <c r="E772" s="14"/>
      <c r="F772" s="14">
        <f t="shared" si="38"/>
        <v>1</v>
      </c>
    </row>
    <row r="773" spans="1:6" x14ac:dyDescent="0.25">
      <c r="A773" s="59">
        <v>46062</v>
      </c>
      <c r="B773" s="14">
        <f t="shared" si="36"/>
        <v>0</v>
      </c>
      <c r="C773" s="60">
        <v>46122</v>
      </c>
      <c r="D773" s="27">
        <f t="shared" si="37"/>
        <v>0</v>
      </c>
      <c r="E773" s="14"/>
      <c r="F773" s="14">
        <f t="shared" si="38"/>
        <v>1</v>
      </c>
    </row>
    <row r="774" spans="1:6" x14ac:dyDescent="0.25">
      <c r="A774" s="59">
        <v>46063</v>
      </c>
      <c r="B774" s="25">
        <f t="shared" si="36"/>
        <v>0</v>
      </c>
      <c r="C774" s="14"/>
      <c r="D774" s="14">
        <f t="shared" si="37"/>
        <v>1</v>
      </c>
      <c r="E774" s="14"/>
      <c r="F774" s="14">
        <f t="shared" si="38"/>
        <v>1</v>
      </c>
    </row>
    <row r="775" spans="1:6" x14ac:dyDescent="0.25">
      <c r="A775" s="59">
        <v>46064</v>
      </c>
      <c r="B775" s="25">
        <f t="shared" si="36"/>
        <v>0</v>
      </c>
      <c r="C775" s="14"/>
      <c r="D775" s="14">
        <f t="shared" si="37"/>
        <v>1</v>
      </c>
      <c r="E775" s="14"/>
      <c r="F775" s="14">
        <f t="shared" si="38"/>
        <v>1</v>
      </c>
    </row>
    <row r="776" spans="1:6" x14ac:dyDescent="0.25">
      <c r="A776" s="59">
        <v>46065</v>
      </c>
      <c r="B776" s="25">
        <f t="shared" si="36"/>
        <v>0</v>
      </c>
      <c r="C776" s="14"/>
      <c r="D776" s="14">
        <f t="shared" si="37"/>
        <v>1</v>
      </c>
      <c r="E776" s="14"/>
      <c r="F776" s="14">
        <f t="shared" si="38"/>
        <v>1</v>
      </c>
    </row>
    <row r="777" spans="1:6" x14ac:dyDescent="0.25">
      <c r="A777" s="59">
        <v>46066</v>
      </c>
      <c r="B777" s="25">
        <f t="shared" si="36"/>
        <v>0</v>
      </c>
      <c r="C777" s="14"/>
      <c r="D777" s="14">
        <f t="shared" si="37"/>
        <v>1</v>
      </c>
      <c r="E777" s="14"/>
      <c r="F777" s="14">
        <f t="shared" si="38"/>
        <v>1</v>
      </c>
    </row>
    <row r="778" spans="1:6" x14ac:dyDescent="0.25">
      <c r="A778" s="59">
        <v>46067</v>
      </c>
      <c r="B778" s="25">
        <f t="shared" si="36"/>
        <v>1</v>
      </c>
      <c r="C778" s="14"/>
      <c r="D778" s="14">
        <f t="shared" si="37"/>
        <v>1</v>
      </c>
      <c r="E778" s="14"/>
      <c r="F778" s="14">
        <f t="shared" si="38"/>
        <v>1</v>
      </c>
    </row>
    <row r="779" spans="1:6" x14ac:dyDescent="0.25">
      <c r="A779" s="59">
        <v>46068</v>
      </c>
      <c r="B779" s="25">
        <f t="shared" si="36"/>
        <v>1</v>
      </c>
      <c r="C779" s="14"/>
      <c r="D779" s="14">
        <f t="shared" si="37"/>
        <v>1</v>
      </c>
      <c r="E779" s="14"/>
      <c r="F779" s="14">
        <f t="shared" si="38"/>
        <v>1</v>
      </c>
    </row>
    <row r="780" spans="1:6" x14ac:dyDescent="0.25">
      <c r="A780" s="59">
        <v>46069</v>
      </c>
      <c r="B780" s="25">
        <f t="shared" si="36"/>
        <v>0</v>
      </c>
      <c r="C780" s="14"/>
      <c r="D780" s="14">
        <f t="shared" si="37"/>
        <v>1</v>
      </c>
      <c r="E780" s="14"/>
      <c r="F780" s="14">
        <f t="shared" si="38"/>
        <v>1</v>
      </c>
    </row>
    <row r="781" spans="1:6" x14ac:dyDescent="0.25">
      <c r="A781" s="59">
        <v>46070</v>
      </c>
      <c r="B781" s="25">
        <f t="shared" si="36"/>
        <v>0</v>
      </c>
      <c r="C781" s="14"/>
      <c r="D781" s="14">
        <f t="shared" si="37"/>
        <v>1</v>
      </c>
      <c r="E781" s="14"/>
      <c r="F781" s="14">
        <f t="shared" si="38"/>
        <v>1</v>
      </c>
    </row>
    <row r="782" spans="1:6" x14ac:dyDescent="0.25">
      <c r="A782" s="59">
        <v>46071</v>
      </c>
      <c r="B782" s="25">
        <f t="shared" si="36"/>
        <v>0</v>
      </c>
      <c r="C782" s="14"/>
      <c r="D782" s="14">
        <f t="shared" si="37"/>
        <v>1</v>
      </c>
      <c r="E782" s="14"/>
      <c r="F782" s="14">
        <f t="shared" si="38"/>
        <v>1</v>
      </c>
    </row>
    <row r="783" spans="1:6" x14ac:dyDescent="0.25">
      <c r="A783" s="59">
        <v>46072</v>
      </c>
      <c r="B783" s="25">
        <f t="shared" si="36"/>
        <v>0</v>
      </c>
      <c r="C783" s="14"/>
      <c r="D783" s="14">
        <f t="shared" si="37"/>
        <v>1</v>
      </c>
      <c r="E783" s="14"/>
      <c r="F783" s="14">
        <f t="shared" si="38"/>
        <v>1</v>
      </c>
    </row>
    <row r="784" spans="1:6" x14ac:dyDescent="0.25">
      <c r="A784" s="59">
        <v>46073</v>
      </c>
      <c r="B784" s="25">
        <f t="shared" si="36"/>
        <v>0</v>
      </c>
      <c r="C784" s="14"/>
      <c r="D784" s="14">
        <f t="shared" si="37"/>
        <v>1</v>
      </c>
      <c r="E784" s="14"/>
      <c r="F784" s="14">
        <f t="shared" si="38"/>
        <v>1</v>
      </c>
    </row>
    <row r="785" spans="1:6" x14ac:dyDescent="0.25">
      <c r="A785" s="59">
        <v>46074</v>
      </c>
      <c r="B785" s="25">
        <f t="shared" si="36"/>
        <v>1</v>
      </c>
      <c r="C785" s="14"/>
      <c r="D785" s="14">
        <f t="shared" si="37"/>
        <v>1</v>
      </c>
      <c r="E785" s="14"/>
      <c r="F785" s="14">
        <f t="shared" si="38"/>
        <v>1</v>
      </c>
    </row>
    <row r="786" spans="1:6" x14ac:dyDescent="0.25">
      <c r="A786" s="59">
        <v>46075</v>
      </c>
      <c r="B786" s="25">
        <f t="shared" si="36"/>
        <v>1</v>
      </c>
      <c r="C786" s="14"/>
      <c r="D786" s="14">
        <f t="shared" si="37"/>
        <v>1</v>
      </c>
      <c r="E786" s="14"/>
      <c r="F786" s="14">
        <f t="shared" si="38"/>
        <v>1</v>
      </c>
    </row>
    <row r="787" spans="1:6" x14ac:dyDescent="0.25">
      <c r="A787" s="59">
        <v>46076</v>
      </c>
      <c r="B787" s="25">
        <f t="shared" si="36"/>
        <v>0</v>
      </c>
      <c r="C787" s="14"/>
      <c r="D787" s="14">
        <f t="shared" si="37"/>
        <v>1</v>
      </c>
      <c r="E787" s="14"/>
      <c r="F787" s="14">
        <f t="shared" si="38"/>
        <v>1</v>
      </c>
    </row>
    <row r="788" spans="1:6" x14ac:dyDescent="0.25">
      <c r="A788" s="59">
        <v>46077</v>
      </c>
      <c r="B788" s="25">
        <f t="shared" si="36"/>
        <v>0</v>
      </c>
      <c r="C788" s="14"/>
      <c r="D788" s="14">
        <f t="shared" si="37"/>
        <v>1</v>
      </c>
      <c r="E788" s="14"/>
      <c r="F788" s="14">
        <f t="shared" si="38"/>
        <v>1</v>
      </c>
    </row>
    <row r="789" spans="1:6" x14ac:dyDescent="0.25">
      <c r="A789" s="59">
        <v>46078</v>
      </c>
      <c r="B789" s="25">
        <f t="shared" si="36"/>
        <v>0</v>
      </c>
      <c r="C789" s="14"/>
      <c r="D789" s="14">
        <f t="shared" si="37"/>
        <v>1</v>
      </c>
      <c r="E789" s="14"/>
      <c r="F789" s="14">
        <f t="shared" si="38"/>
        <v>1</v>
      </c>
    </row>
    <row r="790" spans="1:6" x14ac:dyDescent="0.25">
      <c r="A790" s="59">
        <v>46079</v>
      </c>
      <c r="B790" s="25">
        <f t="shared" si="36"/>
        <v>0</v>
      </c>
      <c r="C790" s="14"/>
      <c r="D790" s="14">
        <f t="shared" si="37"/>
        <v>1</v>
      </c>
      <c r="E790" s="14"/>
      <c r="F790" s="14">
        <f t="shared" si="38"/>
        <v>1</v>
      </c>
    </row>
    <row r="791" spans="1:6" x14ac:dyDescent="0.25">
      <c r="A791" s="59">
        <v>46080</v>
      </c>
      <c r="B791" s="25">
        <f t="shared" si="36"/>
        <v>0</v>
      </c>
      <c r="C791" s="14"/>
      <c r="D791" s="14">
        <f t="shared" si="37"/>
        <v>1</v>
      </c>
      <c r="E791" s="14"/>
      <c r="F791" s="14">
        <f t="shared" si="38"/>
        <v>1</v>
      </c>
    </row>
    <row r="792" spans="1:6" x14ac:dyDescent="0.25">
      <c r="A792" s="59">
        <v>46081</v>
      </c>
      <c r="B792" s="25">
        <f t="shared" si="36"/>
        <v>1</v>
      </c>
      <c r="C792" s="14"/>
      <c r="D792" s="14">
        <f t="shared" si="37"/>
        <v>1</v>
      </c>
      <c r="E792" s="14"/>
      <c r="F792" s="14">
        <f t="shared" si="38"/>
        <v>1</v>
      </c>
    </row>
    <row r="793" spans="1:6" x14ac:dyDescent="0.25">
      <c r="A793" s="59">
        <v>46082</v>
      </c>
      <c r="B793" s="25">
        <f t="shared" si="36"/>
        <v>1</v>
      </c>
      <c r="C793" s="14"/>
      <c r="D793" s="14">
        <f t="shared" si="37"/>
        <v>1</v>
      </c>
      <c r="E793" s="14"/>
      <c r="F793" s="14">
        <f t="shared" si="38"/>
        <v>1</v>
      </c>
    </row>
    <row r="794" spans="1:6" x14ac:dyDescent="0.25">
      <c r="A794" s="59">
        <v>46083</v>
      </c>
      <c r="B794" s="25">
        <f t="shared" si="36"/>
        <v>0</v>
      </c>
      <c r="C794" s="14"/>
      <c r="D794" s="14">
        <f t="shared" si="37"/>
        <v>1</v>
      </c>
      <c r="E794" s="14"/>
      <c r="F794" s="14">
        <f t="shared" si="38"/>
        <v>1</v>
      </c>
    </row>
    <row r="795" spans="1:6" x14ac:dyDescent="0.25">
      <c r="A795" s="59">
        <v>46084</v>
      </c>
      <c r="B795" s="25">
        <f t="shared" si="36"/>
        <v>0</v>
      </c>
      <c r="C795" s="14"/>
      <c r="D795" s="14">
        <f t="shared" si="37"/>
        <v>1</v>
      </c>
      <c r="E795" s="14"/>
      <c r="F795" s="14">
        <f t="shared" si="38"/>
        <v>1</v>
      </c>
    </row>
    <row r="796" spans="1:6" x14ac:dyDescent="0.25">
      <c r="A796" s="59">
        <v>46085</v>
      </c>
      <c r="B796" s="25">
        <f t="shared" si="36"/>
        <v>0</v>
      </c>
      <c r="C796" s="14"/>
      <c r="D796" s="14">
        <f t="shared" si="37"/>
        <v>1</v>
      </c>
      <c r="E796" s="14"/>
      <c r="F796" s="14">
        <f t="shared" si="38"/>
        <v>1</v>
      </c>
    </row>
    <row r="797" spans="1:6" x14ac:dyDescent="0.25">
      <c r="A797" s="59">
        <v>46086</v>
      </c>
      <c r="B797" s="25">
        <f t="shared" si="36"/>
        <v>0</v>
      </c>
      <c r="C797" s="14"/>
      <c r="D797" s="14">
        <f t="shared" si="37"/>
        <v>1</v>
      </c>
      <c r="E797" s="14"/>
      <c r="F797" s="14">
        <f t="shared" si="38"/>
        <v>1</v>
      </c>
    </row>
    <row r="798" spans="1:6" x14ac:dyDescent="0.25">
      <c r="A798" s="59">
        <v>46087</v>
      </c>
      <c r="B798" s="25">
        <f t="shared" si="36"/>
        <v>0</v>
      </c>
      <c r="C798" s="14"/>
      <c r="D798" s="14">
        <f t="shared" si="37"/>
        <v>1</v>
      </c>
      <c r="E798" s="14"/>
      <c r="F798" s="14">
        <f t="shared" si="38"/>
        <v>1</v>
      </c>
    </row>
    <row r="799" spans="1:6" x14ac:dyDescent="0.25">
      <c r="A799" s="59">
        <v>46088</v>
      </c>
      <c r="B799" s="25">
        <f t="shared" si="36"/>
        <v>1</v>
      </c>
      <c r="C799" s="14"/>
      <c r="D799" s="14">
        <f t="shared" si="37"/>
        <v>1</v>
      </c>
      <c r="E799" s="14"/>
      <c r="F799" s="14">
        <f t="shared" si="38"/>
        <v>1</v>
      </c>
    </row>
    <row r="800" spans="1:6" x14ac:dyDescent="0.25">
      <c r="A800" s="59">
        <v>46089</v>
      </c>
      <c r="B800" s="25">
        <f t="shared" si="36"/>
        <v>1</v>
      </c>
      <c r="C800" s="14"/>
      <c r="D800" s="14">
        <f t="shared" si="37"/>
        <v>1</v>
      </c>
      <c r="E800" s="14"/>
      <c r="F800" s="14">
        <f t="shared" si="38"/>
        <v>1</v>
      </c>
    </row>
    <row r="801" spans="1:6" x14ac:dyDescent="0.25">
      <c r="A801" s="59">
        <v>46090</v>
      </c>
      <c r="B801" s="25">
        <f t="shared" si="36"/>
        <v>0</v>
      </c>
      <c r="C801" s="14"/>
      <c r="D801" s="14">
        <f t="shared" si="37"/>
        <v>1</v>
      </c>
      <c r="E801" s="14"/>
      <c r="F801" s="14">
        <f t="shared" si="38"/>
        <v>1</v>
      </c>
    </row>
    <row r="802" spans="1:6" x14ac:dyDescent="0.25">
      <c r="A802" s="59">
        <v>46091</v>
      </c>
      <c r="B802" s="25">
        <f t="shared" si="36"/>
        <v>0</v>
      </c>
      <c r="C802" s="14"/>
      <c r="D802" s="14">
        <f t="shared" si="37"/>
        <v>1</v>
      </c>
      <c r="E802" s="14"/>
      <c r="F802" s="14">
        <f t="shared" si="38"/>
        <v>1</v>
      </c>
    </row>
    <row r="803" spans="1:6" x14ac:dyDescent="0.25">
      <c r="A803" s="59">
        <v>46092</v>
      </c>
      <c r="B803" s="25">
        <f t="shared" si="36"/>
        <v>0</v>
      </c>
      <c r="C803" s="14"/>
      <c r="D803" s="14">
        <f t="shared" si="37"/>
        <v>1</v>
      </c>
      <c r="E803" s="14"/>
      <c r="F803" s="14">
        <f t="shared" si="38"/>
        <v>1</v>
      </c>
    </row>
    <row r="804" spans="1:6" x14ac:dyDescent="0.25">
      <c r="A804" s="59">
        <v>46093</v>
      </c>
      <c r="B804" s="25">
        <f t="shared" si="36"/>
        <v>0</v>
      </c>
      <c r="C804" s="14"/>
      <c r="D804" s="14">
        <f t="shared" si="37"/>
        <v>1</v>
      </c>
      <c r="E804" s="14"/>
      <c r="F804" s="14">
        <f t="shared" si="38"/>
        <v>1</v>
      </c>
    </row>
    <row r="805" spans="1:6" x14ac:dyDescent="0.25">
      <c r="A805" s="59">
        <v>46094</v>
      </c>
      <c r="B805" s="25">
        <f t="shared" si="36"/>
        <v>0</v>
      </c>
      <c r="C805" s="14"/>
      <c r="D805" s="14">
        <f t="shared" si="37"/>
        <v>1</v>
      </c>
      <c r="E805" s="14"/>
      <c r="F805" s="14">
        <f t="shared" si="38"/>
        <v>1</v>
      </c>
    </row>
    <row r="806" spans="1:6" x14ac:dyDescent="0.25">
      <c r="A806" s="59">
        <v>46095</v>
      </c>
      <c r="B806" s="25">
        <f t="shared" si="36"/>
        <v>1</v>
      </c>
      <c r="C806" s="14"/>
      <c r="D806" s="14">
        <f t="shared" si="37"/>
        <v>1</v>
      </c>
      <c r="E806" s="14"/>
      <c r="F806" s="14">
        <f t="shared" si="38"/>
        <v>1</v>
      </c>
    </row>
    <row r="807" spans="1:6" x14ac:dyDescent="0.25">
      <c r="A807" s="59">
        <v>46096</v>
      </c>
      <c r="B807" s="25">
        <f t="shared" si="36"/>
        <v>1</v>
      </c>
      <c r="C807" s="14"/>
      <c r="D807" s="14">
        <f t="shared" si="37"/>
        <v>1</v>
      </c>
      <c r="E807" s="14"/>
      <c r="F807" s="14">
        <f t="shared" si="38"/>
        <v>1</v>
      </c>
    </row>
    <row r="808" spans="1:6" x14ac:dyDescent="0.25">
      <c r="A808" s="59">
        <v>46097</v>
      </c>
      <c r="B808" s="25">
        <f t="shared" si="36"/>
        <v>0</v>
      </c>
      <c r="C808" s="14"/>
      <c r="D808" s="14">
        <f t="shared" si="37"/>
        <v>1</v>
      </c>
      <c r="E808" s="14"/>
      <c r="F808" s="14">
        <f t="shared" si="38"/>
        <v>1</v>
      </c>
    </row>
    <row r="809" spans="1:6" x14ac:dyDescent="0.25">
      <c r="A809" s="59">
        <v>46098</v>
      </c>
      <c r="B809" s="25">
        <f t="shared" si="36"/>
        <v>0</v>
      </c>
      <c r="C809" s="14"/>
      <c r="D809" s="14">
        <f t="shared" si="37"/>
        <v>1</v>
      </c>
      <c r="E809" s="14"/>
      <c r="F809" s="14">
        <f t="shared" si="38"/>
        <v>1</v>
      </c>
    </row>
    <row r="810" spans="1:6" x14ac:dyDescent="0.25">
      <c r="A810" s="59">
        <v>46099</v>
      </c>
      <c r="B810" s="25">
        <f t="shared" si="36"/>
        <v>0</v>
      </c>
      <c r="C810" s="14"/>
      <c r="D810" s="14">
        <f t="shared" si="37"/>
        <v>1</v>
      </c>
      <c r="E810" s="14"/>
      <c r="F810" s="14">
        <f t="shared" si="38"/>
        <v>1</v>
      </c>
    </row>
    <row r="811" spans="1:6" x14ac:dyDescent="0.25">
      <c r="A811" s="59">
        <v>46100</v>
      </c>
      <c r="B811" s="25">
        <f t="shared" si="36"/>
        <v>0</v>
      </c>
      <c r="C811" s="14"/>
      <c r="D811" s="14">
        <f t="shared" si="37"/>
        <v>1</v>
      </c>
      <c r="E811" s="14"/>
      <c r="F811" s="14">
        <f t="shared" si="38"/>
        <v>1</v>
      </c>
    </row>
    <row r="812" spans="1:6" x14ac:dyDescent="0.25">
      <c r="A812" s="59">
        <v>46101</v>
      </c>
      <c r="B812" s="25">
        <f t="shared" si="36"/>
        <v>0</v>
      </c>
      <c r="C812" s="14"/>
      <c r="D812" s="14">
        <f t="shared" si="37"/>
        <v>1</v>
      </c>
      <c r="E812" s="14"/>
      <c r="F812" s="14">
        <f t="shared" si="38"/>
        <v>1</v>
      </c>
    </row>
    <row r="813" spans="1:6" x14ac:dyDescent="0.25">
      <c r="A813" s="59">
        <v>46102</v>
      </c>
      <c r="B813" s="25">
        <f t="shared" si="36"/>
        <v>1</v>
      </c>
      <c r="C813" s="14"/>
      <c r="D813" s="14">
        <f t="shared" si="37"/>
        <v>1</v>
      </c>
      <c r="E813" s="14"/>
      <c r="F813" s="14">
        <f t="shared" si="38"/>
        <v>1</v>
      </c>
    </row>
    <row r="814" spans="1:6" x14ac:dyDescent="0.25">
      <c r="A814" s="59">
        <v>46103</v>
      </c>
      <c r="B814" s="25">
        <f t="shared" si="36"/>
        <v>1</v>
      </c>
      <c r="C814" s="14"/>
      <c r="D814" s="14">
        <f t="shared" si="37"/>
        <v>1</v>
      </c>
      <c r="E814" s="14"/>
      <c r="F814" s="14">
        <f t="shared" si="38"/>
        <v>1</v>
      </c>
    </row>
    <row r="815" spans="1:6" x14ac:dyDescent="0.25">
      <c r="A815" s="59">
        <v>46104</v>
      </c>
      <c r="B815" s="25">
        <f t="shared" si="36"/>
        <v>0</v>
      </c>
      <c r="C815" s="14"/>
      <c r="D815" s="14">
        <f t="shared" si="37"/>
        <v>1</v>
      </c>
      <c r="E815" s="14"/>
      <c r="F815" s="14">
        <f t="shared" si="38"/>
        <v>1</v>
      </c>
    </row>
    <row r="816" spans="1:6" x14ac:dyDescent="0.25">
      <c r="A816" s="59">
        <v>46105</v>
      </c>
      <c r="B816" s="25">
        <f t="shared" si="36"/>
        <v>0</v>
      </c>
      <c r="C816" s="14"/>
      <c r="D816" s="14">
        <f t="shared" si="37"/>
        <v>1</v>
      </c>
      <c r="E816" s="14"/>
      <c r="F816" s="14">
        <f t="shared" si="38"/>
        <v>1</v>
      </c>
    </row>
    <row r="817" spans="1:6" x14ac:dyDescent="0.25">
      <c r="A817" s="59">
        <v>46106</v>
      </c>
      <c r="B817" s="25">
        <f t="shared" si="36"/>
        <v>0</v>
      </c>
      <c r="C817" s="14"/>
      <c r="D817" s="14">
        <f t="shared" si="37"/>
        <v>1</v>
      </c>
      <c r="E817" s="14"/>
      <c r="F817" s="14">
        <f t="shared" si="38"/>
        <v>1</v>
      </c>
    </row>
    <row r="818" spans="1:6" x14ac:dyDescent="0.25">
      <c r="A818" s="59">
        <v>46107</v>
      </c>
      <c r="B818" s="25">
        <f t="shared" si="36"/>
        <v>0</v>
      </c>
      <c r="C818" s="14"/>
      <c r="D818" s="14">
        <f t="shared" si="37"/>
        <v>1</v>
      </c>
      <c r="E818" s="14"/>
      <c r="F818" s="14">
        <f t="shared" si="38"/>
        <v>1</v>
      </c>
    </row>
    <row r="819" spans="1:6" x14ac:dyDescent="0.25">
      <c r="A819" s="59">
        <v>46108</v>
      </c>
      <c r="B819" s="25">
        <f t="shared" si="36"/>
        <v>0</v>
      </c>
      <c r="C819" s="14"/>
      <c r="D819" s="14">
        <f t="shared" si="37"/>
        <v>1</v>
      </c>
      <c r="E819" s="14"/>
      <c r="F819" s="14">
        <f t="shared" si="38"/>
        <v>1</v>
      </c>
    </row>
    <row r="820" spans="1:6" x14ac:dyDescent="0.25">
      <c r="A820" s="59">
        <v>46109</v>
      </c>
      <c r="B820" s="25">
        <f t="shared" si="36"/>
        <v>1</v>
      </c>
      <c r="C820" s="14"/>
      <c r="D820" s="14">
        <f t="shared" si="37"/>
        <v>1</v>
      </c>
      <c r="E820" s="14"/>
      <c r="F820" s="14">
        <f t="shared" si="38"/>
        <v>1</v>
      </c>
    </row>
    <row r="821" spans="1:6" x14ac:dyDescent="0.25">
      <c r="A821" s="59">
        <v>46110</v>
      </c>
      <c r="B821" s="25">
        <f t="shared" si="36"/>
        <v>1</v>
      </c>
      <c r="C821" s="14"/>
      <c r="D821" s="14">
        <f t="shared" si="37"/>
        <v>1</v>
      </c>
      <c r="E821" s="14"/>
      <c r="F821" s="14">
        <f t="shared" si="38"/>
        <v>1</v>
      </c>
    </row>
    <row r="822" spans="1:6" x14ac:dyDescent="0.25">
      <c r="A822" s="59">
        <v>46111</v>
      </c>
      <c r="B822" s="25">
        <f t="shared" si="36"/>
        <v>0</v>
      </c>
      <c r="C822" s="14"/>
      <c r="D822" s="14">
        <f t="shared" si="37"/>
        <v>1</v>
      </c>
      <c r="E822" s="14"/>
      <c r="F822" s="14">
        <f t="shared" si="38"/>
        <v>1</v>
      </c>
    </row>
    <row r="823" spans="1:6" x14ac:dyDescent="0.25">
      <c r="A823" s="59">
        <v>46112</v>
      </c>
      <c r="B823" s="25">
        <f t="shared" si="36"/>
        <v>0</v>
      </c>
      <c r="C823" s="14"/>
      <c r="D823" s="14">
        <f t="shared" si="37"/>
        <v>1</v>
      </c>
      <c r="E823" s="14"/>
      <c r="F823" s="14">
        <f t="shared" si="38"/>
        <v>1</v>
      </c>
    </row>
    <row r="824" spans="1:6" x14ac:dyDescent="0.25">
      <c r="A824" s="59">
        <v>46113</v>
      </c>
      <c r="B824" s="25">
        <f t="shared" si="36"/>
        <v>0</v>
      </c>
      <c r="C824" s="14"/>
      <c r="D824" s="14">
        <f t="shared" si="37"/>
        <v>1</v>
      </c>
      <c r="E824" s="14"/>
      <c r="F824" s="14">
        <f t="shared" si="38"/>
        <v>1</v>
      </c>
    </row>
    <row r="825" spans="1:6" x14ac:dyDescent="0.25">
      <c r="A825" s="59">
        <v>46114</v>
      </c>
      <c r="B825" s="25">
        <f t="shared" si="36"/>
        <v>0</v>
      </c>
      <c r="C825" s="14"/>
      <c r="D825" s="14">
        <f t="shared" si="37"/>
        <v>1</v>
      </c>
      <c r="E825" s="14"/>
      <c r="F825" s="14">
        <f t="shared" si="38"/>
        <v>1</v>
      </c>
    </row>
    <row r="826" spans="1:6" x14ac:dyDescent="0.25">
      <c r="A826" s="59">
        <v>46115</v>
      </c>
      <c r="B826" s="25">
        <f t="shared" si="36"/>
        <v>0</v>
      </c>
      <c r="C826" s="14"/>
      <c r="D826" s="14">
        <f t="shared" si="37"/>
        <v>1</v>
      </c>
      <c r="E826" s="14"/>
      <c r="F826" s="14">
        <f t="shared" si="38"/>
        <v>1</v>
      </c>
    </row>
    <row r="827" spans="1:6" x14ac:dyDescent="0.25">
      <c r="A827" s="59">
        <v>46116</v>
      </c>
      <c r="B827" s="25">
        <f t="shared" si="36"/>
        <v>1</v>
      </c>
      <c r="C827" s="14"/>
      <c r="D827" s="14">
        <f t="shared" si="37"/>
        <v>1</v>
      </c>
      <c r="E827" s="14"/>
      <c r="F827" s="14">
        <f t="shared" si="38"/>
        <v>1</v>
      </c>
    </row>
    <row r="828" spans="1:6" x14ac:dyDescent="0.25">
      <c r="A828" s="59">
        <v>46117</v>
      </c>
      <c r="B828" s="25">
        <f t="shared" si="36"/>
        <v>1</v>
      </c>
      <c r="C828" s="14"/>
      <c r="D828" s="14">
        <f t="shared" si="37"/>
        <v>1</v>
      </c>
      <c r="E828" s="14"/>
      <c r="F828" s="14">
        <f t="shared" si="38"/>
        <v>1</v>
      </c>
    </row>
    <row r="829" spans="1:6" x14ac:dyDescent="0.25">
      <c r="A829" s="59">
        <v>46118</v>
      </c>
      <c r="B829" s="25">
        <f t="shared" si="36"/>
        <v>0</v>
      </c>
      <c r="C829" s="14"/>
      <c r="D829" s="14">
        <f t="shared" si="37"/>
        <v>1</v>
      </c>
      <c r="E829" s="14"/>
      <c r="F829" s="14">
        <f t="shared" si="38"/>
        <v>1</v>
      </c>
    </row>
    <row r="830" spans="1:6" x14ac:dyDescent="0.25">
      <c r="A830" s="59">
        <v>46119</v>
      </c>
      <c r="B830" s="25">
        <f t="shared" si="36"/>
        <v>0</v>
      </c>
      <c r="C830" s="14"/>
      <c r="D830" s="14">
        <f t="shared" si="37"/>
        <v>1</v>
      </c>
      <c r="E830" s="14"/>
      <c r="F830" s="14">
        <f t="shared" si="38"/>
        <v>1</v>
      </c>
    </row>
    <row r="831" spans="1:6" x14ac:dyDescent="0.25">
      <c r="A831" s="59">
        <v>46120</v>
      </c>
      <c r="B831" s="25">
        <f t="shared" si="36"/>
        <v>0</v>
      </c>
      <c r="C831" s="14"/>
      <c r="D831" s="14">
        <f t="shared" si="37"/>
        <v>1</v>
      </c>
      <c r="E831" s="14"/>
      <c r="F831" s="14">
        <f t="shared" si="38"/>
        <v>1</v>
      </c>
    </row>
    <row r="832" spans="1:6" x14ac:dyDescent="0.25">
      <c r="A832" s="59">
        <v>46121</v>
      </c>
      <c r="B832" s="25">
        <f t="shared" si="36"/>
        <v>0</v>
      </c>
      <c r="C832" s="14"/>
      <c r="D832" s="14">
        <f t="shared" si="37"/>
        <v>1</v>
      </c>
      <c r="E832" s="14"/>
      <c r="F832" s="14">
        <f t="shared" si="38"/>
        <v>1</v>
      </c>
    </row>
    <row r="833" spans="1:6" x14ac:dyDescent="0.25">
      <c r="A833" s="60">
        <v>46122</v>
      </c>
      <c r="B833" s="27">
        <f t="shared" si="36"/>
        <v>0</v>
      </c>
      <c r="C833" s="14"/>
      <c r="D833" s="14">
        <f t="shared" si="37"/>
        <v>1</v>
      </c>
      <c r="E833" s="14"/>
      <c r="F833" s="14">
        <f t="shared" si="38"/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DDD43A1F458064283451CC294941F80" ma:contentTypeVersion="5" ma:contentTypeDescription="Utwórz nowy dokument." ma:contentTypeScope="" ma:versionID="e37d6e62a6be4d1770b416c9d6811096">
  <xsd:schema xmlns:xsd="http://www.w3.org/2001/XMLSchema" xmlns:xs="http://www.w3.org/2001/XMLSchema" xmlns:p="http://schemas.microsoft.com/office/2006/metadata/properties" xmlns:ns2="6b3db17b-b31f-482f-bf6d-868f4b31f4d2" targetNamespace="http://schemas.microsoft.com/office/2006/metadata/properties" ma:root="true" ma:fieldsID="f0965eae538ea267616c632ab2d6e408" ns2:_="">
    <xsd:import namespace="6b3db17b-b31f-482f-bf6d-868f4b31f4d2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3db17b-b31f-482f-bf6d-868f4b31f4d2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6b3db17b-b31f-482f-bf6d-868f4b31f4d2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C51E56-9B77-4B3C-80C5-EC354E85DA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A355CD-C9BE-4A41-AAD0-6FF18939DB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3db17b-b31f-482f-bf6d-868f4b31f4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680D2AD-4DF7-4F9F-91A4-439F0AC6B14B}">
  <ds:schemaRefs>
    <ds:schemaRef ds:uri="http://schemas.microsoft.com/office/2006/metadata/properties"/>
    <ds:schemaRef ds:uri="http://schemas.microsoft.com/office/infopath/2007/PartnerControls"/>
    <ds:schemaRef ds:uri="6b3db17b-b31f-482f-bf6d-868f4b31f4d2"/>
  </ds:schemaRefs>
</ds:datastoreItem>
</file>

<file path=customXml/itemProps4.xml><?xml version="1.0" encoding="utf-8"?>
<ds:datastoreItem xmlns:ds="http://schemas.openxmlformats.org/officeDocument/2006/customXml" ds:itemID="{13F7F3A9-3465-4C49-8459-8DC244DAE34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Instructions</vt:lpstr>
      <vt:lpstr>Inputs --&gt;</vt:lpstr>
      <vt:lpstr>Input data</vt:lpstr>
      <vt:lpstr>Outputs --&gt;</vt:lpstr>
      <vt:lpstr>Results</vt:lpstr>
      <vt:lpstr>Calculations --&gt;</vt:lpstr>
      <vt:lpstr>Correlation matrices</vt:lpstr>
      <vt:lpstr>Market data</vt:lpstr>
      <vt:lpstr>NFLX</vt:lpstr>
      <vt:lpstr>META</vt:lpstr>
      <vt:lpstr>GOOG</vt:lpstr>
      <vt:lpstr>EBAY</vt:lpstr>
      <vt:lpstr>AMZN</vt:lpstr>
      <vt:lpstr>volatility meta call</vt:lpstr>
      <vt:lpstr>volatility netflix call</vt:lpstr>
      <vt:lpstr>volatility amazon call</vt:lpstr>
      <vt:lpstr>volatility alphabet call</vt:lpstr>
      <vt:lpstr>volatility ebay call</vt:lpstr>
      <vt:lpstr>volatility wszystko</vt:lpstr>
      <vt:lpstr>IR data</vt:lpstr>
      <vt:lpstr>IR interpolation</vt:lpstr>
      <vt:lpstr>Is_weekend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Szustakowski Antoni (STUD)</dc:creator>
  <cp:keywords/>
  <dc:description/>
  <cp:lastModifiedBy>Uhera Roman (STUD)</cp:lastModifiedBy>
  <cp:revision/>
  <dcterms:created xsi:type="dcterms:W3CDTF">2023-12-03T12:49:25Z</dcterms:created>
  <dcterms:modified xsi:type="dcterms:W3CDTF">2024-05-06T12:08:29Z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0x0101007DDD43A1F458064283451CC294941F80</vt:lpwstr>
  </property>
</Properties>
</file>